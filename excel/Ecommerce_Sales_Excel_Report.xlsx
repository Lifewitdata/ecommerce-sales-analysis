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pivotTables/pivotTable1.xml" ContentType="application/vnd.openxmlformats-officedocument.spreadsheetml.pivotTable+xml"/>
  <Override PartName="/xl/drawings/drawing5.xml" ContentType="application/vnd.openxmlformats-officedocument.drawing+xml"/>
  <Override PartName="/xl/slicers/slicer1.xml" ContentType="application/vnd.ms-excel.slicer+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mc:AlternateContent xmlns:mc="http://schemas.openxmlformats.org/markup-compatibility/2006">
    <mc:Choice Requires="x15">
      <x15ac:absPath xmlns:x15ac="http://schemas.microsoft.com/office/spreadsheetml/2010/11/ac" url="C:\Users\hp\Documents\Qoder\2026-10-27\def9cbc8\ecommerce-sales-analysis\excel\"/>
    </mc:Choice>
  </mc:AlternateContent>
  <xr:revisionPtr revIDLastSave="0" documentId="13_ncr:1_{F08ED11B-ECBA-4D4B-901F-AD4891F6D60C}" xr6:coauthVersionLast="47" xr6:coauthVersionMax="47" xr10:uidLastSave="{00000000-0000-0000-0000-000000000000}"/>
  <bookViews>
    <workbookView xWindow="2120" yWindow="2120" windowWidth="14400" windowHeight="7360" firstSheet="2" activeTab="4" xr2:uid="{00000000-000D-0000-FFFF-FFFF00000000}"/>
  </bookViews>
  <sheets>
    <sheet name="KPI_Dashboard" sheetId="1" r:id="rId1"/>
    <sheet name="Monthly_Trend" sheetId="2" r:id="rId2"/>
    <sheet name="Category_Region" sheetId="3" r:id="rId3"/>
    <sheet name="Discount_Payment" sheetId="4" r:id="rId4"/>
    <sheet name="Pivot_Category" sheetId="5" r:id="rId5"/>
    <sheet name="Quality_Checks" sheetId="6" r:id="rId6"/>
    <sheet name="Clean_Data" sheetId="7" r:id="rId7"/>
    <sheet name="Raw_Data" sheetId="8" r:id="rId8"/>
  </sheets>
  <definedNames>
    <definedName name="EcommerceCategoryCache">#N/A</definedName>
    <definedName name="EcommerceRegionCache">#N/A</definedName>
  </definedNames>
  <calcPr calcId="191029"/>
  <pivotCaches>
    <pivotCache cacheId="8"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001" i="7" l="1"/>
  <c r="P2001" i="7"/>
  <c r="O2001" i="7"/>
  <c r="N2001" i="7"/>
  <c r="Q2000" i="7"/>
  <c r="P2000" i="7"/>
  <c r="O2000" i="7"/>
  <c r="N2000" i="7"/>
  <c r="Q1999" i="7"/>
  <c r="P1999" i="7"/>
  <c r="O1999" i="7"/>
  <c r="N1999" i="7"/>
  <c r="Q1998" i="7"/>
  <c r="P1998" i="7"/>
  <c r="O1998" i="7"/>
  <c r="N1998" i="7"/>
  <c r="Q1997" i="7"/>
  <c r="P1997" i="7"/>
  <c r="O1997" i="7"/>
  <c r="N1997" i="7"/>
  <c r="Q1996" i="7"/>
  <c r="P1996" i="7"/>
  <c r="O1996" i="7"/>
  <c r="N1996" i="7"/>
  <c r="Q1995" i="7"/>
  <c r="P1995" i="7"/>
  <c r="O1995" i="7"/>
  <c r="N1995" i="7"/>
  <c r="Q1994" i="7"/>
  <c r="P1994" i="7"/>
  <c r="O1994" i="7"/>
  <c r="N1994" i="7"/>
  <c r="Q1993" i="7"/>
  <c r="P1993" i="7"/>
  <c r="O1993" i="7"/>
  <c r="N1993" i="7"/>
  <c r="Q1992" i="7"/>
  <c r="P1992" i="7"/>
  <c r="O1992" i="7"/>
  <c r="N1992" i="7"/>
  <c r="Q1991" i="7"/>
  <c r="P1991" i="7"/>
  <c r="O1991" i="7"/>
  <c r="N1991" i="7"/>
  <c r="Q1990" i="7"/>
  <c r="P1990" i="7"/>
  <c r="O1990" i="7"/>
  <c r="N1990" i="7"/>
  <c r="Q1989" i="7"/>
  <c r="P1989" i="7"/>
  <c r="O1989" i="7"/>
  <c r="N1989" i="7"/>
  <c r="Q1988" i="7"/>
  <c r="P1988" i="7"/>
  <c r="O1988" i="7"/>
  <c r="N1988" i="7"/>
  <c r="Q1987" i="7"/>
  <c r="P1987" i="7"/>
  <c r="O1987" i="7"/>
  <c r="N1987" i="7"/>
  <c r="Q1986" i="7"/>
  <c r="P1986" i="7"/>
  <c r="O1986" i="7"/>
  <c r="N1986" i="7"/>
  <c r="Q1985" i="7"/>
  <c r="P1985" i="7"/>
  <c r="O1985" i="7"/>
  <c r="N1985" i="7"/>
  <c r="Q1984" i="7"/>
  <c r="P1984" i="7"/>
  <c r="O1984" i="7"/>
  <c r="N1984" i="7"/>
  <c r="Q1983" i="7"/>
  <c r="P1983" i="7"/>
  <c r="O1983" i="7"/>
  <c r="N1983" i="7"/>
  <c r="Q1982" i="7"/>
  <c r="P1982" i="7"/>
  <c r="O1982" i="7"/>
  <c r="N1982" i="7"/>
  <c r="Q1981" i="7"/>
  <c r="P1981" i="7"/>
  <c r="O1981" i="7"/>
  <c r="N1981" i="7"/>
  <c r="Q1980" i="7"/>
  <c r="P1980" i="7"/>
  <c r="O1980" i="7"/>
  <c r="N1980" i="7"/>
  <c r="Q1979" i="7"/>
  <c r="P1979" i="7"/>
  <c r="O1979" i="7"/>
  <c r="N1979" i="7"/>
  <c r="Q1978" i="7"/>
  <c r="P1978" i="7"/>
  <c r="O1978" i="7"/>
  <c r="N1978" i="7"/>
  <c r="Q1977" i="7"/>
  <c r="P1977" i="7"/>
  <c r="O1977" i="7"/>
  <c r="N1977" i="7"/>
  <c r="Q1976" i="7"/>
  <c r="P1976" i="7"/>
  <c r="O1976" i="7"/>
  <c r="N1976" i="7"/>
  <c r="Q1975" i="7"/>
  <c r="P1975" i="7"/>
  <c r="O1975" i="7"/>
  <c r="N1975" i="7"/>
  <c r="Q1974" i="7"/>
  <c r="P1974" i="7"/>
  <c r="O1974" i="7"/>
  <c r="N1974" i="7"/>
  <c r="Q1973" i="7"/>
  <c r="P1973" i="7"/>
  <c r="O1973" i="7"/>
  <c r="N1973" i="7"/>
  <c r="Q1972" i="7"/>
  <c r="P1972" i="7"/>
  <c r="O1972" i="7"/>
  <c r="N1972" i="7"/>
  <c r="Q1971" i="7"/>
  <c r="P1971" i="7"/>
  <c r="O1971" i="7"/>
  <c r="N1971" i="7"/>
  <c r="Q1970" i="7"/>
  <c r="P1970" i="7"/>
  <c r="O1970" i="7"/>
  <c r="N1970" i="7"/>
  <c r="Q1969" i="7"/>
  <c r="P1969" i="7"/>
  <c r="O1969" i="7"/>
  <c r="N1969" i="7"/>
  <c r="Q1968" i="7"/>
  <c r="P1968" i="7"/>
  <c r="O1968" i="7"/>
  <c r="N1968" i="7"/>
  <c r="Q1967" i="7"/>
  <c r="P1967" i="7"/>
  <c r="O1967" i="7"/>
  <c r="N1967" i="7"/>
  <c r="Q1966" i="7"/>
  <c r="P1966" i="7"/>
  <c r="O1966" i="7"/>
  <c r="N1966" i="7"/>
  <c r="Q1965" i="7"/>
  <c r="P1965" i="7"/>
  <c r="O1965" i="7"/>
  <c r="N1965" i="7"/>
  <c r="Q1964" i="7"/>
  <c r="P1964" i="7"/>
  <c r="O1964" i="7"/>
  <c r="N1964" i="7"/>
  <c r="Q1963" i="7"/>
  <c r="P1963" i="7"/>
  <c r="O1963" i="7"/>
  <c r="N1963" i="7"/>
  <c r="Q1962" i="7"/>
  <c r="P1962" i="7"/>
  <c r="O1962" i="7"/>
  <c r="N1962" i="7"/>
  <c r="Q1961" i="7"/>
  <c r="P1961" i="7"/>
  <c r="O1961" i="7"/>
  <c r="N1961" i="7"/>
  <c r="Q1960" i="7"/>
  <c r="P1960" i="7"/>
  <c r="O1960" i="7"/>
  <c r="N1960" i="7"/>
  <c r="Q1959" i="7"/>
  <c r="P1959" i="7"/>
  <c r="O1959" i="7"/>
  <c r="N1959" i="7"/>
  <c r="Q1958" i="7"/>
  <c r="P1958" i="7"/>
  <c r="O1958" i="7"/>
  <c r="N1958" i="7"/>
  <c r="Q1957" i="7"/>
  <c r="P1957" i="7"/>
  <c r="O1957" i="7"/>
  <c r="N1957" i="7"/>
  <c r="Q1956" i="7"/>
  <c r="P1956" i="7"/>
  <c r="O1956" i="7"/>
  <c r="N1956" i="7"/>
  <c r="Q1955" i="7"/>
  <c r="P1955" i="7"/>
  <c r="O1955" i="7"/>
  <c r="N1955" i="7"/>
  <c r="Q1954" i="7"/>
  <c r="P1954" i="7"/>
  <c r="O1954" i="7"/>
  <c r="N1954" i="7"/>
  <c r="Q1953" i="7"/>
  <c r="P1953" i="7"/>
  <c r="O1953" i="7"/>
  <c r="N1953" i="7"/>
  <c r="Q1952" i="7"/>
  <c r="P1952" i="7"/>
  <c r="O1952" i="7"/>
  <c r="N1952" i="7"/>
  <c r="Q1951" i="7"/>
  <c r="P1951" i="7"/>
  <c r="O1951" i="7"/>
  <c r="N1951" i="7"/>
  <c r="Q1950" i="7"/>
  <c r="P1950" i="7"/>
  <c r="O1950" i="7"/>
  <c r="N1950" i="7"/>
  <c r="Q1949" i="7"/>
  <c r="P1949" i="7"/>
  <c r="O1949" i="7"/>
  <c r="N1949" i="7"/>
  <c r="Q1948" i="7"/>
  <c r="P1948" i="7"/>
  <c r="O1948" i="7"/>
  <c r="N1948" i="7"/>
  <c r="Q1947" i="7"/>
  <c r="P1947" i="7"/>
  <c r="O1947" i="7"/>
  <c r="N1947" i="7"/>
  <c r="Q1946" i="7"/>
  <c r="P1946" i="7"/>
  <c r="O1946" i="7"/>
  <c r="N1946" i="7"/>
  <c r="Q1945" i="7"/>
  <c r="P1945" i="7"/>
  <c r="O1945" i="7"/>
  <c r="N1945" i="7"/>
  <c r="Q1944" i="7"/>
  <c r="P1944" i="7"/>
  <c r="O1944" i="7"/>
  <c r="N1944" i="7"/>
  <c r="Q1943" i="7"/>
  <c r="P1943" i="7"/>
  <c r="O1943" i="7"/>
  <c r="N1943" i="7"/>
  <c r="Q1942" i="7"/>
  <c r="P1942" i="7"/>
  <c r="O1942" i="7"/>
  <c r="N1942" i="7"/>
  <c r="Q1941" i="7"/>
  <c r="P1941" i="7"/>
  <c r="O1941" i="7"/>
  <c r="N1941" i="7"/>
  <c r="Q1940" i="7"/>
  <c r="P1940" i="7"/>
  <c r="O1940" i="7"/>
  <c r="N1940" i="7"/>
  <c r="Q1939" i="7"/>
  <c r="P1939" i="7"/>
  <c r="O1939" i="7"/>
  <c r="N1939" i="7"/>
  <c r="Q1938" i="7"/>
  <c r="P1938" i="7"/>
  <c r="O1938" i="7"/>
  <c r="N1938" i="7"/>
  <c r="Q1937" i="7"/>
  <c r="P1937" i="7"/>
  <c r="O1937" i="7"/>
  <c r="N1937" i="7"/>
  <c r="Q1936" i="7"/>
  <c r="P1936" i="7"/>
  <c r="O1936" i="7"/>
  <c r="N1936" i="7"/>
  <c r="Q1935" i="7"/>
  <c r="P1935" i="7"/>
  <c r="O1935" i="7"/>
  <c r="N1935" i="7"/>
  <c r="Q1934" i="7"/>
  <c r="P1934" i="7"/>
  <c r="O1934" i="7"/>
  <c r="N1934" i="7"/>
  <c r="Q1933" i="7"/>
  <c r="P1933" i="7"/>
  <c r="O1933" i="7"/>
  <c r="N1933" i="7"/>
  <c r="Q1932" i="7"/>
  <c r="P1932" i="7"/>
  <c r="O1932" i="7"/>
  <c r="N1932" i="7"/>
  <c r="Q1931" i="7"/>
  <c r="P1931" i="7"/>
  <c r="O1931" i="7"/>
  <c r="N1931" i="7"/>
  <c r="Q1930" i="7"/>
  <c r="P1930" i="7"/>
  <c r="O1930" i="7"/>
  <c r="N1930" i="7"/>
  <c r="Q1929" i="7"/>
  <c r="P1929" i="7"/>
  <c r="O1929" i="7"/>
  <c r="N1929" i="7"/>
  <c r="Q1928" i="7"/>
  <c r="P1928" i="7"/>
  <c r="O1928" i="7"/>
  <c r="N1928" i="7"/>
  <c r="Q1927" i="7"/>
  <c r="P1927" i="7"/>
  <c r="O1927" i="7"/>
  <c r="N1927" i="7"/>
  <c r="Q1926" i="7"/>
  <c r="P1926" i="7"/>
  <c r="O1926" i="7"/>
  <c r="N1926" i="7"/>
  <c r="Q1925" i="7"/>
  <c r="P1925" i="7"/>
  <c r="O1925" i="7"/>
  <c r="N1925" i="7"/>
  <c r="Q1924" i="7"/>
  <c r="P1924" i="7"/>
  <c r="O1924" i="7"/>
  <c r="N1924" i="7"/>
  <c r="Q1923" i="7"/>
  <c r="P1923" i="7"/>
  <c r="O1923" i="7"/>
  <c r="N1923" i="7"/>
  <c r="Q1922" i="7"/>
  <c r="P1922" i="7"/>
  <c r="O1922" i="7"/>
  <c r="N1922" i="7"/>
  <c r="Q1921" i="7"/>
  <c r="P1921" i="7"/>
  <c r="O1921" i="7"/>
  <c r="N1921" i="7"/>
  <c r="Q1920" i="7"/>
  <c r="P1920" i="7"/>
  <c r="O1920" i="7"/>
  <c r="N1920" i="7"/>
  <c r="Q1919" i="7"/>
  <c r="P1919" i="7"/>
  <c r="O1919" i="7"/>
  <c r="N1919" i="7"/>
  <c r="Q1918" i="7"/>
  <c r="P1918" i="7"/>
  <c r="O1918" i="7"/>
  <c r="N1918" i="7"/>
  <c r="Q1917" i="7"/>
  <c r="P1917" i="7"/>
  <c r="O1917" i="7"/>
  <c r="N1917" i="7"/>
  <c r="Q1916" i="7"/>
  <c r="P1916" i="7"/>
  <c r="O1916" i="7"/>
  <c r="N1916" i="7"/>
  <c r="Q1915" i="7"/>
  <c r="P1915" i="7"/>
  <c r="O1915" i="7"/>
  <c r="N1915" i="7"/>
  <c r="Q1914" i="7"/>
  <c r="P1914" i="7"/>
  <c r="O1914" i="7"/>
  <c r="N1914" i="7"/>
  <c r="Q1913" i="7"/>
  <c r="P1913" i="7"/>
  <c r="O1913" i="7"/>
  <c r="N1913" i="7"/>
  <c r="Q1912" i="7"/>
  <c r="P1912" i="7"/>
  <c r="O1912" i="7"/>
  <c r="N1912" i="7"/>
  <c r="Q1911" i="7"/>
  <c r="P1911" i="7"/>
  <c r="O1911" i="7"/>
  <c r="N1911" i="7"/>
  <c r="Q1910" i="7"/>
  <c r="P1910" i="7"/>
  <c r="O1910" i="7"/>
  <c r="N1910" i="7"/>
  <c r="Q1909" i="7"/>
  <c r="P1909" i="7"/>
  <c r="O1909" i="7"/>
  <c r="N1909" i="7"/>
  <c r="Q1908" i="7"/>
  <c r="P1908" i="7"/>
  <c r="O1908" i="7"/>
  <c r="N1908" i="7"/>
  <c r="Q1907" i="7"/>
  <c r="P1907" i="7"/>
  <c r="O1907" i="7"/>
  <c r="N1907" i="7"/>
  <c r="Q1906" i="7"/>
  <c r="P1906" i="7"/>
  <c r="O1906" i="7"/>
  <c r="N1906" i="7"/>
  <c r="Q1905" i="7"/>
  <c r="P1905" i="7"/>
  <c r="O1905" i="7"/>
  <c r="N1905" i="7"/>
  <c r="Q1904" i="7"/>
  <c r="P1904" i="7"/>
  <c r="O1904" i="7"/>
  <c r="N1904" i="7"/>
  <c r="Q1903" i="7"/>
  <c r="P1903" i="7"/>
  <c r="O1903" i="7"/>
  <c r="N1903" i="7"/>
  <c r="Q1902" i="7"/>
  <c r="P1902" i="7"/>
  <c r="O1902" i="7"/>
  <c r="N1902" i="7"/>
  <c r="Q1901" i="7"/>
  <c r="P1901" i="7"/>
  <c r="O1901" i="7"/>
  <c r="N1901" i="7"/>
  <c r="Q1900" i="7"/>
  <c r="P1900" i="7"/>
  <c r="O1900" i="7"/>
  <c r="N1900" i="7"/>
  <c r="Q1899" i="7"/>
  <c r="P1899" i="7"/>
  <c r="O1899" i="7"/>
  <c r="N1899" i="7"/>
  <c r="Q1898" i="7"/>
  <c r="P1898" i="7"/>
  <c r="O1898" i="7"/>
  <c r="N1898" i="7"/>
  <c r="Q1897" i="7"/>
  <c r="P1897" i="7"/>
  <c r="O1897" i="7"/>
  <c r="N1897" i="7"/>
  <c r="Q1896" i="7"/>
  <c r="P1896" i="7"/>
  <c r="O1896" i="7"/>
  <c r="N1896" i="7"/>
  <c r="Q1895" i="7"/>
  <c r="P1895" i="7"/>
  <c r="O1895" i="7"/>
  <c r="N1895" i="7"/>
  <c r="Q1894" i="7"/>
  <c r="P1894" i="7"/>
  <c r="O1894" i="7"/>
  <c r="N1894" i="7"/>
  <c r="Q1893" i="7"/>
  <c r="P1893" i="7"/>
  <c r="O1893" i="7"/>
  <c r="N1893" i="7"/>
  <c r="Q1892" i="7"/>
  <c r="P1892" i="7"/>
  <c r="O1892" i="7"/>
  <c r="N1892" i="7"/>
  <c r="Q1891" i="7"/>
  <c r="P1891" i="7"/>
  <c r="O1891" i="7"/>
  <c r="N1891" i="7"/>
  <c r="Q1890" i="7"/>
  <c r="P1890" i="7"/>
  <c r="O1890" i="7"/>
  <c r="N1890" i="7"/>
  <c r="Q1889" i="7"/>
  <c r="P1889" i="7"/>
  <c r="O1889" i="7"/>
  <c r="N1889" i="7"/>
  <c r="Q1888" i="7"/>
  <c r="P1888" i="7"/>
  <c r="O1888" i="7"/>
  <c r="N1888" i="7"/>
  <c r="Q1887" i="7"/>
  <c r="P1887" i="7"/>
  <c r="O1887" i="7"/>
  <c r="N1887" i="7"/>
  <c r="Q1886" i="7"/>
  <c r="P1886" i="7"/>
  <c r="O1886" i="7"/>
  <c r="N1886" i="7"/>
  <c r="Q1885" i="7"/>
  <c r="P1885" i="7"/>
  <c r="O1885" i="7"/>
  <c r="N1885" i="7"/>
  <c r="Q1884" i="7"/>
  <c r="P1884" i="7"/>
  <c r="O1884" i="7"/>
  <c r="N1884" i="7"/>
  <c r="Q1883" i="7"/>
  <c r="P1883" i="7"/>
  <c r="O1883" i="7"/>
  <c r="N1883" i="7"/>
  <c r="Q1882" i="7"/>
  <c r="P1882" i="7"/>
  <c r="O1882" i="7"/>
  <c r="N1882" i="7"/>
  <c r="Q1881" i="7"/>
  <c r="P1881" i="7"/>
  <c r="O1881" i="7"/>
  <c r="N1881" i="7"/>
  <c r="Q1880" i="7"/>
  <c r="P1880" i="7"/>
  <c r="O1880" i="7"/>
  <c r="N1880" i="7"/>
  <c r="Q1879" i="7"/>
  <c r="P1879" i="7"/>
  <c r="O1879" i="7"/>
  <c r="N1879" i="7"/>
  <c r="Q1878" i="7"/>
  <c r="P1878" i="7"/>
  <c r="O1878" i="7"/>
  <c r="N1878" i="7"/>
  <c r="Q1877" i="7"/>
  <c r="P1877" i="7"/>
  <c r="O1877" i="7"/>
  <c r="N1877" i="7"/>
  <c r="Q1876" i="7"/>
  <c r="P1876" i="7"/>
  <c r="O1876" i="7"/>
  <c r="N1876" i="7"/>
  <c r="Q1875" i="7"/>
  <c r="P1875" i="7"/>
  <c r="O1875" i="7"/>
  <c r="N1875" i="7"/>
  <c r="Q1874" i="7"/>
  <c r="P1874" i="7"/>
  <c r="O1874" i="7"/>
  <c r="N1874" i="7"/>
  <c r="Q1873" i="7"/>
  <c r="P1873" i="7"/>
  <c r="O1873" i="7"/>
  <c r="N1873" i="7"/>
  <c r="Q1872" i="7"/>
  <c r="P1872" i="7"/>
  <c r="O1872" i="7"/>
  <c r="N1872" i="7"/>
  <c r="Q1871" i="7"/>
  <c r="P1871" i="7"/>
  <c r="O1871" i="7"/>
  <c r="N1871" i="7"/>
  <c r="Q1870" i="7"/>
  <c r="P1870" i="7"/>
  <c r="O1870" i="7"/>
  <c r="N1870" i="7"/>
  <c r="Q1869" i="7"/>
  <c r="P1869" i="7"/>
  <c r="O1869" i="7"/>
  <c r="N1869" i="7"/>
  <c r="Q1868" i="7"/>
  <c r="P1868" i="7"/>
  <c r="O1868" i="7"/>
  <c r="N1868" i="7"/>
  <c r="Q1867" i="7"/>
  <c r="P1867" i="7"/>
  <c r="O1867" i="7"/>
  <c r="N1867" i="7"/>
  <c r="Q1866" i="7"/>
  <c r="P1866" i="7"/>
  <c r="O1866" i="7"/>
  <c r="N1866" i="7"/>
  <c r="Q1865" i="7"/>
  <c r="P1865" i="7"/>
  <c r="O1865" i="7"/>
  <c r="N1865" i="7"/>
  <c r="Q1864" i="7"/>
  <c r="P1864" i="7"/>
  <c r="O1864" i="7"/>
  <c r="N1864" i="7"/>
  <c r="Q1863" i="7"/>
  <c r="P1863" i="7"/>
  <c r="O1863" i="7"/>
  <c r="N1863" i="7"/>
  <c r="Q1862" i="7"/>
  <c r="P1862" i="7"/>
  <c r="O1862" i="7"/>
  <c r="N1862" i="7"/>
  <c r="Q1861" i="7"/>
  <c r="P1861" i="7"/>
  <c r="O1861" i="7"/>
  <c r="N1861" i="7"/>
  <c r="Q1860" i="7"/>
  <c r="P1860" i="7"/>
  <c r="O1860" i="7"/>
  <c r="N1860" i="7"/>
  <c r="Q1859" i="7"/>
  <c r="P1859" i="7"/>
  <c r="O1859" i="7"/>
  <c r="N1859" i="7"/>
  <c r="Q1858" i="7"/>
  <c r="P1858" i="7"/>
  <c r="O1858" i="7"/>
  <c r="N1858" i="7"/>
  <c r="Q1857" i="7"/>
  <c r="P1857" i="7"/>
  <c r="O1857" i="7"/>
  <c r="N1857" i="7"/>
  <c r="Q1856" i="7"/>
  <c r="P1856" i="7"/>
  <c r="O1856" i="7"/>
  <c r="N1856" i="7"/>
  <c r="Q1855" i="7"/>
  <c r="P1855" i="7"/>
  <c r="O1855" i="7"/>
  <c r="N1855" i="7"/>
  <c r="Q1854" i="7"/>
  <c r="P1854" i="7"/>
  <c r="O1854" i="7"/>
  <c r="N1854" i="7"/>
  <c r="Q1853" i="7"/>
  <c r="P1853" i="7"/>
  <c r="O1853" i="7"/>
  <c r="N1853" i="7"/>
  <c r="Q1852" i="7"/>
  <c r="P1852" i="7"/>
  <c r="O1852" i="7"/>
  <c r="N1852" i="7"/>
  <c r="Q1851" i="7"/>
  <c r="P1851" i="7"/>
  <c r="O1851" i="7"/>
  <c r="N1851" i="7"/>
  <c r="Q1850" i="7"/>
  <c r="P1850" i="7"/>
  <c r="O1850" i="7"/>
  <c r="N1850" i="7"/>
  <c r="Q1849" i="7"/>
  <c r="P1849" i="7"/>
  <c r="O1849" i="7"/>
  <c r="N1849" i="7"/>
  <c r="Q1848" i="7"/>
  <c r="P1848" i="7"/>
  <c r="O1848" i="7"/>
  <c r="N1848" i="7"/>
  <c r="Q1847" i="7"/>
  <c r="P1847" i="7"/>
  <c r="O1847" i="7"/>
  <c r="N1847" i="7"/>
  <c r="Q1846" i="7"/>
  <c r="P1846" i="7"/>
  <c r="O1846" i="7"/>
  <c r="N1846" i="7"/>
  <c r="Q1845" i="7"/>
  <c r="P1845" i="7"/>
  <c r="O1845" i="7"/>
  <c r="N1845" i="7"/>
  <c r="Q1844" i="7"/>
  <c r="P1844" i="7"/>
  <c r="O1844" i="7"/>
  <c r="N1844" i="7"/>
  <c r="Q1843" i="7"/>
  <c r="P1843" i="7"/>
  <c r="O1843" i="7"/>
  <c r="N1843" i="7"/>
  <c r="Q1842" i="7"/>
  <c r="P1842" i="7"/>
  <c r="O1842" i="7"/>
  <c r="N1842" i="7"/>
  <c r="Q1841" i="7"/>
  <c r="P1841" i="7"/>
  <c r="O1841" i="7"/>
  <c r="N1841" i="7"/>
  <c r="Q1840" i="7"/>
  <c r="P1840" i="7"/>
  <c r="O1840" i="7"/>
  <c r="N1840" i="7"/>
  <c r="Q1839" i="7"/>
  <c r="P1839" i="7"/>
  <c r="O1839" i="7"/>
  <c r="N1839" i="7"/>
  <c r="Q1838" i="7"/>
  <c r="P1838" i="7"/>
  <c r="O1838" i="7"/>
  <c r="N1838" i="7"/>
  <c r="Q1837" i="7"/>
  <c r="P1837" i="7"/>
  <c r="O1837" i="7"/>
  <c r="N1837" i="7"/>
  <c r="Q1836" i="7"/>
  <c r="P1836" i="7"/>
  <c r="O1836" i="7"/>
  <c r="N1836" i="7"/>
  <c r="Q1835" i="7"/>
  <c r="P1835" i="7"/>
  <c r="O1835" i="7"/>
  <c r="N1835" i="7"/>
  <c r="Q1834" i="7"/>
  <c r="P1834" i="7"/>
  <c r="O1834" i="7"/>
  <c r="N1834" i="7"/>
  <c r="Q1833" i="7"/>
  <c r="P1833" i="7"/>
  <c r="O1833" i="7"/>
  <c r="N1833" i="7"/>
  <c r="Q1832" i="7"/>
  <c r="P1832" i="7"/>
  <c r="O1832" i="7"/>
  <c r="N1832" i="7"/>
  <c r="Q1831" i="7"/>
  <c r="P1831" i="7"/>
  <c r="O1831" i="7"/>
  <c r="N1831" i="7"/>
  <c r="Q1830" i="7"/>
  <c r="P1830" i="7"/>
  <c r="O1830" i="7"/>
  <c r="N1830" i="7"/>
  <c r="Q1829" i="7"/>
  <c r="P1829" i="7"/>
  <c r="O1829" i="7"/>
  <c r="N1829" i="7"/>
  <c r="Q1828" i="7"/>
  <c r="P1828" i="7"/>
  <c r="O1828" i="7"/>
  <c r="N1828" i="7"/>
  <c r="Q1827" i="7"/>
  <c r="P1827" i="7"/>
  <c r="O1827" i="7"/>
  <c r="N1827" i="7"/>
  <c r="Q1826" i="7"/>
  <c r="P1826" i="7"/>
  <c r="O1826" i="7"/>
  <c r="N1826" i="7"/>
  <c r="Q1825" i="7"/>
  <c r="P1825" i="7"/>
  <c r="O1825" i="7"/>
  <c r="N1825" i="7"/>
  <c r="Q1824" i="7"/>
  <c r="P1824" i="7"/>
  <c r="O1824" i="7"/>
  <c r="N1824" i="7"/>
  <c r="Q1823" i="7"/>
  <c r="P1823" i="7"/>
  <c r="O1823" i="7"/>
  <c r="N1823" i="7"/>
  <c r="Q1822" i="7"/>
  <c r="P1822" i="7"/>
  <c r="O1822" i="7"/>
  <c r="N1822" i="7"/>
  <c r="Q1821" i="7"/>
  <c r="P1821" i="7"/>
  <c r="O1821" i="7"/>
  <c r="N1821" i="7"/>
  <c r="Q1820" i="7"/>
  <c r="P1820" i="7"/>
  <c r="O1820" i="7"/>
  <c r="N1820" i="7"/>
  <c r="Q1819" i="7"/>
  <c r="P1819" i="7"/>
  <c r="O1819" i="7"/>
  <c r="N1819" i="7"/>
  <c r="Q1818" i="7"/>
  <c r="P1818" i="7"/>
  <c r="O1818" i="7"/>
  <c r="N1818" i="7"/>
  <c r="Q1817" i="7"/>
  <c r="P1817" i="7"/>
  <c r="O1817" i="7"/>
  <c r="N1817" i="7"/>
  <c r="Q1816" i="7"/>
  <c r="P1816" i="7"/>
  <c r="O1816" i="7"/>
  <c r="N1816" i="7"/>
  <c r="Q1815" i="7"/>
  <c r="P1815" i="7"/>
  <c r="O1815" i="7"/>
  <c r="N1815" i="7"/>
  <c r="Q1814" i="7"/>
  <c r="P1814" i="7"/>
  <c r="O1814" i="7"/>
  <c r="N1814" i="7"/>
  <c r="Q1813" i="7"/>
  <c r="P1813" i="7"/>
  <c r="O1813" i="7"/>
  <c r="N1813" i="7"/>
  <c r="Q1812" i="7"/>
  <c r="P1812" i="7"/>
  <c r="O1812" i="7"/>
  <c r="N1812" i="7"/>
  <c r="Q1811" i="7"/>
  <c r="P1811" i="7"/>
  <c r="O1811" i="7"/>
  <c r="N1811" i="7"/>
  <c r="Q1810" i="7"/>
  <c r="P1810" i="7"/>
  <c r="O1810" i="7"/>
  <c r="N1810" i="7"/>
  <c r="Q1809" i="7"/>
  <c r="P1809" i="7"/>
  <c r="O1809" i="7"/>
  <c r="N1809" i="7"/>
  <c r="Q1808" i="7"/>
  <c r="P1808" i="7"/>
  <c r="O1808" i="7"/>
  <c r="N1808" i="7"/>
  <c r="Q1807" i="7"/>
  <c r="P1807" i="7"/>
  <c r="O1807" i="7"/>
  <c r="N1807" i="7"/>
  <c r="Q1806" i="7"/>
  <c r="P1806" i="7"/>
  <c r="O1806" i="7"/>
  <c r="N1806" i="7"/>
  <c r="Q1805" i="7"/>
  <c r="P1805" i="7"/>
  <c r="O1805" i="7"/>
  <c r="N1805" i="7"/>
  <c r="Q1804" i="7"/>
  <c r="P1804" i="7"/>
  <c r="O1804" i="7"/>
  <c r="N1804" i="7"/>
  <c r="Q1803" i="7"/>
  <c r="P1803" i="7"/>
  <c r="O1803" i="7"/>
  <c r="N1803" i="7"/>
  <c r="Q1802" i="7"/>
  <c r="P1802" i="7"/>
  <c r="O1802" i="7"/>
  <c r="N1802" i="7"/>
  <c r="Q1801" i="7"/>
  <c r="P1801" i="7"/>
  <c r="O1801" i="7"/>
  <c r="N1801" i="7"/>
  <c r="Q1800" i="7"/>
  <c r="P1800" i="7"/>
  <c r="O1800" i="7"/>
  <c r="N1800" i="7"/>
  <c r="Q1799" i="7"/>
  <c r="P1799" i="7"/>
  <c r="O1799" i="7"/>
  <c r="N1799" i="7"/>
  <c r="Q1798" i="7"/>
  <c r="P1798" i="7"/>
  <c r="O1798" i="7"/>
  <c r="N1798" i="7"/>
  <c r="Q1797" i="7"/>
  <c r="P1797" i="7"/>
  <c r="O1797" i="7"/>
  <c r="N1797" i="7"/>
  <c r="Q1796" i="7"/>
  <c r="P1796" i="7"/>
  <c r="O1796" i="7"/>
  <c r="N1796" i="7"/>
  <c r="Q1795" i="7"/>
  <c r="P1795" i="7"/>
  <c r="O1795" i="7"/>
  <c r="N1795" i="7"/>
  <c r="Q1794" i="7"/>
  <c r="P1794" i="7"/>
  <c r="O1794" i="7"/>
  <c r="N1794" i="7"/>
  <c r="Q1793" i="7"/>
  <c r="P1793" i="7"/>
  <c r="O1793" i="7"/>
  <c r="N1793" i="7"/>
  <c r="Q1792" i="7"/>
  <c r="P1792" i="7"/>
  <c r="O1792" i="7"/>
  <c r="N1792" i="7"/>
  <c r="Q1791" i="7"/>
  <c r="P1791" i="7"/>
  <c r="O1791" i="7"/>
  <c r="N1791" i="7"/>
  <c r="Q1790" i="7"/>
  <c r="P1790" i="7"/>
  <c r="O1790" i="7"/>
  <c r="N1790" i="7"/>
  <c r="Q1789" i="7"/>
  <c r="P1789" i="7"/>
  <c r="O1789" i="7"/>
  <c r="N1789" i="7"/>
  <c r="Q1788" i="7"/>
  <c r="P1788" i="7"/>
  <c r="O1788" i="7"/>
  <c r="N1788" i="7"/>
  <c r="Q1787" i="7"/>
  <c r="P1787" i="7"/>
  <c r="O1787" i="7"/>
  <c r="N1787" i="7"/>
  <c r="Q1786" i="7"/>
  <c r="P1786" i="7"/>
  <c r="O1786" i="7"/>
  <c r="N1786" i="7"/>
  <c r="Q1785" i="7"/>
  <c r="P1785" i="7"/>
  <c r="O1785" i="7"/>
  <c r="N1785" i="7"/>
  <c r="Q1784" i="7"/>
  <c r="P1784" i="7"/>
  <c r="O1784" i="7"/>
  <c r="N1784" i="7"/>
  <c r="Q1783" i="7"/>
  <c r="P1783" i="7"/>
  <c r="O1783" i="7"/>
  <c r="N1783" i="7"/>
  <c r="Q1782" i="7"/>
  <c r="P1782" i="7"/>
  <c r="O1782" i="7"/>
  <c r="N1782" i="7"/>
  <c r="Q1781" i="7"/>
  <c r="P1781" i="7"/>
  <c r="O1781" i="7"/>
  <c r="N1781" i="7"/>
  <c r="Q1780" i="7"/>
  <c r="P1780" i="7"/>
  <c r="O1780" i="7"/>
  <c r="N1780" i="7"/>
  <c r="Q1779" i="7"/>
  <c r="P1779" i="7"/>
  <c r="O1779" i="7"/>
  <c r="N1779" i="7"/>
  <c r="Q1778" i="7"/>
  <c r="P1778" i="7"/>
  <c r="O1778" i="7"/>
  <c r="N1778" i="7"/>
  <c r="Q1777" i="7"/>
  <c r="P1777" i="7"/>
  <c r="O1777" i="7"/>
  <c r="N1777" i="7"/>
  <c r="Q1776" i="7"/>
  <c r="P1776" i="7"/>
  <c r="O1776" i="7"/>
  <c r="N1776" i="7"/>
  <c r="Q1775" i="7"/>
  <c r="P1775" i="7"/>
  <c r="O1775" i="7"/>
  <c r="N1775" i="7"/>
  <c r="Q1774" i="7"/>
  <c r="P1774" i="7"/>
  <c r="O1774" i="7"/>
  <c r="N1774" i="7"/>
  <c r="Q1773" i="7"/>
  <c r="P1773" i="7"/>
  <c r="O1773" i="7"/>
  <c r="N1773" i="7"/>
  <c r="Q1772" i="7"/>
  <c r="P1772" i="7"/>
  <c r="O1772" i="7"/>
  <c r="N1772" i="7"/>
  <c r="Q1771" i="7"/>
  <c r="P1771" i="7"/>
  <c r="O1771" i="7"/>
  <c r="N1771" i="7"/>
  <c r="Q1770" i="7"/>
  <c r="P1770" i="7"/>
  <c r="O1770" i="7"/>
  <c r="N1770" i="7"/>
  <c r="Q1769" i="7"/>
  <c r="P1769" i="7"/>
  <c r="O1769" i="7"/>
  <c r="N1769" i="7"/>
  <c r="Q1768" i="7"/>
  <c r="P1768" i="7"/>
  <c r="O1768" i="7"/>
  <c r="N1768" i="7"/>
  <c r="Q1767" i="7"/>
  <c r="P1767" i="7"/>
  <c r="O1767" i="7"/>
  <c r="N1767" i="7"/>
  <c r="Q1766" i="7"/>
  <c r="P1766" i="7"/>
  <c r="O1766" i="7"/>
  <c r="N1766" i="7"/>
  <c r="Q1765" i="7"/>
  <c r="P1765" i="7"/>
  <c r="O1765" i="7"/>
  <c r="N1765" i="7"/>
  <c r="Q1764" i="7"/>
  <c r="P1764" i="7"/>
  <c r="O1764" i="7"/>
  <c r="N1764" i="7"/>
  <c r="Q1763" i="7"/>
  <c r="P1763" i="7"/>
  <c r="O1763" i="7"/>
  <c r="N1763" i="7"/>
  <c r="Q1762" i="7"/>
  <c r="P1762" i="7"/>
  <c r="O1762" i="7"/>
  <c r="N1762" i="7"/>
  <c r="Q1761" i="7"/>
  <c r="P1761" i="7"/>
  <c r="O1761" i="7"/>
  <c r="N1761" i="7"/>
  <c r="Q1760" i="7"/>
  <c r="P1760" i="7"/>
  <c r="O1760" i="7"/>
  <c r="N1760" i="7"/>
  <c r="Q1759" i="7"/>
  <c r="P1759" i="7"/>
  <c r="O1759" i="7"/>
  <c r="N1759" i="7"/>
  <c r="Q1758" i="7"/>
  <c r="P1758" i="7"/>
  <c r="O1758" i="7"/>
  <c r="N1758" i="7"/>
  <c r="Q1757" i="7"/>
  <c r="P1757" i="7"/>
  <c r="O1757" i="7"/>
  <c r="N1757" i="7"/>
  <c r="Q1756" i="7"/>
  <c r="P1756" i="7"/>
  <c r="O1756" i="7"/>
  <c r="N1756" i="7"/>
  <c r="Q1755" i="7"/>
  <c r="P1755" i="7"/>
  <c r="O1755" i="7"/>
  <c r="N1755" i="7"/>
  <c r="Q1754" i="7"/>
  <c r="P1754" i="7"/>
  <c r="O1754" i="7"/>
  <c r="N1754" i="7"/>
  <c r="Q1753" i="7"/>
  <c r="P1753" i="7"/>
  <c r="O1753" i="7"/>
  <c r="N1753" i="7"/>
  <c r="Q1752" i="7"/>
  <c r="P1752" i="7"/>
  <c r="O1752" i="7"/>
  <c r="N1752" i="7"/>
  <c r="Q1751" i="7"/>
  <c r="P1751" i="7"/>
  <c r="O1751" i="7"/>
  <c r="N1751" i="7"/>
  <c r="Q1750" i="7"/>
  <c r="P1750" i="7"/>
  <c r="O1750" i="7"/>
  <c r="N1750" i="7"/>
  <c r="Q1749" i="7"/>
  <c r="P1749" i="7"/>
  <c r="O1749" i="7"/>
  <c r="N1749" i="7"/>
  <c r="Q1748" i="7"/>
  <c r="P1748" i="7"/>
  <c r="O1748" i="7"/>
  <c r="N1748" i="7"/>
  <c r="Q1747" i="7"/>
  <c r="P1747" i="7"/>
  <c r="O1747" i="7"/>
  <c r="N1747" i="7"/>
  <c r="Q1746" i="7"/>
  <c r="P1746" i="7"/>
  <c r="O1746" i="7"/>
  <c r="N1746" i="7"/>
  <c r="Q1745" i="7"/>
  <c r="P1745" i="7"/>
  <c r="O1745" i="7"/>
  <c r="N1745" i="7"/>
  <c r="Q1744" i="7"/>
  <c r="P1744" i="7"/>
  <c r="O1744" i="7"/>
  <c r="N1744" i="7"/>
  <c r="Q1743" i="7"/>
  <c r="P1743" i="7"/>
  <c r="O1743" i="7"/>
  <c r="N1743" i="7"/>
  <c r="Q1742" i="7"/>
  <c r="P1742" i="7"/>
  <c r="O1742" i="7"/>
  <c r="N1742" i="7"/>
  <c r="Q1741" i="7"/>
  <c r="P1741" i="7"/>
  <c r="O1741" i="7"/>
  <c r="N1741" i="7"/>
  <c r="Q1740" i="7"/>
  <c r="P1740" i="7"/>
  <c r="O1740" i="7"/>
  <c r="N1740" i="7"/>
  <c r="Q1739" i="7"/>
  <c r="P1739" i="7"/>
  <c r="O1739" i="7"/>
  <c r="N1739" i="7"/>
  <c r="Q1738" i="7"/>
  <c r="P1738" i="7"/>
  <c r="O1738" i="7"/>
  <c r="N1738" i="7"/>
  <c r="Q1737" i="7"/>
  <c r="P1737" i="7"/>
  <c r="O1737" i="7"/>
  <c r="N1737" i="7"/>
  <c r="Q1736" i="7"/>
  <c r="P1736" i="7"/>
  <c r="O1736" i="7"/>
  <c r="N1736" i="7"/>
  <c r="Q1735" i="7"/>
  <c r="P1735" i="7"/>
  <c r="O1735" i="7"/>
  <c r="N1735" i="7"/>
  <c r="Q1734" i="7"/>
  <c r="P1734" i="7"/>
  <c r="O1734" i="7"/>
  <c r="N1734" i="7"/>
  <c r="Q1733" i="7"/>
  <c r="P1733" i="7"/>
  <c r="O1733" i="7"/>
  <c r="N1733" i="7"/>
  <c r="Q1732" i="7"/>
  <c r="P1732" i="7"/>
  <c r="O1732" i="7"/>
  <c r="N1732" i="7"/>
  <c r="Q1731" i="7"/>
  <c r="P1731" i="7"/>
  <c r="O1731" i="7"/>
  <c r="N1731" i="7"/>
  <c r="Q1730" i="7"/>
  <c r="P1730" i="7"/>
  <c r="O1730" i="7"/>
  <c r="N1730" i="7"/>
  <c r="Q1729" i="7"/>
  <c r="P1729" i="7"/>
  <c r="O1729" i="7"/>
  <c r="N1729" i="7"/>
  <c r="Q1728" i="7"/>
  <c r="P1728" i="7"/>
  <c r="O1728" i="7"/>
  <c r="N1728" i="7"/>
  <c r="Q1727" i="7"/>
  <c r="P1727" i="7"/>
  <c r="O1727" i="7"/>
  <c r="N1727" i="7"/>
  <c r="Q1726" i="7"/>
  <c r="P1726" i="7"/>
  <c r="O1726" i="7"/>
  <c r="N1726" i="7"/>
  <c r="Q1725" i="7"/>
  <c r="P1725" i="7"/>
  <c r="O1725" i="7"/>
  <c r="N1725" i="7"/>
  <c r="Q1724" i="7"/>
  <c r="P1724" i="7"/>
  <c r="O1724" i="7"/>
  <c r="N1724" i="7"/>
  <c r="Q1723" i="7"/>
  <c r="P1723" i="7"/>
  <c r="O1723" i="7"/>
  <c r="N1723" i="7"/>
  <c r="Q1722" i="7"/>
  <c r="P1722" i="7"/>
  <c r="O1722" i="7"/>
  <c r="N1722" i="7"/>
  <c r="Q1721" i="7"/>
  <c r="P1721" i="7"/>
  <c r="O1721" i="7"/>
  <c r="N1721" i="7"/>
  <c r="Q1720" i="7"/>
  <c r="P1720" i="7"/>
  <c r="O1720" i="7"/>
  <c r="N1720" i="7"/>
  <c r="Q1719" i="7"/>
  <c r="P1719" i="7"/>
  <c r="O1719" i="7"/>
  <c r="N1719" i="7"/>
  <c r="Q1718" i="7"/>
  <c r="P1718" i="7"/>
  <c r="O1718" i="7"/>
  <c r="N1718" i="7"/>
  <c r="Q1717" i="7"/>
  <c r="P1717" i="7"/>
  <c r="O1717" i="7"/>
  <c r="N1717" i="7"/>
  <c r="Q1716" i="7"/>
  <c r="P1716" i="7"/>
  <c r="O1716" i="7"/>
  <c r="N1716" i="7"/>
  <c r="Q1715" i="7"/>
  <c r="P1715" i="7"/>
  <c r="O1715" i="7"/>
  <c r="N1715" i="7"/>
  <c r="Q1714" i="7"/>
  <c r="P1714" i="7"/>
  <c r="O1714" i="7"/>
  <c r="N1714" i="7"/>
  <c r="Q1713" i="7"/>
  <c r="P1713" i="7"/>
  <c r="O1713" i="7"/>
  <c r="N1713" i="7"/>
  <c r="Q1712" i="7"/>
  <c r="P1712" i="7"/>
  <c r="O1712" i="7"/>
  <c r="N1712" i="7"/>
  <c r="Q1711" i="7"/>
  <c r="P1711" i="7"/>
  <c r="O1711" i="7"/>
  <c r="N1711" i="7"/>
  <c r="Q1710" i="7"/>
  <c r="P1710" i="7"/>
  <c r="O1710" i="7"/>
  <c r="N1710" i="7"/>
  <c r="Q1709" i="7"/>
  <c r="P1709" i="7"/>
  <c r="O1709" i="7"/>
  <c r="N1709" i="7"/>
  <c r="Q1708" i="7"/>
  <c r="P1708" i="7"/>
  <c r="O1708" i="7"/>
  <c r="N1708" i="7"/>
  <c r="Q1707" i="7"/>
  <c r="P1707" i="7"/>
  <c r="O1707" i="7"/>
  <c r="N1707" i="7"/>
  <c r="Q1706" i="7"/>
  <c r="P1706" i="7"/>
  <c r="O1706" i="7"/>
  <c r="N1706" i="7"/>
  <c r="Q1705" i="7"/>
  <c r="P1705" i="7"/>
  <c r="O1705" i="7"/>
  <c r="N1705" i="7"/>
  <c r="Q1704" i="7"/>
  <c r="P1704" i="7"/>
  <c r="O1704" i="7"/>
  <c r="N1704" i="7"/>
  <c r="Q1703" i="7"/>
  <c r="P1703" i="7"/>
  <c r="O1703" i="7"/>
  <c r="N1703" i="7"/>
  <c r="Q1702" i="7"/>
  <c r="P1702" i="7"/>
  <c r="O1702" i="7"/>
  <c r="N1702" i="7"/>
  <c r="Q1701" i="7"/>
  <c r="P1701" i="7"/>
  <c r="O1701" i="7"/>
  <c r="N1701" i="7"/>
  <c r="Q1700" i="7"/>
  <c r="P1700" i="7"/>
  <c r="O1700" i="7"/>
  <c r="N1700" i="7"/>
  <c r="Q1699" i="7"/>
  <c r="P1699" i="7"/>
  <c r="O1699" i="7"/>
  <c r="N1699" i="7"/>
  <c r="Q1698" i="7"/>
  <c r="P1698" i="7"/>
  <c r="O1698" i="7"/>
  <c r="N1698" i="7"/>
  <c r="Q1697" i="7"/>
  <c r="P1697" i="7"/>
  <c r="O1697" i="7"/>
  <c r="N1697" i="7"/>
  <c r="Q1696" i="7"/>
  <c r="P1696" i="7"/>
  <c r="O1696" i="7"/>
  <c r="N1696" i="7"/>
  <c r="Q1695" i="7"/>
  <c r="P1695" i="7"/>
  <c r="O1695" i="7"/>
  <c r="N1695" i="7"/>
  <c r="Q1694" i="7"/>
  <c r="P1694" i="7"/>
  <c r="O1694" i="7"/>
  <c r="N1694" i="7"/>
  <c r="Q1693" i="7"/>
  <c r="P1693" i="7"/>
  <c r="O1693" i="7"/>
  <c r="N1693" i="7"/>
  <c r="Q1692" i="7"/>
  <c r="P1692" i="7"/>
  <c r="O1692" i="7"/>
  <c r="N1692" i="7"/>
  <c r="Q1691" i="7"/>
  <c r="P1691" i="7"/>
  <c r="O1691" i="7"/>
  <c r="N1691" i="7"/>
  <c r="Q1690" i="7"/>
  <c r="P1690" i="7"/>
  <c r="O1690" i="7"/>
  <c r="N1690" i="7"/>
  <c r="Q1689" i="7"/>
  <c r="P1689" i="7"/>
  <c r="O1689" i="7"/>
  <c r="N1689" i="7"/>
  <c r="Q1688" i="7"/>
  <c r="P1688" i="7"/>
  <c r="O1688" i="7"/>
  <c r="N1688" i="7"/>
  <c r="Q1687" i="7"/>
  <c r="P1687" i="7"/>
  <c r="O1687" i="7"/>
  <c r="N1687" i="7"/>
  <c r="Q1686" i="7"/>
  <c r="P1686" i="7"/>
  <c r="O1686" i="7"/>
  <c r="N1686" i="7"/>
  <c r="Q1685" i="7"/>
  <c r="P1685" i="7"/>
  <c r="O1685" i="7"/>
  <c r="N1685" i="7"/>
  <c r="Q1684" i="7"/>
  <c r="P1684" i="7"/>
  <c r="O1684" i="7"/>
  <c r="N1684" i="7"/>
  <c r="Q1683" i="7"/>
  <c r="P1683" i="7"/>
  <c r="O1683" i="7"/>
  <c r="N1683" i="7"/>
  <c r="Q1682" i="7"/>
  <c r="P1682" i="7"/>
  <c r="O1682" i="7"/>
  <c r="N1682" i="7"/>
  <c r="Q1681" i="7"/>
  <c r="P1681" i="7"/>
  <c r="O1681" i="7"/>
  <c r="N1681" i="7"/>
  <c r="Q1680" i="7"/>
  <c r="P1680" i="7"/>
  <c r="O1680" i="7"/>
  <c r="N1680" i="7"/>
  <c r="Q1679" i="7"/>
  <c r="P1679" i="7"/>
  <c r="O1679" i="7"/>
  <c r="N1679" i="7"/>
  <c r="Q1678" i="7"/>
  <c r="P1678" i="7"/>
  <c r="O1678" i="7"/>
  <c r="N1678" i="7"/>
  <c r="Q1677" i="7"/>
  <c r="P1677" i="7"/>
  <c r="O1677" i="7"/>
  <c r="N1677" i="7"/>
  <c r="Q1676" i="7"/>
  <c r="P1676" i="7"/>
  <c r="O1676" i="7"/>
  <c r="N1676" i="7"/>
  <c r="Q1675" i="7"/>
  <c r="P1675" i="7"/>
  <c r="O1675" i="7"/>
  <c r="N1675" i="7"/>
  <c r="Q1674" i="7"/>
  <c r="P1674" i="7"/>
  <c r="O1674" i="7"/>
  <c r="N1674" i="7"/>
  <c r="Q1673" i="7"/>
  <c r="P1673" i="7"/>
  <c r="O1673" i="7"/>
  <c r="N1673" i="7"/>
  <c r="Q1672" i="7"/>
  <c r="P1672" i="7"/>
  <c r="O1672" i="7"/>
  <c r="N1672" i="7"/>
  <c r="Q1671" i="7"/>
  <c r="P1671" i="7"/>
  <c r="O1671" i="7"/>
  <c r="N1671" i="7"/>
  <c r="Q1670" i="7"/>
  <c r="P1670" i="7"/>
  <c r="O1670" i="7"/>
  <c r="N1670" i="7"/>
  <c r="Q1669" i="7"/>
  <c r="P1669" i="7"/>
  <c r="O1669" i="7"/>
  <c r="N1669" i="7"/>
  <c r="Q1668" i="7"/>
  <c r="P1668" i="7"/>
  <c r="O1668" i="7"/>
  <c r="N1668" i="7"/>
  <c r="Q1667" i="7"/>
  <c r="P1667" i="7"/>
  <c r="O1667" i="7"/>
  <c r="N1667" i="7"/>
  <c r="Q1666" i="7"/>
  <c r="P1666" i="7"/>
  <c r="O1666" i="7"/>
  <c r="N1666" i="7"/>
  <c r="Q1665" i="7"/>
  <c r="P1665" i="7"/>
  <c r="O1665" i="7"/>
  <c r="N1665" i="7"/>
  <c r="Q1664" i="7"/>
  <c r="P1664" i="7"/>
  <c r="O1664" i="7"/>
  <c r="N1664" i="7"/>
  <c r="Q1663" i="7"/>
  <c r="P1663" i="7"/>
  <c r="O1663" i="7"/>
  <c r="N1663" i="7"/>
  <c r="Q1662" i="7"/>
  <c r="P1662" i="7"/>
  <c r="O1662" i="7"/>
  <c r="N1662" i="7"/>
  <c r="Q1661" i="7"/>
  <c r="P1661" i="7"/>
  <c r="O1661" i="7"/>
  <c r="N1661" i="7"/>
  <c r="Q1660" i="7"/>
  <c r="P1660" i="7"/>
  <c r="O1660" i="7"/>
  <c r="N1660" i="7"/>
  <c r="Q1659" i="7"/>
  <c r="P1659" i="7"/>
  <c r="O1659" i="7"/>
  <c r="N1659" i="7"/>
  <c r="Q1658" i="7"/>
  <c r="P1658" i="7"/>
  <c r="O1658" i="7"/>
  <c r="N1658" i="7"/>
  <c r="Q1657" i="7"/>
  <c r="P1657" i="7"/>
  <c r="O1657" i="7"/>
  <c r="N1657" i="7"/>
  <c r="Q1656" i="7"/>
  <c r="P1656" i="7"/>
  <c r="O1656" i="7"/>
  <c r="N1656" i="7"/>
  <c r="Q1655" i="7"/>
  <c r="P1655" i="7"/>
  <c r="O1655" i="7"/>
  <c r="N1655" i="7"/>
  <c r="Q1654" i="7"/>
  <c r="P1654" i="7"/>
  <c r="O1654" i="7"/>
  <c r="N1654" i="7"/>
  <c r="Q1653" i="7"/>
  <c r="P1653" i="7"/>
  <c r="O1653" i="7"/>
  <c r="N1653" i="7"/>
  <c r="Q1652" i="7"/>
  <c r="P1652" i="7"/>
  <c r="O1652" i="7"/>
  <c r="N1652" i="7"/>
  <c r="Q1651" i="7"/>
  <c r="P1651" i="7"/>
  <c r="O1651" i="7"/>
  <c r="N1651" i="7"/>
  <c r="Q1650" i="7"/>
  <c r="P1650" i="7"/>
  <c r="O1650" i="7"/>
  <c r="N1650" i="7"/>
  <c r="Q1649" i="7"/>
  <c r="P1649" i="7"/>
  <c r="O1649" i="7"/>
  <c r="N1649" i="7"/>
  <c r="Q1648" i="7"/>
  <c r="P1648" i="7"/>
  <c r="O1648" i="7"/>
  <c r="N1648" i="7"/>
  <c r="Q1647" i="7"/>
  <c r="P1647" i="7"/>
  <c r="O1647" i="7"/>
  <c r="N1647" i="7"/>
  <c r="Q1646" i="7"/>
  <c r="P1646" i="7"/>
  <c r="O1646" i="7"/>
  <c r="N1646" i="7"/>
  <c r="Q1645" i="7"/>
  <c r="P1645" i="7"/>
  <c r="O1645" i="7"/>
  <c r="N1645" i="7"/>
  <c r="Q1644" i="7"/>
  <c r="P1644" i="7"/>
  <c r="O1644" i="7"/>
  <c r="N1644" i="7"/>
  <c r="Q1643" i="7"/>
  <c r="P1643" i="7"/>
  <c r="O1643" i="7"/>
  <c r="N1643" i="7"/>
  <c r="Q1642" i="7"/>
  <c r="P1642" i="7"/>
  <c r="O1642" i="7"/>
  <c r="N1642" i="7"/>
  <c r="Q1641" i="7"/>
  <c r="P1641" i="7"/>
  <c r="O1641" i="7"/>
  <c r="N1641" i="7"/>
  <c r="Q1640" i="7"/>
  <c r="P1640" i="7"/>
  <c r="O1640" i="7"/>
  <c r="N1640" i="7"/>
  <c r="Q1639" i="7"/>
  <c r="P1639" i="7"/>
  <c r="O1639" i="7"/>
  <c r="N1639" i="7"/>
  <c r="Q1638" i="7"/>
  <c r="P1638" i="7"/>
  <c r="O1638" i="7"/>
  <c r="N1638" i="7"/>
  <c r="Q1637" i="7"/>
  <c r="P1637" i="7"/>
  <c r="O1637" i="7"/>
  <c r="N1637" i="7"/>
  <c r="Q1636" i="7"/>
  <c r="P1636" i="7"/>
  <c r="O1636" i="7"/>
  <c r="N1636" i="7"/>
  <c r="Q1635" i="7"/>
  <c r="P1635" i="7"/>
  <c r="O1635" i="7"/>
  <c r="N1635" i="7"/>
  <c r="Q1634" i="7"/>
  <c r="P1634" i="7"/>
  <c r="O1634" i="7"/>
  <c r="N1634" i="7"/>
  <c r="Q1633" i="7"/>
  <c r="P1633" i="7"/>
  <c r="O1633" i="7"/>
  <c r="N1633" i="7"/>
  <c r="Q1632" i="7"/>
  <c r="P1632" i="7"/>
  <c r="O1632" i="7"/>
  <c r="N1632" i="7"/>
  <c r="Q1631" i="7"/>
  <c r="P1631" i="7"/>
  <c r="O1631" i="7"/>
  <c r="N1631" i="7"/>
  <c r="Q1630" i="7"/>
  <c r="P1630" i="7"/>
  <c r="O1630" i="7"/>
  <c r="N1630" i="7"/>
  <c r="Q1629" i="7"/>
  <c r="P1629" i="7"/>
  <c r="O1629" i="7"/>
  <c r="N1629" i="7"/>
  <c r="Q1628" i="7"/>
  <c r="P1628" i="7"/>
  <c r="O1628" i="7"/>
  <c r="N1628" i="7"/>
  <c r="Q1627" i="7"/>
  <c r="P1627" i="7"/>
  <c r="O1627" i="7"/>
  <c r="N1627" i="7"/>
  <c r="Q1626" i="7"/>
  <c r="P1626" i="7"/>
  <c r="O1626" i="7"/>
  <c r="N1626" i="7"/>
  <c r="Q1625" i="7"/>
  <c r="P1625" i="7"/>
  <c r="O1625" i="7"/>
  <c r="N1625" i="7"/>
  <c r="Q1624" i="7"/>
  <c r="P1624" i="7"/>
  <c r="O1624" i="7"/>
  <c r="N1624" i="7"/>
  <c r="Q1623" i="7"/>
  <c r="P1623" i="7"/>
  <c r="O1623" i="7"/>
  <c r="N1623" i="7"/>
  <c r="Q1622" i="7"/>
  <c r="P1622" i="7"/>
  <c r="O1622" i="7"/>
  <c r="N1622" i="7"/>
  <c r="Q1621" i="7"/>
  <c r="P1621" i="7"/>
  <c r="O1621" i="7"/>
  <c r="N1621" i="7"/>
  <c r="Q1620" i="7"/>
  <c r="P1620" i="7"/>
  <c r="O1620" i="7"/>
  <c r="N1620" i="7"/>
  <c r="Q1619" i="7"/>
  <c r="P1619" i="7"/>
  <c r="O1619" i="7"/>
  <c r="N1619" i="7"/>
  <c r="Q1618" i="7"/>
  <c r="P1618" i="7"/>
  <c r="O1618" i="7"/>
  <c r="N1618" i="7"/>
  <c r="Q1617" i="7"/>
  <c r="P1617" i="7"/>
  <c r="O1617" i="7"/>
  <c r="N1617" i="7"/>
  <c r="Q1616" i="7"/>
  <c r="P1616" i="7"/>
  <c r="O1616" i="7"/>
  <c r="N1616" i="7"/>
  <c r="Q1615" i="7"/>
  <c r="P1615" i="7"/>
  <c r="O1615" i="7"/>
  <c r="N1615" i="7"/>
  <c r="Q1614" i="7"/>
  <c r="P1614" i="7"/>
  <c r="O1614" i="7"/>
  <c r="N1614" i="7"/>
  <c r="Q1613" i="7"/>
  <c r="P1613" i="7"/>
  <c r="O1613" i="7"/>
  <c r="N1613" i="7"/>
  <c r="Q1612" i="7"/>
  <c r="P1612" i="7"/>
  <c r="O1612" i="7"/>
  <c r="N1612" i="7"/>
  <c r="Q1611" i="7"/>
  <c r="P1611" i="7"/>
  <c r="O1611" i="7"/>
  <c r="N1611" i="7"/>
  <c r="Q1610" i="7"/>
  <c r="P1610" i="7"/>
  <c r="O1610" i="7"/>
  <c r="N1610" i="7"/>
  <c r="Q1609" i="7"/>
  <c r="P1609" i="7"/>
  <c r="O1609" i="7"/>
  <c r="N1609" i="7"/>
  <c r="Q1608" i="7"/>
  <c r="P1608" i="7"/>
  <c r="O1608" i="7"/>
  <c r="N1608" i="7"/>
  <c r="Q1607" i="7"/>
  <c r="P1607" i="7"/>
  <c r="O1607" i="7"/>
  <c r="N1607" i="7"/>
  <c r="Q1606" i="7"/>
  <c r="P1606" i="7"/>
  <c r="O1606" i="7"/>
  <c r="N1606" i="7"/>
  <c r="Q1605" i="7"/>
  <c r="P1605" i="7"/>
  <c r="O1605" i="7"/>
  <c r="N1605" i="7"/>
  <c r="Q1604" i="7"/>
  <c r="P1604" i="7"/>
  <c r="O1604" i="7"/>
  <c r="N1604" i="7"/>
  <c r="Q1603" i="7"/>
  <c r="P1603" i="7"/>
  <c r="O1603" i="7"/>
  <c r="N1603" i="7"/>
  <c r="Q1602" i="7"/>
  <c r="P1602" i="7"/>
  <c r="O1602" i="7"/>
  <c r="N1602" i="7"/>
  <c r="Q1601" i="7"/>
  <c r="P1601" i="7"/>
  <c r="O1601" i="7"/>
  <c r="N1601" i="7"/>
  <c r="Q1600" i="7"/>
  <c r="P1600" i="7"/>
  <c r="O1600" i="7"/>
  <c r="N1600" i="7"/>
  <c r="Q1599" i="7"/>
  <c r="P1599" i="7"/>
  <c r="O1599" i="7"/>
  <c r="N1599" i="7"/>
  <c r="Q1598" i="7"/>
  <c r="P1598" i="7"/>
  <c r="O1598" i="7"/>
  <c r="N1598" i="7"/>
  <c r="Q1597" i="7"/>
  <c r="P1597" i="7"/>
  <c r="O1597" i="7"/>
  <c r="N1597" i="7"/>
  <c r="Q1596" i="7"/>
  <c r="P1596" i="7"/>
  <c r="O1596" i="7"/>
  <c r="N1596" i="7"/>
  <c r="Q1595" i="7"/>
  <c r="P1595" i="7"/>
  <c r="O1595" i="7"/>
  <c r="N1595" i="7"/>
  <c r="Q1594" i="7"/>
  <c r="P1594" i="7"/>
  <c r="O1594" i="7"/>
  <c r="N1594" i="7"/>
  <c r="Q1593" i="7"/>
  <c r="P1593" i="7"/>
  <c r="O1593" i="7"/>
  <c r="N1593" i="7"/>
  <c r="Q1592" i="7"/>
  <c r="P1592" i="7"/>
  <c r="O1592" i="7"/>
  <c r="N1592" i="7"/>
  <c r="Q1591" i="7"/>
  <c r="P1591" i="7"/>
  <c r="O1591" i="7"/>
  <c r="N1591" i="7"/>
  <c r="Q1590" i="7"/>
  <c r="P1590" i="7"/>
  <c r="O1590" i="7"/>
  <c r="N1590" i="7"/>
  <c r="Q1589" i="7"/>
  <c r="P1589" i="7"/>
  <c r="O1589" i="7"/>
  <c r="N1589" i="7"/>
  <c r="Q1588" i="7"/>
  <c r="P1588" i="7"/>
  <c r="O1588" i="7"/>
  <c r="N1588" i="7"/>
  <c r="Q1587" i="7"/>
  <c r="P1587" i="7"/>
  <c r="O1587" i="7"/>
  <c r="N1587" i="7"/>
  <c r="Q1586" i="7"/>
  <c r="P1586" i="7"/>
  <c r="O1586" i="7"/>
  <c r="N1586" i="7"/>
  <c r="Q1585" i="7"/>
  <c r="P1585" i="7"/>
  <c r="O1585" i="7"/>
  <c r="N1585" i="7"/>
  <c r="Q1584" i="7"/>
  <c r="P1584" i="7"/>
  <c r="O1584" i="7"/>
  <c r="N1584" i="7"/>
  <c r="Q1583" i="7"/>
  <c r="P1583" i="7"/>
  <c r="O1583" i="7"/>
  <c r="N1583" i="7"/>
  <c r="Q1582" i="7"/>
  <c r="P1582" i="7"/>
  <c r="O1582" i="7"/>
  <c r="N1582" i="7"/>
  <c r="Q1581" i="7"/>
  <c r="P1581" i="7"/>
  <c r="O1581" i="7"/>
  <c r="N1581" i="7"/>
  <c r="Q1580" i="7"/>
  <c r="P1580" i="7"/>
  <c r="O1580" i="7"/>
  <c r="N1580" i="7"/>
  <c r="Q1579" i="7"/>
  <c r="P1579" i="7"/>
  <c r="O1579" i="7"/>
  <c r="N1579" i="7"/>
  <c r="Q1578" i="7"/>
  <c r="P1578" i="7"/>
  <c r="O1578" i="7"/>
  <c r="N1578" i="7"/>
  <c r="Q1577" i="7"/>
  <c r="P1577" i="7"/>
  <c r="O1577" i="7"/>
  <c r="N1577" i="7"/>
  <c r="Q1576" i="7"/>
  <c r="P1576" i="7"/>
  <c r="O1576" i="7"/>
  <c r="N1576" i="7"/>
  <c r="Q1575" i="7"/>
  <c r="P1575" i="7"/>
  <c r="O1575" i="7"/>
  <c r="N1575" i="7"/>
  <c r="Q1574" i="7"/>
  <c r="P1574" i="7"/>
  <c r="O1574" i="7"/>
  <c r="N1574" i="7"/>
  <c r="Q1573" i="7"/>
  <c r="P1573" i="7"/>
  <c r="O1573" i="7"/>
  <c r="N1573" i="7"/>
  <c r="Q1572" i="7"/>
  <c r="P1572" i="7"/>
  <c r="O1572" i="7"/>
  <c r="N1572" i="7"/>
  <c r="Q1571" i="7"/>
  <c r="P1571" i="7"/>
  <c r="O1571" i="7"/>
  <c r="N1571" i="7"/>
  <c r="Q1570" i="7"/>
  <c r="P1570" i="7"/>
  <c r="O1570" i="7"/>
  <c r="N1570" i="7"/>
  <c r="Q1569" i="7"/>
  <c r="P1569" i="7"/>
  <c r="O1569" i="7"/>
  <c r="N1569" i="7"/>
  <c r="Q1568" i="7"/>
  <c r="P1568" i="7"/>
  <c r="O1568" i="7"/>
  <c r="N1568" i="7"/>
  <c r="Q1567" i="7"/>
  <c r="P1567" i="7"/>
  <c r="O1567" i="7"/>
  <c r="N1567" i="7"/>
  <c r="Q1566" i="7"/>
  <c r="P1566" i="7"/>
  <c r="O1566" i="7"/>
  <c r="N1566" i="7"/>
  <c r="Q1565" i="7"/>
  <c r="P1565" i="7"/>
  <c r="O1565" i="7"/>
  <c r="N1565" i="7"/>
  <c r="Q1564" i="7"/>
  <c r="P1564" i="7"/>
  <c r="O1564" i="7"/>
  <c r="N1564" i="7"/>
  <c r="Q1563" i="7"/>
  <c r="P1563" i="7"/>
  <c r="O1563" i="7"/>
  <c r="N1563" i="7"/>
  <c r="Q1562" i="7"/>
  <c r="P1562" i="7"/>
  <c r="O1562" i="7"/>
  <c r="N1562" i="7"/>
  <c r="Q1561" i="7"/>
  <c r="P1561" i="7"/>
  <c r="O1561" i="7"/>
  <c r="N1561" i="7"/>
  <c r="Q1560" i="7"/>
  <c r="P1560" i="7"/>
  <c r="O1560" i="7"/>
  <c r="N1560" i="7"/>
  <c r="Q1559" i="7"/>
  <c r="P1559" i="7"/>
  <c r="O1559" i="7"/>
  <c r="N1559" i="7"/>
  <c r="Q1558" i="7"/>
  <c r="P1558" i="7"/>
  <c r="O1558" i="7"/>
  <c r="N1558" i="7"/>
  <c r="Q1557" i="7"/>
  <c r="P1557" i="7"/>
  <c r="O1557" i="7"/>
  <c r="N1557" i="7"/>
  <c r="Q1556" i="7"/>
  <c r="P1556" i="7"/>
  <c r="O1556" i="7"/>
  <c r="N1556" i="7"/>
  <c r="Q1555" i="7"/>
  <c r="P1555" i="7"/>
  <c r="O1555" i="7"/>
  <c r="N1555" i="7"/>
  <c r="Q1554" i="7"/>
  <c r="P1554" i="7"/>
  <c r="O1554" i="7"/>
  <c r="N1554" i="7"/>
  <c r="Q1553" i="7"/>
  <c r="P1553" i="7"/>
  <c r="O1553" i="7"/>
  <c r="N1553" i="7"/>
  <c r="Q1552" i="7"/>
  <c r="P1552" i="7"/>
  <c r="O1552" i="7"/>
  <c r="N1552" i="7"/>
  <c r="Q1551" i="7"/>
  <c r="P1551" i="7"/>
  <c r="O1551" i="7"/>
  <c r="N1551" i="7"/>
  <c r="Q1550" i="7"/>
  <c r="P1550" i="7"/>
  <c r="O1550" i="7"/>
  <c r="N1550" i="7"/>
  <c r="Q1549" i="7"/>
  <c r="P1549" i="7"/>
  <c r="O1549" i="7"/>
  <c r="N1549" i="7"/>
  <c r="Q1548" i="7"/>
  <c r="P1548" i="7"/>
  <c r="O1548" i="7"/>
  <c r="N1548" i="7"/>
  <c r="Q1547" i="7"/>
  <c r="P1547" i="7"/>
  <c r="O1547" i="7"/>
  <c r="N1547" i="7"/>
  <c r="Q1546" i="7"/>
  <c r="P1546" i="7"/>
  <c r="O1546" i="7"/>
  <c r="N1546" i="7"/>
  <c r="Q1545" i="7"/>
  <c r="P1545" i="7"/>
  <c r="O1545" i="7"/>
  <c r="N1545" i="7"/>
  <c r="Q1544" i="7"/>
  <c r="P1544" i="7"/>
  <c r="O1544" i="7"/>
  <c r="N1544" i="7"/>
  <c r="Q1543" i="7"/>
  <c r="P1543" i="7"/>
  <c r="O1543" i="7"/>
  <c r="N1543" i="7"/>
  <c r="Q1542" i="7"/>
  <c r="P1542" i="7"/>
  <c r="O1542" i="7"/>
  <c r="N1542" i="7"/>
  <c r="Q1541" i="7"/>
  <c r="P1541" i="7"/>
  <c r="O1541" i="7"/>
  <c r="N1541" i="7"/>
  <c r="Q1540" i="7"/>
  <c r="P1540" i="7"/>
  <c r="O1540" i="7"/>
  <c r="N1540" i="7"/>
  <c r="Q1539" i="7"/>
  <c r="P1539" i="7"/>
  <c r="O1539" i="7"/>
  <c r="N1539" i="7"/>
  <c r="Q1538" i="7"/>
  <c r="P1538" i="7"/>
  <c r="O1538" i="7"/>
  <c r="N1538" i="7"/>
  <c r="Q1537" i="7"/>
  <c r="P1537" i="7"/>
  <c r="O1537" i="7"/>
  <c r="N1537" i="7"/>
  <c r="Q1536" i="7"/>
  <c r="P1536" i="7"/>
  <c r="O1536" i="7"/>
  <c r="N1536" i="7"/>
  <c r="Q1535" i="7"/>
  <c r="P1535" i="7"/>
  <c r="O1535" i="7"/>
  <c r="N1535" i="7"/>
  <c r="Q1534" i="7"/>
  <c r="P1534" i="7"/>
  <c r="O1534" i="7"/>
  <c r="N1534" i="7"/>
  <c r="Q1533" i="7"/>
  <c r="P1533" i="7"/>
  <c r="O1533" i="7"/>
  <c r="N1533" i="7"/>
  <c r="Q1532" i="7"/>
  <c r="P1532" i="7"/>
  <c r="O1532" i="7"/>
  <c r="N1532" i="7"/>
  <c r="Q1531" i="7"/>
  <c r="P1531" i="7"/>
  <c r="O1531" i="7"/>
  <c r="N1531" i="7"/>
  <c r="Q1530" i="7"/>
  <c r="P1530" i="7"/>
  <c r="O1530" i="7"/>
  <c r="N1530" i="7"/>
  <c r="Q1529" i="7"/>
  <c r="P1529" i="7"/>
  <c r="O1529" i="7"/>
  <c r="N1529" i="7"/>
  <c r="Q1528" i="7"/>
  <c r="P1528" i="7"/>
  <c r="O1528" i="7"/>
  <c r="N1528" i="7"/>
  <c r="Q1527" i="7"/>
  <c r="P1527" i="7"/>
  <c r="O1527" i="7"/>
  <c r="N1527" i="7"/>
  <c r="Q1526" i="7"/>
  <c r="P1526" i="7"/>
  <c r="O1526" i="7"/>
  <c r="N1526" i="7"/>
  <c r="Q1525" i="7"/>
  <c r="P1525" i="7"/>
  <c r="O1525" i="7"/>
  <c r="N1525" i="7"/>
  <c r="Q1524" i="7"/>
  <c r="P1524" i="7"/>
  <c r="O1524" i="7"/>
  <c r="N1524" i="7"/>
  <c r="Q1523" i="7"/>
  <c r="P1523" i="7"/>
  <c r="O1523" i="7"/>
  <c r="N1523" i="7"/>
  <c r="Q1522" i="7"/>
  <c r="P1522" i="7"/>
  <c r="O1522" i="7"/>
  <c r="N1522" i="7"/>
  <c r="Q1521" i="7"/>
  <c r="P1521" i="7"/>
  <c r="O1521" i="7"/>
  <c r="N1521" i="7"/>
  <c r="Q1520" i="7"/>
  <c r="P1520" i="7"/>
  <c r="O1520" i="7"/>
  <c r="N1520" i="7"/>
  <c r="Q1519" i="7"/>
  <c r="P1519" i="7"/>
  <c r="O1519" i="7"/>
  <c r="N1519" i="7"/>
  <c r="Q1518" i="7"/>
  <c r="P1518" i="7"/>
  <c r="O1518" i="7"/>
  <c r="N1518" i="7"/>
  <c r="Q1517" i="7"/>
  <c r="P1517" i="7"/>
  <c r="O1517" i="7"/>
  <c r="N1517" i="7"/>
  <c r="Q1516" i="7"/>
  <c r="P1516" i="7"/>
  <c r="O1516" i="7"/>
  <c r="N1516" i="7"/>
  <c r="Q1515" i="7"/>
  <c r="P1515" i="7"/>
  <c r="O1515" i="7"/>
  <c r="N1515" i="7"/>
  <c r="Q1514" i="7"/>
  <c r="P1514" i="7"/>
  <c r="O1514" i="7"/>
  <c r="N1514" i="7"/>
  <c r="Q1513" i="7"/>
  <c r="P1513" i="7"/>
  <c r="O1513" i="7"/>
  <c r="N1513" i="7"/>
  <c r="Q1512" i="7"/>
  <c r="P1512" i="7"/>
  <c r="O1512" i="7"/>
  <c r="N1512" i="7"/>
  <c r="Q1511" i="7"/>
  <c r="P1511" i="7"/>
  <c r="O1511" i="7"/>
  <c r="N1511" i="7"/>
  <c r="Q1510" i="7"/>
  <c r="P1510" i="7"/>
  <c r="O1510" i="7"/>
  <c r="N1510" i="7"/>
  <c r="Q1509" i="7"/>
  <c r="P1509" i="7"/>
  <c r="O1509" i="7"/>
  <c r="N1509" i="7"/>
  <c r="Q1508" i="7"/>
  <c r="P1508" i="7"/>
  <c r="O1508" i="7"/>
  <c r="N1508" i="7"/>
  <c r="Q1507" i="7"/>
  <c r="P1507" i="7"/>
  <c r="O1507" i="7"/>
  <c r="N1507" i="7"/>
  <c r="Q1506" i="7"/>
  <c r="P1506" i="7"/>
  <c r="O1506" i="7"/>
  <c r="N1506" i="7"/>
  <c r="Q1505" i="7"/>
  <c r="P1505" i="7"/>
  <c r="O1505" i="7"/>
  <c r="N1505" i="7"/>
  <c r="Q1504" i="7"/>
  <c r="P1504" i="7"/>
  <c r="O1504" i="7"/>
  <c r="N1504" i="7"/>
  <c r="Q1503" i="7"/>
  <c r="P1503" i="7"/>
  <c r="O1503" i="7"/>
  <c r="N1503" i="7"/>
  <c r="Q1502" i="7"/>
  <c r="P1502" i="7"/>
  <c r="O1502" i="7"/>
  <c r="N1502" i="7"/>
  <c r="Q1501" i="7"/>
  <c r="P1501" i="7"/>
  <c r="O1501" i="7"/>
  <c r="N1501" i="7"/>
  <c r="Q1500" i="7"/>
  <c r="P1500" i="7"/>
  <c r="O1500" i="7"/>
  <c r="N1500" i="7"/>
  <c r="Q1499" i="7"/>
  <c r="P1499" i="7"/>
  <c r="O1499" i="7"/>
  <c r="N1499" i="7"/>
  <c r="Q1498" i="7"/>
  <c r="P1498" i="7"/>
  <c r="O1498" i="7"/>
  <c r="N1498" i="7"/>
  <c r="Q1497" i="7"/>
  <c r="P1497" i="7"/>
  <c r="O1497" i="7"/>
  <c r="N1497" i="7"/>
  <c r="Q1496" i="7"/>
  <c r="P1496" i="7"/>
  <c r="O1496" i="7"/>
  <c r="N1496" i="7"/>
  <c r="Q1495" i="7"/>
  <c r="P1495" i="7"/>
  <c r="O1495" i="7"/>
  <c r="N1495" i="7"/>
  <c r="Q1494" i="7"/>
  <c r="P1494" i="7"/>
  <c r="O1494" i="7"/>
  <c r="N1494" i="7"/>
  <c r="Q1493" i="7"/>
  <c r="P1493" i="7"/>
  <c r="O1493" i="7"/>
  <c r="N1493" i="7"/>
  <c r="Q1492" i="7"/>
  <c r="P1492" i="7"/>
  <c r="O1492" i="7"/>
  <c r="N1492" i="7"/>
  <c r="Q1491" i="7"/>
  <c r="P1491" i="7"/>
  <c r="O1491" i="7"/>
  <c r="N1491" i="7"/>
  <c r="Q1490" i="7"/>
  <c r="P1490" i="7"/>
  <c r="O1490" i="7"/>
  <c r="N1490" i="7"/>
  <c r="Q1489" i="7"/>
  <c r="P1489" i="7"/>
  <c r="O1489" i="7"/>
  <c r="N1489" i="7"/>
  <c r="Q1488" i="7"/>
  <c r="P1488" i="7"/>
  <c r="O1488" i="7"/>
  <c r="N1488" i="7"/>
  <c r="Q1487" i="7"/>
  <c r="P1487" i="7"/>
  <c r="O1487" i="7"/>
  <c r="N1487" i="7"/>
  <c r="Q1486" i="7"/>
  <c r="P1486" i="7"/>
  <c r="O1486" i="7"/>
  <c r="N1486" i="7"/>
  <c r="Q1485" i="7"/>
  <c r="P1485" i="7"/>
  <c r="O1485" i="7"/>
  <c r="N1485" i="7"/>
  <c r="Q1484" i="7"/>
  <c r="P1484" i="7"/>
  <c r="O1484" i="7"/>
  <c r="N1484" i="7"/>
  <c r="Q1483" i="7"/>
  <c r="P1483" i="7"/>
  <c r="O1483" i="7"/>
  <c r="N1483" i="7"/>
  <c r="Q1482" i="7"/>
  <c r="P1482" i="7"/>
  <c r="O1482" i="7"/>
  <c r="N1482" i="7"/>
  <c r="Q1481" i="7"/>
  <c r="P1481" i="7"/>
  <c r="O1481" i="7"/>
  <c r="N1481" i="7"/>
  <c r="Q1480" i="7"/>
  <c r="P1480" i="7"/>
  <c r="O1480" i="7"/>
  <c r="N1480" i="7"/>
  <c r="Q1479" i="7"/>
  <c r="P1479" i="7"/>
  <c r="O1479" i="7"/>
  <c r="N1479" i="7"/>
  <c r="Q1478" i="7"/>
  <c r="P1478" i="7"/>
  <c r="O1478" i="7"/>
  <c r="N1478" i="7"/>
  <c r="Q1477" i="7"/>
  <c r="P1477" i="7"/>
  <c r="O1477" i="7"/>
  <c r="N1477" i="7"/>
  <c r="Q1476" i="7"/>
  <c r="P1476" i="7"/>
  <c r="O1476" i="7"/>
  <c r="N1476" i="7"/>
  <c r="Q1475" i="7"/>
  <c r="P1475" i="7"/>
  <c r="O1475" i="7"/>
  <c r="N1475" i="7"/>
  <c r="Q1474" i="7"/>
  <c r="P1474" i="7"/>
  <c r="O1474" i="7"/>
  <c r="N1474" i="7"/>
  <c r="Q1473" i="7"/>
  <c r="P1473" i="7"/>
  <c r="O1473" i="7"/>
  <c r="N1473" i="7"/>
  <c r="Q1472" i="7"/>
  <c r="P1472" i="7"/>
  <c r="O1472" i="7"/>
  <c r="N1472" i="7"/>
  <c r="Q1471" i="7"/>
  <c r="P1471" i="7"/>
  <c r="O1471" i="7"/>
  <c r="N1471" i="7"/>
  <c r="Q1470" i="7"/>
  <c r="P1470" i="7"/>
  <c r="O1470" i="7"/>
  <c r="N1470" i="7"/>
  <c r="Q1469" i="7"/>
  <c r="P1469" i="7"/>
  <c r="O1469" i="7"/>
  <c r="N1469" i="7"/>
  <c r="Q1468" i="7"/>
  <c r="P1468" i="7"/>
  <c r="O1468" i="7"/>
  <c r="N1468" i="7"/>
  <c r="Q1467" i="7"/>
  <c r="P1467" i="7"/>
  <c r="O1467" i="7"/>
  <c r="N1467" i="7"/>
  <c r="Q1466" i="7"/>
  <c r="P1466" i="7"/>
  <c r="O1466" i="7"/>
  <c r="N1466" i="7"/>
  <c r="Q1465" i="7"/>
  <c r="P1465" i="7"/>
  <c r="O1465" i="7"/>
  <c r="N1465" i="7"/>
  <c r="Q1464" i="7"/>
  <c r="P1464" i="7"/>
  <c r="O1464" i="7"/>
  <c r="N1464" i="7"/>
  <c r="Q1463" i="7"/>
  <c r="P1463" i="7"/>
  <c r="O1463" i="7"/>
  <c r="N1463" i="7"/>
  <c r="Q1462" i="7"/>
  <c r="P1462" i="7"/>
  <c r="O1462" i="7"/>
  <c r="N1462" i="7"/>
  <c r="Q1461" i="7"/>
  <c r="P1461" i="7"/>
  <c r="O1461" i="7"/>
  <c r="N1461" i="7"/>
  <c r="Q1460" i="7"/>
  <c r="P1460" i="7"/>
  <c r="O1460" i="7"/>
  <c r="N1460" i="7"/>
  <c r="Q1459" i="7"/>
  <c r="P1459" i="7"/>
  <c r="O1459" i="7"/>
  <c r="N1459" i="7"/>
  <c r="Q1458" i="7"/>
  <c r="P1458" i="7"/>
  <c r="O1458" i="7"/>
  <c r="N1458" i="7"/>
  <c r="Q1457" i="7"/>
  <c r="P1457" i="7"/>
  <c r="O1457" i="7"/>
  <c r="N1457" i="7"/>
  <c r="Q1456" i="7"/>
  <c r="P1456" i="7"/>
  <c r="O1456" i="7"/>
  <c r="N1456" i="7"/>
  <c r="Q1455" i="7"/>
  <c r="P1455" i="7"/>
  <c r="O1455" i="7"/>
  <c r="N1455" i="7"/>
  <c r="Q1454" i="7"/>
  <c r="P1454" i="7"/>
  <c r="O1454" i="7"/>
  <c r="N1454" i="7"/>
  <c r="Q1453" i="7"/>
  <c r="P1453" i="7"/>
  <c r="O1453" i="7"/>
  <c r="N1453" i="7"/>
  <c r="Q1452" i="7"/>
  <c r="P1452" i="7"/>
  <c r="O1452" i="7"/>
  <c r="N1452" i="7"/>
  <c r="Q1451" i="7"/>
  <c r="P1451" i="7"/>
  <c r="O1451" i="7"/>
  <c r="N1451" i="7"/>
  <c r="Q1450" i="7"/>
  <c r="P1450" i="7"/>
  <c r="O1450" i="7"/>
  <c r="N1450" i="7"/>
  <c r="Q1449" i="7"/>
  <c r="P1449" i="7"/>
  <c r="O1449" i="7"/>
  <c r="N1449" i="7"/>
  <c r="Q1448" i="7"/>
  <c r="P1448" i="7"/>
  <c r="O1448" i="7"/>
  <c r="N1448" i="7"/>
  <c r="Q1447" i="7"/>
  <c r="P1447" i="7"/>
  <c r="O1447" i="7"/>
  <c r="N1447" i="7"/>
  <c r="Q1446" i="7"/>
  <c r="P1446" i="7"/>
  <c r="O1446" i="7"/>
  <c r="N1446" i="7"/>
  <c r="Q1445" i="7"/>
  <c r="P1445" i="7"/>
  <c r="O1445" i="7"/>
  <c r="N1445" i="7"/>
  <c r="Q1444" i="7"/>
  <c r="P1444" i="7"/>
  <c r="O1444" i="7"/>
  <c r="N1444" i="7"/>
  <c r="Q1443" i="7"/>
  <c r="P1443" i="7"/>
  <c r="O1443" i="7"/>
  <c r="N1443" i="7"/>
  <c r="Q1442" i="7"/>
  <c r="P1442" i="7"/>
  <c r="O1442" i="7"/>
  <c r="N1442" i="7"/>
  <c r="Q1441" i="7"/>
  <c r="P1441" i="7"/>
  <c r="O1441" i="7"/>
  <c r="N1441" i="7"/>
  <c r="Q1440" i="7"/>
  <c r="P1440" i="7"/>
  <c r="O1440" i="7"/>
  <c r="N1440" i="7"/>
  <c r="Q1439" i="7"/>
  <c r="P1439" i="7"/>
  <c r="O1439" i="7"/>
  <c r="N1439" i="7"/>
  <c r="Q1438" i="7"/>
  <c r="P1438" i="7"/>
  <c r="O1438" i="7"/>
  <c r="N1438" i="7"/>
  <c r="Q1437" i="7"/>
  <c r="P1437" i="7"/>
  <c r="O1437" i="7"/>
  <c r="N1437" i="7"/>
  <c r="Q1436" i="7"/>
  <c r="P1436" i="7"/>
  <c r="O1436" i="7"/>
  <c r="N1436" i="7"/>
  <c r="Q1435" i="7"/>
  <c r="P1435" i="7"/>
  <c r="O1435" i="7"/>
  <c r="N1435" i="7"/>
  <c r="Q1434" i="7"/>
  <c r="P1434" i="7"/>
  <c r="O1434" i="7"/>
  <c r="N1434" i="7"/>
  <c r="Q1433" i="7"/>
  <c r="P1433" i="7"/>
  <c r="O1433" i="7"/>
  <c r="N1433" i="7"/>
  <c r="Q1432" i="7"/>
  <c r="P1432" i="7"/>
  <c r="O1432" i="7"/>
  <c r="N1432" i="7"/>
  <c r="Q1431" i="7"/>
  <c r="P1431" i="7"/>
  <c r="O1431" i="7"/>
  <c r="N1431" i="7"/>
  <c r="Q1430" i="7"/>
  <c r="P1430" i="7"/>
  <c r="O1430" i="7"/>
  <c r="N1430" i="7"/>
  <c r="Q1429" i="7"/>
  <c r="P1429" i="7"/>
  <c r="O1429" i="7"/>
  <c r="N1429" i="7"/>
  <c r="Q1428" i="7"/>
  <c r="P1428" i="7"/>
  <c r="O1428" i="7"/>
  <c r="N1428" i="7"/>
  <c r="Q1427" i="7"/>
  <c r="P1427" i="7"/>
  <c r="O1427" i="7"/>
  <c r="N1427" i="7"/>
  <c r="Q1426" i="7"/>
  <c r="P1426" i="7"/>
  <c r="O1426" i="7"/>
  <c r="N1426" i="7"/>
  <c r="Q1425" i="7"/>
  <c r="P1425" i="7"/>
  <c r="O1425" i="7"/>
  <c r="N1425" i="7"/>
  <c r="Q1424" i="7"/>
  <c r="P1424" i="7"/>
  <c r="O1424" i="7"/>
  <c r="N1424" i="7"/>
  <c r="Q1423" i="7"/>
  <c r="P1423" i="7"/>
  <c r="O1423" i="7"/>
  <c r="N1423" i="7"/>
  <c r="Q1422" i="7"/>
  <c r="P1422" i="7"/>
  <c r="O1422" i="7"/>
  <c r="N1422" i="7"/>
  <c r="Q1421" i="7"/>
  <c r="P1421" i="7"/>
  <c r="O1421" i="7"/>
  <c r="N1421" i="7"/>
  <c r="Q1420" i="7"/>
  <c r="P1420" i="7"/>
  <c r="O1420" i="7"/>
  <c r="N1420" i="7"/>
  <c r="Q1419" i="7"/>
  <c r="P1419" i="7"/>
  <c r="O1419" i="7"/>
  <c r="N1419" i="7"/>
  <c r="Q1418" i="7"/>
  <c r="P1418" i="7"/>
  <c r="O1418" i="7"/>
  <c r="N1418" i="7"/>
  <c r="Q1417" i="7"/>
  <c r="P1417" i="7"/>
  <c r="O1417" i="7"/>
  <c r="N1417" i="7"/>
  <c r="Q1416" i="7"/>
  <c r="P1416" i="7"/>
  <c r="O1416" i="7"/>
  <c r="N1416" i="7"/>
  <c r="Q1415" i="7"/>
  <c r="P1415" i="7"/>
  <c r="O1415" i="7"/>
  <c r="N1415" i="7"/>
  <c r="Q1414" i="7"/>
  <c r="P1414" i="7"/>
  <c r="O1414" i="7"/>
  <c r="N1414" i="7"/>
  <c r="Q1413" i="7"/>
  <c r="P1413" i="7"/>
  <c r="O1413" i="7"/>
  <c r="N1413" i="7"/>
  <c r="Q1412" i="7"/>
  <c r="P1412" i="7"/>
  <c r="O1412" i="7"/>
  <c r="N1412" i="7"/>
  <c r="Q1411" i="7"/>
  <c r="P1411" i="7"/>
  <c r="O1411" i="7"/>
  <c r="N1411" i="7"/>
  <c r="Q1410" i="7"/>
  <c r="P1410" i="7"/>
  <c r="O1410" i="7"/>
  <c r="N1410" i="7"/>
  <c r="Q1409" i="7"/>
  <c r="P1409" i="7"/>
  <c r="O1409" i="7"/>
  <c r="N1409" i="7"/>
  <c r="Q1408" i="7"/>
  <c r="P1408" i="7"/>
  <c r="O1408" i="7"/>
  <c r="N1408" i="7"/>
  <c r="Q1407" i="7"/>
  <c r="P1407" i="7"/>
  <c r="O1407" i="7"/>
  <c r="N1407" i="7"/>
  <c r="Q1406" i="7"/>
  <c r="P1406" i="7"/>
  <c r="O1406" i="7"/>
  <c r="N1406" i="7"/>
  <c r="Q1405" i="7"/>
  <c r="P1405" i="7"/>
  <c r="O1405" i="7"/>
  <c r="N1405" i="7"/>
  <c r="Q1404" i="7"/>
  <c r="P1404" i="7"/>
  <c r="O1404" i="7"/>
  <c r="N1404" i="7"/>
  <c r="Q1403" i="7"/>
  <c r="P1403" i="7"/>
  <c r="O1403" i="7"/>
  <c r="N1403" i="7"/>
  <c r="Q1402" i="7"/>
  <c r="P1402" i="7"/>
  <c r="O1402" i="7"/>
  <c r="N1402" i="7"/>
  <c r="Q1401" i="7"/>
  <c r="P1401" i="7"/>
  <c r="O1401" i="7"/>
  <c r="N1401" i="7"/>
  <c r="Q1400" i="7"/>
  <c r="P1400" i="7"/>
  <c r="O1400" i="7"/>
  <c r="N1400" i="7"/>
  <c r="Q1399" i="7"/>
  <c r="P1399" i="7"/>
  <c r="O1399" i="7"/>
  <c r="N1399" i="7"/>
  <c r="Q1398" i="7"/>
  <c r="P1398" i="7"/>
  <c r="O1398" i="7"/>
  <c r="N1398" i="7"/>
  <c r="Q1397" i="7"/>
  <c r="P1397" i="7"/>
  <c r="O1397" i="7"/>
  <c r="N1397" i="7"/>
  <c r="Q1396" i="7"/>
  <c r="P1396" i="7"/>
  <c r="O1396" i="7"/>
  <c r="N1396" i="7"/>
  <c r="Q1395" i="7"/>
  <c r="P1395" i="7"/>
  <c r="O1395" i="7"/>
  <c r="N1395" i="7"/>
  <c r="Q1394" i="7"/>
  <c r="P1394" i="7"/>
  <c r="O1394" i="7"/>
  <c r="N1394" i="7"/>
  <c r="Q1393" i="7"/>
  <c r="P1393" i="7"/>
  <c r="O1393" i="7"/>
  <c r="N1393" i="7"/>
  <c r="Q1392" i="7"/>
  <c r="P1392" i="7"/>
  <c r="O1392" i="7"/>
  <c r="N1392" i="7"/>
  <c r="Q1391" i="7"/>
  <c r="P1391" i="7"/>
  <c r="O1391" i="7"/>
  <c r="N1391" i="7"/>
  <c r="Q1390" i="7"/>
  <c r="P1390" i="7"/>
  <c r="O1390" i="7"/>
  <c r="N1390" i="7"/>
  <c r="Q1389" i="7"/>
  <c r="P1389" i="7"/>
  <c r="O1389" i="7"/>
  <c r="N1389" i="7"/>
  <c r="Q1388" i="7"/>
  <c r="P1388" i="7"/>
  <c r="O1388" i="7"/>
  <c r="N1388" i="7"/>
  <c r="Q1387" i="7"/>
  <c r="P1387" i="7"/>
  <c r="O1387" i="7"/>
  <c r="N1387" i="7"/>
  <c r="Q1386" i="7"/>
  <c r="P1386" i="7"/>
  <c r="O1386" i="7"/>
  <c r="N1386" i="7"/>
  <c r="Q1385" i="7"/>
  <c r="P1385" i="7"/>
  <c r="O1385" i="7"/>
  <c r="N1385" i="7"/>
  <c r="Q1384" i="7"/>
  <c r="P1384" i="7"/>
  <c r="O1384" i="7"/>
  <c r="N1384" i="7"/>
  <c r="Q1383" i="7"/>
  <c r="P1383" i="7"/>
  <c r="O1383" i="7"/>
  <c r="N1383" i="7"/>
  <c r="Q1382" i="7"/>
  <c r="P1382" i="7"/>
  <c r="O1382" i="7"/>
  <c r="N1382" i="7"/>
  <c r="Q1381" i="7"/>
  <c r="P1381" i="7"/>
  <c r="O1381" i="7"/>
  <c r="N1381" i="7"/>
  <c r="Q1380" i="7"/>
  <c r="P1380" i="7"/>
  <c r="O1380" i="7"/>
  <c r="N1380" i="7"/>
  <c r="Q1379" i="7"/>
  <c r="P1379" i="7"/>
  <c r="O1379" i="7"/>
  <c r="N1379" i="7"/>
  <c r="Q1378" i="7"/>
  <c r="P1378" i="7"/>
  <c r="O1378" i="7"/>
  <c r="N1378" i="7"/>
  <c r="Q1377" i="7"/>
  <c r="P1377" i="7"/>
  <c r="O1377" i="7"/>
  <c r="N1377" i="7"/>
  <c r="Q1376" i="7"/>
  <c r="P1376" i="7"/>
  <c r="O1376" i="7"/>
  <c r="N1376" i="7"/>
  <c r="Q1375" i="7"/>
  <c r="P1375" i="7"/>
  <c r="O1375" i="7"/>
  <c r="N1375" i="7"/>
  <c r="Q1374" i="7"/>
  <c r="P1374" i="7"/>
  <c r="O1374" i="7"/>
  <c r="N1374" i="7"/>
  <c r="Q1373" i="7"/>
  <c r="P1373" i="7"/>
  <c r="O1373" i="7"/>
  <c r="N1373" i="7"/>
  <c r="Q1372" i="7"/>
  <c r="P1372" i="7"/>
  <c r="O1372" i="7"/>
  <c r="N1372" i="7"/>
  <c r="Q1371" i="7"/>
  <c r="P1371" i="7"/>
  <c r="O1371" i="7"/>
  <c r="N1371" i="7"/>
  <c r="Q1370" i="7"/>
  <c r="P1370" i="7"/>
  <c r="O1370" i="7"/>
  <c r="N1370" i="7"/>
  <c r="Q1369" i="7"/>
  <c r="P1369" i="7"/>
  <c r="O1369" i="7"/>
  <c r="N1369" i="7"/>
  <c r="Q1368" i="7"/>
  <c r="P1368" i="7"/>
  <c r="O1368" i="7"/>
  <c r="N1368" i="7"/>
  <c r="Q1367" i="7"/>
  <c r="P1367" i="7"/>
  <c r="O1367" i="7"/>
  <c r="N1367" i="7"/>
  <c r="Q1366" i="7"/>
  <c r="P1366" i="7"/>
  <c r="O1366" i="7"/>
  <c r="N1366" i="7"/>
  <c r="Q1365" i="7"/>
  <c r="P1365" i="7"/>
  <c r="O1365" i="7"/>
  <c r="N1365" i="7"/>
  <c r="Q1364" i="7"/>
  <c r="P1364" i="7"/>
  <c r="O1364" i="7"/>
  <c r="N1364" i="7"/>
  <c r="Q1363" i="7"/>
  <c r="P1363" i="7"/>
  <c r="O1363" i="7"/>
  <c r="N1363" i="7"/>
  <c r="Q1362" i="7"/>
  <c r="P1362" i="7"/>
  <c r="O1362" i="7"/>
  <c r="N1362" i="7"/>
  <c r="Q1361" i="7"/>
  <c r="P1361" i="7"/>
  <c r="O1361" i="7"/>
  <c r="N1361" i="7"/>
  <c r="Q1360" i="7"/>
  <c r="P1360" i="7"/>
  <c r="O1360" i="7"/>
  <c r="N1360" i="7"/>
  <c r="Q1359" i="7"/>
  <c r="P1359" i="7"/>
  <c r="O1359" i="7"/>
  <c r="N1359" i="7"/>
  <c r="Q1358" i="7"/>
  <c r="P1358" i="7"/>
  <c r="O1358" i="7"/>
  <c r="N1358" i="7"/>
  <c r="Q1357" i="7"/>
  <c r="P1357" i="7"/>
  <c r="O1357" i="7"/>
  <c r="N1357" i="7"/>
  <c r="Q1356" i="7"/>
  <c r="P1356" i="7"/>
  <c r="O1356" i="7"/>
  <c r="N1356" i="7"/>
  <c r="Q1355" i="7"/>
  <c r="P1355" i="7"/>
  <c r="O1355" i="7"/>
  <c r="N1355" i="7"/>
  <c r="Q1354" i="7"/>
  <c r="P1354" i="7"/>
  <c r="O1354" i="7"/>
  <c r="N1354" i="7"/>
  <c r="Q1353" i="7"/>
  <c r="P1353" i="7"/>
  <c r="O1353" i="7"/>
  <c r="N1353" i="7"/>
  <c r="Q1352" i="7"/>
  <c r="P1352" i="7"/>
  <c r="O1352" i="7"/>
  <c r="N1352" i="7"/>
  <c r="Q1351" i="7"/>
  <c r="P1351" i="7"/>
  <c r="O1351" i="7"/>
  <c r="N1351" i="7"/>
  <c r="Q1350" i="7"/>
  <c r="P1350" i="7"/>
  <c r="O1350" i="7"/>
  <c r="N1350" i="7"/>
  <c r="Q1349" i="7"/>
  <c r="P1349" i="7"/>
  <c r="O1349" i="7"/>
  <c r="N1349" i="7"/>
  <c r="Q1348" i="7"/>
  <c r="P1348" i="7"/>
  <c r="O1348" i="7"/>
  <c r="N1348" i="7"/>
  <c r="Q1347" i="7"/>
  <c r="P1347" i="7"/>
  <c r="O1347" i="7"/>
  <c r="N1347" i="7"/>
  <c r="Q1346" i="7"/>
  <c r="P1346" i="7"/>
  <c r="O1346" i="7"/>
  <c r="N1346" i="7"/>
  <c r="Q1345" i="7"/>
  <c r="P1345" i="7"/>
  <c r="O1345" i="7"/>
  <c r="N1345" i="7"/>
  <c r="Q1344" i="7"/>
  <c r="P1344" i="7"/>
  <c r="O1344" i="7"/>
  <c r="N1344" i="7"/>
  <c r="Q1343" i="7"/>
  <c r="P1343" i="7"/>
  <c r="O1343" i="7"/>
  <c r="N1343" i="7"/>
  <c r="Q1342" i="7"/>
  <c r="P1342" i="7"/>
  <c r="O1342" i="7"/>
  <c r="N1342" i="7"/>
  <c r="Q1341" i="7"/>
  <c r="P1341" i="7"/>
  <c r="O1341" i="7"/>
  <c r="N1341" i="7"/>
  <c r="Q1340" i="7"/>
  <c r="P1340" i="7"/>
  <c r="O1340" i="7"/>
  <c r="N1340" i="7"/>
  <c r="Q1339" i="7"/>
  <c r="P1339" i="7"/>
  <c r="O1339" i="7"/>
  <c r="N1339" i="7"/>
  <c r="Q1338" i="7"/>
  <c r="P1338" i="7"/>
  <c r="O1338" i="7"/>
  <c r="N1338" i="7"/>
  <c r="Q1337" i="7"/>
  <c r="P1337" i="7"/>
  <c r="O1337" i="7"/>
  <c r="N1337" i="7"/>
  <c r="Q1336" i="7"/>
  <c r="P1336" i="7"/>
  <c r="O1336" i="7"/>
  <c r="N1336" i="7"/>
  <c r="Q1335" i="7"/>
  <c r="P1335" i="7"/>
  <c r="O1335" i="7"/>
  <c r="N1335" i="7"/>
  <c r="Q1334" i="7"/>
  <c r="P1334" i="7"/>
  <c r="O1334" i="7"/>
  <c r="N1334" i="7"/>
  <c r="Q1333" i="7"/>
  <c r="P1333" i="7"/>
  <c r="O1333" i="7"/>
  <c r="N1333" i="7"/>
  <c r="Q1332" i="7"/>
  <c r="P1332" i="7"/>
  <c r="O1332" i="7"/>
  <c r="N1332" i="7"/>
  <c r="Q1331" i="7"/>
  <c r="P1331" i="7"/>
  <c r="O1331" i="7"/>
  <c r="N1331" i="7"/>
  <c r="Q1330" i="7"/>
  <c r="P1330" i="7"/>
  <c r="O1330" i="7"/>
  <c r="N1330" i="7"/>
  <c r="Q1329" i="7"/>
  <c r="P1329" i="7"/>
  <c r="O1329" i="7"/>
  <c r="N1329" i="7"/>
  <c r="Q1328" i="7"/>
  <c r="P1328" i="7"/>
  <c r="O1328" i="7"/>
  <c r="N1328" i="7"/>
  <c r="Q1327" i="7"/>
  <c r="P1327" i="7"/>
  <c r="O1327" i="7"/>
  <c r="N1327" i="7"/>
  <c r="Q1326" i="7"/>
  <c r="P1326" i="7"/>
  <c r="O1326" i="7"/>
  <c r="N1326" i="7"/>
  <c r="Q1325" i="7"/>
  <c r="P1325" i="7"/>
  <c r="O1325" i="7"/>
  <c r="N1325" i="7"/>
  <c r="Q1324" i="7"/>
  <c r="P1324" i="7"/>
  <c r="O1324" i="7"/>
  <c r="N1324" i="7"/>
  <c r="Q1323" i="7"/>
  <c r="P1323" i="7"/>
  <c r="O1323" i="7"/>
  <c r="N1323" i="7"/>
  <c r="Q1322" i="7"/>
  <c r="P1322" i="7"/>
  <c r="O1322" i="7"/>
  <c r="N1322" i="7"/>
  <c r="Q1321" i="7"/>
  <c r="P1321" i="7"/>
  <c r="O1321" i="7"/>
  <c r="N1321" i="7"/>
  <c r="Q1320" i="7"/>
  <c r="P1320" i="7"/>
  <c r="O1320" i="7"/>
  <c r="N1320" i="7"/>
  <c r="Q1319" i="7"/>
  <c r="P1319" i="7"/>
  <c r="O1319" i="7"/>
  <c r="N1319" i="7"/>
  <c r="Q1318" i="7"/>
  <c r="P1318" i="7"/>
  <c r="O1318" i="7"/>
  <c r="N1318" i="7"/>
  <c r="Q1317" i="7"/>
  <c r="P1317" i="7"/>
  <c r="O1317" i="7"/>
  <c r="N1317" i="7"/>
  <c r="Q1316" i="7"/>
  <c r="P1316" i="7"/>
  <c r="O1316" i="7"/>
  <c r="N1316" i="7"/>
  <c r="Q1315" i="7"/>
  <c r="P1315" i="7"/>
  <c r="O1315" i="7"/>
  <c r="N1315" i="7"/>
  <c r="Q1314" i="7"/>
  <c r="P1314" i="7"/>
  <c r="O1314" i="7"/>
  <c r="N1314" i="7"/>
  <c r="Q1313" i="7"/>
  <c r="P1313" i="7"/>
  <c r="O1313" i="7"/>
  <c r="N1313" i="7"/>
  <c r="Q1312" i="7"/>
  <c r="P1312" i="7"/>
  <c r="O1312" i="7"/>
  <c r="N1312" i="7"/>
  <c r="Q1311" i="7"/>
  <c r="P1311" i="7"/>
  <c r="O1311" i="7"/>
  <c r="N1311" i="7"/>
  <c r="Q1310" i="7"/>
  <c r="P1310" i="7"/>
  <c r="O1310" i="7"/>
  <c r="N1310" i="7"/>
  <c r="Q1309" i="7"/>
  <c r="P1309" i="7"/>
  <c r="O1309" i="7"/>
  <c r="N1309" i="7"/>
  <c r="Q1308" i="7"/>
  <c r="P1308" i="7"/>
  <c r="O1308" i="7"/>
  <c r="N1308" i="7"/>
  <c r="Q1307" i="7"/>
  <c r="P1307" i="7"/>
  <c r="O1307" i="7"/>
  <c r="N1307" i="7"/>
  <c r="Q1306" i="7"/>
  <c r="P1306" i="7"/>
  <c r="O1306" i="7"/>
  <c r="N1306" i="7"/>
  <c r="Q1305" i="7"/>
  <c r="P1305" i="7"/>
  <c r="O1305" i="7"/>
  <c r="N1305" i="7"/>
  <c r="Q1304" i="7"/>
  <c r="P1304" i="7"/>
  <c r="O1304" i="7"/>
  <c r="N1304" i="7"/>
  <c r="Q1303" i="7"/>
  <c r="P1303" i="7"/>
  <c r="O1303" i="7"/>
  <c r="N1303" i="7"/>
  <c r="Q1302" i="7"/>
  <c r="P1302" i="7"/>
  <c r="O1302" i="7"/>
  <c r="N1302" i="7"/>
  <c r="Q1301" i="7"/>
  <c r="P1301" i="7"/>
  <c r="O1301" i="7"/>
  <c r="N1301" i="7"/>
  <c r="Q1300" i="7"/>
  <c r="P1300" i="7"/>
  <c r="O1300" i="7"/>
  <c r="N1300" i="7"/>
  <c r="Q1299" i="7"/>
  <c r="P1299" i="7"/>
  <c r="O1299" i="7"/>
  <c r="N1299" i="7"/>
  <c r="Q1298" i="7"/>
  <c r="P1298" i="7"/>
  <c r="O1298" i="7"/>
  <c r="N1298" i="7"/>
  <c r="Q1297" i="7"/>
  <c r="P1297" i="7"/>
  <c r="O1297" i="7"/>
  <c r="N1297" i="7"/>
  <c r="Q1296" i="7"/>
  <c r="P1296" i="7"/>
  <c r="O1296" i="7"/>
  <c r="N1296" i="7"/>
  <c r="Q1295" i="7"/>
  <c r="P1295" i="7"/>
  <c r="O1295" i="7"/>
  <c r="N1295" i="7"/>
  <c r="Q1294" i="7"/>
  <c r="P1294" i="7"/>
  <c r="O1294" i="7"/>
  <c r="N1294" i="7"/>
  <c r="Q1293" i="7"/>
  <c r="P1293" i="7"/>
  <c r="O1293" i="7"/>
  <c r="N1293" i="7"/>
  <c r="Q1292" i="7"/>
  <c r="P1292" i="7"/>
  <c r="O1292" i="7"/>
  <c r="N1292" i="7"/>
  <c r="Q1291" i="7"/>
  <c r="P1291" i="7"/>
  <c r="O1291" i="7"/>
  <c r="N1291" i="7"/>
  <c r="Q1290" i="7"/>
  <c r="P1290" i="7"/>
  <c r="O1290" i="7"/>
  <c r="N1290" i="7"/>
  <c r="Q1289" i="7"/>
  <c r="P1289" i="7"/>
  <c r="O1289" i="7"/>
  <c r="N1289" i="7"/>
  <c r="Q1288" i="7"/>
  <c r="P1288" i="7"/>
  <c r="O1288" i="7"/>
  <c r="N1288" i="7"/>
  <c r="Q1287" i="7"/>
  <c r="P1287" i="7"/>
  <c r="O1287" i="7"/>
  <c r="N1287" i="7"/>
  <c r="Q1286" i="7"/>
  <c r="P1286" i="7"/>
  <c r="O1286" i="7"/>
  <c r="N1286" i="7"/>
  <c r="Q1285" i="7"/>
  <c r="P1285" i="7"/>
  <c r="O1285" i="7"/>
  <c r="N1285" i="7"/>
  <c r="Q1284" i="7"/>
  <c r="P1284" i="7"/>
  <c r="O1284" i="7"/>
  <c r="N1284" i="7"/>
  <c r="Q1283" i="7"/>
  <c r="P1283" i="7"/>
  <c r="O1283" i="7"/>
  <c r="N1283" i="7"/>
  <c r="Q1282" i="7"/>
  <c r="P1282" i="7"/>
  <c r="O1282" i="7"/>
  <c r="N1282" i="7"/>
  <c r="Q1281" i="7"/>
  <c r="P1281" i="7"/>
  <c r="O1281" i="7"/>
  <c r="N1281" i="7"/>
  <c r="Q1280" i="7"/>
  <c r="P1280" i="7"/>
  <c r="O1280" i="7"/>
  <c r="N1280" i="7"/>
  <c r="Q1279" i="7"/>
  <c r="P1279" i="7"/>
  <c r="O1279" i="7"/>
  <c r="N1279" i="7"/>
  <c r="Q1278" i="7"/>
  <c r="P1278" i="7"/>
  <c r="O1278" i="7"/>
  <c r="N1278" i="7"/>
  <c r="Q1277" i="7"/>
  <c r="P1277" i="7"/>
  <c r="O1277" i="7"/>
  <c r="N1277" i="7"/>
  <c r="Q1276" i="7"/>
  <c r="P1276" i="7"/>
  <c r="O1276" i="7"/>
  <c r="N1276" i="7"/>
  <c r="Q1275" i="7"/>
  <c r="P1275" i="7"/>
  <c r="O1275" i="7"/>
  <c r="N1275" i="7"/>
  <c r="Q1274" i="7"/>
  <c r="P1274" i="7"/>
  <c r="O1274" i="7"/>
  <c r="N1274" i="7"/>
  <c r="Q1273" i="7"/>
  <c r="P1273" i="7"/>
  <c r="O1273" i="7"/>
  <c r="N1273" i="7"/>
  <c r="Q1272" i="7"/>
  <c r="P1272" i="7"/>
  <c r="O1272" i="7"/>
  <c r="N1272" i="7"/>
  <c r="Q1271" i="7"/>
  <c r="P1271" i="7"/>
  <c r="O1271" i="7"/>
  <c r="N1271" i="7"/>
  <c r="Q1270" i="7"/>
  <c r="P1270" i="7"/>
  <c r="O1270" i="7"/>
  <c r="N1270" i="7"/>
  <c r="Q1269" i="7"/>
  <c r="P1269" i="7"/>
  <c r="O1269" i="7"/>
  <c r="N1269" i="7"/>
  <c r="Q1268" i="7"/>
  <c r="P1268" i="7"/>
  <c r="O1268" i="7"/>
  <c r="N1268" i="7"/>
  <c r="Q1267" i="7"/>
  <c r="P1267" i="7"/>
  <c r="O1267" i="7"/>
  <c r="N1267" i="7"/>
  <c r="Q1266" i="7"/>
  <c r="P1266" i="7"/>
  <c r="O1266" i="7"/>
  <c r="N1266" i="7"/>
  <c r="Q1265" i="7"/>
  <c r="P1265" i="7"/>
  <c r="O1265" i="7"/>
  <c r="N1265" i="7"/>
  <c r="Q1264" i="7"/>
  <c r="P1264" i="7"/>
  <c r="O1264" i="7"/>
  <c r="N1264" i="7"/>
  <c r="Q1263" i="7"/>
  <c r="P1263" i="7"/>
  <c r="O1263" i="7"/>
  <c r="N1263" i="7"/>
  <c r="Q1262" i="7"/>
  <c r="P1262" i="7"/>
  <c r="O1262" i="7"/>
  <c r="N1262" i="7"/>
  <c r="Q1261" i="7"/>
  <c r="P1261" i="7"/>
  <c r="O1261" i="7"/>
  <c r="N1261" i="7"/>
  <c r="Q1260" i="7"/>
  <c r="P1260" i="7"/>
  <c r="O1260" i="7"/>
  <c r="N1260" i="7"/>
  <c r="Q1259" i="7"/>
  <c r="P1259" i="7"/>
  <c r="O1259" i="7"/>
  <c r="N1259" i="7"/>
  <c r="Q1258" i="7"/>
  <c r="P1258" i="7"/>
  <c r="O1258" i="7"/>
  <c r="N1258" i="7"/>
  <c r="Q1257" i="7"/>
  <c r="P1257" i="7"/>
  <c r="O1257" i="7"/>
  <c r="N1257" i="7"/>
  <c r="Q1256" i="7"/>
  <c r="P1256" i="7"/>
  <c r="O1256" i="7"/>
  <c r="N1256" i="7"/>
  <c r="Q1255" i="7"/>
  <c r="P1255" i="7"/>
  <c r="O1255" i="7"/>
  <c r="N1255" i="7"/>
  <c r="Q1254" i="7"/>
  <c r="P1254" i="7"/>
  <c r="O1254" i="7"/>
  <c r="N1254" i="7"/>
  <c r="Q1253" i="7"/>
  <c r="P1253" i="7"/>
  <c r="O1253" i="7"/>
  <c r="N1253" i="7"/>
  <c r="Q1252" i="7"/>
  <c r="P1252" i="7"/>
  <c r="O1252" i="7"/>
  <c r="N1252" i="7"/>
  <c r="Q1251" i="7"/>
  <c r="P1251" i="7"/>
  <c r="O1251" i="7"/>
  <c r="N1251" i="7"/>
  <c r="Q1250" i="7"/>
  <c r="P1250" i="7"/>
  <c r="O1250" i="7"/>
  <c r="N1250" i="7"/>
  <c r="Q1249" i="7"/>
  <c r="P1249" i="7"/>
  <c r="O1249" i="7"/>
  <c r="N1249" i="7"/>
  <c r="Q1248" i="7"/>
  <c r="P1248" i="7"/>
  <c r="O1248" i="7"/>
  <c r="N1248" i="7"/>
  <c r="Q1247" i="7"/>
  <c r="P1247" i="7"/>
  <c r="O1247" i="7"/>
  <c r="N1247" i="7"/>
  <c r="Q1246" i="7"/>
  <c r="P1246" i="7"/>
  <c r="O1246" i="7"/>
  <c r="N1246" i="7"/>
  <c r="Q1245" i="7"/>
  <c r="P1245" i="7"/>
  <c r="O1245" i="7"/>
  <c r="N1245" i="7"/>
  <c r="Q1244" i="7"/>
  <c r="P1244" i="7"/>
  <c r="O1244" i="7"/>
  <c r="N1244" i="7"/>
  <c r="Q1243" i="7"/>
  <c r="P1243" i="7"/>
  <c r="O1243" i="7"/>
  <c r="N1243" i="7"/>
  <c r="Q1242" i="7"/>
  <c r="P1242" i="7"/>
  <c r="O1242" i="7"/>
  <c r="N1242" i="7"/>
  <c r="Q1241" i="7"/>
  <c r="P1241" i="7"/>
  <c r="O1241" i="7"/>
  <c r="N1241" i="7"/>
  <c r="Q1240" i="7"/>
  <c r="P1240" i="7"/>
  <c r="O1240" i="7"/>
  <c r="N1240" i="7"/>
  <c r="Q1239" i="7"/>
  <c r="P1239" i="7"/>
  <c r="O1239" i="7"/>
  <c r="N1239" i="7"/>
  <c r="Q1238" i="7"/>
  <c r="P1238" i="7"/>
  <c r="O1238" i="7"/>
  <c r="N1238" i="7"/>
  <c r="Q1237" i="7"/>
  <c r="P1237" i="7"/>
  <c r="O1237" i="7"/>
  <c r="N1237" i="7"/>
  <c r="Q1236" i="7"/>
  <c r="P1236" i="7"/>
  <c r="O1236" i="7"/>
  <c r="N1236" i="7"/>
  <c r="Q1235" i="7"/>
  <c r="P1235" i="7"/>
  <c r="O1235" i="7"/>
  <c r="N1235" i="7"/>
  <c r="Q1234" i="7"/>
  <c r="P1234" i="7"/>
  <c r="O1234" i="7"/>
  <c r="N1234" i="7"/>
  <c r="Q1233" i="7"/>
  <c r="P1233" i="7"/>
  <c r="O1233" i="7"/>
  <c r="N1233" i="7"/>
  <c r="Q1232" i="7"/>
  <c r="P1232" i="7"/>
  <c r="O1232" i="7"/>
  <c r="N1232" i="7"/>
  <c r="Q1231" i="7"/>
  <c r="P1231" i="7"/>
  <c r="O1231" i="7"/>
  <c r="N1231" i="7"/>
  <c r="Q1230" i="7"/>
  <c r="P1230" i="7"/>
  <c r="O1230" i="7"/>
  <c r="N1230" i="7"/>
  <c r="Q1229" i="7"/>
  <c r="P1229" i="7"/>
  <c r="O1229" i="7"/>
  <c r="N1229" i="7"/>
  <c r="Q1228" i="7"/>
  <c r="P1228" i="7"/>
  <c r="O1228" i="7"/>
  <c r="N1228" i="7"/>
  <c r="Q1227" i="7"/>
  <c r="P1227" i="7"/>
  <c r="O1227" i="7"/>
  <c r="N1227" i="7"/>
  <c r="Q1226" i="7"/>
  <c r="P1226" i="7"/>
  <c r="O1226" i="7"/>
  <c r="N1226" i="7"/>
  <c r="Q1225" i="7"/>
  <c r="P1225" i="7"/>
  <c r="O1225" i="7"/>
  <c r="N1225" i="7"/>
  <c r="Q1224" i="7"/>
  <c r="P1224" i="7"/>
  <c r="O1224" i="7"/>
  <c r="N1224" i="7"/>
  <c r="Q1223" i="7"/>
  <c r="P1223" i="7"/>
  <c r="O1223" i="7"/>
  <c r="N1223" i="7"/>
  <c r="Q1222" i="7"/>
  <c r="P1222" i="7"/>
  <c r="O1222" i="7"/>
  <c r="N1222" i="7"/>
  <c r="Q1221" i="7"/>
  <c r="P1221" i="7"/>
  <c r="O1221" i="7"/>
  <c r="N1221" i="7"/>
  <c r="Q1220" i="7"/>
  <c r="P1220" i="7"/>
  <c r="O1220" i="7"/>
  <c r="N1220" i="7"/>
  <c r="Q1219" i="7"/>
  <c r="P1219" i="7"/>
  <c r="O1219" i="7"/>
  <c r="N1219" i="7"/>
  <c r="Q1218" i="7"/>
  <c r="P1218" i="7"/>
  <c r="O1218" i="7"/>
  <c r="N1218" i="7"/>
  <c r="Q1217" i="7"/>
  <c r="P1217" i="7"/>
  <c r="O1217" i="7"/>
  <c r="N1217" i="7"/>
  <c r="Q1216" i="7"/>
  <c r="P1216" i="7"/>
  <c r="O1216" i="7"/>
  <c r="N1216" i="7"/>
  <c r="Q1215" i="7"/>
  <c r="P1215" i="7"/>
  <c r="O1215" i="7"/>
  <c r="N1215" i="7"/>
  <c r="Q1214" i="7"/>
  <c r="P1214" i="7"/>
  <c r="O1214" i="7"/>
  <c r="N1214" i="7"/>
  <c r="Q1213" i="7"/>
  <c r="P1213" i="7"/>
  <c r="O1213" i="7"/>
  <c r="N1213" i="7"/>
  <c r="Q1212" i="7"/>
  <c r="P1212" i="7"/>
  <c r="O1212" i="7"/>
  <c r="N1212" i="7"/>
  <c r="Q1211" i="7"/>
  <c r="P1211" i="7"/>
  <c r="O1211" i="7"/>
  <c r="N1211" i="7"/>
  <c r="Q1210" i="7"/>
  <c r="P1210" i="7"/>
  <c r="O1210" i="7"/>
  <c r="N1210" i="7"/>
  <c r="Q1209" i="7"/>
  <c r="P1209" i="7"/>
  <c r="O1209" i="7"/>
  <c r="N1209" i="7"/>
  <c r="Q1208" i="7"/>
  <c r="P1208" i="7"/>
  <c r="O1208" i="7"/>
  <c r="N1208" i="7"/>
  <c r="Q1207" i="7"/>
  <c r="P1207" i="7"/>
  <c r="O1207" i="7"/>
  <c r="N1207" i="7"/>
  <c r="Q1206" i="7"/>
  <c r="P1206" i="7"/>
  <c r="O1206" i="7"/>
  <c r="N1206" i="7"/>
  <c r="Q1205" i="7"/>
  <c r="P1205" i="7"/>
  <c r="O1205" i="7"/>
  <c r="N1205" i="7"/>
  <c r="Q1204" i="7"/>
  <c r="P1204" i="7"/>
  <c r="O1204" i="7"/>
  <c r="N1204" i="7"/>
  <c r="Q1203" i="7"/>
  <c r="P1203" i="7"/>
  <c r="O1203" i="7"/>
  <c r="N1203" i="7"/>
  <c r="Q1202" i="7"/>
  <c r="P1202" i="7"/>
  <c r="O1202" i="7"/>
  <c r="N1202" i="7"/>
  <c r="Q1201" i="7"/>
  <c r="P1201" i="7"/>
  <c r="O1201" i="7"/>
  <c r="N1201" i="7"/>
  <c r="Q1200" i="7"/>
  <c r="P1200" i="7"/>
  <c r="O1200" i="7"/>
  <c r="N1200" i="7"/>
  <c r="Q1199" i="7"/>
  <c r="P1199" i="7"/>
  <c r="O1199" i="7"/>
  <c r="N1199" i="7"/>
  <c r="Q1198" i="7"/>
  <c r="P1198" i="7"/>
  <c r="O1198" i="7"/>
  <c r="N1198" i="7"/>
  <c r="Q1197" i="7"/>
  <c r="P1197" i="7"/>
  <c r="O1197" i="7"/>
  <c r="N1197" i="7"/>
  <c r="Q1196" i="7"/>
  <c r="P1196" i="7"/>
  <c r="O1196" i="7"/>
  <c r="N1196" i="7"/>
  <c r="Q1195" i="7"/>
  <c r="P1195" i="7"/>
  <c r="O1195" i="7"/>
  <c r="N1195" i="7"/>
  <c r="Q1194" i="7"/>
  <c r="P1194" i="7"/>
  <c r="O1194" i="7"/>
  <c r="N1194" i="7"/>
  <c r="Q1193" i="7"/>
  <c r="P1193" i="7"/>
  <c r="O1193" i="7"/>
  <c r="N1193" i="7"/>
  <c r="Q1192" i="7"/>
  <c r="P1192" i="7"/>
  <c r="O1192" i="7"/>
  <c r="N1192" i="7"/>
  <c r="Q1191" i="7"/>
  <c r="P1191" i="7"/>
  <c r="O1191" i="7"/>
  <c r="N1191" i="7"/>
  <c r="Q1190" i="7"/>
  <c r="P1190" i="7"/>
  <c r="O1190" i="7"/>
  <c r="N1190" i="7"/>
  <c r="Q1189" i="7"/>
  <c r="P1189" i="7"/>
  <c r="O1189" i="7"/>
  <c r="N1189" i="7"/>
  <c r="Q1188" i="7"/>
  <c r="P1188" i="7"/>
  <c r="O1188" i="7"/>
  <c r="N1188" i="7"/>
  <c r="Q1187" i="7"/>
  <c r="P1187" i="7"/>
  <c r="O1187" i="7"/>
  <c r="N1187" i="7"/>
  <c r="Q1186" i="7"/>
  <c r="P1186" i="7"/>
  <c r="O1186" i="7"/>
  <c r="N1186" i="7"/>
  <c r="Q1185" i="7"/>
  <c r="P1185" i="7"/>
  <c r="O1185" i="7"/>
  <c r="N1185" i="7"/>
  <c r="Q1184" i="7"/>
  <c r="P1184" i="7"/>
  <c r="O1184" i="7"/>
  <c r="N1184" i="7"/>
  <c r="Q1183" i="7"/>
  <c r="P1183" i="7"/>
  <c r="O1183" i="7"/>
  <c r="N1183" i="7"/>
  <c r="Q1182" i="7"/>
  <c r="P1182" i="7"/>
  <c r="O1182" i="7"/>
  <c r="N1182" i="7"/>
  <c r="Q1181" i="7"/>
  <c r="P1181" i="7"/>
  <c r="O1181" i="7"/>
  <c r="N1181" i="7"/>
  <c r="Q1180" i="7"/>
  <c r="P1180" i="7"/>
  <c r="O1180" i="7"/>
  <c r="N1180" i="7"/>
  <c r="Q1179" i="7"/>
  <c r="P1179" i="7"/>
  <c r="O1179" i="7"/>
  <c r="N1179" i="7"/>
  <c r="Q1178" i="7"/>
  <c r="P1178" i="7"/>
  <c r="O1178" i="7"/>
  <c r="N1178" i="7"/>
  <c r="Q1177" i="7"/>
  <c r="P1177" i="7"/>
  <c r="O1177" i="7"/>
  <c r="N1177" i="7"/>
  <c r="Q1176" i="7"/>
  <c r="P1176" i="7"/>
  <c r="O1176" i="7"/>
  <c r="N1176" i="7"/>
  <c r="Q1175" i="7"/>
  <c r="P1175" i="7"/>
  <c r="O1175" i="7"/>
  <c r="N1175" i="7"/>
  <c r="Q1174" i="7"/>
  <c r="P1174" i="7"/>
  <c r="O1174" i="7"/>
  <c r="N1174" i="7"/>
  <c r="Q1173" i="7"/>
  <c r="P1173" i="7"/>
  <c r="O1173" i="7"/>
  <c r="N1173" i="7"/>
  <c r="Q1172" i="7"/>
  <c r="P1172" i="7"/>
  <c r="O1172" i="7"/>
  <c r="N1172" i="7"/>
  <c r="Q1171" i="7"/>
  <c r="P1171" i="7"/>
  <c r="O1171" i="7"/>
  <c r="N1171" i="7"/>
  <c r="Q1170" i="7"/>
  <c r="P1170" i="7"/>
  <c r="O1170" i="7"/>
  <c r="N1170" i="7"/>
  <c r="Q1169" i="7"/>
  <c r="P1169" i="7"/>
  <c r="O1169" i="7"/>
  <c r="N1169" i="7"/>
  <c r="Q1168" i="7"/>
  <c r="P1168" i="7"/>
  <c r="O1168" i="7"/>
  <c r="N1168" i="7"/>
  <c r="Q1167" i="7"/>
  <c r="P1167" i="7"/>
  <c r="O1167" i="7"/>
  <c r="N1167" i="7"/>
  <c r="Q1166" i="7"/>
  <c r="P1166" i="7"/>
  <c r="O1166" i="7"/>
  <c r="N1166" i="7"/>
  <c r="Q1165" i="7"/>
  <c r="P1165" i="7"/>
  <c r="O1165" i="7"/>
  <c r="N1165" i="7"/>
  <c r="Q1164" i="7"/>
  <c r="P1164" i="7"/>
  <c r="O1164" i="7"/>
  <c r="N1164" i="7"/>
  <c r="Q1163" i="7"/>
  <c r="P1163" i="7"/>
  <c r="O1163" i="7"/>
  <c r="N1163" i="7"/>
  <c r="Q1162" i="7"/>
  <c r="P1162" i="7"/>
  <c r="O1162" i="7"/>
  <c r="N1162" i="7"/>
  <c r="Q1161" i="7"/>
  <c r="P1161" i="7"/>
  <c r="O1161" i="7"/>
  <c r="N1161" i="7"/>
  <c r="Q1160" i="7"/>
  <c r="P1160" i="7"/>
  <c r="O1160" i="7"/>
  <c r="N1160" i="7"/>
  <c r="Q1159" i="7"/>
  <c r="P1159" i="7"/>
  <c r="O1159" i="7"/>
  <c r="N1159" i="7"/>
  <c r="Q1158" i="7"/>
  <c r="P1158" i="7"/>
  <c r="O1158" i="7"/>
  <c r="N1158" i="7"/>
  <c r="Q1157" i="7"/>
  <c r="P1157" i="7"/>
  <c r="O1157" i="7"/>
  <c r="N1157" i="7"/>
  <c r="Q1156" i="7"/>
  <c r="P1156" i="7"/>
  <c r="O1156" i="7"/>
  <c r="N1156" i="7"/>
  <c r="Q1155" i="7"/>
  <c r="P1155" i="7"/>
  <c r="O1155" i="7"/>
  <c r="N1155" i="7"/>
  <c r="Q1154" i="7"/>
  <c r="P1154" i="7"/>
  <c r="O1154" i="7"/>
  <c r="N1154" i="7"/>
  <c r="Q1153" i="7"/>
  <c r="P1153" i="7"/>
  <c r="O1153" i="7"/>
  <c r="N1153" i="7"/>
  <c r="Q1152" i="7"/>
  <c r="P1152" i="7"/>
  <c r="O1152" i="7"/>
  <c r="N1152" i="7"/>
  <c r="Q1151" i="7"/>
  <c r="P1151" i="7"/>
  <c r="O1151" i="7"/>
  <c r="N1151" i="7"/>
  <c r="Q1150" i="7"/>
  <c r="P1150" i="7"/>
  <c r="O1150" i="7"/>
  <c r="N1150" i="7"/>
  <c r="Q1149" i="7"/>
  <c r="P1149" i="7"/>
  <c r="O1149" i="7"/>
  <c r="N1149" i="7"/>
  <c r="Q1148" i="7"/>
  <c r="P1148" i="7"/>
  <c r="O1148" i="7"/>
  <c r="N1148" i="7"/>
  <c r="Q1147" i="7"/>
  <c r="P1147" i="7"/>
  <c r="O1147" i="7"/>
  <c r="N1147" i="7"/>
  <c r="Q1146" i="7"/>
  <c r="P1146" i="7"/>
  <c r="O1146" i="7"/>
  <c r="N1146" i="7"/>
  <c r="Q1145" i="7"/>
  <c r="P1145" i="7"/>
  <c r="O1145" i="7"/>
  <c r="N1145" i="7"/>
  <c r="Q1144" i="7"/>
  <c r="P1144" i="7"/>
  <c r="O1144" i="7"/>
  <c r="N1144" i="7"/>
  <c r="Q1143" i="7"/>
  <c r="P1143" i="7"/>
  <c r="O1143" i="7"/>
  <c r="N1143" i="7"/>
  <c r="Q1142" i="7"/>
  <c r="P1142" i="7"/>
  <c r="O1142" i="7"/>
  <c r="N1142" i="7"/>
  <c r="Q1141" i="7"/>
  <c r="P1141" i="7"/>
  <c r="O1141" i="7"/>
  <c r="N1141" i="7"/>
  <c r="Q1140" i="7"/>
  <c r="P1140" i="7"/>
  <c r="O1140" i="7"/>
  <c r="N1140" i="7"/>
  <c r="Q1139" i="7"/>
  <c r="P1139" i="7"/>
  <c r="O1139" i="7"/>
  <c r="N1139" i="7"/>
  <c r="Q1138" i="7"/>
  <c r="P1138" i="7"/>
  <c r="O1138" i="7"/>
  <c r="N1138" i="7"/>
  <c r="Q1137" i="7"/>
  <c r="P1137" i="7"/>
  <c r="O1137" i="7"/>
  <c r="N1137" i="7"/>
  <c r="Q1136" i="7"/>
  <c r="P1136" i="7"/>
  <c r="O1136" i="7"/>
  <c r="N1136" i="7"/>
  <c r="Q1135" i="7"/>
  <c r="P1135" i="7"/>
  <c r="O1135" i="7"/>
  <c r="N1135" i="7"/>
  <c r="Q1134" i="7"/>
  <c r="P1134" i="7"/>
  <c r="O1134" i="7"/>
  <c r="N1134" i="7"/>
  <c r="Q1133" i="7"/>
  <c r="P1133" i="7"/>
  <c r="O1133" i="7"/>
  <c r="N1133" i="7"/>
  <c r="Q1132" i="7"/>
  <c r="P1132" i="7"/>
  <c r="O1132" i="7"/>
  <c r="N1132" i="7"/>
  <c r="Q1131" i="7"/>
  <c r="P1131" i="7"/>
  <c r="O1131" i="7"/>
  <c r="N1131" i="7"/>
  <c r="Q1130" i="7"/>
  <c r="P1130" i="7"/>
  <c r="O1130" i="7"/>
  <c r="N1130" i="7"/>
  <c r="Q1129" i="7"/>
  <c r="P1129" i="7"/>
  <c r="O1129" i="7"/>
  <c r="N1129" i="7"/>
  <c r="Q1128" i="7"/>
  <c r="P1128" i="7"/>
  <c r="O1128" i="7"/>
  <c r="N1128" i="7"/>
  <c r="Q1127" i="7"/>
  <c r="P1127" i="7"/>
  <c r="O1127" i="7"/>
  <c r="N1127" i="7"/>
  <c r="Q1126" i="7"/>
  <c r="P1126" i="7"/>
  <c r="O1126" i="7"/>
  <c r="N1126" i="7"/>
  <c r="Q1125" i="7"/>
  <c r="P1125" i="7"/>
  <c r="O1125" i="7"/>
  <c r="N1125" i="7"/>
  <c r="Q1124" i="7"/>
  <c r="P1124" i="7"/>
  <c r="O1124" i="7"/>
  <c r="N1124" i="7"/>
  <c r="Q1123" i="7"/>
  <c r="P1123" i="7"/>
  <c r="O1123" i="7"/>
  <c r="N1123" i="7"/>
  <c r="Q1122" i="7"/>
  <c r="P1122" i="7"/>
  <c r="O1122" i="7"/>
  <c r="N1122" i="7"/>
  <c r="Q1121" i="7"/>
  <c r="P1121" i="7"/>
  <c r="O1121" i="7"/>
  <c r="N1121" i="7"/>
  <c r="Q1120" i="7"/>
  <c r="P1120" i="7"/>
  <c r="O1120" i="7"/>
  <c r="N1120" i="7"/>
  <c r="Q1119" i="7"/>
  <c r="P1119" i="7"/>
  <c r="O1119" i="7"/>
  <c r="N1119" i="7"/>
  <c r="Q1118" i="7"/>
  <c r="P1118" i="7"/>
  <c r="O1118" i="7"/>
  <c r="N1118" i="7"/>
  <c r="Q1117" i="7"/>
  <c r="P1117" i="7"/>
  <c r="O1117" i="7"/>
  <c r="N1117" i="7"/>
  <c r="Q1116" i="7"/>
  <c r="P1116" i="7"/>
  <c r="O1116" i="7"/>
  <c r="N1116" i="7"/>
  <c r="Q1115" i="7"/>
  <c r="P1115" i="7"/>
  <c r="O1115" i="7"/>
  <c r="N1115" i="7"/>
  <c r="Q1114" i="7"/>
  <c r="P1114" i="7"/>
  <c r="O1114" i="7"/>
  <c r="N1114" i="7"/>
  <c r="Q1113" i="7"/>
  <c r="P1113" i="7"/>
  <c r="O1113" i="7"/>
  <c r="N1113" i="7"/>
  <c r="Q1112" i="7"/>
  <c r="P1112" i="7"/>
  <c r="O1112" i="7"/>
  <c r="N1112" i="7"/>
  <c r="Q1111" i="7"/>
  <c r="P1111" i="7"/>
  <c r="O1111" i="7"/>
  <c r="N1111" i="7"/>
  <c r="Q1110" i="7"/>
  <c r="P1110" i="7"/>
  <c r="O1110" i="7"/>
  <c r="N1110" i="7"/>
  <c r="Q1109" i="7"/>
  <c r="P1109" i="7"/>
  <c r="O1109" i="7"/>
  <c r="N1109" i="7"/>
  <c r="Q1108" i="7"/>
  <c r="P1108" i="7"/>
  <c r="O1108" i="7"/>
  <c r="N1108" i="7"/>
  <c r="Q1107" i="7"/>
  <c r="P1107" i="7"/>
  <c r="O1107" i="7"/>
  <c r="N1107" i="7"/>
  <c r="Q1106" i="7"/>
  <c r="P1106" i="7"/>
  <c r="O1106" i="7"/>
  <c r="N1106" i="7"/>
  <c r="Q1105" i="7"/>
  <c r="P1105" i="7"/>
  <c r="O1105" i="7"/>
  <c r="N1105" i="7"/>
  <c r="Q1104" i="7"/>
  <c r="P1104" i="7"/>
  <c r="O1104" i="7"/>
  <c r="N1104" i="7"/>
  <c r="Q1103" i="7"/>
  <c r="P1103" i="7"/>
  <c r="O1103" i="7"/>
  <c r="N1103" i="7"/>
  <c r="Q1102" i="7"/>
  <c r="P1102" i="7"/>
  <c r="O1102" i="7"/>
  <c r="N1102" i="7"/>
  <c r="Q1101" i="7"/>
  <c r="P1101" i="7"/>
  <c r="O1101" i="7"/>
  <c r="N1101" i="7"/>
  <c r="Q1100" i="7"/>
  <c r="P1100" i="7"/>
  <c r="O1100" i="7"/>
  <c r="N1100" i="7"/>
  <c r="Q1099" i="7"/>
  <c r="P1099" i="7"/>
  <c r="O1099" i="7"/>
  <c r="N1099" i="7"/>
  <c r="Q1098" i="7"/>
  <c r="P1098" i="7"/>
  <c r="O1098" i="7"/>
  <c r="N1098" i="7"/>
  <c r="Q1097" i="7"/>
  <c r="P1097" i="7"/>
  <c r="O1097" i="7"/>
  <c r="N1097" i="7"/>
  <c r="Q1096" i="7"/>
  <c r="P1096" i="7"/>
  <c r="O1096" i="7"/>
  <c r="N1096" i="7"/>
  <c r="Q1095" i="7"/>
  <c r="P1095" i="7"/>
  <c r="O1095" i="7"/>
  <c r="N1095" i="7"/>
  <c r="Q1094" i="7"/>
  <c r="P1094" i="7"/>
  <c r="O1094" i="7"/>
  <c r="N1094" i="7"/>
  <c r="Q1093" i="7"/>
  <c r="P1093" i="7"/>
  <c r="O1093" i="7"/>
  <c r="N1093" i="7"/>
  <c r="Q1092" i="7"/>
  <c r="P1092" i="7"/>
  <c r="O1092" i="7"/>
  <c r="N1092" i="7"/>
  <c r="Q1091" i="7"/>
  <c r="P1091" i="7"/>
  <c r="O1091" i="7"/>
  <c r="N1091" i="7"/>
  <c r="Q1090" i="7"/>
  <c r="P1090" i="7"/>
  <c r="O1090" i="7"/>
  <c r="N1090" i="7"/>
  <c r="Q1089" i="7"/>
  <c r="P1089" i="7"/>
  <c r="O1089" i="7"/>
  <c r="N1089" i="7"/>
  <c r="Q1088" i="7"/>
  <c r="P1088" i="7"/>
  <c r="O1088" i="7"/>
  <c r="N1088" i="7"/>
  <c r="Q1087" i="7"/>
  <c r="P1087" i="7"/>
  <c r="O1087" i="7"/>
  <c r="N1087" i="7"/>
  <c r="Q1086" i="7"/>
  <c r="P1086" i="7"/>
  <c r="O1086" i="7"/>
  <c r="N1086" i="7"/>
  <c r="Q1085" i="7"/>
  <c r="P1085" i="7"/>
  <c r="O1085" i="7"/>
  <c r="N1085" i="7"/>
  <c r="Q1084" i="7"/>
  <c r="P1084" i="7"/>
  <c r="O1084" i="7"/>
  <c r="N1084" i="7"/>
  <c r="Q1083" i="7"/>
  <c r="P1083" i="7"/>
  <c r="O1083" i="7"/>
  <c r="N1083" i="7"/>
  <c r="Q1082" i="7"/>
  <c r="P1082" i="7"/>
  <c r="O1082" i="7"/>
  <c r="N1082" i="7"/>
  <c r="Q1081" i="7"/>
  <c r="P1081" i="7"/>
  <c r="O1081" i="7"/>
  <c r="N1081" i="7"/>
  <c r="Q1080" i="7"/>
  <c r="P1080" i="7"/>
  <c r="O1080" i="7"/>
  <c r="N1080" i="7"/>
  <c r="Q1079" i="7"/>
  <c r="P1079" i="7"/>
  <c r="O1079" i="7"/>
  <c r="N1079" i="7"/>
  <c r="Q1078" i="7"/>
  <c r="P1078" i="7"/>
  <c r="O1078" i="7"/>
  <c r="N1078" i="7"/>
  <c r="Q1077" i="7"/>
  <c r="P1077" i="7"/>
  <c r="O1077" i="7"/>
  <c r="N1077" i="7"/>
  <c r="Q1076" i="7"/>
  <c r="P1076" i="7"/>
  <c r="O1076" i="7"/>
  <c r="N1076" i="7"/>
  <c r="Q1075" i="7"/>
  <c r="P1075" i="7"/>
  <c r="O1075" i="7"/>
  <c r="N1075" i="7"/>
  <c r="Q1074" i="7"/>
  <c r="P1074" i="7"/>
  <c r="O1074" i="7"/>
  <c r="N1074" i="7"/>
  <c r="Q1073" i="7"/>
  <c r="P1073" i="7"/>
  <c r="O1073" i="7"/>
  <c r="N1073" i="7"/>
  <c r="Q1072" i="7"/>
  <c r="P1072" i="7"/>
  <c r="O1072" i="7"/>
  <c r="N1072" i="7"/>
  <c r="Q1071" i="7"/>
  <c r="P1071" i="7"/>
  <c r="O1071" i="7"/>
  <c r="N1071" i="7"/>
  <c r="Q1070" i="7"/>
  <c r="P1070" i="7"/>
  <c r="O1070" i="7"/>
  <c r="N1070" i="7"/>
  <c r="Q1069" i="7"/>
  <c r="P1069" i="7"/>
  <c r="O1069" i="7"/>
  <c r="N1069" i="7"/>
  <c r="Q1068" i="7"/>
  <c r="P1068" i="7"/>
  <c r="O1068" i="7"/>
  <c r="N1068" i="7"/>
  <c r="Q1067" i="7"/>
  <c r="P1067" i="7"/>
  <c r="O1067" i="7"/>
  <c r="N1067" i="7"/>
  <c r="Q1066" i="7"/>
  <c r="P1066" i="7"/>
  <c r="O1066" i="7"/>
  <c r="N1066" i="7"/>
  <c r="Q1065" i="7"/>
  <c r="P1065" i="7"/>
  <c r="O1065" i="7"/>
  <c r="N1065" i="7"/>
  <c r="Q1064" i="7"/>
  <c r="P1064" i="7"/>
  <c r="O1064" i="7"/>
  <c r="N1064" i="7"/>
  <c r="Q1063" i="7"/>
  <c r="P1063" i="7"/>
  <c r="O1063" i="7"/>
  <c r="N1063" i="7"/>
  <c r="Q1062" i="7"/>
  <c r="P1062" i="7"/>
  <c r="O1062" i="7"/>
  <c r="N1062" i="7"/>
  <c r="Q1061" i="7"/>
  <c r="P1061" i="7"/>
  <c r="O1061" i="7"/>
  <c r="N1061" i="7"/>
  <c r="Q1060" i="7"/>
  <c r="P1060" i="7"/>
  <c r="O1060" i="7"/>
  <c r="N1060" i="7"/>
  <c r="Q1059" i="7"/>
  <c r="P1059" i="7"/>
  <c r="O1059" i="7"/>
  <c r="N1059" i="7"/>
  <c r="Q1058" i="7"/>
  <c r="P1058" i="7"/>
  <c r="O1058" i="7"/>
  <c r="N1058" i="7"/>
  <c r="Q1057" i="7"/>
  <c r="P1057" i="7"/>
  <c r="O1057" i="7"/>
  <c r="N1057" i="7"/>
  <c r="Q1056" i="7"/>
  <c r="P1056" i="7"/>
  <c r="O1056" i="7"/>
  <c r="N1056" i="7"/>
  <c r="Q1055" i="7"/>
  <c r="P1055" i="7"/>
  <c r="O1055" i="7"/>
  <c r="N1055" i="7"/>
  <c r="Q1054" i="7"/>
  <c r="P1054" i="7"/>
  <c r="O1054" i="7"/>
  <c r="N1054" i="7"/>
  <c r="Q1053" i="7"/>
  <c r="P1053" i="7"/>
  <c r="O1053" i="7"/>
  <c r="N1053" i="7"/>
  <c r="Q1052" i="7"/>
  <c r="P1052" i="7"/>
  <c r="O1052" i="7"/>
  <c r="N1052" i="7"/>
  <c r="Q1051" i="7"/>
  <c r="P1051" i="7"/>
  <c r="O1051" i="7"/>
  <c r="N1051" i="7"/>
  <c r="Q1050" i="7"/>
  <c r="P1050" i="7"/>
  <c r="O1050" i="7"/>
  <c r="N1050" i="7"/>
  <c r="Q1049" i="7"/>
  <c r="P1049" i="7"/>
  <c r="O1049" i="7"/>
  <c r="N1049" i="7"/>
  <c r="Q1048" i="7"/>
  <c r="P1048" i="7"/>
  <c r="O1048" i="7"/>
  <c r="N1048" i="7"/>
  <c r="Q1047" i="7"/>
  <c r="P1047" i="7"/>
  <c r="O1047" i="7"/>
  <c r="N1047" i="7"/>
  <c r="Q1046" i="7"/>
  <c r="P1046" i="7"/>
  <c r="O1046" i="7"/>
  <c r="N1046" i="7"/>
  <c r="Q1045" i="7"/>
  <c r="P1045" i="7"/>
  <c r="O1045" i="7"/>
  <c r="N1045" i="7"/>
  <c r="Q1044" i="7"/>
  <c r="P1044" i="7"/>
  <c r="O1044" i="7"/>
  <c r="N1044" i="7"/>
  <c r="Q1043" i="7"/>
  <c r="P1043" i="7"/>
  <c r="O1043" i="7"/>
  <c r="N1043" i="7"/>
  <c r="Q1042" i="7"/>
  <c r="P1042" i="7"/>
  <c r="O1042" i="7"/>
  <c r="N1042" i="7"/>
  <c r="Q1041" i="7"/>
  <c r="P1041" i="7"/>
  <c r="O1041" i="7"/>
  <c r="N1041" i="7"/>
  <c r="Q1040" i="7"/>
  <c r="P1040" i="7"/>
  <c r="O1040" i="7"/>
  <c r="N1040" i="7"/>
  <c r="Q1039" i="7"/>
  <c r="P1039" i="7"/>
  <c r="O1039" i="7"/>
  <c r="N1039" i="7"/>
  <c r="Q1038" i="7"/>
  <c r="P1038" i="7"/>
  <c r="O1038" i="7"/>
  <c r="N1038" i="7"/>
  <c r="Q1037" i="7"/>
  <c r="P1037" i="7"/>
  <c r="O1037" i="7"/>
  <c r="N1037" i="7"/>
  <c r="Q1036" i="7"/>
  <c r="P1036" i="7"/>
  <c r="O1036" i="7"/>
  <c r="N1036" i="7"/>
  <c r="Q1035" i="7"/>
  <c r="P1035" i="7"/>
  <c r="O1035" i="7"/>
  <c r="N1035" i="7"/>
  <c r="Q1034" i="7"/>
  <c r="P1034" i="7"/>
  <c r="O1034" i="7"/>
  <c r="N1034" i="7"/>
  <c r="Q1033" i="7"/>
  <c r="P1033" i="7"/>
  <c r="O1033" i="7"/>
  <c r="N1033" i="7"/>
  <c r="Q1032" i="7"/>
  <c r="P1032" i="7"/>
  <c r="O1032" i="7"/>
  <c r="N1032" i="7"/>
  <c r="Q1031" i="7"/>
  <c r="P1031" i="7"/>
  <c r="O1031" i="7"/>
  <c r="N1031" i="7"/>
  <c r="Q1030" i="7"/>
  <c r="P1030" i="7"/>
  <c r="O1030" i="7"/>
  <c r="N1030" i="7"/>
  <c r="Q1029" i="7"/>
  <c r="P1029" i="7"/>
  <c r="O1029" i="7"/>
  <c r="N1029" i="7"/>
  <c r="Q1028" i="7"/>
  <c r="P1028" i="7"/>
  <c r="O1028" i="7"/>
  <c r="N1028" i="7"/>
  <c r="Q1027" i="7"/>
  <c r="P1027" i="7"/>
  <c r="O1027" i="7"/>
  <c r="N1027" i="7"/>
  <c r="Q1026" i="7"/>
  <c r="P1026" i="7"/>
  <c r="O1026" i="7"/>
  <c r="N1026" i="7"/>
  <c r="Q1025" i="7"/>
  <c r="P1025" i="7"/>
  <c r="O1025" i="7"/>
  <c r="N1025" i="7"/>
  <c r="Q1024" i="7"/>
  <c r="P1024" i="7"/>
  <c r="O1024" i="7"/>
  <c r="N1024" i="7"/>
  <c r="Q1023" i="7"/>
  <c r="P1023" i="7"/>
  <c r="O1023" i="7"/>
  <c r="N1023" i="7"/>
  <c r="Q1022" i="7"/>
  <c r="P1022" i="7"/>
  <c r="O1022" i="7"/>
  <c r="N1022" i="7"/>
  <c r="Q1021" i="7"/>
  <c r="P1021" i="7"/>
  <c r="O1021" i="7"/>
  <c r="N1021" i="7"/>
  <c r="Q1020" i="7"/>
  <c r="P1020" i="7"/>
  <c r="O1020" i="7"/>
  <c r="N1020" i="7"/>
  <c r="Q1019" i="7"/>
  <c r="P1019" i="7"/>
  <c r="O1019" i="7"/>
  <c r="N1019" i="7"/>
  <c r="Q1018" i="7"/>
  <c r="P1018" i="7"/>
  <c r="O1018" i="7"/>
  <c r="N1018" i="7"/>
  <c r="Q1017" i="7"/>
  <c r="P1017" i="7"/>
  <c r="O1017" i="7"/>
  <c r="N1017" i="7"/>
  <c r="Q1016" i="7"/>
  <c r="P1016" i="7"/>
  <c r="O1016" i="7"/>
  <c r="N1016" i="7"/>
  <c r="Q1015" i="7"/>
  <c r="P1015" i="7"/>
  <c r="O1015" i="7"/>
  <c r="N1015" i="7"/>
  <c r="Q1014" i="7"/>
  <c r="P1014" i="7"/>
  <c r="O1014" i="7"/>
  <c r="N1014" i="7"/>
  <c r="Q1013" i="7"/>
  <c r="P1013" i="7"/>
  <c r="O1013" i="7"/>
  <c r="N1013" i="7"/>
  <c r="Q1012" i="7"/>
  <c r="P1012" i="7"/>
  <c r="O1012" i="7"/>
  <c r="N1012" i="7"/>
  <c r="Q1011" i="7"/>
  <c r="P1011" i="7"/>
  <c r="O1011" i="7"/>
  <c r="N1011" i="7"/>
  <c r="Q1010" i="7"/>
  <c r="P1010" i="7"/>
  <c r="O1010" i="7"/>
  <c r="N1010" i="7"/>
  <c r="Q1009" i="7"/>
  <c r="P1009" i="7"/>
  <c r="O1009" i="7"/>
  <c r="N1009" i="7"/>
  <c r="Q1008" i="7"/>
  <c r="P1008" i="7"/>
  <c r="O1008" i="7"/>
  <c r="N1008" i="7"/>
  <c r="Q1007" i="7"/>
  <c r="P1007" i="7"/>
  <c r="O1007" i="7"/>
  <c r="N1007" i="7"/>
  <c r="Q1006" i="7"/>
  <c r="P1006" i="7"/>
  <c r="O1006" i="7"/>
  <c r="N1006" i="7"/>
  <c r="Q1005" i="7"/>
  <c r="P1005" i="7"/>
  <c r="O1005" i="7"/>
  <c r="N1005" i="7"/>
  <c r="Q1004" i="7"/>
  <c r="P1004" i="7"/>
  <c r="O1004" i="7"/>
  <c r="N1004" i="7"/>
  <c r="Q1003" i="7"/>
  <c r="P1003" i="7"/>
  <c r="O1003" i="7"/>
  <c r="N1003" i="7"/>
  <c r="Q1002" i="7"/>
  <c r="P1002" i="7"/>
  <c r="O1002" i="7"/>
  <c r="N1002" i="7"/>
  <c r="Q1001" i="7"/>
  <c r="P1001" i="7"/>
  <c r="O1001" i="7"/>
  <c r="N1001" i="7"/>
  <c r="Q1000" i="7"/>
  <c r="P1000" i="7"/>
  <c r="O1000" i="7"/>
  <c r="N1000" i="7"/>
  <c r="Q999" i="7"/>
  <c r="P999" i="7"/>
  <c r="O999" i="7"/>
  <c r="N999" i="7"/>
  <c r="Q998" i="7"/>
  <c r="P998" i="7"/>
  <c r="O998" i="7"/>
  <c r="N998" i="7"/>
  <c r="Q997" i="7"/>
  <c r="P997" i="7"/>
  <c r="O997" i="7"/>
  <c r="N997" i="7"/>
  <c r="Q996" i="7"/>
  <c r="P996" i="7"/>
  <c r="O996" i="7"/>
  <c r="N996" i="7"/>
  <c r="Q995" i="7"/>
  <c r="P995" i="7"/>
  <c r="O995" i="7"/>
  <c r="N995" i="7"/>
  <c r="Q994" i="7"/>
  <c r="P994" i="7"/>
  <c r="O994" i="7"/>
  <c r="N994" i="7"/>
  <c r="Q993" i="7"/>
  <c r="P993" i="7"/>
  <c r="O993" i="7"/>
  <c r="N993" i="7"/>
  <c r="Q992" i="7"/>
  <c r="P992" i="7"/>
  <c r="O992" i="7"/>
  <c r="N992" i="7"/>
  <c r="Q991" i="7"/>
  <c r="P991" i="7"/>
  <c r="O991" i="7"/>
  <c r="N991" i="7"/>
  <c r="Q990" i="7"/>
  <c r="P990" i="7"/>
  <c r="O990" i="7"/>
  <c r="N990" i="7"/>
  <c r="Q989" i="7"/>
  <c r="P989" i="7"/>
  <c r="O989" i="7"/>
  <c r="N989" i="7"/>
  <c r="Q988" i="7"/>
  <c r="P988" i="7"/>
  <c r="O988" i="7"/>
  <c r="N988" i="7"/>
  <c r="Q987" i="7"/>
  <c r="P987" i="7"/>
  <c r="O987" i="7"/>
  <c r="N987" i="7"/>
  <c r="Q986" i="7"/>
  <c r="P986" i="7"/>
  <c r="O986" i="7"/>
  <c r="N986" i="7"/>
  <c r="Q985" i="7"/>
  <c r="P985" i="7"/>
  <c r="O985" i="7"/>
  <c r="N985" i="7"/>
  <c r="Q984" i="7"/>
  <c r="P984" i="7"/>
  <c r="O984" i="7"/>
  <c r="N984" i="7"/>
  <c r="Q983" i="7"/>
  <c r="P983" i="7"/>
  <c r="O983" i="7"/>
  <c r="N983" i="7"/>
  <c r="Q982" i="7"/>
  <c r="P982" i="7"/>
  <c r="O982" i="7"/>
  <c r="N982" i="7"/>
  <c r="Q981" i="7"/>
  <c r="P981" i="7"/>
  <c r="O981" i="7"/>
  <c r="N981" i="7"/>
  <c r="Q980" i="7"/>
  <c r="P980" i="7"/>
  <c r="O980" i="7"/>
  <c r="N980" i="7"/>
  <c r="Q979" i="7"/>
  <c r="P979" i="7"/>
  <c r="O979" i="7"/>
  <c r="N979" i="7"/>
  <c r="Q978" i="7"/>
  <c r="P978" i="7"/>
  <c r="O978" i="7"/>
  <c r="N978" i="7"/>
  <c r="Q977" i="7"/>
  <c r="P977" i="7"/>
  <c r="O977" i="7"/>
  <c r="N977" i="7"/>
  <c r="Q976" i="7"/>
  <c r="P976" i="7"/>
  <c r="O976" i="7"/>
  <c r="N976" i="7"/>
  <c r="Q975" i="7"/>
  <c r="P975" i="7"/>
  <c r="O975" i="7"/>
  <c r="N975" i="7"/>
  <c r="Q974" i="7"/>
  <c r="P974" i="7"/>
  <c r="O974" i="7"/>
  <c r="N974" i="7"/>
  <c r="Q973" i="7"/>
  <c r="P973" i="7"/>
  <c r="O973" i="7"/>
  <c r="N973" i="7"/>
  <c r="Q972" i="7"/>
  <c r="P972" i="7"/>
  <c r="O972" i="7"/>
  <c r="N972" i="7"/>
  <c r="Q971" i="7"/>
  <c r="P971" i="7"/>
  <c r="O971" i="7"/>
  <c r="N971" i="7"/>
  <c r="Q970" i="7"/>
  <c r="P970" i="7"/>
  <c r="O970" i="7"/>
  <c r="N970" i="7"/>
  <c r="Q969" i="7"/>
  <c r="P969" i="7"/>
  <c r="O969" i="7"/>
  <c r="N969" i="7"/>
  <c r="Q968" i="7"/>
  <c r="P968" i="7"/>
  <c r="O968" i="7"/>
  <c r="N968" i="7"/>
  <c r="Q967" i="7"/>
  <c r="P967" i="7"/>
  <c r="O967" i="7"/>
  <c r="N967" i="7"/>
  <c r="Q966" i="7"/>
  <c r="P966" i="7"/>
  <c r="O966" i="7"/>
  <c r="N966" i="7"/>
  <c r="Q965" i="7"/>
  <c r="P965" i="7"/>
  <c r="O965" i="7"/>
  <c r="N965" i="7"/>
  <c r="Q964" i="7"/>
  <c r="P964" i="7"/>
  <c r="O964" i="7"/>
  <c r="N964" i="7"/>
  <c r="Q963" i="7"/>
  <c r="P963" i="7"/>
  <c r="O963" i="7"/>
  <c r="N963" i="7"/>
  <c r="Q962" i="7"/>
  <c r="P962" i="7"/>
  <c r="O962" i="7"/>
  <c r="N962" i="7"/>
  <c r="Q961" i="7"/>
  <c r="P961" i="7"/>
  <c r="O961" i="7"/>
  <c r="N961" i="7"/>
  <c r="Q960" i="7"/>
  <c r="P960" i="7"/>
  <c r="O960" i="7"/>
  <c r="N960" i="7"/>
  <c r="Q959" i="7"/>
  <c r="P959" i="7"/>
  <c r="O959" i="7"/>
  <c r="N959" i="7"/>
  <c r="Q958" i="7"/>
  <c r="P958" i="7"/>
  <c r="O958" i="7"/>
  <c r="N958" i="7"/>
  <c r="Q957" i="7"/>
  <c r="P957" i="7"/>
  <c r="O957" i="7"/>
  <c r="N957" i="7"/>
  <c r="Q956" i="7"/>
  <c r="P956" i="7"/>
  <c r="O956" i="7"/>
  <c r="N956" i="7"/>
  <c r="Q955" i="7"/>
  <c r="P955" i="7"/>
  <c r="O955" i="7"/>
  <c r="N955" i="7"/>
  <c r="Q954" i="7"/>
  <c r="P954" i="7"/>
  <c r="O954" i="7"/>
  <c r="N954" i="7"/>
  <c r="Q953" i="7"/>
  <c r="P953" i="7"/>
  <c r="O953" i="7"/>
  <c r="N953" i="7"/>
  <c r="Q952" i="7"/>
  <c r="P952" i="7"/>
  <c r="O952" i="7"/>
  <c r="N952" i="7"/>
  <c r="Q951" i="7"/>
  <c r="P951" i="7"/>
  <c r="O951" i="7"/>
  <c r="N951" i="7"/>
  <c r="Q950" i="7"/>
  <c r="P950" i="7"/>
  <c r="O950" i="7"/>
  <c r="N950" i="7"/>
  <c r="Q949" i="7"/>
  <c r="P949" i="7"/>
  <c r="O949" i="7"/>
  <c r="N949" i="7"/>
  <c r="Q948" i="7"/>
  <c r="P948" i="7"/>
  <c r="O948" i="7"/>
  <c r="N948" i="7"/>
  <c r="Q947" i="7"/>
  <c r="P947" i="7"/>
  <c r="O947" i="7"/>
  <c r="N947" i="7"/>
  <c r="Q946" i="7"/>
  <c r="P946" i="7"/>
  <c r="O946" i="7"/>
  <c r="N946" i="7"/>
  <c r="Q945" i="7"/>
  <c r="P945" i="7"/>
  <c r="O945" i="7"/>
  <c r="N945" i="7"/>
  <c r="Q944" i="7"/>
  <c r="P944" i="7"/>
  <c r="O944" i="7"/>
  <c r="N944" i="7"/>
  <c r="Q943" i="7"/>
  <c r="P943" i="7"/>
  <c r="O943" i="7"/>
  <c r="N943" i="7"/>
  <c r="Q942" i="7"/>
  <c r="P942" i="7"/>
  <c r="O942" i="7"/>
  <c r="N942" i="7"/>
  <c r="Q941" i="7"/>
  <c r="P941" i="7"/>
  <c r="O941" i="7"/>
  <c r="N941" i="7"/>
  <c r="Q940" i="7"/>
  <c r="P940" i="7"/>
  <c r="O940" i="7"/>
  <c r="N940" i="7"/>
  <c r="Q939" i="7"/>
  <c r="P939" i="7"/>
  <c r="O939" i="7"/>
  <c r="N939" i="7"/>
  <c r="Q938" i="7"/>
  <c r="P938" i="7"/>
  <c r="O938" i="7"/>
  <c r="N938" i="7"/>
  <c r="Q937" i="7"/>
  <c r="P937" i="7"/>
  <c r="O937" i="7"/>
  <c r="N937" i="7"/>
  <c r="Q936" i="7"/>
  <c r="P936" i="7"/>
  <c r="O936" i="7"/>
  <c r="N936" i="7"/>
  <c r="Q935" i="7"/>
  <c r="P935" i="7"/>
  <c r="O935" i="7"/>
  <c r="N935" i="7"/>
  <c r="Q934" i="7"/>
  <c r="P934" i="7"/>
  <c r="O934" i="7"/>
  <c r="N934" i="7"/>
  <c r="Q933" i="7"/>
  <c r="P933" i="7"/>
  <c r="O933" i="7"/>
  <c r="N933" i="7"/>
  <c r="Q932" i="7"/>
  <c r="P932" i="7"/>
  <c r="O932" i="7"/>
  <c r="N932" i="7"/>
  <c r="Q931" i="7"/>
  <c r="P931" i="7"/>
  <c r="O931" i="7"/>
  <c r="N931" i="7"/>
  <c r="Q930" i="7"/>
  <c r="P930" i="7"/>
  <c r="O930" i="7"/>
  <c r="N930" i="7"/>
  <c r="Q929" i="7"/>
  <c r="P929" i="7"/>
  <c r="O929" i="7"/>
  <c r="N929" i="7"/>
  <c r="Q928" i="7"/>
  <c r="P928" i="7"/>
  <c r="O928" i="7"/>
  <c r="N928" i="7"/>
  <c r="Q927" i="7"/>
  <c r="P927" i="7"/>
  <c r="O927" i="7"/>
  <c r="N927" i="7"/>
  <c r="Q926" i="7"/>
  <c r="P926" i="7"/>
  <c r="O926" i="7"/>
  <c r="N926" i="7"/>
  <c r="Q925" i="7"/>
  <c r="P925" i="7"/>
  <c r="O925" i="7"/>
  <c r="N925" i="7"/>
  <c r="Q924" i="7"/>
  <c r="P924" i="7"/>
  <c r="O924" i="7"/>
  <c r="N924" i="7"/>
  <c r="Q923" i="7"/>
  <c r="P923" i="7"/>
  <c r="O923" i="7"/>
  <c r="N923" i="7"/>
  <c r="Q922" i="7"/>
  <c r="P922" i="7"/>
  <c r="O922" i="7"/>
  <c r="N922" i="7"/>
  <c r="Q921" i="7"/>
  <c r="P921" i="7"/>
  <c r="O921" i="7"/>
  <c r="N921" i="7"/>
  <c r="Q920" i="7"/>
  <c r="P920" i="7"/>
  <c r="O920" i="7"/>
  <c r="N920" i="7"/>
  <c r="Q919" i="7"/>
  <c r="P919" i="7"/>
  <c r="O919" i="7"/>
  <c r="N919" i="7"/>
  <c r="Q918" i="7"/>
  <c r="P918" i="7"/>
  <c r="O918" i="7"/>
  <c r="N918" i="7"/>
  <c r="Q917" i="7"/>
  <c r="P917" i="7"/>
  <c r="O917" i="7"/>
  <c r="N917" i="7"/>
  <c r="Q916" i="7"/>
  <c r="P916" i="7"/>
  <c r="O916" i="7"/>
  <c r="N916" i="7"/>
  <c r="Q915" i="7"/>
  <c r="P915" i="7"/>
  <c r="O915" i="7"/>
  <c r="N915" i="7"/>
  <c r="Q914" i="7"/>
  <c r="P914" i="7"/>
  <c r="O914" i="7"/>
  <c r="N914" i="7"/>
  <c r="Q913" i="7"/>
  <c r="P913" i="7"/>
  <c r="O913" i="7"/>
  <c r="N913" i="7"/>
  <c r="Q912" i="7"/>
  <c r="P912" i="7"/>
  <c r="O912" i="7"/>
  <c r="N912" i="7"/>
  <c r="Q911" i="7"/>
  <c r="P911" i="7"/>
  <c r="O911" i="7"/>
  <c r="N911" i="7"/>
  <c r="Q910" i="7"/>
  <c r="P910" i="7"/>
  <c r="O910" i="7"/>
  <c r="N910" i="7"/>
  <c r="Q909" i="7"/>
  <c r="P909" i="7"/>
  <c r="O909" i="7"/>
  <c r="N909" i="7"/>
  <c r="Q908" i="7"/>
  <c r="P908" i="7"/>
  <c r="O908" i="7"/>
  <c r="N908" i="7"/>
  <c r="Q907" i="7"/>
  <c r="P907" i="7"/>
  <c r="O907" i="7"/>
  <c r="N907" i="7"/>
  <c r="Q906" i="7"/>
  <c r="P906" i="7"/>
  <c r="O906" i="7"/>
  <c r="N906" i="7"/>
  <c r="Q905" i="7"/>
  <c r="P905" i="7"/>
  <c r="O905" i="7"/>
  <c r="N905" i="7"/>
  <c r="Q904" i="7"/>
  <c r="P904" i="7"/>
  <c r="O904" i="7"/>
  <c r="N904" i="7"/>
  <c r="Q903" i="7"/>
  <c r="P903" i="7"/>
  <c r="O903" i="7"/>
  <c r="N903" i="7"/>
  <c r="Q902" i="7"/>
  <c r="P902" i="7"/>
  <c r="O902" i="7"/>
  <c r="N902" i="7"/>
  <c r="Q901" i="7"/>
  <c r="P901" i="7"/>
  <c r="O901" i="7"/>
  <c r="N901" i="7"/>
  <c r="Q900" i="7"/>
  <c r="P900" i="7"/>
  <c r="O900" i="7"/>
  <c r="N900" i="7"/>
  <c r="Q899" i="7"/>
  <c r="P899" i="7"/>
  <c r="O899" i="7"/>
  <c r="N899" i="7"/>
  <c r="Q898" i="7"/>
  <c r="P898" i="7"/>
  <c r="O898" i="7"/>
  <c r="N898" i="7"/>
  <c r="Q897" i="7"/>
  <c r="P897" i="7"/>
  <c r="O897" i="7"/>
  <c r="N897" i="7"/>
  <c r="Q896" i="7"/>
  <c r="P896" i="7"/>
  <c r="O896" i="7"/>
  <c r="N896" i="7"/>
  <c r="Q895" i="7"/>
  <c r="P895" i="7"/>
  <c r="O895" i="7"/>
  <c r="N895" i="7"/>
  <c r="Q894" i="7"/>
  <c r="P894" i="7"/>
  <c r="O894" i="7"/>
  <c r="N894" i="7"/>
  <c r="Q893" i="7"/>
  <c r="P893" i="7"/>
  <c r="O893" i="7"/>
  <c r="N893" i="7"/>
  <c r="Q892" i="7"/>
  <c r="P892" i="7"/>
  <c r="O892" i="7"/>
  <c r="N892" i="7"/>
  <c r="Q891" i="7"/>
  <c r="P891" i="7"/>
  <c r="O891" i="7"/>
  <c r="N891" i="7"/>
  <c r="Q890" i="7"/>
  <c r="P890" i="7"/>
  <c r="O890" i="7"/>
  <c r="N890" i="7"/>
  <c r="Q889" i="7"/>
  <c r="P889" i="7"/>
  <c r="O889" i="7"/>
  <c r="N889" i="7"/>
  <c r="Q888" i="7"/>
  <c r="P888" i="7"/>
  <c r="O888" i="7"/>
  <c r="N888" i="7"/>
  <c r="Q887" i="7"/>
  <c r="P887" i="7"/>
  <c r="O887" i="7"/>
  <c r="N887" i="7"/>
  <c r="Q886" i="7"/>
  <c r="P886" i="7"/>
  <c r="O886" i="7"/>
  <c r="N886" i="7"/>
  <c r="Q885" i="7"/>
  <c r="P885" i="7"/>
  <c r="O885" i="7"/>
  <c r="N885" i="7"/>
  <c r="Q884" i="7"/>
  <c r="P884" i="7"/>
  <c r="O884" i="7"/>
  <c r="N884" i="7"/>
  <c r="Q883" i="7"/>
  <c r="P883" i="7"/>
  <c r="O883" i="7"/>
  <c r="N883" i="7"/>
  <c r="Q882" i="7"/>
  <c r="P882" i="7"/>
  <c r="O882" i="7"/>
  <c r="N882" i="7"/>
  <c r="Q881" i="7"/>
  <c r="P881" i="7"/>
  <c r="O881" i="7"/>
  <c r="N881" i="7"/>
  <c r="Q880" i="7"/>
  <c r="P880" i="7"/>
  <c r="O880" i="7"/>
  <c r="N880" i="7"/>
  <c r="Q879" i="7"/>
  <c r="P879" i="7"/>
  <c r="O879" i="7"/>
  <c r="N879" i="7"/>
  <c r="Q878" i="7"/>
  <c r="P878" i="7"/>
  <c r="O878" i="7"/>
  <c r="N878" i="7"/>
  <c r="Q877" i="7"/>
  <c r="P877" i="7"/>
  <c r="O877" i="7"/>
  <c r="N877" i="7"/>
  <c r="Q876" i="7"/>
  <c r="P876" i="7"/>
  <c r="O876" i="7"/>
  <c r="N876" i="7"/>
  <c r="Q875" i="7"/>
  <c r="P875" i="7"/>
  <c r="O875" i="7"/>
  <c r="N875" i="7"/>
  <c r="Q874" i="7"/>
  <c r="P874" i="7"/>
  <c r="O874" i="7"/>
  <c r="N874" i="7"/>
  <c r="Q873" i="7"/>
  <c r="P873" i="7"/>
  <c r="O873" i="7"/>
  <c r="N873" i="7"/>
  <c r="Q872" i="7"/>
  <c r="P872" i="7"/>
  <c r="O872" i="7"/>
  <c r="N872" i="7"/>
  <c r="Q871" i="7"/>
  <c r="P871" i="7"/>
  <c r="O871" i="7"/>
  <c r="N871" i="7"/>
  <c r="Q870" i="7"/>
  <c r="P870" i="7"/>
  <c r="O870" i="7"/>
  <c r="N870" i="7"/>
  <c r="Q869" i="7"/>
  <c r="P869" i="7"/>
  <c r="O869" i="7"/>
  <c r="N869" i="7"/>
  <c r="Q868" i="7"/>
  <c r="P868" i="7"/>
  <c r="O868" i="7"/>
  <c r="N868" i="7"/>
  <c r="Q867" i="7"/>
  <c r="P867" i="7"/>
  <c r="O867" i="7"/>
  <c r="N867" i="7"/>
  <c r="Q866" i="7"/>
  <c r="P866" i="7"/>
  <c r="O866" i="7"/>
  <c r="N866" i="7"/>
  <c r="Q865" i="7"/>
  <c r="P865" i="7"/>
  <c r="O865" i="7"/>
  <c r="N865" i="7"/>
  <c r="Q864" i="7"/>
  <c r="P864" i="7"/>
  <c r="O864" i="7"/>
  <c r="N864" i="7"/>
  <c r="Q863" i="7"/>
  <c r="P863" i="7"/>
  <c r="O863" i="7"/>
  <c r="N863" i="7"/>
  <c r="Q862" i="7"/>
  <c r="P862" i="7"/>
  <c r="O862" i="7"/>
  <c r="N862" i="7"/>
  <c r="Q861" i="7"/>
  <c r="P861" i="7"/>
  <c r="O861" i="7"/>
  <c r="N861" i="7"/>
  <c r="Q860" i="7"/>
  <c r="P860" i="7"/>
  <c r="O860" i="7"/>
  <c r="N860" i="7"/>
  <c r="Q859" i="7"/>
  <c r="P859" i="7"/>
  <c r="O859" i="7"/>
  <c r="N859" i="7"/>
  <c r="Q858" i="7"/>
  <c r="P858" i="7"/>
  <c r="O858" i="7"/>
  <c r="N858" i="7"/>
  <c r="Q857" i="7"/>
  <c r="P857" i="7"/>
  <c r="O857" i="7"/>
  <c r="N857" i="7"/>
  <c r="Q856" i="7"/>
  <c r="P856" i="7"/>
  <c r="O856" i="7"/>
  <c r="N856" i="7"/>
  <c r="Q855" i="7"/>
  <c r="P855" i="7"/>
  <c r="O855" i="7"/>
  <c r="N855" i="7"/>
  <c r="Q854" i="7"/>
  <c r="P854" i="7"/>
  <c r="O854" i="7"/>
  <c r="N854" i="7"/>
  <c r="Q853" i="7"/>
  <c r="P853" i="7"/>
  <c r="O853" i="7"/>
  <c r="N853" i="7"/>
  <c r="Q852" i="7"/>
  <c r="P852" i="7"/>
  <c r="O852" i="7"/>
  <c r="N852" i="7"/>
  <c r="Q851" i="7"/>
  <c r="P851" i="7"/>
  <c r="O851" i="7"/>
  <c r="N851" i="7"/>
  <c r="Q850" i="7"/>
  <c r="P850" i="7"/>
  <c r="O850" i="7"/>
  <c r="N850" i="7"/>
  <c r="Q849" i="7"/>
  <c r="P849" i="7"/>
  <c r="O849" i="7"/>
  <c r="N849" i="7"/>
  <c r="Q848" i="7"/>
  <c r="P848" i="7"/>
  <c r="O848" i="7"/>
  <c r="N848" i="7"/>
  <c r="Q847" i="7"/>
  <c r="P847" i="7"/>
  <c r="O847" i="7"/>
  <c r="N847" i="7"/>
  <c r="Q846" i="7"/>
  <c r="P846" i="7"/>
  <c r="O846" i="7"/>
  <c r="N846" i="7"/>
  <c r="Q845" i="7"/>
  <c r="P845" i="7"/>
  <c r="O845" i="7"/>
  <c r="N845" i="7"/>
  <c r="Q844" i="7"/>
  <c r="P844" i="7"/>
  <c r="O844" i="7"/>
  <c r="N844" i="7"/>
  <c r="Q843" i="7"/>
  <c r="P843" i="7"/>
  <c r="O843" i="7"/>
  <c r="N843" i="7"/>
  <c r="Q842" i="7"/>
  <c r="P842" i="7"/>
  <c r="O842" i="7"/>
  <c r="N842" i="7"/>
  <c r="Q841" i="7"/>
  <c r="P841" i="7"/>
  <c r="O841" i="7"/>
  <c r="N841" i="7"/>
  <c r="Q840" i="7"/>
  <c r="P840" i="7"/>
  <c r="O840" i="7"/>
  <c r="N840" i="7"/>
  <c r="Q839" i="7"/>
  <c r="P839" i="7"/>
  <c r="O839" i="7"/>
  <c r="N839" i="7"/>
  <c r="Q838" i="7"/>
  <c r="P838" i="7"/>
  <c r="O838" i="7"/>
  <c r="N838" i="7"/>
  <c r="Q837" i="7"/>
  <c r="P837" i="7"/>
  <c r="O837" i="7"/>
  <c r="N837" i="7"/>
  <c r="Q836" i="7"/>
  <c r="P836" i="7"/>
  <c r="O836" i="7"/>
  <c r="N836" i="7"/>
  <c r="Q835" i="7"/>
  <c r="P835" i="7"/>
  <c r="O835" i="7"/>
  <c r="N835" i="7"/>
  <c r="Q834" i="7"/>
  <c r="P834" i="7"/>
  <c r="O834" i="7"/>
  <c r="N834" i="7"/>
  <c r="Q833" i="7"/>
  <c r="P833" i="7"/>
  <c r="O833" i="7"/>
  <c r="N833" i="7"/>
  <c r="Q832" i="7"/>
  <c r="P832" i="7"/>
  <c r="O832" i="7"/>
  <c r="N832" i="7"/>
  <c r="Q831" i="7"/>
  <c r="P831" i="7"/>
  <c r="O831" i="7"/>
  <c r="N831" i="7"/>
  <c r="Q830" i="7"/>
  <c r="P830" i="7"/>
  <c r="O830" i="7"/>
  <c r="N830" i="7"/>
  <c r="Q829" i="7"/>
  <c r="P829" i="7"/>
  <c r="O829" i="7"/>
  <c r="N829" i="7"/>
  <c r="Q828" i="7"/>
  <c r="P828" i="7"/>
  <c r="O828" i="7"/>
  <c r="N828" i="7"/>
  <c r="Q827" i="7"/>
  <c r="P827" i="7"/>
  <c r="O827" i="7"/>
  <c r="N827" i="7"/>
  <c r="Q826" i="7"/>
  <c r="P826" i="7"/>
  <c r="O826" i="7"/>
  <c r="N826" i="7"/>
  <c r="Q825" i="7"/>
  <c r="P825" i="7"/>
  <c r="O825" i="7"/>
  <c r="N825" i="7"/>
  <c r="Q824" i="7"/>
  <c r="P824" i="7"/>
  <c r="O824" i="7"/>
  <c r="N824" i="7"/>
  <c r="Q823" i="7"/>
  <c r="P823" i="7"/>
  <c r="O823" i="7"/>
  <c r="N823" i="7"/>
  <c r="Q822" i="7"/>
  <c r="P822" i="7"/>
  <c r="O822" i="7"/>
  <c r="N822" i="7"/>
  <c r="Q821" i="7"/>
  <c r="P821" i="7"/>
  <c r="O821" i="7"/>
  <c r="N821" i="7"/>
  <c r="Q820" i="7"/>
  <c r="P820" i="7"/>
  <c r="O820" i="7"/>
  <c r="N820" i="7"/>
  <c r="Q819" i="7"/>
  <c r="P819" i="7"/>
  <c r="O819" i="7"/>
  <c r="N819" i="7"/>
  <c r="Q818" i="7"/>
  <c r="P818" i="7"/>
  <c r="O818" i="7"/>
  <c r="N818" i="7"/>
  <c r="Q817" i="7"/>
  <c r="P817" i="7"/>
  <c r="O817" i="7"/>
  <c r="N817" i="7"/>
  <c r="Q816" i="7"/>
  <c r="P816" i="7"/>
  <c r="O816" i="7"/>
  <c r="N816" i="7"/>
  <c r="Q815" i="7"/>
  <c r="P815" i="7"/>
  <c r="O815" i="7"/>
  <c r="N815" i="7"/>
  <c r="Q814" i="7"/>
  <c r="P814" i="7"/>
  <c r="O814" i="7"/>
  <c r="N814" i="7"/>
  <c r="Q813" i="7"/>
  <c r="P813" i="7"/>
  <c r="O813" i="7"/>
  <c r="N813" i="7"/>
  <c r="Q812" i="7"/>
  <c r="P812" i="7"/>
  <c r="O812" i="7"/>
  <c r="N812" i="7"/>
  <c r="Q811" i="7"/>
  <c r="P811" i="7"/>
  <c r="O811" i="7"/>
  <c r="N811" i="7"/>
  <c r="Q810" i="7"/>
  <c r="P810" i="7"/>
  <c r="O810" i="7"/>
  <c r="N810" i="7"/>
  <c r="Q809" i="7"/>
  <c r="P809" i="7"/>
  <c r="O809" i="7"/>
  <c r="N809" i="7"/>
  <c r="Q808" i="7"/>
  <c r="P808" i="7"/>
  <c r="O808" i="7"/>
  <c r="N808" i="7"/>
  <c r="Q807" i="7"/>
  <c r="P807" i="7"/>
  <c r="O807" i="7"/>
  <c r="N807" i="7"/>
  <c r="Q806" i="7"/>
  <c r="P806" i="7"/>
  <c r="O806" i="7"/>
  <c r="N806" i="7"/>
  <c r="Q805" i="7"/>
  <c r="P805" i="7"/>
  <c r="O805" i="7"/>
  <c r="N805" i="7"/>
  <c r="Q804" i="7"/>
  <c r="P804" i="7"/>
  <c r="O804" i="7"/>
  <c r="N804" i="7"/>
  <c r="Q803" i="7"/>
  <c r="P803" i="7"/>
  <c r="O803" i="7"/>
  <c r="N803" i="7"/>
  <c r="Q802" i="7"/>
  <c r="P802" i="7"/>
  <c r="O802" i="7"/>
  <c r="N802" i="7"/>
  <c r="Q801" i="7"/>
  <c r="P801" i="7"/>
  <c r="O801" i="7"/>
  <c r="N801" i="7"/>
  <c r="Q800" i="7"/>
  <c r="P800" i="7"/>
  <c r="O800" i="7"/>
  <c r="N800" i="7"/>
  <c r="Q799" i="7"/>
  <c r="P799" i="7"/>
  <c r="O799" i="7"/>
  <c r="N799" i="7"/>
  <c r="Q798" i="7"/>
  <c r="P798" i="7"/>
  <c r="O798" i="7"/>
  <c r="N798" i="7"/>
  <c r="Q797" i="7"/>
  <c r="P797" i="7"/>
  <c r="O797" i="7"/>
  <c r="N797" i="7"/>
  <c r="Q796" i="7"/>
  <c r="P796" i="7"/>
  <c r="O796" i="7"/>
  <c r="N796" i="7"/>
  <c r="Q795" i="7"/>
  <c r="P795" i="7"/>
  <c r="O795" i="7"/>
  <c r="N795" i="7"/>
  <c r="Q794" i="7"/>
  <c r="P794" i="7"/>
  <c r="O794" i="7"/>
  <c r="N794" i="7"/>
  <c r="Q793" i="7"/>
  <c r="P793" i="7"/>
  <c r="O793" i="7"/>
  <c r="N793" i="7"/>
  <c r="Q792" i="7"/>
  <c r="P792" i="7"/>
  <c r="O792" i="7"/>
  <c r="N792" i="7"/>
  <c r="Q791" i="7"/>
  <c r="P791" i="7"/>
  <c r="O791" i="7"/>
  <c r="N791" i="7"/>
  <c r="Q790" i="7"/>
  <c r="P790" i="7"/>
  <c r="O790" i="7"/>
  <c r="N790" i="7"/>
  <c r="Q789" i="7"/>
  <c r="P789" i="7"/>
  <c r="O789" i="7"/>
  <c r="N789" i="7"/>
  <c r="Q788" i="7"/>
  <c r="P788" i="7"/>
  <c r="O788" i="7"/>
  <c r="N788" i="7"/>
  <c r="Q787" i="7"/>
  <c r="P787" i="7"/>
  <c r="O787" i="7"/>
  <c r="N787" i="7"/>
  <c r="Q786" i="7"/>
  <c r="P786" i="7"/>
  <c r="O786" i="7"/>
  <c r="N786" i="7"/>
  <c r="Q785" i="7"/>
  <c r="P785" i="7"/>
  <c r="O785" i="7"/>
  <c r="N785" i="7"/>
  <c r="Q784" i="7"/>
  <c r="P784" i="7"/>
  <c r="O784" i="7"/>
  <c r="N784" i="7"/>
  <c r="Q783" i="7"/>
  <c r="P783" i="7"/>
  <c r="O783" i="7"/>
  <c r="N783" i="7"/>
  <c r="Q782" i="7"/>
  <c r="P782" i="7"/>
  <c r="O782" i="7"/>
  <c r="N782" i="7"/>
  <c r="Q781" i="7"/>
  <c r="P781" i="7"/>
  <c r="O781" i="7"/>
  <c r="N781" i="7"/>
  <c r="Q780" i="7"/>
  <c r="P780" i="7"/>
  <c r="O780" i="7"/>
  <c r="N780" i="7"/>
  <c r="Q779" i="7"/>
  <c r="P779" i="7"/>
  <c r="O779" i="7"/>
  <c r="N779" i="7"/>
  <c r="Q778" i="7"/>
  <c r="P778" i="7"/>
  <c r="O778" i="7"/>
  <c r="N778" i="7"/>
  <c r="Q777" i="7"/>
  <c r="P777" i="7"/>
  <c r="O777" i="7"/>
  <c r="N777" i="7"/>
  <c r="Q776" i="7"/>
  <c r="P776" i="7"/>
  <c r="O776" i="7"/>
  <c r="N776" i="7"/>
  <c r="Q775" i="7"/>
  <c r="P775" i="7"/>
  <c r="O775" i="7"/>
  <c r="N775" i="7"/>
  <c r="Q774" i="7"/>
  <c r="P774" i="7"/>
  <c r="O774" i="7"/>
  <c r="N774" i="7"/>
  <c r="Q773" i="7"/>
  <c r="P773" i="7"/>
  <c r="O773" i="7"/>
  <c r="N773" i="7"/>
  <c r="Q772" i="7"/>
  <c r="P772" i="7"/>
  <c r="O772" i="7"/>
  <c r="N772" i="7"/>
  <c r="Q771" i="7"/>
  <c r="P771" i="7"/>
  <c r="O771" i="7"/>
  <c r="N771" i="7"/>
  <c r="Q770" i="7"/>
  <c r="P770" i="7"/>
  <c r="O770" i="7"/>
  <c r="N770" i="7"/>
  <c r="Q769" i="7"/>
  <c r="P769" i="7"/>
  <c r="O769" i="7"/>
  <c r="N769" i="7"/>
  <c r="Q768" i="7"/>
  <c r="P768" i="7"/>
  <c r="O768" i="7"/>
  <c r="N768" i="7"/>
  <c r="Q767" i="7"/>
  <c r="P767" i="7"/>
  <c r="O767" i="7"/>
  <c r="N767" i="7"/>
  <c r="Q766" i="7"/>
  <c r="P766" i="7"/>
  <c r="O766" i="7"/>
  <c r="N766" i="7"/>
  <c r="Q765" i="7"/>
  <c r="P765" i="7"/>
  <c r="O765" i="7"/>
  <c r="N765" i="7"/>
  <c r="Q764" i="7"/>
  <c r="P764" i="7"/>
  <c r="O764" i="7"/>
  <c r="N764" i="7"/>
  <c r="Q763" i="7"/>
  <c r="P763" i="7"/>
  <c r="O763" i="7"/>
  <c r="N763" i="7"/>
  <c r="Q762" i="7"/>
  <c r="P762" i="7"/>
  <c r="O762" i="7"/>
  <c r="N762" i="7"/>
  <c r="Q761" i="7"/>
  <c r="P761" i="7"/>
  <c r="O761" i="7"/>
  <c r="N761" i="7"/>
  <c r="Q760" i="7"/>
  <c r="P760" i="7"/>
  <c r="O760" i="7"/>
  <c r="N760" i="7"/>
  <c r="Q759" i="7"/>
  <c r="P759" i="7"/>
  <c r="O759" i="7"/>
  <c r="N759" i="7"/>
  <c r="Q758" i="7"/>
  <c r="P758" i="7"/>
  <c r="O758" i="7"/>
  <c r="N758" i="7"/>
  <c r="Q757" i="7"/>
  <c r="P757" i="7"/>
  <c r="O757" i="7"/>
  <c r="N757" i="7"/>
  <c r="Q756" i="7"/>
  <c r="P756" i="7"/>
  <c r="O756" i="7"/>
  <c r="N756" i="7"/>
  <c r="Q755" i="7"/>
  <c r="P755" i="7"/>
  <c r="O755" i="7"/>
  <c r="N755" i="7"/>
  <c r="Q754" i="7"/>
  <c r="P754" i="7"/>
  <c r="O754" i="7"/>
  <c r="N754" i="7"/>
  <c r="Q753" i="7"/>
  <c r="P753" i="7"/>
  <c r="O753" i="7"/>
  <c r="N753" i="7"/>
  <c r="Q752" i="7"/>
  <c r="P752" i="7"/>
  <c r="O752" i="7"/>
  <c r="N752" i="7"/>
  <c r="Q751" i="7"/>
  <c r="P751" i="7"/>
  <c r="O751" i="7"/>
  <c r="N751" i="7"/>
  <c r="Q750" i="7"/>
  <c r="P750" i="7"/>
  <c r="O750" i="7"/>
  <c r="N750" i="7"/>
  <c r="Q749" i="7"/>
  <c r="P749" i="7"/>
  <c r="O749" i="7"/>
  <c r="N749" i="7"/>
  <c r="Q748" i="7"/>
  <c r="P748" i="7"/>
  <c r="O748" i="7"/>
  <c r="N748" i="7"/>
  <c r="Q747" i="7"/>
  <c r="P747" i="7"/>
  <c r="O747" i="7"/>
  <c r="N747" i="7"/>
  <c r="Q746" i="7"/>
  <c r="P746" i="7"/>
  <c r="O746" i="7"/>
  <c r="N746" i="7"/>
  <c r="Q745" i="7"/>
  <c r="P745" i="7"/>
  <c r="O745" i="7"/>
  <c r="N745" i="7"/>
  <c r="Q744" i="7"/>
  <c r="P744" i="7"/>
  <c r="O744" i="7"/>
  <c r="N744" i="7"/>
  <c r="Q743" i="7"/>
  <c r="P743" i="7"/>
  <c r="O743" i="7"/>
  <c r="N743" i="7"/>
  <c r="Q742" i="7"/>
  <c r="P742" i="7"/>
  <c r="O742" i="7"/>
  <c r="N742" i="7"/>
  <c r="Q741" i="7"/>
  <c r="P741" i="7"/>
  <c r="O741" i="7"/>
  <c r="N741" i="7"/>
  <c r="Q740" i="7"/>
  <c r="P740" i="7"/>
  <c r="O740" i="7"/>
  <c r="N740" i="7"/>
  <c r="Q739" i="7"/>
  <c r="P739" i="7"/>
  <c r="O739" i="7"/>
  <c r="N739" i="7"/>
  <c r="Q738" i="7"/>
  <c r="P738" i="7"/>
  <c r="O738" i="7"/>
  <c r="N738" i="7"/>
  <c r="Q737" i="7"/>
  <c r="P737" i="7"/>
  <c r="O737" i="7"/>
  <c r="N737" i="7"/>
  <c r="Q736" i="7"/>
  <c r="P736" i="7"/>
  <c r="O736" i="7"/>
  <c r="N736" i="7"/>
  <c r="Q735" i="7"/>
  <c r="P735" i="7"/>
  <c r="O735" i="7"/>
  <c r="N735" i="7"/>
  <c r="Q734" i="7"/>
  <c r="P734" i="7"/>
  <c r="O734" i="7"/>
  <c r="N734" i="7"/>
  <c r="Q733" i="7"/>
  <c r="P733" i="7"/>
  <c r="O733" i="7"/>
  <c r="N733" i="7"/>
  <c r="Q732" i="7"/>
  <c r="P732" i="7"/>
  <c r="O732" i="7"/>
  <c r="N732" i="7"/>
  <c r="Q731" i="7"/>
  <c r="P731" i="7"/>
  <c r="O731" i="7"/>
  <c r="N731" i="7"/>
  <c r="Q730" i="7"/>
  <c r="P730" i="7"/>
  <c r="O730" i="7"/>
  <c r="N730" i="7"/>
  <c r="Q729" i="7"/>
  <c r="P729" i="7"/>
  <c r="O729" i="7"/>
  <c r="N729" i="7"/>
  <c r="Q728" i="7"/>
  <c r="P728" i="7"/>
  <c r="O728" i="7"/>
  <c r="N728" i="7"/>
  <c r="Q727" i="7"/>
  <c r="P727" i="7"/>
  <c r="O727" i="7"/>
  <c r="N727" i="7"/>
  <c r="Q726" i="7"/>
  <c r="P726" i="7"/>
  <c r="O726" i="7"/>
  <c r="N726" i="7"/>
  <c r="Q725" i="7"/>
  <c r="P725" i="7"/>
  <c r="O725" i="7"/>
  <c r="N725" i="7"/>
  <c r="Q724" i="7"/>
  <c r="P724" i="7"/>
  <c r="O724" i="7"/>
  <c r="N724" i="7"/>
  <c r="Q723" i="7"/>
  <c r="P723" i="7"/>
  <c r="O723" i="7"/>
  <c r="N723" i="7"/>
  <c r="Q722" i="7"/>
  <c r="P722" i="7"/>
  <c r="O722" i="7"/>
  <c r="N722" i="7"/>
  <c r="Q721" i="7"/>
  <c r="P721" i="7"/>
  <c r="O721" i="7"/>
  <c r="N721" i="7"/>
  <c r="Q720" i="7"/>
  <c r="P720" i="7"/>
  <c r="O720" i="7"/>
  <c r="N720" i="7"/>
  <c r="Q719" i="7"/>
  <c r="P719" i="7"/>
  <c r="O719" i="7"/>
  <c r="N719" i="7"/>
  <c r="Q718" i="7"/>
  <c r="P718" i="7"/>
  <c r="O718" i="7"/>
  <c r="N718" i="7"/>
  <c r="Q717" i="7"/>
  <c r="P717" i="7"/>
  <c r="O717" i="7"/>
  <c r="N717" i="7"/>
  <c r="Q716" i="7"/>
  <c r="P716" i="7"/>
  <c r="O716" i="7"/>
  <c r="N716" i="7"/>
  <c r="Q715" i="7"/>
  <c r="P715" i="7"/>
  <c r="O715" i="7"/>
  <c r="N715" i="7"/>
  <c r="Q714" i="7"/>
  <c r="P714" i="7"/>
  <c r="O714" i="7"/>
  <c r="N714" i="7"/>
  <c r="Q713" i="7"/>
  <c r="P713" i="7"/>
  <c r="O713" i="7"/>
  <c r="N713" i="7"/>
  <c r="Q712" i="7"/>
  <c r="P712" i="7"/>
  <c r="O712" i="7"/>
  <c r="N712" i="7"/>
  <c r="Q711" i="7"/>
  <c r="P711" i="7"/>
  <c r="O711" i="7"/>
  <c r="N711" i="7"/>
  <c r="Q710" i="7"/>
  <c r="P710" i="7"/>
  <c r="O710" i="7"/>
  <c r="N710" i="7"/>
  <c r="Q709" i="7"/>
  <c r="P709" i="7"/>
  <c r="O709" i="7"/>
  <c r="N709" i="7"/>
  <c r="Q708" i="7"/>
  <c r="P708" i="7"/>
  <c r="O708" i="7"/>
  <c r="N708" i="7"/>
  <c r="Q707" i="7"/>
  <c r="P707" i="7"/>
  <c r="O707" i="7"/>
  <c r="N707" i="7"/>
  <c r="Q706" i="7"/>
  <c r="P706" i="7"/>
  <c r="O706" i="7"/>
  <c r="N706" i="7"/>
  <c r="Q705" i="7"/>
  <c r="P705" i="7"/>
  <c r="O705" i="7"/>
  <c r="N705" i="7"/>
  <c r="Q704" i="7"/>
  <c r="P704" i="7"/>
  <c r="O704" i="7"/>
  <c r="N704" i="7"/>
  <c r="Q703" i="7"/>
  <c r="P703" i="7"/>
  <c r="O703" i="7"/>
  <c r="N703" i="7"/>
  <c r="Q702" i="7"/>
  <c r="P702" i="7"/>
  <c r="O702" i="7"/>
  <c r="N702" i="7"/>
  <c r="Q701" i="7"/>
  <c r="P701" i="7"/>
  <c r="O701" i="7"/>
  <c r="N701" i="7"/>
  <c r="Q700" i="7"/>
  <c r="P700" i="7"/>
  <c r="O700" i="7"/>
  <c r="N700" i="7"/>
  <c r="Q699" i="7"/>
  <c r="P699" i="7"/>
  <c r="O699" i="7"/>
  <c r="N699" i="7"/>
  <c r="Q698" i="7"/>
  <c r="P698" i="7"/>
  <c r="O698" i="7"/>
  <c r="N698" i="7"/>
  <c r="Q697" i="7"/>
  <c r="P697" i="7"/>
  <c r="O697" i="7"/>
  <c r="N697" i="7"/>
  <c r="Q696" i="7"/>
  <c r="P696" i="7"/>
  <c r="O696" i="7"/>
  <c r="N696" i="7"/>
  <c r="Q695" i="7"/>
  <c r="P695" i="7"/>
  <c r="O695" i="7"/>
  <c r="N695" i="7"/>
  <c r="Q694" i="7"/>
  <c r="P694" i="7"/>
  <c r="O694" i="7"/>
  <c r="N694" i="7"/>
  <c r="Q693" i="7"/>
  <c r="P693" i="7"/>
  <c r="O693" i="7"/>
  <c r="N693" i="7"/>
  <c r="Q692" i="7"/>
  <c r="P692" i="7"/>
  <c r="O692" i="7"/>
  <c r="N692" i="7"/>
  <c r="Q691" i="7"/>
  <c r="P691" i="7"/>
  <c r="O691" i="7"/>
  <c r="N691" i="7"/>
  <c r="Q690" i="7"/>
  <c r="P690" i="7"/>
  <c r="O690" i="7"/>
  <c r="N690" i="7"/>
  <c r="Q689" i="7"/>
  <c r="P689" i="7"/>
  <c r="O689" i="7"/>
  <c r="N689" i="7"/>
  <c r="Q688" i="7"/>
  <c r="P688" i="7"/>
  <c r="O688" i="7"/>
  <c r="N688" i="7"/>
  <c r="Q687" i="7"/>
  <c r="P687" i="7"/>
  <c r="O687" i="7"/>
  <c r="N687" i="7"/>
  <c r="Q686" i="7"/>
  <c r="P686" i="7"/>
  <c r="O686" i="7"/>
  <c r="N686" i="7"/>
  <c r="Q685" i="7"/>
  <c r="P685" i="7"/>
  <c r="O685" i="7"/>
  <c r="N685" i="7"/>
  <c r="Q684" i="7"/>
  <c r="P684" i="7"/>
  <c r="O684" i="7"/>
  <c r="N684" i="7"/>
  <c r="Q683" i="7"/>
  <c r="P683" i="7"/>
  <c r="O683" i="7"/>
  <c r="N683" i="7"/>
  <c r="Q682" i="7"/>
  <c r="P682" i="7"/>
  <c r="O682" i="7"/>
  <c r="N682" i="7"/>
  <c r="Q681" i="7"/>
  <c r="P681" i="7"/>
  <c r="O681" i="7"/>
  <c r="N681" i="7"/>
  <c r="Q680" i="7"/>
  <c r="P680" i="7"/>
  <c r="O680" i="7"/>
  <c r="N680" i="7"/>
  <c r="Q679" i="7"/>
  <c r="P679" i="7"/>
  <c r="O679" i="7"/>
  <c r="N679" i="7"/>
  <c r="Q678" i="7"/>
  <c r="P678" i="7"/>
  <c r="O678" i="7"/>
  <c r="N678" i="7"/>
  <c r="Q677" i="7"/>
  <c r="P677" i="7"/>
  <c r="O677" i="7"/>
  <c r="N677" i="7"/>
  <c r="Q676" i="7"/>
  <c r="P676" i="7"/>
  <c r="O676" i="7"/>
  <c r="N676" i="7"/>
  <c r="Q675" i="7"/>
  <c r="P675" i="7"/>
  <c r="O675" i="7"/>
  <c r="N675" i="7"/>
  <c r="Q674" i="7"/>
  <c r="P674" i="7"/>
  <c r="O674" i="7"/>
  <c r="N674" i="7"/>
  <c r="Q673" i="7"/>
  <c r="P673" i="7"/>
  <c r="O673" i="7"/>
  <c r="N673" i="7"/>
  <c r="Q672" i="7"/>
  <c r="P672" i="7"/>
  <c r="O672" i="7"/>
  <c r="N672" i="7"/>
  <c r="Q671" i="7"/>
  <c r="P671" i="7"/>
  <c r="O671" i="7"/>
  <c r="N671" i="7"/>
  <c r="Q670" i="7"/>
  <c r="P670" i="7"/>
  <c r="O670" i="7"/>
  <c r="N670" i="7"/>
  <c r="Q669" i="7"/>
  <c r="P669" i="7"/>
  <c r="O669" i="7"/>
  <c r="N669" i="7"/>
  <c r="Q668" i="7"/>
  <c r="P668" i="7"/>
  <c r="O668" i="7"/>
  <c r="N668" i="7"/>
  <c r="Q667" i="7"/>
  <c r="P667" i="7"/>
  <c r="O667" i="7"/>
  <c r="N667" i="7"/>
  <c r="Q666" i="7"/>
  <c r="P666" i="7"/>
  <c r="O666" i="7"/>
  <c r="N666" i="7"/>
  <c r="Q665" i="7"/>
  <c r="P665" i="7"/>
  <c r="O665" i="7"/>
  <c r="N665" i="7"/>
  <c r="Q664" i="7"/>
  <c r="P664" i="7"/>
  <c r="O664" i="7"/>
  <c r="N664" i="7"/>
  <c r="Q663" i="7"/>
  <c r="P663" i="7"/>
  <c r="O663" i="7"/>
  <c r="N663" i="7"/>
  <c r="Q662" i="7"/>
  <c r="P662" i="7"/>
  <c r="O662" i="7"/>
  <c r="N662" i="7"/>
  <c r="Q661" i="7"/>
  <c r="P661" i="7"/>
  <c r="O661" i="7"/>
  <c r="N661" i="7"/>
  <c r="Q660" i="7"/>
  <c r="P660" i="7"/>
  <c r="O660" i="7"/>
  <c r="N660" i="7"/>
  <c r="Q659" i="7"/>
  <c r="P659" i="7"/>
  <c r="O659" i="7"/>
  <c r="N659" i="7"/>
  <c r="Q658" i="7"/>
  <c r="P658" i="7"/>
  <c r="O658" i="7"/>
  <c r="N658" i="7"/>
  <c r="Q657" i="7"/>
  <c r="P657" i="7"/>
  <c r="O657" i="7"/>
  <c r="N657" i="7"/>
  <c r="Q656" i="7"/>
  <c r="P656" i="7"/>
  <c r="O656" i="7"/>
  <c r="N656" i="7"/>
  <c r="Q655" i="7"/>
  <c r="P655" i="7"/>
  <c r="O655" i="7"/>
  <c r="N655" i="7"/>
  <c r="Q654" i="7"/>
  <c r="P654" i="7"/>
  <c r="O654" i="7"/>
  <c r="N654" i="7"/>
  <c r="Q653" i="7"/>
  <c r="P653" i="7"/>
  <c r="O653" i="7"/>
  <c r="N653" i="7"/>
  <c r="Q652" i="7"/>
  <c r="P652" i="7"/>
  <c r="O652" i="7"/>
  <c r="N652" i="7"/>
  <c r="Q651" i="7"/>
  <c r="P651" i="7"/>
  <c r="O651" i="7"/>
  <c r="N651" i="7"/>
  <c r="Q650" i="7"/>
  <c r="P650" i="7"/>
  <c r="O650" i="7"/>
  <c r="N650" i="7"/>
  <c r="Q649" i="7"/>
  <c r="P649" i="7"/>
  <c r="O649" i="7"/>
  <c r="N649" i="7"/>
  <c r="Q648" i="7"/>
  <c r="P648" i="7"/>
  <c r="O648" i="7"/>
  <c r="N648" i="7"/>
  <c r="Q647" i="7"/>
  <c r="P647" i="7"/>
  <c r="O647" i="7"/>
  <c r="N647" i="7"/>
  <c r="Q646" i="7"/>
  <c r="P646" i="7"/>
  <c r="O646" i="7"/>
  <c r="N646" i="7"/>
  <c r="Q645" i="7"/>
  <c r="P645" i="7"/>
  <c r="O645" i="7"/>
  <c r="N645" i="7"/>
  <c r="Q644" i="7"/>
  <c r="P644" i="7"/>
  <c r="O644" i="7"/>
  <c r="N644" i="7"/>
  <c r="Q643" i="7"/>
  <c r="P643" i="7"/>
  <c r="O643" i="7"/>
  <c r="N643" i="7"/>
  <c r="Q642" i="7"/>
  <c r="P642" i="7"/>
  <c r="O642" i="7"/>
  <c r="N642" i="7"/>
  <c r="Q641" i="7"/>
  <c r="P641" i="7"/>
  <c r="O641" i="7"/>
  <c r="N641" i="7"/>
  <c r="Q640" i="7"/>
  <c r="P640" i="7"/>
  <c r="O640" i="7"/>
  <c r="N640" i="7"/>
  <c r="Q639" i="7"/>
  <c r="P639" i="7"/>
  <c r="O639" i="7"/>
  <c r="N639" i="7"/>
  <c r="Q638" i="7"/>
  <c r="P638" i="7"/>
  <c r="O638" i="7"/>
  <c r="N638" i="7"/>
  <c r="Q637" i="7"/>
  <c r="P637" i="7"/>
  <c r="O637" i="7"/>
  <c r="N637" i="7"/>
  <c r="Q636" i="7"/>
  <c r="P636" i="7"/>
  <c r="O636" i="7"/>
  <c r="N636" i="7"/>
  <c r="Q635" i="7"/>
  <c r="P635" i="7"/>
  <c r="O635" i="7"/>
  <c r="N635" i="7"/>
  <c r="Q634" i="7"/>
  <c r="P634" i="7"/>
  <c r="O634" i="7"/>
  <c r="N634" i="7"/>
  <c r="Q633" i="7"/>
  <c r="P633" i="7"/>
  <c r="O633" i="7"/>
  <c r="N633" i="7"/>
  <c r="Q632" i="7"/>
  <c r="P632" i="7"/>
  <c r="O632" i="7"/>
  <c r="N632" i="7"/>
  <c r="Q631" i="7"/>
  <c r="P631" i="7"/>
  <c r="O631" i="7"/>
  <c r="N631" i="7"/>
  <c r="Q630" i="7"/>
  <c r="P630" i="7"/>
  <c r="O630" i="7"/>
  <c r="N630" i="7"/>
  <c r="Q629" i="7"/>
  <c r="P629" i="7"/>
  <c r="O629" i="7"/>
  <c r="N629" i="7"/>
  <c r="Q628" i="7"/>
  <c r="P628" i="7"/>
  <c r="O628" i="7"/>
  <c r="N628" i="7"/>
  <c r="Q627" i="7"/>
  <c r="P627" i="7"/>
  <c r="O627" i="7"/>
  <c r="N627" i="7"/>
  <c r="Q626" i="7"/>
  <c r="P626" i="7"/>
  <c r="O626" i="7"/>
  <c r="N626" i="7"/>
  <c r="Q625" i="7"/>
  <c r="P625" i="7"/>
  <c r="O625" i="7"/>
  <c r="N625" i="7"/>
  <c r="Q624" i="7"/>
  <c r="P624" i="7"/>
  <c r="O624" i="7"/>
  <c r="N624" i="7"/>
  <c r="Q623" i="7"/>
  <c r="P623" i="7"/>
  <c r="O623" i="7"/>
  <c r="N623" i="7"/>
  <c r="Q622" i="7"/>
  <c r="P622" i="7"/>
  <c r="O622" i="7"/>
  <c r="N622" i="7"/>
  <c r="Q621" i="7"/>
  <c r="P621" i="7"/>
  <c r="O621" i="7"/>
  <c r="N621" i="7"/>
  <c r="Q620" i="7"/>
  <c r="P620" i="7"/>
  <c r="O620" i="7"/>
  <c r="N620" i="7"/>
  <c r="Q619" i="7"/>
  <c r="P619" i="7"/>
  <c r="O619" i="7"/>
  <c r="N619" i="7"/>
  <c r="Q618" i="7"/>
  <c r="P618" i="7"/>
  <c r="O618" i="7"/>
  <c r="N618" i="7"/>
  <c r="Q617" i="7"/>
  <c r="P617" i="7"/>
  <c r="O617" i="7"/>
  <c r="N617" i="7"/>
  <c r="Q616" i="7"/>
  <c r="P616" i="7"/>
  <c r="O616" i="7"/>
  <c r="N616" i="7"/>
  <c r="Q615" i="7"/>
  <c r="P615" i="7"/>
  <c r="O615" i="7"/>
  <c r="N615" i="7"/>
  <c r="Q614" i="7"/>
  <c r="P614" i="7"/>
  <c r="O614" i="7"/>
  <c r="N614" i="7"/>
  <c r="Q613" i="7"/>
  <c r="P613" i="7"/>
  <c r="O613" i="7"/>
  <c r="N613" i="7"/>
  <c r="Q612" i="7"/>
  <c r="P612" i="7"/>
  <c r="O612" i="7"/>
  <c r="N612" i="7"/>
  <c r="Q611" i="7"/>
  <c r="P611" i="7"/>
  <c r="O611" i="7"/>
  <c r="N611" i="7"/>
  <c r="Q610" i="7"/>
  <c r="P610" i="7"/>
  <c r="O610" i="7"/>
  <c r="N610" i="7"/>
  <c r="Q609" i="7"/>
  <c r="P609" i="7"/>
  <c r="O609" i="7"/>
  <c r="N609" i="7"/>
  <c r="Q608" i="7"/>
  <c r="P608" i="7"/>
  <c r="O608" i="7"/>
  <c r="N608" i="7"/>
  <c r="Q607" i="7"/>
  <c r="P607" i="7"/>
  <c r="O607" i="7"/>
  <c r="N607" i="7"/>
  <c r="Q606" i="7"/>
  <c r="P606" i="7"/>
  <c r="O606" i="7"/>
  <c r="N606" i="7"/>
  <c r="Q605" i="7"/>
  <c r="P605" i="7"/>
  <c r="O605" i="7"/>
  <c r="N605" i="7"/>
  <c r="Q604" i="7"/>
  <c r="P604" i="7"/>
  <c r="O604" i="7"/>
  <c r="N604" i="7"/>
  <c r="Q603" i="7"/>
  <c r="P603" i="7"/>
  <c r="O603" i="7"/>
  <c r="N603" i="7"/>
  <c r="Q602" i="7"/>
  <c r="P602" i="7"/>
  <c r="O602" i="7"/>
  <c r="N602" i="7"/>
  <c r="Q601" i="7"/>
  <c r="P601" i="7"/>
  <c r="O601" i="7"/>
  <c r="N601" i="7"/>
  <c r="Q600" i="7"/>
  <c r="P600" i="7"/>
  <c r="O600" i="7"/>
  <c r="N600" i="7"/>
  <c r="Q599" i="7"/>
  <c r="P599" i="7"/>
  <c r="O599" i="7"/>
  <c r="N599" i="7"/>
  <c r="Q598" i="7"/>
  <c r="P598" i="7"/>
  <c r="O598" i="7"/>
  <c r="N598" i="7"/>
  <c r="Q597" i="7"/>
  <c r="P597" i="7"/>
  <c r="O597" i="7"/>
  <c r="N597" i="7"/>
  <c r="Q596" i="7"/>
  <c r="P596" i="7"/>
  <c r="O596" i="7"/>
  <c r="N596" i="7"/>
  <c r="Q595" i="7"/>
  <c r="P595" i="7"/>
  <c r="O595" i="7"/>
  <c r="N595" i="7"/>
  <c r="Q594" i="7"/>
  <c r="P594" i="7"/>
  <c r="O594" i="7"/>
  <c r="N594" i="7"/>
  <c r="Q593" i="7"/>
  <c r="P593" i="7"/>
  <c r="O593" i="7"/>
  <c r="N593" i="7"/>
  <c r="Q592" i="7"/>
  <c r="P592" i="7"/>
  <c r="O592" i="7"/>
  <c r="N592" i="7"/>
  <c r="Q591" i="7"/>
  <c r="P591" i="7"/>
  <c r="O591" i="7"/>
  <c r="N591" i="7"/>
  <c r="Q590" i="7"/>
  <c r="P590" i="7"/>
  <c r="O590" i="7"/>
  <c r="N590" i="7"/>
  <c r="Q589" i="7"/>
  <c r="P589" i="7"/>
  <c r="O589" i="7"/>
  <c r="N589" i="7"/>
  <c r="Q588" i="7"/>
  <c r="P588" i="7"/>
  <c r="O588" i="7"/>
  <c r="N588" i="7"/>
  <c r="Q587" i="7"/>
  <c r="P587" i="7"/>
  <c r="O587" i="7"/>
  <c r="N587" i="7"/>
  <c r="Q586" i="7"/>
  <c r="P586" i="7"/>
  <c r="O586" i="7"/>
  <c r="N586" i="7"/>
  <c r="Q585" i="7"/>
  <c r="P585" i="7"/>
  <c r="O585" i="7"/>
  <c r="N585" i="7"/>
  <c r="Q584" i="7"/>
  <c r="P584" i="7"/>
  <c r="O584" i="7"/>
  <c r="N584" i="7"/>
  <c r="Q583" i="7"/>
  <c r="P583" i="7"/>
  <c r="O583" i="7"/>
  <c r="N583" i="7"/>
  <c r="Q582" i="7"/>
  <c r="P582" i="7"/>
  <c r="O582" i="7"/>
  <c r="N582" i="7"/>
  <c r="Q581" i="7"/>
  <c r="P581" i="7"/>
  <c r="O581" i="7"/>
  <c r="N581" i="7"/>
  <c r="Q580" i="7"/>
  <c r="P580" i="7"/>
  <c r="O580" i="7"/>
  <c r="N580" i="7"/>
  <c r="Q579" i="7"/>
  <c r="P579" i="7"/>
  <c r="O579" i="7"/>
  <c r="N579" i="7"/>
  <c r="Q578" i="7"/>
  <c r="P578" i="7"/>
  <c r="O578" i="7"/>
  <c r="N578" i="7"/>
  <c r="Q577" i="7"/>
  <c r="P577" i="7"/>
  <c r="O577" i="7"/>
  <c r="N577" i="7"/>
  <c r="Q576" i="7"/>
  <c r="P576" i="7"/>
  <c r="O576" i="7"/>
  <c r="N576" i="7"/>
  <c r="Q575" i="7"/>
  <c r="P575" i="7"/>
  <c r="O575" i="7"/>
  <c r="N575" i="7"/>
  <c r="Q574" i="7"/>
  <c r="P574" i="7"/>
  <c r="O574" i="7"/>
  <c r="N574" i="7"/>
  <c r="Q573" i="7"/>
  <c r="P573" i="7"/>
  <c r="O573" i="7"/>
  <c r="N573" i="7"/>
  <c r="Q572" i="7"/>
  <c r="P572" i="7"/>
  <c r="O572" i="7"/>
  <c r="N572" i="7"/>
  <c r="Q571" i="7"/>
  <c r="P571" i="7"/>
  <c r="O571" i="7"/>
  <c r="N571" i="7"/>
  <c r="Q570" i="7"/>
  <c r="P570" i="7"/>
  <c r="O570" i="7"/>
  <c r="N570" i="7"/>
  <c r="Q569" i="7"/>
  <c r="P569" i="7"/>
  <c r="O569" i="7"/>
  <c r="N569" i="7"/>
  <c r="Q568" i="7"/>
  <c r="P568" i="7"/>
  <c r="O568" i="7"/>
  <c r="N568" i="7"/>
  <c r="Q567" i="7"/>
  <c r="P567" i="7"/>
  <c r="O567" i="7"/>
  <c r="N567" i="7"/>
  <c r="Q566" i="7"/>
  <c r="P566" i="7"/>
  <c r="O566" i="7"/>
  <c r="N566" i="7"/>
  <c r="Q565" i="7"/>
  <c r="P565" i="7"/>
  <c r="O565" i="7"/>
  <c r="N565" i="7"/>
  <c r="Q564" i="7"/>
  <c r="P564" i="7"/>
  <c r="O564" i="7"/>
  <c r="N564" i="7"/>
  <c r="Q563" i="7"/>
  <c r="P563" i="7"/>
  <c r="O563" i="7"/>
  <c r="N563" i="7"/>
  <c r="Q562" i="7"/>
  <c r="P562" i="7"/>
  <c r="O562" i="7"/>
  <c r="N562" i="7"/>
  <c r="Q561" i="7"/>
  <c r="P561" i="7"/>
  <c r="O561" i="7"/>
  <c r="N561" i="7"/>
  <c r="Q560" i="7"/>
  <c r="P560" i="7"/>
  <c r="O560" i="7"/>
  <c r="N560" i="7"/>
  <c r="Q559" i="7"/>
  <c r="P559" i="7"/>
  <c r="O559" i="7"/>
  <c r="N559" i="7"/>
  <c r="Q558" i="7"/>
  <c r="P558" i="7"/>
  <c r="O558" i="7"/>
  <c r="N558" i="7"/>
  <c r="Q557" i="7"/>
  <c r="P557" i="7"/>
  <c r="O557" i="7"/>
  <c r="N557" i="7"/>
  <c r="Q556" i="7"/>
  <c r="P556" i="7"/>
  <c r="O556" i="7"/>
  <c r="N556" i="7"/>
  <c r="Q555" i="7"/>
  <c r="P555" i="7"/>
  <c r="O555" i="7"/>
  <c r="N555" i="7"/>
  <c r="Q554" i="7"/>
  <c r="P554" i="7"/>
  <c r="O554" i="7"/>
  <c r="N554" i="7"/>
  <c r="Q553" i="7"/>
  <c r="P553" i="7"/>
  <c r="O553" i="7"/>
  <c r="N553" i="7"/>
  <c r="Q552" i="7"/>
  <c r="P552" i="7"/>
  <c r="O552" i="7"/>
  <c r="N552" i="7"/>
  <c r="Q551" i="7"/>
  <c r="P551" i="7"/>
  <c r="O551" i="7"/>
  <c r="N551" i="7"/>
  <c r="Q550" i="7"/>
  <c r="P550" i="7"/>
  <c r="O550" i="7"/>
  <c r="N550" i="7"/>
  <c r="Q549" i="7"/>
  <c r="P549" i="7"/>
  <c r="O549" i="7"/>
  <c r="N549" i="7"/>
  <c r="Q548" i="7"/>
  <c r="P548" i="7"/>
  <c r="O548" i="7"/>
  <c r="N548" i="7"/>
  <c r="Q547" i="7"/>
  <c r="P547" i="7"/>
  <c r="O547" i="7"/>
  <c r="N547" i="7"/>
  <c r="Q546" i="7"/>
  <c r="P546" i="7"/>
  <c r="O546" i="7"/>
  <c r="N546" i="7"/>
  <c r="Q545" i="7"/>
  <c r="P545" i="7"/>
  <c r="O545" i="7"/>
  <c r="N545" i="7"/>
  <c r="Q544" i="7"/>
  <c r="P544" i="7"/>
  <c r="O544" i="7"/>
  <c r="N544" i="7"/>
  <c r="Q543" i="7"/>
  <c r="P543" i="7"/>
  <c r="O543" i="7"/>
  <c r="N543" i="7"/>
  <c r="Q542" i="7"/>
  <c r="P542" i="7"/>
  <c r="O542" i="7"/>
  <c r="N542" i="7"/>
  <c r="Q541" i="7"/>
  <c r="P541" i="7"/>
  <c r="O541" i="7"/>
  <c r="N541" i="7"/>
  <c r="Q540" i="7"/>
  <c r="P540" i="7"/>
  <c r="O540" i="7"/>
  <c r="N540" i="7"/>
  <c r="Q539" i="7"/>
  <c r="P539" i="7"/>
  <c r="O539" i="7"/>
  <c r="N539" i="7"/>
  <c r="Q538" i="7"/>
  <c r="P538" i="7"/>
  <c r="O538" i="7"/>
  <c r="N538" i="7"/>
  <c r="Q537" i="7"/>
  <c r="P537" i="7"/>
  <c r="O537" i="7"/>
  <c r="N537" i="7"/>
  <c r="Q536" i="7"/>
  <c r="P536" i="7"/>
  <c r="O536" i="7"/>
  <c r="N536" i="7"/>
  <c r="Q535" i="7"/>
  <c r="P535" i="7"/>
  <c r="O535" i="7"/>
  <c r="N535" i="7"/>
  <c r="Q534" i="7"/>
  <c r="P534" i="7"/>
  <c r="O534" i="7"/>
  <c r="N534" i="7"/>
  <c r="Q533" i="7"/>
  <c r="P533" i="7"/>
  <c r="O533" i="7"/>
  <c r="N533" i="7"/>
  <c r="Q532" i="7"/>
  <c r="P532" i="7"/>
  <c r="O532" i="7"/>
  <c r="N532" i="7"/>
  <c r="Q531" i="7"/>
  <c r="P531" i="7"/>
  <c r="O531" i="7"/>
  <c r="N531" i="7"/>
  <c r="Q530" i="7"/>
  <c r="P530" i="7"/>
  <c r="O530" i="7"/>
  <c r="N530" i="7"/>
  <c r="Q529" i="7"/>
  <c r="P529" i="7"/>
  <c r="O529" i="7"/>
  <c r="N529" i="7"/>
  <c r="Q528" i="7"/>
  <c r="P528" i="7"/>
  <c r="O528" i="7"/>
  <c r="N528" i="7"/>
  <c r="Q527" i="7"/>
  <c r="P527" i="7"/>
  <c r="O527" i="7"/>
  <c r="N527" i="7"/>
  <c r="Q526" i="7"/>
  <c r="P526" i="7"/>
  <c r="O526" i="7"/>
  <c r="N526" i="7"/>
  <c r="Q525" i="7"/>
  <c r="P525" i="7"/>
  <c r="O525" i="7"/>
  <c r="N525" i="7"/>
  <c r="Q524" i="7"/>
  <c r="P524" i="7"/>
  <c r="O524" i="7"/>
  <c r="N524" i="7"/>
  <c r="Q523" i="7"/>
  <c r="P523" i="7"/>
  <c r="O523" i="7"/>
  <c r="N523" i="7"/>
  <c r="Q522" i="7"/>
  <c r="P522" i="7"/>
  <c r="O522" i="7"/>
  <c r="N522" i="7"/>
  <c r="Q521" i="7"/>
  <c r="P521" i="7"/>
  <c r="O521" i="7"/>
  <c r="N521" i="7"/>
  <c r="Q520" i="7"/>
  <c r="P520" i="7"/>
  <c r="O520" i="7"/>
  <c r="N520" i="7"/>
  <c r="Q519" i="7"/>
  <c r="P519" i="7"/>
  <c r="O519" i="7"/>
  <c r="N519" i="7"/>
  <c r="Q518" i="7"/>
  <c r="P518" i="7"/>
  <c r="O518" i="7"/>
  <c r="N518" i="7"/>
  <c r="Q517" i="7"/>
  <c r="P517" i="7"/>
  <c r="O517" i="7"/>
  <c r="N517" i="7"/>
  <c r="Q516" i="7"/>
  <c r="P516" i="7"/>
  <c r="O516" i="7"/>
  <c r="N516" i="7"/>
  <c r="Q515" i="7"/>
  <c r="P515" i="7"/>
  <c r="O515" i="7"/>
  <c r="N515" i="7"/>
  <c r="Q514" i="7"/>
  <c r="P514" i="7"/>
  <c r="O514" i="7"/>
  <c r="N514" i="7"/>
  <c r="Q513" i="7"/>
  <c r="P513" i="7"/>
  <c r="O513" i="7"/>
  <c r="N513" i="7"/>
  <c r="Q512" i="7"/>
  <c r="P512" i="7"/>
  <c r="O512" i="7"/>
  <c r="N512" i="7"/>
  <c r="Q511" i="7"/>
  <c r="P511" i="7"/>
  <c r="O511" i="7"/>
  <c r="N511" i="7"/>
  <c r="Q510" i="7"/>
  <c r="P510" i="7"/>
  <c r="O510" i="7"/>
  <c r="N510" i="7"/>
  <c r="Q509" i="7"/>
  <c r="P509" i="7"/>
  <c r="O509" i="7"/>
  <c r="N509" i="7"/>
  <c r="Q508" i="7"/>
  <c r="P508" i="7"/>
  <c r="O508" i="7"/>
  <c r="N508" i="7"/>
  <c r="Q507" i="7"/>
  <c r="P507" i="7"/>
  <c r="O507" i="7"/>
  <c r="N507" i="7"/>
  <c r="Q506" i="7"/>
  <c r="P506" i="7"/>
  <c r="O506" i="7"/>
  <c r="N506" i="7"/>
  <c r="Q505" i="7"/>
  <c r="P505" i="7"/>
  <c r="O505" i="7"/>
  <c r="N505" i="7"/>
  <c r="Q504" i="7"/>
  <c r="P504" i="7"/>
  <c r="O504" i="7"/>
  <c r="N504" i="7"/>
  <c r="Q503" i="7"/>
  <c r="P503" i="7"/>
  <c r="O503" i="7"/>
  <c r="N503" i="7"/>
  <c r="Q502" i="7"/>
  <c r="P502" i="7"/>
  <c r="O502" i="7"/>
  <c r="N502" i="7"/>
  <c r="Q501" i="7"/>
  <c r="P501" i="7"/>
  <c r="O501" i="7"/>
  <c r="N501" i="7"/>
  <c r="Q500" i="7"/>
  <c r="P500" i="7"/>
  <c r="O500" i="7"/>
  <c r="N500" i="7"/>
  <c r="Q499" i="7"/>
  <c r="P499" i="7"/>
  <c r="O499" i="7"/>
  <c r="N499" i="7"/>
  <c r="Q498" i="7"/>
  <c r="P498" i="7"/>
  <c r="O498" i="7"/>
  <c r="N498" i="7"/>
  <c r="Q497" i="7"/>
  <c r="P497" i="7"/>
  <c r="O497" i="7"/>
  <c r="N497" i="7"/>
  <c r="Q496" i="7"/>
  <c r="P496" i="7"/>
  <c r="O496" i="7"/>
  <c r="N496" i="7"/>
  <c r="Q495" i="7"/>
  <c r="P495" i="7"/>
  <c r="O495" i="7"/>
  <c r="N495" i="7"/>
  <c r="Q494" i="7"/>
  <c r="P494" i="7"/>
  <c r="O494" i="7"/>
  <c r="N494" i="7"/>
  <c r="Q493" i="7"/>
  <c r="P493" i="7"/>
  <c r="O493" i="7"/>
  <c r="N493" i="7"/>
  <c r="Q492" i="7"/>
  <c r="P492" i="7"/>
  <c r="O492" i="7"/>
  <c r="N492" i="7"/>
  <c r="Q491" i="7"/>
  <c r="P491" i="7"/>
  <c r="O491" i="7"/>
  <c r="N491" i="7"/>
  <c r="Q490" i="7"/>
  <c r="P490" i="7"/>
  <c r="O490" i="7"/>
  <c r="N490" i="7"/>
  <c r="Q489" i="7"/>
  <c r="P489" i="7"/>
  <c r="O489" i="7"/>
  <c r="N489" i="7"/>
  <c r="Q488" i="7"/>
  <c r="P488" i="7"/>
  <c r="O488" i="7"/>
  <c r="N488" i="7"/>
  <c r="Q487" i="7"/>
  <c r="P487" i="7"/>
  <c r="O487" i="7"/>
  <c r="N487" i="7"/>
  <c r="Q486" i="7"/>
  <c r="P486" i="7"/>
  <c r="O486" i="7"/>
  <c r="N486" i="7"/>
  <c r="Q485" i="7"/>
  <c r="P485" i="7"/>
  <c r="O485" i="7"/>
  <c r="N485" i="7"/>
  <c r="Q484" i="7"/>
  <c r="P484" i="7"/>
  <c r="O484" i="7"/>
  <c r="N484" i="7"/>
  <c r="Q483" i="7"/>
  <c r="P483" i="7"/>
  <c r="O483" i="7"/>
  <c r="N483" i="7"/>
  <c r="Q482" i="7"/>
  <c r="P482" i="7"/>
  <c r="O482" i="7"/>
  <c r="N482" i="7"/>
  <c r="Q481" i="7"/>
  <c r="P481" i="7"/>
  <c r="O481" i="7"/>
  <c r="N481" i="7"/>
  <c r="Q480" i="7"/>
  <c r="P480" i="7"/>
  <c r="O480" i="7"/>
  <c r="N480" i="7"/>
  <c r="Q479" i="7"/>
  <c r="P479" i="7"/>
  <c r="O479" i="7"/>
  <c r="N479" i="7"/>
  <c r="Q478" i="7"/>
  <c r="P478" i="7"/>
  <c r="O478" i="7"/>
  <c r="N478" i="7"/>
  <c r="Q477" i="7"/>
  <c r="P477" i="7"/>
  <c r="O477" i="7"/>
  <c r="N477" i="7"/>
  <c r="Q476" i="7"/>
  <c r="P476" i="7"/>
  <c r="O476" i="7"/>
  <c r="N476" i="7"/>
  <c r="Q475" i="7"/>
  <c r="P475" i="7"/>
  <c r="O475" i="7"/>
  <c r="N475" i="7"/>
  <c r="Q474" i="7"/>
  <c r="P474" i="7"/>
  <c r="O474" i="7"/>
  <c r="N474" i="7"/>
  <c r="Q473" i="7"/>
  <c r="P473" i="7"/>
  <c r="O473" i="7"/>
  <c r="N473" i="7"/>
  <c r="Q472" i="7"/>
  <c r="P472" i="7"/>
  <c r="O472" i="7"/>
  <c r="N472" i="7"/>
  <c r="Q471" i="7"/>
  <c r="P471" i="7"/>
  <c r="O471" i="7"/>
  <c r="N471" i="7"/>
  <c r="Q470" i="7"/>
  <c r="P470" i="7"/>
  <c r="O470" i="7"/>
  <c r="N470" i="7"/>
  <c r="Q469" i="7"/>
  <c r="P469" i="7"/>
  <c r="O469" i="7"/>
  <c r="N469" i="7"/>
  <c r="Q468" i="7"/>
  <c r="P468" i="7"/>
  <c r="O468" i="7"/>
  <c r="N468" i="7"/>
  <c r="Q467" i="7"/>
  <c r="P467" i="7"/>
  <c r="O467" i="7"/>
  <c r="N467" i="7"/>
  <c r="Q466" i="7"/>
  <c r="P466" i="7"/>
  <c r="O466" i="7"/>
  <c r="N466" i="7"/>
  <c r="Q465" i="7"/>
  <c r="P465" i="7"/>
  <c r="O465" i="7"/>
  <c r="N465" i="7"/>
  <c r="Q464" i="7"/>
  <c r="P464" i="7"/>
  <c r="O464" i="7"/>
  <c r="N464" i="7"/>
  <c r="Q463" i="7"/>
  <c r="P463" i="7"/>
  <c r="O463" i="7"/>
  <c r="N463" i="7"/>
  <c r="Q462" i="7"/>
  <c r="P462" i="7"/>
  <c r="O462" i="7"/>
  <c r="N462" i="7"/>
  <c r="Q461" i="7"/>
  <c r="P461" i="7"/>
  <c r="O461" i="7"/>
  <c r="N461" i="7"/>
  <c r="Q460" i="7"/>
  <c r="P460" i="7"/>
  <c r="O460" i="7"/>
  <c r="N460" i="7"/>
  <c r="Q459" i="7"/>
  <c r="P459" i="7"/>
  <c r="O459" i="7"/>
  <c r="N459" i="7"/>
  <c r="Q458" i="7"/>
  <c r="P458" i="7"/>
  <c r="O458" i="7"/>
  <c r="N458" i="7"/>
  <c r="Q457" i="7"/>
  <c r="P457" i="7"/>
  <c r="O457" i="7"/>
  <c r="N457" i="7"/>
  <c r="Q456" i="7"/>
  <c r="P456" i="7"/>
  <c r="O456" i="7"/>
  <c r="N456" i="7"/>
  <c r="Q455" i="7"/>
  <c r="P455" i="7"/>
  <c r="O455" i="7"/>
  <c r="N455" i="7"/>
  <c r="Q454" i="7"/>
  <c r="P454" i="7"/>
  <c r="O454" i="7"/>
  <c r="N454" i="7"/>
  <c r="Q453" i="7"/>
  <c r="P453" i="7"/>
  <c r="O453" i="7"/>
  <c r="N453" i="7"/>
  <c r="Q452" i="7"/>
  <c r="P452" i="7"/>
  <c r="O452" i="7"/>
  <c r="N452" i="7"/>
  <c r="Q451" i="7"/>
  <c r="P451" i="7"/>
  <c r="O451" i="7"/>
  <c r="N451" i="7"/>
  <c r="Q450" i="7"/>
  <c r="P450" i="7"/>
  <c r="O450" i="7"/>
  <c r="N450" i="7"/>
  <c r="Q449" i="7"/>
  <c r="P449" i="7"/>
  <c r="O449" i="7"/>
  <c r="N449" i="7"/>
  <c r="Q448" i="7"/>
  <c r="P448" i="7"/>
  <c r="O448" i="7"/>
  <c r="N448" i="7"/>
  <c r="Q447" i="7"/>
  <c r="P447" i="7"/>
  <c r="O447" i="7"/>
  <c r="N447" i="7"/>
  <c r="Q446" i="7"/>
  <c r="P446" i="7"/>
  <c r="O446" i="7"/>
  <c r="N446" i="7"/>
  <c r="Q445" i="7"/>
  <c r="P445" i="7"/>
  <c r="O445" i="7"/>
  <c r="N445" i="7"/>
  <c r="Q444" i="7"/>
  <c r="P444" i="7"/>
  <c r="O444" i="7"/>
  <c r="N444" i="7"/>
  <c r="Q443" i="7"/>
  <c r="P443" i="7"/>
  <c r="O443" i="7"/>
  <c r="N443" i="7"/>
  <c r="Q442" i="7"/>
  <c r="P442" i="7"/>
  <c r="O442" i="7"/>
  <c r="N442" i="7"/>
  <c r="Q441" i="7"/>
  <c r="P441" i="7"/>
  <c r="O441" i="7"/>
  <c r="N441" i="7"/>
  <c r="Q440" i="7"/>
  <c r="P440" i="7"/>
  <c r="O440" i="7"/>
  <c r="N440" i="7"/>
  <c r="Q439" i="7"/>
  <c r="P439" i="7"/>
  <c r="O439" i="7"/>
  <c r="N439" i="7"/>
  <c r="Q438" i="7"/>
  <c r="P438" i="7"/>
  <c r="O438" i="7"/>
  <c r="N438" i="7"/>
  <c r="Q437" i="7"/>
  <c r="P437" i="7"/>
  <c r="O437" i="7"/>
  <c r="N437" i="7"/>
  <c r="Q436" i="7"/>
  <c r="P436" i="7"/>
  <c r="O436" i="7"/>
  <c r="N436" i="7"/>
  <c r="Q435" i="7"/>
  <c r="P435" i="7"/>
  <c r="O435" i="7"/>
  <c r="N435" i="7"/>
  <c r="Q434" i="7"/>
  <c r="P434" i="7"/>
  <c r="O434" i="7"/>
  <c r="N434" i="7"/>
  <c r="Q433" i="7"/>
  <c r="P433" i="7"/>
  <c r="O433" i="7"/>
  <c r="N433" i="7"/>
  <c r="Q432" i="7"/>
  <c r="P432" i="7"/>
  <c r="O432" i="7"/>
  <c r="N432" i="7"/>
  <c r="Q431" i="7"/>
  <c r="P431" i="7"/>
  <c r="O431" i="7"/>
  <c r="N431" i="7"/>
  <c r="Q430" i="7"/>
  <c r="P430" i="7"/>
  <c r="O430" i="7"/>
  <c r="N430" i="7"/>
  <c r="Q429" i="7"/>
  <c r="P429" i="7"/>
  <c r="O429" i="7"/>
  <c r="N429" i="7"/>
  <c r="Q428" i="7"/>
  <c r="P428" i="7"/>
  <c r="O428" i="7"/>
  <c r="N428" i="7"/>
  <c r="Q427" i="7"/>
  <c r="P427" i="7"/>
  <c r="O427" i="7"/>
  <c r="N427" i="7"/>
  <c r="Q426" i="7"/>
  <c r="P426" i="7"/>
  <c r="O426" i="7"/>
  <c r="N426" i="7"/>
  <c r="Q425" i="7"/>
  <c r="P425" i="7"/>
  <c r="O425" i="7"/>
  <c r="N425" i="7"/>
  <c r="Q424" i="7"/>
  <c r="P424" i="7"/>
  <c r="O424" i="7"/>
  <c r="N424" i="7"/>
  <c r="Q423" i="7"/>
  <c r="P423" i="7"/>
  <c r="O423" i="7"/>
  <c r="N423" i="7"/>
  <c r="Q422" i="7"/>
  <c r="P422" i="7"/>
  <c r="O422" i="7"/>
  <c r="N422" i="7"/>
  <c r="Q421" i="7"/>
  <c r="P421" i="7"/>
  <c r="O421" i="7"/>
  <c r="N421" i="7"/>
  <c r="Q420" i="7"/>
  <c r="P420" i="7"/>
  <c r="O420" i="7"/>
  <c r="N420" i="7"/>
  <c r="Q419" i="7"/>
  <c r="P419" i="7"/>
  <c r="O419" i="7"/>
  <c r="N419" i="7"/>
  <c r="Q418" i="7"/>
  <c r="P418" i="7"/>
  <c r="O418" i="7"/>
  <c r="N418" i="7"/>
  <c r="Q417" i="7"/>
  <c r="P417" i="7"/>
  <c r="O417" i="7"/>
  <c r="N417" i="7"/>
  <c r="Q416" i="7"/>
  <c r="P416" i="7"/>
  <c r="O416" i="7"/>
  <c r="N416" i="7"/>
  <c r="Q415" i="7"/>
  <c r="P415" i="7"/>
  <c r="O415" i="7"/>
  <c r="N415" i="7"/>
  <c r="Q414" i="7"/>
  <c r="P414" i="7"/>
  <c r="O414" i="7"/>
  <c r="N414" i="7"/>
  <c r="Q413" i="7"/>
  <c r="P413" i="7"/>
  <c r="O413" i="7"/>
  <c r="N413" i="7"/>
  <c r="Q412" i="7"/>
  <c r="P412" i="7"/>
  <c r="O412" i="7"/>
  <c r="N412" i="7"/>
  <c r="Q411" i="7"/>
  <c r="P411" i="7"/>
  <c r="O411" i="7"/>
  <c r="N411" i="7"/>
  <c r="Q410" i="7"/>
  <c r="P410" i="7"/>
  <c r="O410" i="7"/>
  <c r="N410" i="7"/>
  <c r="Q409" i="7"/>
  <c r="P409" i="7"/>
  <c r="O409" i="7"/>
  <c r="N409" i="7"/>
  <c r="Q408" i="7"/>
  <c r="P408" i="7"/>
  <c r="O408" i="7"/>
  <c r="N408" i="7"/>
  <c r="Q407" i="7"/>
  <c r="P407" i="7"/>
  <c r="O407" i="7"/>
  <c r="N407" i="7"/>
  <c r="Q406" i="7"/>
  <c r="P406" i="7"/>
  <c r="O406" i="7"/>
  <c r="N406" i="7"/>
  <c r="Q405" i="7"/>
  <c r="P405" i="7"/>
  <c r="O405" i="7"/>
  <c r="N405" i="7"/>
  <c r="Q404" i="7"/>
  <c r="P404" i="7"/>
  <c r="O404" i="7"/>
  <c r="N404" i="7"/>
  <c r="Q403" i="7"/>
  <c r="P403" i="7"/>
  <c r="O403" i="7"/>
  <c r="N403" i="7"/>
  <c r="Q402" i="7"/>
  <c r="P402" i="7"/>
  <c r="O402" i="7"/>
  <c r="N402" i="7"/>
  <c r="Q401" i="7"/>
  <c r="P401" i="7"/>
  <c r="O401" i="7"/>
  <c r="N401" i="7"/>
  <c r="Q400" i="7"/>
  <c r="P400" i="7"/>
  <c r="O400" i="7"/>
  <c r="N400" i="7"/>
  <c r="Q399" i="7"/>
  <c r="P399" i="7"/>
  <c r="O399" i="7"/>
  <c r="N399" i="7"/>
  <c r="Q398" i="7"/>
  <c r="P398" i="7"/>
  <c r="O398" i="7"/>
  <c r="N398" i="7"/>
  <c r="Q397" i="7"/>
  <c r="P397" i="7"/>
  <c r="O397" i="7"/>
  <c r="N397" i="7"/>
  <c r="Q396" i="7"/>
  <c r="P396" i="7"/>
  <c r="O396" i="7"/>
  <c r="N396" i="7"/>
  <c r="Q395" i="7"/>
  <c r="P395" i="7"/>
  <c r="O395" i="7"/>
  <c r="N395" i="7"/>
  <c r="Q394" i="7"/>
  <c r="P394" i="7"/>
  <c r="O394" i="7"/>
  <c r="N394" i="7"/>
  <c r="Q393" i="7"/>
  <c r="P393" i="7"/>
  <c r="O393" i="7"/>
  <c r="N393" i="7"/>
  <c r="Q392" i="7"/>
  <c r="P392" i="7"/>
  <c r="O392" i="7"/>
  <c r="N392" i="7"/>
  <c r="Q391" i="7"/>
  <c r="P391" i="7"/>
  <c r="O391" i="7"/>
  <c r="N391" i="7"/>
  <c r="Q390" i="7"/>
  <c r="P390" i="7"/>
  <c r="O390" i="7"/>
  <c r="N390" i="7"/>
  <c r="Q389" i="7"/>
  <c r="P389" i="7"/>
  <c r="O389" i="7"/>
  <c r="N389" i="7"/>
  <c r="Q388" i="7"/>
  <c r="P388" i="7"/>
  <c r="O388" i="7"/>
  <c r="N388" i="7"/>
  <c r="Q387" i="7"/>
  <c r="P387" i="7"/>
  <c r="O387" i="7"/>
  <c r="N387" i="7"/>
  <c r="Q386" i="7"/>
  <c r="P386" i="7"/>
  <c r="O386" i="7"/>
  <c r="N386" i="7"/>
  <c r="Q385" i="7"/>
  <c r="P385" i="7"/>
  <c r="O385" i="7"/>
  <c r="N385" i="7"/>
  <c r="Q384" i="7"/>
  <c r="P384" i="7"/>
  <c r="O384" i="7"/>
  <c r="N384" i="7"/>
  <c r="Q383" i="7"/>
  <c r="P383" i="7"/>
  <c r="O383" i="7"/>
  <c r="N383" i="7"/>
  <c r="Q382" i="7"/>
  <c r="P382" i="7"/>
  <c r="O382" i="7"/>
  <c r="N382" i="7"/>
  <c r="Q381" i="7"/>
  <c r="P381" i="7"/>
  <c r="O381" i="7"/>
  <c r="N381" i="7"/>
  <c r="Q380" i="7"/>
  <c r="P380" i="7"/>
  <c r="O380" i="7"/>
  <c r="N380" i="7"/>
  <c r="Q379" i="7"/>
  <c r="P379" i="7"/>
  <c r="O379" i="7"/>
  <c r="N379" i="7"/>
  <c r="Q378" i="7"/>
  <c r="P378" i="7"/>
  <c r="O378" i="7"/>
  <c r="N378" i="7"/>
  <c r="Q377" i="7"/>
  <c r="P377" i="7"/>
  <c r="O377" i="7"/>
  <c r="N377" i="7"/>
  <c r="Q376" i="7"/>
  <c r="P376" i="7"/>
  <c r="O376" i="7"/>
  <c r="N376" i="7"/>
  <c r="Q375" i="7"/>
  <c r="P375" i="7"/>
  <c r="O375" i="7"/>
  <c r="N375" i="7"/>
  <c r="Q374" i="7"/>
  <c r="P374" i="7"/>
  <c r="O374" i="7"/>
  <c r="N374" i="7"/>
  <c r="Q373" i="7"/>
  <c r="P373" i="7"/>
  <c r="O373" i="7"/>
  <c r="N373" i="7"/>
  <c r="Q372" i="7"/>
  <c r="P372" i="7"/>
  <c r="O372" i="7"/>
  <c r="N372" i="7"/>
  <c r="Q371" i="7"/>
  <c r="P371" i="7"/>
  <c r="O371" i="7"/>
  <c r="N371" i="7"/>
  <c r="Q370" i="7"/>
  <c r="P370" i="7"/>
  <c r="O370" i="7"/>
  <c r="N370" i="7"/>
  <c r="Q369" i="7"/>
  <c r="P369" i="7"/>
  <c r="O369" i="7"/>
  <c r="N369" i="7"/>
  <c r="Q368" i="7"/>
  <c r="P368" i="7"/>
  <c r="O368" i="7"/>
  <c r="N368" i="7"/>
  <c r="Q367" i="7"/>
  <c r="P367" i="7"/>
  <c r="O367" i="7"/>
  <c r="N367" i="7"/>
  <c r="Q366" i="7"/>
  <c r="P366" i="7"/>
  <c r="O366" i="7"/>
  <c r="N366" i="7"/>
  <c r="Q365" i="7"/>
  <c r="P365" i="7"/>
  <c r="O365" i="7"/>
  <c r="N365" i="7"/>
  <c r="Q364" i="7"/>
  <c r="P364" i="7"/>
  <c r="O364" i="7"/>
  <c r="N364" i="7"/>
  <c r="Q363" i="7"/>
  <c r="P363" i="7"/>
  <c r="O363" i="7"/>
  <c r="N363" i="7"/>
  <c r="Q362" i="7"/>
  <c r="P362" i="7"/>
  <c r="O362" i="7"/>
  <c r="N362" i="7"/>
  <c r="Q361" i="7"/>
  <c r="P361" i="7"/>
  <c r="O361" i="7"/>
  <c r="N361" i="7"/>
  <c r="Q360" i="7"/>
  <c r="P360" i="7"/>
  <c r="O360" i="7"/>
  <c r="N360" i="7"/>
  <c r="Q359" i="7"/>
  <c r="P359" i="7"/>
  <c r="O359" i="7"/>
  <c r="N359" i="7"/>
  <c r="Q358" i="7"/>
  <c r="P358" i="7"/>
  <c r="O358" i="7"/>
  <c r="N358" i="7"/>
  <c r="Q357" i="7"/>
  <c r="P357" i="7"/>
  <c r="O357" i="7"/>
  <c r="N357" i="7"/>
  <c r="Q356" i="7"/>
  <c r="P356" i="7"/>
  <c r="O356" i="7"/>
  <c r="N356" i="7"/>
  <c r="Q355" i="7"/>
  <c r="P355" i="7"/>
  <c r="O355" i="7"/>
  <c r="N355" i="7"/>
  <c r="Q354" i="7"/>
  <c r="P354" i="7"/>
  <c r="O354" i="7"/>
  <c r="N354" i="7"/>
  <c r="Q353" i="7"/>
  <c r="P353" i="7"/>
  <c r="O353" i="7"/>
  <c r="N353" i="7"/>
  <c r="Q352" i="7"/>
  <c r="P352" i="7"/>
  <c r="O352" i="7"/>
  <c r="N352" i="7"/>
  <c r="Q351" i="7"/>
  <c r="P351" i="7"/>
  <c r="O351" i="7"/>
  <c r="N351" i="7"/>
  <c r="Q350" i="7"/>
  <c r="P350" i="7"/>
  <c r="O350" i="7"/>
  <c r="N350" i="7"/>
  <c r="Q349" i="7"/>
  <c r="P349" i="7"/>
  <c r="O349" i="7"/>
  <c r="N349" i="7"/>
  <c r="Q348" i="7"/>
  <c r="P348" i="7"/>
  <c r="O348" i="7"/>
  <c r="N348" i="7"/>
  <c r="Q347" i="7"/>
  <c r="P347" i="7"/>
  <c r="O347" i="7"/>
  <c r="N347" i="7"/>
  <c r="Q346" i="7"/>
  <c r="P346" i="7"/>
  <c r="O346" i="7"/>
  <c r="N346" i="7"/>
  <c r="Q345" i="7"/>
  <c r="P345" i="7"/>
  <c r="O345" i="7"/>
  <c r="N345" i="7"/>
  <c r="Q344" i="7"/>
  <c r="P344" i="7"/>
  <c r="O344" i="7"/>
  <c r="N344" i="7"/>
  <c r="Q343" i="7"/>
  <c r="P343" i="7"/>
  <c r="O343" i="7"/>
  <c r="N343" i="7"/>
  <c r="Q342" i="7"/>
  <c r="P342" i="7"/>
  <c r="O342" i="7"/>
  <c r="N342" i="7"/>
  <c r="Q341" i="7"/>
  <c r="P341" i="7"/>
  <c r="O341" i="7"/>
  <c r="N341" i="7"/>
  <c r="Q340" i="7"/>
  <c r="P340" i="7"/>
  <c r="O340" i="7"/>
  <c r="N340" i="7"/>
  <c r="Q339" i="7"/>
  <c r="P339" i="7"/>
  <c r="O339" i="7"/>
  <c r="N339" i="7"/>
  <c r="Q338" i="7"/>
  <c r="P338" i="7"/>
  <c r="O338" i="7"/>
  <c r="N338" i="7"/>
  <c r="Q337" i="7"/>
  <c r="P337" i="7"/>
  <c r="O337" i="7"/>
  <c r="N337" i="7"/>
  <c r="Q336" i="7"/>
  <c r="P336" i="7"/>
  <c r="O336" i="7"/>
  <c r="N336" i="7"/>
  <c r="Q335" i="7"/>
  <c r="P335" i="7"/>
  <c r="O335" i="7"/>
  <c r="N335" i="7"/>
  <c r="Q334" i="7"/>
  <c r="P334" i="7"/>
  <c r="O334" i="7"/>
  <c r="N334" i="7"/>
  <c r="Q333" i="7"/>
  <c r="P333" i="7"/>
  <c r="O333" i="7"/>
  <c r="N333" i="7"/>
  <c r="Q332" i="7"/>
  <c r="P332" i="7"/>
  <c r="O332" i="7"/>
  <c r="N332" i="7"/>
  <c r="Q331" i="7"/>
  <c r="P331" i="7"/>
  <c r="O331" i="7"/>
  <c r="N331" i="7"/>
  <c r="Q330" i="7"/>
  <c r="P330" i="7"/>
  <c r="O330" i="7"/>
  <c r="N330" i="7"/>
  <c r="Q329" i="7"/>
  <c r="P329" i="7"/>
  <c r="O329" i="7"/>
  <c r="N329" i="7"/>
  <c r="Q328" i="7"/>
  <c r="P328" i="7"/>
  <c r="O328" i="7"/>
  <c r="N328" i="7"/>
  <c r="Q327" i="7"/>
  <c r="P327" i="7"/>
  <c r="O327" i="7"/>
  <c r="N327" i="7"/>
  <c r="Q326" i="7"/>
  <c r="P326" i="7"/>
  <c r="O326" i="7"/>
  <c r="N326" i="7"/>
  <c r="Q325" i="7"/>
  <c r="P325" i="7"/>
  <c r="O325" i="7"/>
  <c r="N325" i="7"/>
  <c r="Q324" i="7"/>
  <c r="P324" i="7"/>
  <c r="O324" i="7"/>
  <c r="N324" i="7"/>
  <c r="Q323" i="7"/>
  <c r="P323" i="7"/>
  <c r="O323" i="7"/>
  <c r="N323" i="7"/>
  <c r="Q322" i="7"/>
  <c r="P322" i="7"/>
  <c r="O322" i="7"/>
  <c r="N322" i="7"/>
  <c r="Q321" i="7"/>
  <c r="P321" i="7"/>
  <c r="O321" i="7"/>
  <c r="N321" i="7"/>
  <c r="Q320" i="7"/>
  <c r="P320" i="7"/>
  <c r="O320" i="7"/>
  <c r="N320" i="7"/>
  <c r="Q319" i="7"/>
  <c r="P319" i="7"/>
  <c r="O319" i="7"/>
  <c r="N319" i="7"/>
  <c r="Q318" i="7"/>
  <c r="P318" i="7"/>
  <c r="O318" i="7"/>
  <c r="N318" i="7"/>
  <c r="Q317" i="7"/>
  <c r="P317" i="7"/>
  <c r="O317" i="7"/>
  <c r="N317" i="7"/>
  <c r="Q316" i="7"/>
  <c r="P316" i="7"/>
  <c r="O316" i="7"/>
  <c r="N316" i="7"/>
  <c r="Q315" i="7"/>
  <c r="P315" i="7"/>
  <c r="O315" i="7"/>
  <c r="N315" i="7"/>
  <c r="Q314" i="7"/>
  <c r="P314" i="7"/>
  <c r="O314" i="7"/>
  <c r="N314" i="7"/>
  <c r="Q313" i="7"/>
  <c r="P313" i="7"/>
  <c r="O313" i="7"/>
  <c r="N313" i="7"/>
  <c r="Q312" i="7"/>
  <c r="P312" i="7"/>
  <c r="O312" i="7"/>
  <c r="N312" i="7"/>
  <c r="Q311" i="7"/>
  <c r="P311" i="7"/>
  <c r="O311" i="7"/>
  <c r="N311" i="7"/>
  <c r="Q310" i="7"/>
  <c r="P310" i="7"/>
  <c r="O310" i="7"/>
  <c r="N310" i="7"/>
  <c r="Q309" i="7"/>
  <c r="P309" i="7"/>
  <c r="O309" i="7"/>
  <c r="N309" i="7"/>
  <c r="Q308" i="7"/>
  <c r="P308" i="7"/>
  <c r="O308" i="7"/>
  <c r="N308" i="7"/>
  <c r="Q307" i="7"/>
  <c r="P307" i="7"/>
  <c r="O307" i="7"/>
  <c r="N307" i="7"/>
  <c r="Q306" i="7"/>
  <c r="P306" i="7"/>
  <c r="O306" i="7"/>
  <c r="N306" i="7"/>
  <c r="Q305" i="7"/>
  <c r="P305" i="7"/>
  <c r="O305" i="7"/>
  <c r="N305" i="7"/>
  <c r="Q304" i="7"/>
  <c r="P304" i="7"/>
  <c r="O304" i="7"/>
  <c r="N304" i="7"/>
  <c r="Q303" i="7"/>
  <c r="P303" i="7"/>
  <c r="O303" i="7"/>
  <c r="N303" i="7"/>
  <c r="Q302" i="7"/>
  <c r="P302" i="7"/>
  <c r="O302" i="7"/>
  <c r="N302" i="7"/>
  <c r="Q301" i="7"/>
  <c r="P301" i="7"/>
  <c r="O301" i="7"/>
  <c r="N301" i="7"/>
  <c r="Q300" i="7"/>
  <c r="P300" i="7"/>
  <c r="O300" i="7"/>
  <c r="N300" i="7"/>
  <c r="Q299" i="7"/>
  <c r="P299" i="7"/>
  <c r="O299" i="7"/>
  <c r="N299" i="7"/>
  <c r="Q298" i="7"/>
  <c r="P298" i="7"/>
  <c r="O298" i="7"/>
  <c r="N298" i="7"/>
  <c r="Q297" i="7"/>
  <c r="P297" i="7"/>
  <c r="O297" i="7"/>
  <c r="N297" i="7"/>
  <c r="Q296" i="7"/>
  <c r="P296" i="7"/>
  <c r="O296" i="7"/>
  <c r="N296" i="7"/>
  <c r="Q295" i="7"/>
  <c r="P295" i="7"/>
  <c r="O295" i="7"/>
  <c r="N295" i="7"/>
  <c r="Q294" i="7"/>
  <c r="P294" i="7"/>
  <c r="O294" i="7"/>
  <c r="N294" i="7"/>
  <c r="Q293" i="7"/>
  <c r="P293" i="7"/>
  <c r="O293" i="7"/>
  <c r="N293" i="7"/>
  <c r="Q292" i="7"/>
  <c r="P292" i="7"/>
  <c r="O292" i="7"/>
  <c r="N292" i="7"/>
  <c r="Q291" i="7"/>
  <c r="P291" i="7"/>
  <c r="O291" i="7"/>
  <c r="N291" i="7"/>
  <c r="Q290" i="7"/>
  <c r="P290" i="7"/>
  <c r="O290" i="7"/>
  <c r="N290" i="7"/>
  <c r="Q289" i="7"/>
  <c r="P289" i="7"/>
  <c r="O289" i="7"/>
  <c r="N289" i="7"/>
  <c r="Q288" i="7"/>
  <c r="P288" i="7"/>
  <c r="O288" i="7"/>
  <c r="N288" i="7"/>
  <c r="Q287" i="7"/>
  <c r="P287" i="7"/>
  <c r="O287" i="7"/>
  <c r="N287" i="7"/>
  <c r="Q286" i="7"/>
  <c r="P286" i="7"/>
  <c r="O286" i="7"/>
  <c r="N286" i="7"/>
  <c r="Q285" i="7"/>
  <c r="P285" i="7"/>
  <c r="O285" i="7"/>
  <c r="N285" i="7"/>
  <c r="Q284" i="7"/>
  <c r="P284" i="7"/>
  <c r="O284" i="7"/>
  <c r="N284" i="7"/>
  <c r="Q283" i="7"/>
  <c r="P283" i="7"/>
  <c r="O283" i="7"/>
  <c r="N283" i="7"/>
  <c r="Q282" i="7"/>
  <c r="P282" i="7"/>
  <c r="O282" i="7"/>
  <c r="N282" i="7"/>
  <c r="Q281" i="7"/>
  <c r="P281" i="7"/>
  <c r="O281" i="7"/>
  <c r="N281" i="7"/>
  <c r="Q280" i="7"/>
  <c r="P280" i="7"/>
  <c r="O280" i="7"/>
  <c r="N280" i="7"/>
  <c r="Q279" i="7"/>
  <c r="P279" i="7"/>
  <c r="O279" i="7"/>
  <c r="N279" i="7"/>
  <c r="Q278" i="7"/>
  <c r="P278" i="7"/>
  <c r="O278" i="7"/>
  <c r="N278" i="7"/>
  <c r="Q277" i="7"/>
  <c r="P277" i="7"/>
  <c r="O277" i="7"/>
  <c r="N277" i="7"/>
  <c r="Q276" i="7"/>
  <c r="P276" i="7"/>
  <c r="O276" i="7"/>
  <c r="N276" i="7"/>
  <c r="Q275" i="7"/>
  <c r="P275" i="7"/>
  <c r="O275" i="7"/>
  <c r="N275" i="7"/>
  <c r="Q274" i="7"/>
  <c r="P274" i="7"/>
  <c r="O274" i="7"/>
  <c r="N274" i="7"/>
  <c r="Q273" i="7"/>
  <c r="P273" i="7"/>
  <c r="O273" i="7"/>
  <c r="N273" i="7"/>
  <c r="Q272" i="7"/>
  <c r="P272" i="7"/>
  <c r="O272" i="7"/>
  <c r="N272" i="7"/>
  <c r="Q271" i="7"/>
  <c r="P271" i="7"/>
  <c r="O271" i="7"/>
  <c r="N271" i="7"/>
  <c r="Q270" i="7"/>
  <c r="P270" i="7"/>
  <c r="O270" i="7"/>
  <c r="N270" i="7"/>
  <c r="Q269" i="7"/>
  <c r="P269" i="7"/>
  <c r="O269" i="7"/>
  <c r="N269" i="7"/>
  <c r="Q268" i="7"/>
  <c r="P268" i="7"/>
  <c r="O268" i="7"/>
  <c r="N268" i="7"/>
  <c r="Q267" i="7"/>
  <c r="P267" i="7"/>
  <c r="O267" i="7"/>
  <c r="N267" i="7"/>
  <c r="Q266" i="7"/>
  <c r="P266" i="7"/>
  <c r="O266" i="7"/>
  <c r="N266" i="7"/>
  <c r="Q265" i="7"/>
  <c r="P265" i="7"/>
  <c r="O265" i="7"/>
  <c r="N265" i="7"/>
  <c r="Q264" i="7"/>
  <c r="P264" i="7"/>
  <c r="O264" i="7"/>
  <c r="N264" i="7"/>
  <c r="Q263" i="7"/>
  <c r="P263" i="7"/>
  <c r="O263" i="7"/>
  <c r="N263" i="7"/>
  <c r="Q262" i="7"/>
  <c r="P262" i="7"/>
  <c r="O262" i="7"/>
  <c r="N262" i="7"/>
  <c r="Q261" i="7"/>
  <c r="P261" i="7"/>
  <c r="O261" i="7"/>
  <c r="N261" i="7"/>
  <c r="Q260" i="7"/>
  <c r="P260" i="7"/>
  <c r="O260" i="7"/>
  <c r="N260" i="7"/>
  <c r="Q259" i="7"/>
  <c r="P259" i="7"/>
  <c r="O259" i="7"/>
  <c r="N259" i="7"/>
  <c r="Q258" i="7"/>
  <c r="P258" i="7"/>
  <c r="O258" i="7"/>
  <c r="N258" i="7"/>
  <c r="Q257" i="7"/>
  <c r="P257" i="7"/>
  <c r="O257" i="7"/>
  <c r="N257" i="7"/>
  <c r="Q256" i="7"/>
  <c r="P256" i="7"/>
  <c r="O256" i="7"/>
  <c r="N256" i="7"/>
  <c r="Q255" i="7"/>
  <c r="P255" i="7"/>
  <c r="O255" i="7"/>
  <c r="N255" i="7"/>
  <c r="Q254" i="7"/>
  <c r="P254" i="7"/>
  <c r="O254" i="7"/>
  <c r="N254" i="7"/>
  <c r="Q253" i="7"/>
  <c r="P253" i="7"/>
  <c r="O253" i="7"/>
  <c r="N253" i="7"/>
  <c r="Q252" i="7"/>
  <c r="P252" i="7"/>
  <c r="O252" i="7"/>
  <c r="N252" i="7"/>
  <c r="Q251" i="7"/>
  <c r="P251" i="7"/>
  <c r="O251" i="7"/>
  <c r="N251" i="7"/>
  <c r="Q250" i="7"/>
  <c r="P250" i="7"/>
  <c r="O250" i="7"/>
  <c r="N250" i="7"/>
  <c r="Q249" i="7"/>
  <c r="P249" i="7"/>
  <c r="O249" i="7"/>
  <c r="N249" i="7"/>
  <c r="Q248" i="7"/>
  <c r="P248" i="7"/>
  <c r="O248" i="7"/>
  <c r="N248" i="7"/>
  <c r="Q247" i="7"/>
  <c r="P247" i="7"/>
  <c r="O247" i="7"/>
  <c r="N247" i="7"/>
  <c r="Q246" i="7"/>
  <c r="P246" i="7"/>
  <c r="O246" i="7"/>
  <c r="N246" i="7"/>
  <c r="Q245" i="7"/>
  <c r="P245" i="7"/>
  <c r="O245" i="7"/>
  <c r="N245" i="7"/>
  <c r="Q244" i="7"/>
  <c r="P244" i="7"/>
  <c r="O244" i="7"/>
  <c r="N244" i="7"/>
  <c r="Q243" i="7"/>
  <c r="P243" i="7"/>
  <c r="O243" i="7"/>
  <c r="N243" i="7"/>
  <c r="Q242" i="7"/>
  <c r="P242" i="7"/>
  <c r="O242" i="7"/>
  <c r="N242" i="7"/>
  <c r="Q241" i="7"/>
  <c r="P241" i="7"/>
  <c r="O241" i="7"/>
  <c r="N241" i="7"/>
  <c r="Q240" i="7"/>
  <c r="P240" i="7"/>
  <c r="O240" i="7"/>
  <c r="N240" i="7"/>
  <c r="Q239" i="7"/>
  <c r="P239" i="7"/>
  <c r="O239" i="7"/>
  <c r="N239" i="7"/>
  <c r="Q238" i="7"/>
  <c r="P238" i="7"/>
  <c r="O238" i="7"/>
  <c r="N238" i="7"/>
  <c r="Q237" i="7"/>
  <c r="P237" i="7"/>
  <c r="O237" i="7"/>
  <c r="N237" i="7"/>
  <c r="Q236" i="7"/>
  <c r="P236" i="7"/>
  <c r="O236" i="7"/>
  <c r="N236" i="7"/>
  <c r="Q235" i="7"/>
  <c r="P235" i="7"/>
  <c r="O235" i="7"/>
  <c r="N235" i="7"/>
  <c r="Q234" i="7"/>
  <c r="P234" i="7"/>
  <c r="O234" i="7"/>
  <c r="N234" i="7"/>
  <c r="Q233" i="7"/>
  <c r="P233" i="7"/>
  <c r="O233" i="7"/>
  <c r="N233" i="7"/>
  <c r="Q232" i="7"/>
  <c r="P232" i="7"/>
  <c r="O232" i="7"/>
  <c r="N232" i="7"/>
  <c r="Q231" i="7"/>
  <c r="P231" i="7"/>
  <c r="O231" i="7"/>
  <c r="N231" i="7"/>
  <c r="Q230" i="7"/>
  <c r="P230" i="7"/>
  <c r="O230" i="7"/>
  <c r="N230" i="7"/>
  <c r="Q229" i="7"/>
  <c r="P229" i="7"/>
  <c r="O229" i="7"/>
  <c r="N229" i="7"/>
  <c r="Q228" i="7"/>
  <c r="P228" i="7"/>
  <c r="O228" i="7"/>
  <c r="N228" i="7"/>
  <c r="Q227" i="7"/>
  <c r="P227" i="7"/>
  <c r="O227" i="7"/>
  <c r="N227" i="7"/>
  <c r="Q226" i="7"/>
  <c r="P226" i="7"/>
  <c r="O226" i="7"/>
  <c r="N226" i="7"/>
  <c r="Q225" i="7"/>
  <c r="P225" i="7"/>
  <c r="O225" i="7"/>
  <c r="N225" i="7"/>
  <c r="Q224" i="7"/>
  <c r="P224" i="7"/>
  <c r="O224" i="7"/>
  <c r="N224" i="7"/>
  <c r="Q223" i="7"/>
  <c r="P223" i="7"/>
  <c r="O223" i="7"/>
  <c r="N223" i="7"/>
  <c r="Q222" i="7"/>
  <c r="P222" i="7"/>
  <c r="O222" i="7"/>
  <c r="N222" i="7"/>
  <c r="Q221" i="7"/>
  <c r="P221" i="7"/>
  <c r="O221" i="7"/>
  <c r="N221" i="7"/>
  <c r="Q220" i="7"/>
  <c r="P220" i="7"/>
  <c r="O220" i="7"/>
  <c r="N220" i="7"/>
  <c r="Q219" i="7"/>
  <c r="P219" i="7"/>
  <c r="O219" i="7"/>
  <c r="N219" i="7"/>
  <c r="Q218" i="7"/>
  <c r="P218" i="7"/>
  <c r="O218" i="7"/>
  <c r="N218" i="7"/>
  <c r="Q217" i="7"/>
  <c r="P217" i="7"/>
  <c r="O217" i="7"/>
  <c r="N217" i="7"/>
  <c r="Q216" i="7"/>
  <c r="P216" i="7"/>
  <c r="O216" i="7"/>
  <c r="N216" i="7"/>
  <c r="Q215" i="7"/>
  <c r="P215" i="7"/>
  <c r="O215" i="7"/>
  <c r="N215" i="7"/>
  <c r="Q214" i="7"/>
  <c r="P214" i="7"/>
  <c r="O214" i="7"/>
  <c r="N214" i="7"/>
  <c r="Q213" i="7"/>
  <c r="P213" i="7"/>
  <c r="O213" i="7"/>
  <c r="N213" i="7"/>
  <c r="Q212" i="7"/>
  <c r="P212" i="7"/>
  <c r="O212" i="7"/>
  <c r="N212" i="7"/>
  <c r="Q211" i="7"/>
  <c r="P211" i="7"/>
  <c r="O211" i="7"/>
  <c r="N211" i="7"/>
  <c r="Q210" i="7"/>
  <c r="P210" i="7"/>
  <c r="O210" i="7"/>
  <c r="N210" i="7"/>
  <c r="Q209" i="7"/>
  <c r="P209" i="7"/>
  <c r="O209" i="7"/>
  <c r="N209" i="7"/>
  <c r="Q208" i="7"/>
  <c r="P208" i="7"/>
  <c r="O208" i="7"/>
  <c r="N208" i="7"/>
  <c r="Q207" i="7"/>
  <c r="P207" i="7"/>
  <c r="O207" i="7"/>
  <c r="N207" i="7"/>
  <c r="Q206" i="7"/>
  <c r="P206" i="7"/>
  <c r="O206" i="7"/>
  <c r="N206" i="7"/>
  <c r="Q205" i="7"/>
  <c r="P205" i="7"/>
  <c r="O205" i="7"/>
  <c r="N205" i="7"/>
  <c r="Q204" i="7"/>
  <c r="P204" i="7"/>
  <c r="O204" i="7"/>
  <c r="N204" i="7"/>
  <c r="Q203" i="7"/>
  <c r="P203" i="7"/>
  <c r="O203" i="7"/>
  <c r="N203" i="7"/>
  <c r="Q202" i="7"/>
  <c r="P202" i="7"/>
  <c r="O202" i="7"/>
  <c r="N202" i="7"/>
  <c r="Q201" i="7"/>
  <c r="P201" i="7"/>
  <c r="O201" i="7"/>
  <c r="N201" i="7"/>
  <c r="Q200" i="7"/>
  <c r="P200" i="7"/>
  <c r="O200" i="7"/>
  <c r="N200" i="7"/>
  <c r="Q199" i="7"/>
  <c r="P199" i="7"/>
  <c r="O199" i="7"/>
  <c r="N199" i="7"/>
  <c r="Q198" i="7"/>
  <c r="P198" i="7"/>
  <c r="O198" i="7"/>
  <c r="N198" i="7"/>
  <c r="Q197" i="7"/>
  <c r="P197" i="7"/>
  <c r="O197" i="7"/>
  <c r="N197" i="7"/>
  <c r="Q196" i="7"/>
  <c r="P196" i="7"/>
  <c r="O196" i="7"/>
  <c r="N196" i="7"/>
  <c r="Q195" i="7"/>
  <c r="P195" i="7"/>
  <c r="O195" i="7"/>
  <c r="N195" i="7"/>
  <c r="Q194" i="7"/>
  <c r="P194" i="7"/>
  <c r="O194" i="7"/>
  <c r="N194" i="7"/>
  <c r="Q193" i="7"/>
  <c r="P193" i="7"/>
  <c r="O193" i="7"/>
  <c r="N193" i="7"/>
  <c r="Q192" i="7"/>
  <c r="P192" i="7"/>
  <c r="O192" i="7"/>
  <c r="N192" i="7"/>
  <c r="Q191" i="7"/>
  <c r="P191" i="7"/>
  <c r="O191" i="7"/>
  <c r="N191" i="7"/>
  <c r="Q190" i="7"/>
  <c r="P190" i="7"/>
  <c r="O190" i="7"/>
  <c r="N190" i="7"/>
  <c r="Q189" i="7"/>
  <c r="P189" i="7"/>
  <c r="O189" i="7"/>
  <c r="N189" i="7"/>
  <c r="Q188" i="7"/>
  <c r="P188" i="7"/>
  <c r="O188" i="7"/>
  <c r="N188" i="7"/>
  <c r="Q187" i="7"/>
  <c r="P187" i="7"/>
  <c r="O187" i="7"/>
  <c r="N187" i="7"/>
  <c r="Q186" i="7"/>
  <c r="P186" i="7"/>
  <c r="O186" i="7"/>
  <c r="N186" i="7"/>
  <c r="Q185" i="7"/>
  <c r="P185" i="7"/>
  <c r="O185" i="7"/>
  <c r="N185" i="7"/>
  <c r="Q184" i="7"/>
  <c r="P184" i="7"/>
  <c r="O184" i="7"/>
  <c r="N184" i="7"/>
  <c r="Q183" i="7"/>
  <c r="P183" i="7"/>
  <c r="O183" i="7"/>
  <c r="N183" i="7"/>
  <c r="Q182" i="7"/>
  <c r="P182" i="7"/>
  <c r="O182" i="7"/>
  <c r="N182" i="7"/>
  <c r="Q181" i="7"/>
  <c r="P181" i="7"/>
  <c r="O181" i="7"/>
  <c r="N181" i="7"/>
  <c r="Q180" i="7"/>
  <c r="P180" i="7"/>
  <c r="O180" i="7"/>
  <c r="N180" i="7"/>
  <c r="Q179" i="7"/>
  <c r="P179" i="7"/>
  <c r="O179" i="7"/>
  <c r="N179" i="7"/>
  <c r="Q178" i="7"/>
  <c r="P178" i="7"/>
  <c r="O178" i="7"/>
  <c r="N178" i="7"/>
  <c r="Q177" i="7"/>
  <c r="P177" i="7"/>
  <c r="O177" i="7"/>
  <c r="N177" i="7"/>
  <c r="Q176" i="7"/>
  <c r="P176" i="7"/>
  <c r="O176" i="7"/>
  <c r="N176" i="7"/>
  <c r="Q175" i="7"/>
  <c r="P175" i="7"/>
  <c r="O175" i="7"/>
  <c r="N175" i="7"/>
  <c r="Q174" i="7"/>
  <c r="P174" i="7"/>
  <c r="O174" i="7"/>
  <c r="N174" i="7"/>
  <c r="Q173" i="7"/>
  <c r="P173" i="7"/>
  <c r="O173" i="7"/>
  <c r="N173" i="7"/>
  <c r="Q172" i="7"/>
  <c r="P172" i="7"/>
  <c r="O172" i="7"/>
  <c r="N172" i="7"/>
  <c r="Q171" i="7"/>
  <c r="P171" i="7"/>
  <c r="O171" i="7"/>
  <c r="N171" i="7"/>
  <c r="Q170" i="7"/>
  <c r="P170" i="7"/>
  <c r="O170" i="7"/>
  <c r="N170" i="7"/>
  <c r="Q169" i="7"/>
  <c r="P169" i="7"/>
  <c r="O169" i="7"/>
  <c r="N169" i="7"/>
  <c r="Q168" i="7"/>
  <c r="P168" i="7"/>
  <c r="O168" i="7"/>
  <c r="N168" i="7"/>
  <c r="Q167" i="7"/>
  <c r="P167" i="7"/>
  <c r="O167" i="7"/>
  <c r="N167" i="7"/>
  <c r="Q166" i="7"/>
  <c r="P166" i="7"/>
  <c r="O166" i="7"/>
  <c r="N166" i="7"/>
  <c r="Q165" i="7"/>
  <c r="P165" i="7"/>
  <c r="O165" i="7"/>
  <c r="N165" i="7"/>
  <c r="Q164" i="7"/>
  <c r="P164" i="7"/>
  <c r="O164" i="7"/>
  <c r="N164" i="7"/>
  <c r="Q163" i="7"/>
  <c r="P163" i="7"/>
  <c r="O163" i="7"/>
  <c r="N163" i="7"/>
  <c r="Q162" i="7"/>
  <c r="P162" i="7"/>
  <c r="O162" i="7"/>
  <c r="N162" i="7"/>
  <c r="Q161" i="7"/>
  <c r="P161" i="7"/>
  <c r="O161" i="7"/>
  <c r="N161" i="7"/>
  <c r="Q160" i="7"/>
  <c r="P160" i="7"/>
  <c r="O160" i="7"/>
  <c r="N160" i="7"/>
  <c r="Q159" i="7"/>
  <c r="P159" i="7"/>
  <c r="O159" i="7"/>
  <c r="N159" i="7"/>
  <c r="Q158" i="7"/>
  <c r="P158" i="7"/>
  <c r="O158" i="7"/>
  <c r="N158" i="7"/>
  <c r="Q157" i="7"/>
  <c r="P157" i="7"/>
  <c r="O157" i="7"/>
  <c r="N157" i="7"/>
  <c r="Q156" i="7"/>
  <c r="P156" i="7"/>
  <c r="O156" i="7"/>
  <c r="N156" i="7"/>
  <c r="Q155" i="7"/>
  <c r="P155" i="7"/>
  <c r="O155" i="7"/>
  <c r="N155" i="7"/>
  <c r="Q154" i="7"/>
  <c r="P154" i="7"/>
  <c r="O154" i="7"/>
  <c r="N154" i="7"/>
  <c r="Q153" i="7"/>
  <c r="P153" i="7"/>
  <c r="O153" i="7"/>
  <c r="N153" i="7"/>
  <c r="Q152" i="7"/>
  <c r="P152" i="7"/>
  <c r="O152" i="7"/>
  <c r="N152" i="7"/>
  <c r="Q151" i="7"/>
  <c r="P151" i="7"/>
  <c r="O151" i="7"/>
  <c r="N151" i="7"/>
  <c r="Q150" i="7"/>
  <c r="P150" i="7"/>
  <c r="O150" i="7"/>
  <c r="N150" i="7"/>
  <c r="Q149" i="7"/>
  <c r="P149" i="7"/>
  <c r="O149" i="7"/>
  <c r="N149" i="7"/>
  <c r="Q148" i="7"/>
  <c r="P148" i="7"/>
  <c r="O148" i="7"/>
  <c r="N148" i="7"/>
  <c r="Q147" i="7"/>
  <c r="P147" i="7"/>
  <c r="O147" i="7"/>
  <c r="N147" i="7"/>
  <c r="Q146" i="7"/>
  <c r="P146" i="7"/>
  <c r="O146" i="7"/>
  <c r="N146" i="7"/>
  <c r="Q145" i="7"/>
  <c r="P145" i="7"/>
  <c r="O145" i="7"/>
  <c r="N145" i="7"/>
  <c r="Q144" i="7"/>
  <c r="P144" i="7"/>
  <c r="O144" i="7"/>
  <c r="N144" i="7"/>
  <c r="Q143" i="7"/>
  <c r="P143" i="7"/>
  <c r="O143" i="7"/>
  <c r="N143" i="7"/>
  <c r="Q142" i="7"/>
  <c r="P142" i="7"/>
  <c r="O142" i="7"/>
  <c r="N142" i="7"/>
  <c r="Q141" i="7"/>
  <c r="P141" i="7"/>
  <c r="O141" i="7"/>
  <c r="N141" i="7"/>
  <c r="Q140" i="7"/>
  <c r="P140" i="7"/>
  <c r="O140" i="7"/>
  <c r="N140" i="7"/>
  <c r="Q139" i="7"/>
  <c r="P139" i="7"/>
  <c r="O139" i="7"/>
  <c r="N139" i="7"/>
  <c r="Q138" i="7"/>
  <c r="P138" i="7"/>
  <c r="O138" i="7"/>
  <c r="N138" i="7"/>
  <c r="Q137" i="7"/>
  <c r="P137" i="7"/>
  <c r="O137" i="7"/>
  <c r="N137" i="7"/>
  <c r="Q136" i="7"/>
  <c r="P136" i="7"/>
  <c r="O136" i="7"/>
  <c r="N136" i="7"/>
  <c r="Q135" i="7"/>
  <c r="P135" i="7"/>
  <c r="O135" i="7"/>
  <c r="N135" i="7"/>
  <c r="Q134" i="7"/>
  <c r="P134" i="7"/>
  <c r="O134" i="7"/>
  <c r="N134" i="7"/>
  <c r="Q133" i="7"/>
  <c r="P133" i="7"/>
  <c r="O133" i="7"/>
  <c r="N133" i="7"/>
  <c r="Q132" i="7"/>
  <c r="P132" i="7"/>
  <c r="O132" i="7"/>
  <c r="N132" i="7"/>
  <c r="Q131" i="7"/>
  <c r="P131" i="7"/>
  <c r="O131" i="7"/>
  <c r="N131" i="7"/>
  <c r="Q130" i="7"/>
  <c r="P130" i="7"/>
  <c r="O130" i="7"/>
  <c r="N130" i="7"/>
  <c r="Q129" i="7"/>
  <c r="P129" i="7"/>
  <c r="O129" i="7"/>
  <c r="N129" i="7"/>
  <c r="Q128" i="7"/>
  <c r="P128" i="7"/>
  <c r="O128" i="7"/>
  <c r="N128" i="7"/>
  <c r="Q127" i="7"/>
  <c r="P127" i="7"/>
  <c r="O127" i="7"/>
  <c r="N127" i="7"/>
  <c r="Q126" i="7"/>
  <c r="P126" i="7"/>
  <c r="O126" i="7"/>
  <c r="N126" i="7"/>
  <c r="Q125" i="7"/>
  <c r="P125" i="7"/>
  <c r="O125" i="7"/>
  <c r="N125" i="7"/>
  <c r="Q124" i="7"/>
  <c r="P124" i="7"/>
  <c r="O124" i="7"/>
  <c r="N124" i="7"/>
  <c r="Q123" i="7"/>
  <c r="P123" i="7"/>
  <c r="O123" i="7"/>
  <c r="N123" i="7"/>
  <c r="Q122" i="7"/>
  <c r="P122" i="7"/>
  <c r="O122" i="7"/>
  <c r="N122" i="7"/>
  <c r="Q121" i="7"/>
  <c r="P121" i="7"/>
  <c r="O121" i="7"/>
  <c r="N121" i="7"/>
  <c r="Q120" i="7"/>
  <c r="P120" i="7"/>
  <c r="O120" i="7"/>
  <c r="N120" i="7"/>
  <c r="Q119" i="7"/>
  <c r="P119" i="7"/>
  <c r="O119" i="7"/>
  <c r="N119" i="7"/>
  <c r="Q118" i="7"/>
  <c r="P118" i="7"/>
  <c r="O118" i="7"/>
  <c r="N118" i="7"/>
  <c r="Q117" i="7"/>
  <c r="P117" i="7"/>
  <c r="O117" i="7"/>
  <c r="N117" i="7"/>
  <c r="Q116" i="7"/>
  <c r="P116" i="7"/>
  <c r="O116" i="7"/>
  <c r="N116" i="7"/>
  <c r="Q115" i="7"/>
  <c r="P115" i="7"/>
  <c r="O115" i="7"/>
  <c r="N115" i="7"/>
  <c r="Q114" i="7"/>
  <c r="P114" i="7"/>
  <c r="O114" i="7"/>
  <c r="N114" i="7"/>
  <c r="Q113" i="7"/>
  <c r="P113" i="7"/>
  <c r="O113" i="7"/>
  <c r="N113" i="7"/>
  <c r="Q112" i="7"/>
  <c r="P112" i="7"/>
  <c r="O112" i="7"/>
  <c r="N112" i="7"/>
  <c r="Q111" i="7"/>
  <c r="P111" i="7"/>
  <c r="O111" i="7"/>
  <c r="N111" i="7"/>
  <c r="Q110" i="7"/>
  <c r="P110" i="7"/>
  <c r="O110" i="7"/>
  <c r="N110" i="7"/>
  <c r="Q109" i="7"/>
  <c r="P109" i="7"/>
  <c r="O109" i="7"/>
  <c r="N109" i="7"/>
  <c r="Q108" i="7"/>
  <c r="P108" i="7"/>
  <c r="O108" i="7"/>
  <c r="N108" i="7"/>
  <c r="Q107" i="7"/>
  <c r="P107" i="7"/>
  <c r="O107" i="7"/>
  <c r="N107" i="7"/>
  <c r="Q106" i="7"/>
  <c r="P106" i="7"/>
  <c r="O106" i="7"/>
  <c r="N106" i="7"/>
  <c r="Q105" i="7"/>
  <c r="P105" i="7"/>
  <c r="O105" i="7"/>
  <c r="N105" i="7"/>
  <c r="Q104" i="7"/>
  <c r="P104" i="7"/>
  <c r="O104" i="7"/>
  <c r="N104" i="7"/>
  <c r="Q103" i="7"/>
  <c r="P103" i="7"/>
  <c r="O103" i="7"/>
  <c r="N103" i="7"/>
  <c r="Q102" i="7"/>
  <c r="P102" i="7"/>
  <c r="O102" i="7"/>
  <c r="N102" i="7"/>
  <c r="Q101" i="7"/>
  <c r="P101" i="7"/>
  <c r="O101" i="7"/>
  <c r="N101" i="7"/>
  <c r="Q100" i="7"/>
  <c r="P100" i="7"/>
  <c r="O100" i="7"/>
  <c r="N100" i="7"/>
  <c r="Q99" i="7"/>
  <c r="P99" i="7"/>
  <c r="O99" i="7"/>
  <c r="N99" i="7"/>
  <c r="Q98" i="7"/>
  <c r="P98" i="7"/>
  <c r="O98" i="7"/>
  <c r="N98" i="7"/>
  <c r="Q97" i="7"/>
  <c r="P97" i="7"/>
  <c r="O97" i="7"/>
  <c r="N97" i="7"/>
  <c r="Q96" i="7"/>
  <c r="P96" i="7"/>
  <c r="O96" i="7"/>
  <c r="N96" i="7"/>
  <c r="Q95" i="7"/>
  <c r="P95" i="7"/>
  <c r="O95" i="7"/>
  <c r="N95" i="7"/>
  <c r="Q94" i="7"/>
  <c r="P94" i="7"/>
  <c r="O94" i="7"/>
  <c r="N94" i="7"/>
  <c r="Q93" i="7"/>
  <c r="P93" i="7"/>
  <c r="O93" i="7"/>
  <c r="N93" i="7"/>
  <c r="Q92" i="7"/>
  <c r="P92" i="7"/>
  <c r="O92" i="7"/>
  <c r="N92" i="7"/>
  <c r="Q91" i="7"/>
  <c r="P91" i="7"/>
  <c r="O91" i="7"/>
  <c r="N91" i="7"/>
  <c r="Q90" i="7"/>
  <c r="P90" i="7"/>
  <c r="O90" i="7"/>
  <c r="N90" i="7"/>
  <c r="Q89" i="7"/>
  <c r="P89" i="7"/>
  <c r="O89" i="7"/>
  <c r="N89" i="7"/>
  <c r="Q88" i="7"/>
  <c r="P88" i="7"/>
  <c r="O88" i="7"/>
  <c r="N88" i="7"/>
  <c r="Q87" i="7"/>
  <c r="P87" i="7"/>
  <c r="O87" i="7"/>
  <c r="N87" i="7"/>
  <c r="Q86" i="7"/>
  <c r="P86" i="7"/>
  <c r="O86" i="7"/>
  <c r="N86" i="7"/>
  <c r="Q85" i="7"/>
  <c r="P85" i="7"/>
  <c r="O85" i="7"/>
  <c r="N85" i="7"/>
  <c r="Q84" i="7"/>
  <c r="P84" i="7"/>
  <c r="O84" i="7"/>
  <c r="N84" i="7"/>
  <c r="Q83" i="7"/>
  <c r="P83" i="7"/>
  <c r="O83" i="7"/>
  <c r="N83" i="7"/>
  <c r="Q82" i="7"/>
  <c r="P82" i="7"/>
  <c r="O82" i="7"/>
  <c r="N82" i="7"/>
  <c r="Q81" i="7"/>
  <c r="P81" i="7"/>
  <c r="O81" i="7"/>
  <c r="N81" i="7"/>
  <c r="Q80" i="7"/>
  <c r="P80" i="7"/>
  <c r="O80" i="7"/>
  <c r="N80" i="7"/>
  <c r="Q79" i="7"/>
  <c r="P79" i="7"/>
  <c r="O79" i="7"/>
  <c r="N79" i="7"/>
  <c r="Q78" i="7"/>
  <c r="P78" i="7"/>
  <c r="O78" i="7"/>
  <c r="N78" i="7"/>
  <c r="Q77" i="7"/>
  <c r="P77" i="7"/>
  <c r="O77" i="7"/>
  <c r="N77" i="7"/>
  <c r="Q76" i="7"/>
  <c r="P76" i="7"/>
  <c r="O76" i="7"/>
  <c r="N76" i="7"/>
  <c r="Q75" i="7"/>
  <c r="P75" i="7"/>
  <c r="O75" i="7"/>
  <c r="N75" i="7"/>
  <c r="Q74" i="7"/>
  <c r="P74" i="7"/>
  <c r="O74" i="7"/>
  <c r="N74" i="7"/>
  <c r="Q73" i="7"/>
  <c r="P73" i="7"/>
  <c r="O73" i="7"/>
  <c r="N73" i="7"/>
  <c r="Q72" i="7"/>
  <c r="P72" i="7"/>
  <c r="O72" i="7"/>
  <c r="N72" i="7"/>
  <c r="Q71" i="7"/>
  <c r="P71" i="7"/>
  <c r="O71" i="7"/>
  <c r="N71" i="7"/>
  <c r="Q70" i="7"/>
  <c r="P70" i="7"/>
  <c r="O70" i="7"/>
  <c r="N70" i="7"/>
  <c r="Q69" i="7"/>
  <c r="P69" i="7"/>
  <c r="O69" i="7"/>
  <c r="N69" i="7"/>
  <c r="Q68" i="7"/>
  <c r="P68" i="7"/>
  <c r="O68" i="7"/>
  <c r="N68" i="7"/>
  <c r="Q67" i="7"/>
  <c r="P67" i="7"/>
  <c r="O67" i="7"/>
  <c r="N67" i="7"/>
  <c r="Q66" i="7"/>
  <c r="P66" i="7"/>
  <c r="O66" i="7"/>
  <c r="N66" i="7"/>
  <c r="Q65" i="7"/>
  <c r="P65" i="7"/>
  <c r="O65" i="7"/>
  <c r="N65" i="7"/>
  <c r="Q64" i="7"/>
  <c r="P64" i="7"/>
  <c r="O64" i="7"/>
  <c r="N64" i="7"/>
  <c r="Q63" i="7"/>
  <c r="P63" i="7"/>
  <c r="O63" i="7"/>
  <c r="N63" i="7"/>
  <c r="Q62" i="7"/>
  <c r="P62" i="7"/>
  <c r="O62" i="7"/>
  <c r="N62" i="7"/>
  <c r="Q61" i="7"/>
  <c r="P61" i="7"/>
  <c r="O61" i="7"/>
  <c r="N61" i="7"/>
  <c r="Q60" i="7"/>
  <c r="P60" i="7"/>
  <c r="O60" i="7"/>
  <c r="N60" i="7"/>
  <c r="Q59" i="7"/>
  <c r="P59" i="7"/>
  <c r="O59" i="7"/>
  <c r="N59" i="7"/>
  <c r="Q58" i="7"/>
  <c r="P58" i="7"/>
  <c r="O58" i="7"/>
  <c r="N58" i="7"/>
  <c r="Q57" i="7"/>
  <c r="P57" i="7"/>
  <c r="O57" i="7"/>
  <c r="N57" i="7"/>
  <c r="Q56" i="7"/>
  <c r="P56" i="7"/>
  <c r="O56" i="7"/>
  <c r="N56" i="7"/>
  <c r="Q55" i="7"/>
  <c r="P55" i="7"/>
  <c r="O55" i="7"/>
  <c r="N55" i="7"/>
  <c r="Q54" i="7"/>
  <c r="P54" i="7"/>
  <c r="O54" i="7"/>
  <c r="N54" i="7"/>
  <c r="Q53" i="7"/>
  <c r="P53" i="7"/>
  <c r="O53" i="7"/>
  <c r="N53" i="7"/>
  <c r="Q52" i="7"/>
  <c r="P52" i="7"/>
  <c r="O52" i="7"/>
  <c r="N52" i="7"/>
  <c r="Q51" i="7"/>
  <c r="P51" i="7"/>
  <c r="O51" i="7"/>
  <c r="N51" i="7"/>
  <c r="Q50" i="7"/>
  <c r="P50" i="7"/>
  <c r="O50" i="7"/>
  <c r="N50" i="7"/>
  <c r="Q49" i="7"/>
  <c r="P49" i="7"/>
  <c r="O49" i="7"/>
  <c r="N49" i="7"/>
  <c r="Q48" i="7"/>
  <c r="P48" i="7"/>
  <c r="O48" i="7"/>
  <c r="N48" i="7"/>
  <c r="Q47" i="7"/>
  <c r="P47" i="7"/>
  <c r="O47" i="7"/>
  <c r="N47" i="7"/>
  <c r="Q46" i="7"/>
  <c r="P46" i="7"/>
  <c r="O46" i="7"/>
  <c r="N46" i="7"/>
  <c r="Q45" i="7"/>
  <c r="P45" i="7"/>
  <c r="O45" i="7"/>
  <c r="N45" i="7"/>
  <c r="Q44" i="7"/>
  <c r="P44" i="7"/>
  <c r="O44" i="7"/>
  <c r="N44" i="7"/>
  <c r="Q43" i="7"/>
  <c r="P43" i="7"/>
  <c r="O43" i="7"/>
  <c r="N43" i="7"/>
  <c r="Q42" i="7"/>
  <c r="P42" i="7"/>
  <c r="O42" i="7"/>
  <c r="N42" i="7"/>
  <c r="Q41" i="7"/>
  <c r="P41" i="7"/>
  <c r="O41" i="7"/>
  <c r="N41" i="7"/>
  <c r="Q40" i="7"/>
  <c r="P40" i="7"/>
  <c r="O40" i="7"/>
  <c r="N40" i="7"/>
  <c r="Q39" i="7"/>
  <c r="P39" i="7"/>
  <c r="O39" i="7"/>
  <c r="N39" i="7"/>
  <c r="Q38" i="7"/>
  <c r="P38" i="7"/>
  <c r="O38" i="7"/>
  <c r="N38" i="7"/>
  <c r="Q37" i="7"/>
  <c r="P37" i="7"/>
  <c r="O37" i="7"/>
  <c r="N37" i="7"/>
  <c r="Q36" i="7"/>
  <c r="P36" i="7"/>
  <c r="O36" i="7"/>
  <c r="N36" i="7"/>
  <c r="Q35" i="7"/>
  <c r="P35" i="7"/>
  <c r="O35" i="7"/>
  <c r="N35" i="7"/>
  <c r="Q34" i="7"/>
  <c r="P34" i="7"/>
  <c r="O34" i="7"/>
  <c r="N34" i="7"/>
  <c r="Q33" i="7"/>
  <c r="P33" i="7"/>
  <c r="O33" i="7"/>
  <c r="N33" i="7"/>
  <c r="Q32" i="7"/>
  <c r="P32" i="7"/>
  <c r="O32" i="7"/>
  <c r="N32" i="7"/>
  <c r="Q31" i="7"/>
  <c r="P31" i="7"/>
  <c r="O31" i="7"/>
  <c r="N31" i="7"/>
  <c r="Q30" i="7"/>
  <c r="P30" i="7"/>
  <c r="O30" i="7"/>
  <c r="N30" i="7"/>
  <c r="Q29" i="7"/>
  <c r="P29" i="7"/>
  <c r="O29" i="7"/>
  <c r="N29" i="7"/>
  <c r="Q28" i="7"/>
  <c r="P28" i="7"/>
  <c r="O28" i="7"/>
  <c r="N28" i="7"/>
  <c r="Q27" i="7"/>
  <c r="P27" i="7"/>
  <c r="O27" i="7"/>
  <c r="N27" i="7"/>
  <c r="Q26" i="7"/>
  <c r="P26" i="7"/>
  <c r="O26" i="7"/>
  <c r="N26" i="7"/>
  <c r="Q25" i="7"/>
  <c r="P25" i="7"/>
  <c r="O25" i="7"/>
  <c r="N25" i="7"/>
  <c r="Q24" i="7"/>
  <c r="P24" i="7"/>
  <c r="O24" i="7"/>
  <c r="N24" i="7"/>
  <c r="Q23" i="7"/>
  <c r="P23" i="7"/>
  <c r="O23" i="7"/>
  <c r="N23" i="7"/>
  <c r="Q22" i="7"/>
  <c r="P22" i="7"/>
  <c r="O22" i="7"/>
  <c r="N22" i="7"/>
  <c r="Q21" i="7"/>
  <c r="P21" i="7"/>
  <c r="O21" i="7"/>
  <c r="N21" i="7"/>
  <c r="Q20" i="7"/>
  <c r="P20" i="7"/>
  <c r="O20" i="7"/>
  <c r="N20" i="7"/>
  <c r="Q19" i="7"/>
  <c r="P19" i="7"/>
  <c r="O19" i="7"/>
  <c r="N19" i="7"/>
  <c r="Q18" i="7"/>
  <c r="P18" i="7"/>
  <c r="O18" i="7"/>
  <c r="N18" i="7"/>
  <c r="Q17" i="7"/>
  <c r="P17" i="7"/>
  <c r="O17" i="7"/>
  <c r="N17" i="7"/>
  <c r="Q16" i="7"/>
  <c r="P16" i="7"/>
  <c r="O16" i="7"/>
  <c r="N16" i="7"/>
  <c r="Q15" i="7"/>
  <c r="P15" i="7"/>
  <c r="O15" i="7"/>
  <c r="N15" i="7"/>
  <c r="Q14" i="7"/>
  <c r="P14" i="7"/>
  <c r="O14" i="7"/>
  <c r="N14" i="7"/>
  <c r="Q13" i="7"/>
  <c r="P13" i="7"/>
  <c r="O13" i="7"/>
  <c r="N13" i="7"/>
  <c r="Q12" i="7"/>
  <c r="P12" i="7"/>
  <c r="O12" i="7"/>
  <c r="N12" i="7"/>
  <c r="Q11" i="7"/>
  <c r="P11" i="7"/>
  <c r="O11" i="7"/>
  <c r="N11" i="7"/>
  <c r="Q10" i="7"/>
  <c r="P10" i="7"/>
  <c r="O10" i="7"/>
  <c r="N10" i="7"/>
  <c r="Q9" i="7"/>
  <c r="P9" i="7"/>
  <c r="O9" i="7"/>
  <c r="N9" i="7"/>
  <c r="Q8" i="7"/>
  <c r="P8" i="7"/>
  <c r="O8" i="7"/>
  <c r="N8" i="7"/>
  <c r="Q7" i="7"/>
  <c r="P7" i="7"/>
  <c r="O7" i="7"/>
  <c r="N7" i="7"/>
  <c r="Q6" i="7"/>
  <c r="P6" i="7"/>
  <c r="O6" i="7"/>
  <c r="N6" i="7"/>
  <c r="Q5" i="7"/>
  <c r="P5" i="7"/>
  <c r="O5" i="7"/>
  <c r="N5" i="7"/>
  <c r="Q4" i="7"/>
  <c r="P4" i="7"/>
  <c r="O4" i="7"/>
  <c r="N4" i="7"/>
  <c r="Q3" i="7"/>
  <c r="P3" i="7"/>
  <c r="O3" i="7"/>
  <c r="N3" i="7"/>
  <c r="Q2" i="7"/>
  <c r="P2" i="7"/>
  <c r="O2" i="7"/>
  <c r="C3" i="4" s="1"/>
  <c r="N2" i="7"/>
  <c r="C19" i="2" s="1"/>
  <c r="D10" i="6"/>
  <c r="B10" i="6"/>
  <c r="B9" i="6"/>
  <c r="D9" i="6" s="1"/>
  <c r="D8" i="6"/>
  <c r="B8" i="6"/>
  <c r="B7" i="6"/>
  <c r="D7" i="6" s="1"/>
  <c r="B6" i="6"/>
  <c r="D6" i="6" s="1"/>
  <c r="B5" i="6"/>
  <c r="D5" i="6" s="1"/>
  <c r="B4" i="6"/>
  <c r="D4" i="6" s="1"/>
  <c r="B3" i="6"/>
  <c r="D3" i="6" s="1"/>
  <c r="B2" i="6"/>
  <c r="D2" i="6" s="1"/>
  <c r="C14" i="4"/>
  <c r="B14" i="4"/>
  <c r="C13" i="4"/>
  <c r="B13" i="4"/>
  <c r="C12" i="4"/>
  <c r="B12" i="4"/>
  <c r="C11" i="4"/>
  <c r="B11" i="4"/>
  <c r="C10" i="4"/>
  <c r="B10" i="4"/>
  <c r="C6" i="4"/>
  <c r="B5" i="4"/>
  <c r="D4" i="4"/>
  <c r="B4" i="4"/>
  <c r="D3" i="4"/>
  <c r="C2" i="4"/>
  <c r="D13" i="3"/>
  <c r="C13" i="3"/>
  <c r="B13" i="3"/>
  <c r="D12" i="3"/>
  <c r="C12" i="3"/>
  <c r="B12" i="3"/>
  <c r="D11" i="3"/>
  <c r="C11" i="3"/>
  <c r="B11" i="3"/>
  <c r="D10" i="3"/>
  <c r="C10" i="3"/>
  <c r="B10" i="3"/>
  <c r="D6" i="3"/>
  <c r="C6" i="3"/>
  <c r="B6" i="3"/>
  <c r="D5" i="3"/>
  <c r="C5" i="3"/>
  <c r="E5" i="3" s="1"/>
  <c r="B5" i="3"/>
  <c r="D4" i="3"/>
  <c r="C4" i="3"/>
  <c r="B4" i="3"/>
  <c r="D3" i="3"/>
  <c r="C3" i="3"/>
  <c r="B3" i="3"/>
  <c r="D2" i="3"/>
  <c r="C2" i="3"/>
  <c r="B2" i="3"/>
  <c r="D22" i="1"/>
  <c r="D21" i="1"/>
  <c r="D20" i="1"/>
  <c r="D19" i="1"/>
  <c r="D18" i="1"/>
  <c r="D17" i="1"/>
  <c r="D16" i="1"/>
  <c r="D15" i="1"/>
  <c r="D14" i="1"/>
  <c r="D13" i="1"/>
  <c r="D12" i="1"/>
  <c r="D11" i="1"/>
  <c r="D10" i="1"/>
  <c r="D9" i="1"/>
  <c r="B9" i="1"/>
  <c r="D8" i="1"/>
  <c r="B8" i="1"/>
  <c r="D7" i="1"/>
  <c r="D6" i="1"/>
  <c r="B6" i="1"/>
  <c r="D5" i="1"/>
  <c r="B5" i="1"/>
  <c r="B10" i="1" s="1"/>
  <c r="E10" i="3" l="1"/>
  <c r="E4" i="3"/>
  <c r="E3" i="4"/>
  <c r="C4" i="4"/>
  <c r="E4" i="4" s="1"/>
  <c r="F2" i="3"/>
  <c r="D13" i="4"/>
  <c r="F6" i="3"/>
  <c r="E13" i="3"/>
  <c r="C5" i="4"/>
  <c r="E5" i="4" s="1"/>
  <c r="D5" i="4"/>
  <c r="D14" i="4"/>
  <c r="F3" i="3"/>
  <c r="B2" i="4"/>
  <c r="B6" i="4"/>
  <c r="D5" i="2"/>
  <c r="D2" i="4"/>
  <c r="E2" i="4" s="1"/>
  <c r="D6" i="4"/>
  <c r="E6" i="4" s="1"/>
  <c r="B3" i="4"/>
  <c r="D10" i="4"/>
  <c r="E11" i="3"/>
  <c r="B11" i="1"/>
  <c r="E12" i="3"/>
  <c r="D12" i="4"/>
  <c r="E22" i="1"/>
  <c r="D8" i="2"/>
  <c r="D2" i="2"/>
  <c r="D11" i="2"/>
  <c r="D6" i="2"/>
  <c r="D9" i="2"/>
  <c r="D12" i="2"/>
  <c r="D15" i="2"/>
  <c r="D18" i="2"/>
  <c r="F4" i="3"/>
  <c r="D11" i="4"/>
  <c r="F5" i="3"/>
  <c r="C9" i="2"/>
  <c r="B7" i="1"/>
  <c r="D4" i="2"/>
  <c r="D7" i="2"/>
  <c r="D10" i="2"/>
  <c r="D13" i="2"/>
  <c r="D16" i="2"/>
  <c r="D19" i="2"/>
  <c r="E19" i="2" s="1"/>
  <c r="B2" i="2"/>
  <c r="B5" i="2"/>
  <c r="B8" i="2"/>
  <c r="B11" i="2"/>
  <c r="B14" i="2"/>
  <c r="B17" i="2"/>
  <c r="E3" i="3"/>
  <c r="B12" i="1"/>
  <c r="C2" i="2"/>
  <c r="C5" i="2"/>
  <c r="C8" i="2"/>
  <c r="C11" i="2"/>
  <c r="C14" i="2"/>
  <c r="C17" i="2"/>
  <c r="D14" i="2"/>
  <c r="E6" i="3"/>
  <c r="B3" i="2"/>
  <c r="B6" i="2"/>
  <c r="B9" i="2"/>
  <c r="B12" i="2"/>
  <c r="B15" i="2"/>
  <c r="B18" i="2"/>
  <c r="C6" i="2"/>
  <c r="D17" i="2"/>
  <c r="C12" i="2"/>
  <c r="C15" i="2"/>
  <c r="C18" i="2"/>
  <c r="E2" i="3"/>
  <c r="B4" i="2"/>
  <c r="B7" i="2"/>
  <c r="B10" i="2"/>
  <c r="B13" i="2"/>
  <c r="B16" i="2"/>
  <c r="B19" i="2"/>
  <c r="C3" i="2"/>
  <c r="D3" i="2"/>
  <c r="C4" i="2"/>
  <c r="C7" i="2"/>
  <c r="C10" i="2"/>
  <c r="C13" i="2"/>
  <c r="C16" i="2"/>
  <c r="E20" i="1" l="1"/>
  <c r="E17" i="2"/>
  <c r="E21" i="1"/>
  <c r="E18" i="2"/>
  <c r="B20" i="2"/>
  <c r="E15" i="2"/>
  <c r="E18" i="1"/>
  <c r="E15" i="1"/>
  <c r="E12" i="2"/>
  <c r="E14" i="1"/>
  <c r="E11" i="2"/>
  <c r="E10" i="1"/>
  <c r="E7" i="2"/>
  <c r="E7" i="1"/>
  <c r="E4" i="2"/>
  <c r="E14" i="2"/>
  <c r="E17" i="1"/>
  <c r="E6" i="1"/>
  <c r="E3" i="2"/>
  <c r="E6" i="2"/>
  <c r="E9" i="1"/>
  <c r="E8" i="2"/>
  <c r="E11" i="1"/>
  <c r="E5" i="2"/>
  <c r="E8" i="1"/>
  <c r="E2" i="2"/>
  <c r="C20" i="2"/>
  <c r="E5" i="1"/>
  <c r="E10" i="2"/>
  <c r="E13" i="1"/>
  <c r="D20" i="2"/>
  <c r="E20" i="2" s="1"/>
  <c r="E16" i="2"/>
  <c r="E19" i="1"/>
  <c r="E9" i="2"/>
  <c r="E12" i="1"/>
  <c r="E13" i="2"/>
  <c r="E16" i="1"/>
</calcChain>
</file>

<file path=xl/sharedStrings.xml><?xml version="1.0" encoding="utf-8"?>
<sst xmlns="http://schemas.openxmlformats.org/spreadsheetml/2006/main" count="28150" uniqueCount="2709">
  <si>
    <t>E-commerce Sales - KPI Dashboard</t>
  </si>
  <si>
    <t>Jan 2024 - Jun 2025. Source: ecommerce_sales_raw.csv, 2,000 orders.</t>
  </si>
  <si>
    <t>Metric</t>
  </si>
  <si>
    <t>Value</t>
  </si>
  <si>
    <t>Month</t>
  </si>
  <si>
    <t>Sales</t>
  </si>
  <si>
    <t>Total Sales</t>
  </si>
  <si>
    <t>Total Profit</t>
  </si>
  <si>
    <t>Margin %</t>
  </si>
  <si>
    <t>Total Orders</t>
  </si>
  <si>
    <t>Unique Customers</t>
  </si>
  <si>
    <t>AOV (Rs per order)</t>
  </si>
  <si>
    <t>Loss-Making Orders</t>
  </si>
  <si>
    <t>Best Category by Sales</t>
  </si>
  <si>
    <t>Year-Month</t>
  </si>
  <si>
    <t>Orders</t>
  </si>
  <si>
    <t>Profit</t>
  </si>
  <si>
    <t>2024-01</t>
  </si>
  <si>
    <t>2024-02</t>
  </si>
  <si>
    <t>2024-03</t>
  </si>
  <si>
    <t>2024-04</t>
  </si>
  <si>
    <t>2024-05</t>
  </si>
  <si>
    <t>2024-06</t>
  </si>
  <si>
    <t>2024-07</t>
  </si>
  <si>
    <t>2024-08</t>
  </si>
  <si>
    <t>2024-09</t>
  </si>
  <si>
    <t>2024-10</t>
  </si>
  <si>
    <t>2024-11</t>
  </si>
  <si>
    <t>2024-12</t>
  </si>
  <si>
    <t>2025-01</t>
  </si>
  <si>
    <t>2025-02</t>
  </si>
  <si>
    <t>2025-03</t>
  </si>
  <si>
    <t>2025-04</t>
  </si>
  <si>
    <t>2025-05</t>
  </si>
  <si>
    <t>2025-06</t>
  </si>
  <si>
    <t>TOTAL</t>
  </si>
  <si>
    <t>Category</t>
  </si>
  <si>
    <t>Sales Share %</t>
  </si>
  <si>
    <t>Electronics</t>
  </si>
  <si>
    <t>Fashion</t>
  </si>
  <si>
    <t>Home &amp; Kitchen</t>
  </si>
  <si>
    <t>Sports</t>
  </si>
  <si>
    <t>Beauty</t>
  </si>
  <si>
    <t>Region</t>
  </si>
  <si>
    <t>North</t>
  </si>
  <si>
    <t>South</t>
  </si>
  <si>
    <t>East</t>
  </si>
  <si>
    <t>West</t>
  </si>
  <si>
    <t>Discount Bucket</t>
  </si>
  <si>
    <t>No discount</t>
  </si>
  <si>
    <t>1-10%</t>
  </si>
  <si>
    <t>11-15%</t>
  </si>
  <si>
    <t>16-20%</t>
  </si>
  <si>
    <t>21%+</t>
  </si>
  <si>
    <t>Payment Method</t>
  </si>
  <si>
    <t>Order Share %</t>
  </si>
  <si>
    <t>UPI</t>
  </si>
  <si>
    <t>Credit Card</t>
  </si>
  <si>
    <t>Debit Card</t>
  </si>
  <si>
    <t>Net Banking</t>
  </si>
  <si>
    <t>Cash on Delivery</t>
  </si>
  <si>
    <t>Check</t>
  </si>
  <si>
    <t>Result</t>
  </si>
  <si>
    <t>Expected</t>
  </si>
  <si>
    <t>Status</t>
  </si>
  <si>
    <t>Total rows</t>
  </si>
  <si>
    <t>Duplicate Order IDs</t>
  </si>
  <si>
    <t>Blank Order IDs</t>
  </si>
  <si>
    <t>Blank Order Dates</t>
  </si>
  <si>
    <t>Negative Sales rows</t>
  </si>
  <si>
    <t>Total Sales - Clean_Data</t>
  </si>
  <si>
    <t>Total Sales - Raw_Data</t>
  </si>
  <si>
    <t>Total Profit - Clean_Data</t>
  </si>
  <si>
    <t>Loss-Making Orders (info)</t>
  </si>
  <si>
    <t>order_id</t>
  </si>
  <si>
    <t>order_date</t>
  </si>
  <si>
    <t>customer_id</t>
  </si>
  <si>
    <t>region</t>
  </si>
  <si>
    <t>category</t>
  </si>
  <si>
    <t>sub_category</t>
  </si>
  <si>
    <t>product</t>
  </si>
  <si>
    <t>quantity</t>
  </si>
  <si>
    <t>unit_price</t>
  </si>
  <si>
    <t>discount</t>
  </si>
  <si>
    <t>sales</t>
  </si>
  <si>
    <t>profit</t>
  </si>
  <si>
    <t>payment_method</t>
  </si>
  <si>
    <t>Is Loss-Making</t>
  </si>
  <si>
    <t>ORD-101070</t>
  </si>
  <si>
    <t>CUST-00391</t>
  </si>
  <si>
    <t>Skincare</t>
  </si>
  <si>
    <t>HydraBoost Moisturizer</t>
  </si>
  <si>
    <t>ORD-101945</t>
  </si>
  <si>
    <t>CUST-00595</t>
  </si>
  <si>
    <t>Laptop</t>
  </si>
  <si>
    <t>AirBook Slim</t>
  </si>
  <si>
    <t>ORD-100664</t>
  </si>
  <si>
    <t>CUST-00549</t>
  </si>
  <si>
    <t>Mobile</t>
  </si>
  <si>
    <t>Galaxy Nova X5</t>
  </si>
  <si>
    <t>ORD-101555</t>
  </si>
  <si>
    <t>CUST-00220</t>
  </si>
  <si>
    <t>Appliances</t>
  </si>
  <si>
    <t>ColdBrew Coffee Maker</t>
  </si>
  <si>
    <t>ORD-101584</t>
  </si>
  <si>
    <t>CUST-00095</t>
  </si>
  <si>
    <t>Vitamin C Serum</t>
  </si>
  <si>
    <t>ORD-101499</t>
  </si>
  <si>
    <t>CUST-00048</t>
  </si>
  <si>
    <t>Footwear</t>
  </si>
  <si>
    <t>RunFlex Sneakers</t>
  </si>
  <si>
    <t>ORD-101151</t>
  </si>
  <si>
    <t>CUST-00042</t>
  </si>
  <si>
    <t>Outdoor</t>
  </si>
  <si>
    <t>AllWeather Tent 4P</t>
  </si>
  <si>
    <t>ORD-101166</t>
  </si>
  <si>
    <t>CUST-00489</t>
  </si>
  <si>
    <t>ORD-101640</t>
  </si>
  <si>
    <t>CUST-00577</t>
  </si>
  <si>
    <t>Fitness</t>
  </si>
  <si>
    <t>ProYoga Mat</t>
  </si>
  <si>
    <t>ORD-101882</t>
  </si>
  <si>
    <t>CUST-00130</t>
  </si>
  <si>
    <t>TrailHike Backpack 60L</t>
  </si>
  <si>
    <t>ORD-100797</t>
  </si>
  <si>
    <t>CUST-00531</t>
  </si>
  <si>
    <t>Makeup</t>
  </si>
  <si>
    <t>Matte Lipstick Set</t>
  </si>
  <si>
    <t>ORD-100938</t>
  </si>
  <si>
    <t>CUST-00522</t>
  </si>
  <si>
    <t>Women</t>
  </si>
  <si>
    <t>Knit Winter Sweater</t>
  </si>
  <si>
    <t>ORD-101263</t>
  </si>
  <si>
    <t>CUST-00133</t>
  </si>
  <si>
    <t>ORD-101631</t>
  </si>
  <si>
    <t>CUST-00027</t>
  </si>
  <si>
    <t>ORD-101717</t>
  </si>
  <si>
    <t>CUST-00315</t>
  </si>
  <si>
    <t>ORD-101901</t>
  </si>
  <si>
    <t>CUST-00354</t>
  </si>
  <si>
    <t>ORD-100355</t>
  </si>
  <si>
    <t>CUST-00194</t>
  </si>
  <si>
    <t>Audio</t>
  </si>
  <si>
    <t>BassBoom Speaker</t>
  </si>
  <si>
    <t>ORD-101920</t>
  </si>
  <si>
    <t>CUST-00578</t>
  </si>
  <si>
    <t>AirFryer Deluxe</t>
  </si>
  <si>
    <t>ORD-100590</t>
  </si>
  <si>
    <t>CUST-00380</t>
  </si>
  <si>
    <t>ORD-100603</t>
  </si>
  <si>
    <t>CUST-00149</t>
  </si>
  <si>
    <t>HD Foundation Kit</t>
  </si>
  <si>
    <t>ORD-100697</t>
  </si>
  <si>
    <t>CUST-00297</t>
  </si>
  <si>
    <t>ORD-100850</t>
  </si>
  <si>
    <t>CUST-00386</t>
  </si>
  <si>
    <t>ORD-100891</t>
  </si>
  <si>
    <t>CUST-00487</t>
  </si>
  <si>
    <t>ORD-101138</t>
  </si>
  <si>
    <t>CUST-00439</t>
  </si>
  <si>
    <t>Furniture</t>
  </si>
  <si>
    <t>Oakwood Study Desk</t>
  </si>
  <si>
    <t>ORD-101290</t>
  </si>
  <si>
    <t>CUST-00335</t>
  </si>
  <si>
    <t>Men</t>
  </si>
  <si>
    <t>SlimFit Denim Jeans</t>
  </si>
  <si>
    <t>ORD-101421</t>
  </si>
  <si>
    <t>CUST-00314</t>
  </si>
  <si>
    <t>Adjustable Dumbbell 24kg</t>
  </si>
  <si>
    <t>ORD-101454</t>
  </si>
  <si>
    <t>CUST-00359</t>
  </si>
  <si>
    <t>ORD-101959</t>
  </si>
  <si>
    <t>CUST-00202</t>
  </si>
  <si>
    <t>ErgoComfort Chair</t>
  </si>
  <si>
    <t>ORD-100262</t>
  </si>
  <si>
    <t>CUST-00136</t>
  </si>
  <si>
    <t>ORD-101985</t>
  </si>
  <si>
    <t>CUST-00579</t>
  </si>
  <si>
    <t>ORD-101987</t>
  </si>
  <si>
    <t>CUST-00445</t>
  </si>
  <si>
    <t>ORD-100600</t>
  </si>
  <si>
    <t>CUST-00476</t>
  </si>
  <si>
    <t>iPhone Zeta</t>
  </si>
  <si>
    <t>ORD-101471</t>
  </si>
  <si>
    <t>CUST-00225</t>
  </si>
  <si>
    <t>ORD-101472</t>
  </si>
  <si>
    <t>CUST-00438</t>
  </si>
  <si>
    <t>ORD-100153</t>
  </si>
  <si>
    <t>CUST-00369</t>
  </si>
  <si>
    <t>ORD-100308</t>
  </si>
  <si>
    <t>CUST-00569</t>
  </si>
  <si>
    <t>ORD-100221</t>
  </si>
  <si>
    <t>CUST-00484</t>
  </si>
  <si>
    <t>Floral Summer Dress</t>
  </si>
  <si>
    <t>ORD-100617</t>
  </si>
  <si>
    <t>CUST-00525</t>
  </si>
  <si>
    <t>ORD-100828</t>
  </si>
  <si>
    <t>CUST-00583</t>
  </si>
  <si>
    <t>ORD-100901</t>
  </si>
  <si>
    <t>CUST-00132</t>
  </si>
  <si>
    <t>Oxford Casual Shirt</t>
  </si>
  <si>
    <t>ORD-101386</t>
  </si>
  <si>
    <t>CUST-00593</t>
  </si>
  <si>
    <t>ORD-101570</t>
  </si>
  <si>
    <t>CUST-00473</t>
  </si>
  <si>
    <t>ORD-100638</t>
  </si>
  <si>
    <t>CUST-00128</t>
  </si>
  <si>
    <t>ORD-100747</t>
  </si>
  <si>
    <t>CUST-00373</t>
  </si>
  <si>
    <t>ORD-101171</t>
  </si>
  <si>
    <t>CUST-00350</t>
  </si>
  <si>
    <t>ORD-101637</t>
  </si>
  <si>
    <t>CUST-00273</t>
  </si>
  <si>
    <t>ThinkPro 14</t>
  </si>
  <si>
    <t>ORD-100167</t>
  </si>
  <si>
    <t>CUST-00195</t>
  </si>
  <si>
    <t>ORD-101009</t>
  </si>
  <si>
    <t>ORD-101245</t>
  </si>
  <si>
    <t>CUST-00003</t>
  </si>
  <si>
    <t>ORD-101879</t>
  </si>
  <si>
    <t>CUST-00169</t>
  </si>
  <si>
    <t>Decor</t>
  </si>
  <si>
    <t>LED Wall Lamp</t>
  </si>
  <si>
    <t>ORD-100161</t>
  </si>
  <si>
    <t>CUST-00069</t>
  </si>
  <si>
    <t>ORD-100375</t>
  </si>
  <si>
    <t>CUST-00310</t>
  </si>
  <si>
    <t>ORD-100432</t>
  </si>
  <si>
    <t>CUST-00499</t>
  </si>
  <si>
    <t>ORD-100453</t>
  </si>
  <si>
    <t>CUST-00058</t>
  </si>
  <si>
    <t>ORD-100633</t>
  </si>
  <si>
    <t>CUST-00015</t>
  </si>
  <si>
    <t>ORD-100286</t>
  </si>
  <si>
    <t>CUST-00423</t>
  </si>
  <si>
    <t>ORD-101425</t>
  </si>
  <si>
    <t>CUST-00125</t>
  </si>
  <si>
    <t>ORD-101445</t>
  </si>
  <si>
    <t>CUST-00446</t>
  </si>
  <si>
    <t>ORD-101484</t>
  </si>
  <si>
    <t>CUST-00532</t>
  </si>
  <si>
    <t>ORD-101588</t>
  </si>
  <si>
    <t>CUST-00267</t>
  </si>
  <si>
    <t>ORD-101593</t>
  </si>
  <si>
    <t>CUST-00408</t>
  </si>
  <si>
    <t>SoundPods Pro</t>
  </si>
  <si>
    <t>ORD-100275</t>
  </si>
  <si>
    <t>CUST-00119</t>
  </si>
  <si>
    <t>ORD-101031</t>
  </si>
  <si>
    <t>CUST-00372</t>
  </si>
  <si>
    <t>ORD-101189</t>
  </si>
  <si>
    <t>CUST-00303</t>
  </si>
  <si>
    <t>ORD-100783</t>
  </si>
  <si>
    <t>CUST-00271</t>
  </si>
  <si>
    <t>ORD-100321</t>
  </si>
  <si>
    <t>CUST-00131</t>
  </si>
  <si>
    <t>ORD-100946</t>
  </si>
  <si>
    <t>CUST-00070</t>
  </si>
  <si>
    <t>ORD-101048</t>
  </si>
  <si>
    <t>CUST-00163</t>
  </si>
  <si>
    <t>ORD-101113</t>
  </si>
  <si>
    <t>ORD-101892</t>
  </si>
  <si>
    <t>CUST-00251</t>
  </si>
  <si>
    <t>ORD-100385</t>
  </si>
  <si>
    <t>CUST-00551</t>
  </si>
  <si>
    <t>ORD-100476</t>
  </si>
  <si>
    <t>CUST-00555</t>
  </si>
  <si>
    <t>ORD-100620</t>
  </si>
  <si>
    <t>CUST-00033</t>
  </si>
  <si>
    <t>ORD-101951</t>
  </si>
  <si>
    <t>CUST-00353</t>
  </si>
  <si>
    <t>ORD-100943</t>
  </si>
  <si>
    <t>CUST-00392</t>
  </si>
  <si>
    <t>ORD-101034</t>
  </si>
  <si>
    <t>CUST-00171</t>
  </si>
  <si>
    <t>ORD-101090</t>
  </si>
  <si>
    <t>CUST-00376</t>
  </si>
  <si>
    <t>ORD-100025</t>
  </si>
  <si>
    <t>CUST-00341</t>
  </si>
  <si>
    <t>Ceramic Vase Set</t>
  </si>
  <si>
    <t>ORD-101597</t>
  </si>
  <si>
    <t>CUST-00091</t>
  </si>
  <si>
    <t>ORD-100083</t>
  </si>
  <si>
    <t>CUST-00367</t>
  </si>
  <si>
    <t>ORD-100847</t>
  </si>
  <si>
    <t>CUST-00289</t>
  </si>
  <si>
    <t>ORD-100982</t>
  </si>
  <si>
    <t>CUST-00186</t>
  </si>
  <si>
    <t>ORD-101266</t>
  </si>
  <si>
    <t>CUST-00007</t>
  </si>
  <si>
    <t>ORD-100438</t>
  </si>
  <si>
    <t>CUST-00085</t>
  </si>
  <si>
    <t>ORD-100954</t>
  </si>
  <si>
    <t>CUST-00451</t>
  </si>
  <si>
    <t>ORD-101007</t>
  </si>
  <si>
    <t>CUST-00311</t>
  </si>
  <si>
    <t>ORD-101633</t>
  </si>
  <si>
    <t>CUST-00540</t>
  </si>
  <si>
    <t>ORD-101915</t>
  </si>
  <si>
    <t>CUST-00550</t>
  </si>
  <si>
    <t>ORD-100532</t>
  </si>
  <si>
    <t>CUST-00269</t>
  </si>
  <si>
    <t>ORD-101275</t>
  </si>
  <si>
    <t>CUST-00177</t>
  </si>
  <si>
    <t>ORD-101963</t>
  </si>
  <si>
    <t>ORD-100960</t>
  </si>
  <si>
    <t>ORD-100092</t>
  </si>
  <si>
    <t>CUST-00544</t>
  </si>
  <si>
    <t>ORD-100132</t>
  </si>
  <si>
    <t>CUST-00559</t>
  </si>
  <si>
    <t>ORD-100246</t>
  </si>
  <si>
    <t>ORD-100413</t>
  </si>
  <si>
    <t>CUST-00385</t>
  </si>
  <si>
    <t>ORD-101084</t>
  </si>
  <si>
    <t>CUST-00360</t>
  </si>
  <si>
    <t>ORD-101514</t>
  </si>
  <si>
    <t>CUST-00143</t>
  </si>
  <si>
    <t>ORD-101672</t>
  </si>
  <si>
    <t>CUST-00214</t>
  </si>
  <si>
    <t>ORD-101958</t>
  </si>
  <si>
    <t>CUST-00313</t>
  </si>
  <si>
    <t>ORD-100242</t>
  </si>
  <si>
    <t>CUST-00326</t>
  </si>
  <si>
    <t>ORD-100731</t>
  </si>
  <si>
    <t>CUST-00088</t>
  </si>
  <si>
    <t>ORD-101452</t>
  </si>
  <si>
    <t>ORD-101646</t>
  </si>
  <si>
    <t>CUST-00556</t>
  </si>
  <si>
    <t>ORD-101144</t>
  </si>
  <si>
    <t>CUST-00401</t>
  </si>
  <si>
    <t>ORD-100676</t>
  </si>
  <si>
    <t>ORD-101910</t>
  </si>
  <si>
    <t>ORD-101531</t>
  </si>
  <si>
    <t>CUST-00501</t>
  </si>
  <si>
    <t>ORD-101537</t>
  </si>
  <si>
    <t>CUST-00546</t>
  </si>
  <si>
    <t>ORD-101088</t>
  </si>
  <si>
    <t>CUST-00340</t>
  </si>
  <si>
    <t>ORD-101098</t>
  </si>
  <si>
    <t>CUST-00403</t>
  </si>
  <si>
    <t>ORD-101581</t>
  </si>
  <si>
    <t>CUST-00121</t>
  </si>
  <si>
    <t>ORD-101726</t>
  </si>
  <si>
    <t>CUST-00381</t>
  </si>
  <si>
    <t>ORD-100538</t>
  </si>
  <si>
    <t>CUST-00575</t>
  </si>
  <si>
    <t>ORD-101283</t>
  </si>
  <si>
    <t>CUST-00285</t>
  </si>
  <si>
    <t>ORD-100560</t>
  </si>
  <si>
    <t>CUST-00172</t>
  </si>
  <si>
    <t>ORD-100585</t>
  </si>
  <si>
    <t>ORD-100655</t>
  </si>
  <si>
    <t>CUST-00535</t>
  </si>
  <si>
    <t>ORD-101287</t>
  </si>
  <si>
    <t>ORD-101326</t>
  </si>
  <si>
    <t>UrbanLoafers</t>
  </si>
  <si>
    <t>ORD-101736</t>
  </si>
  <si>
    <t>CUST-00245</t>
  </si>
  <si>
    <t>ORD-101739</t>
  </si>
  <si>
    <t>CUST-00547</t>
  </si>
  <si>
    <t>ORD-100497</t>
  </si>
  <si>
    <t>CUST-00011</t>
  </si>
  <si>
    <t>Pixel Aura 12</t>
  </si>
  <si>
    <t>ORD-101089</t>
  </si>
  <si>
    <t>CUST-00229</t>
  </si>
  <si>
    <t>ORD-101460</t>
  </si>
  <si>
    <t>CUST-00309</t>
  </si>
  <si>
    <t>ORD-100023</t>
  </si>
  <si>
    <t>CUST-00134</t>
  </si>
  <si>
    <t>ORD-100678</t>
  </si>
  <si>
    <t>CUST-00193</t>
  </si>
  <si>
    <t>ORD-101585</t>
  </si>
  <si>
    <t>ORD-100534</t>
  </si>
  <si>
    <t>CUST-00517</t>
  </si>
  <si>
    <t>ORD-100961</t>
  </si>
  <si>
    <t>CUST-00538</t>
  </si>
  <si>
    <t>ORD-101216</t>
  </si>
  <si>
    <t>CUST-00099</t>
  </si>
  <si>
    <t>ORD-101474</t>
  </si>
  <si>
    <t>CUST-00304</t>
  </si>
  <si>
    <t>ORD-101992</t>
  </si>
  <si>
    <t>CUST-00144</t>
  </si>
  <si>
    <t>ORD-101221</t>
  </si>
  <si>
    <t>ORD-101379</t>
  </si>
  <si>
    <t>CUST-00055</t>
  </si>
  <si>
    <t>ORD-101517</t>
  </si>
  <si>
    <t>ORD-101981</t>
  </si>
  <si>
    <t>CUST-00049</t>
  </si>
  <si>
    <t>ORD-100207</t>
  </si>
  <si>
    <t>CUST-00471</t>
  </si>
  <si>
    <t>ORD-100261</t>
  </si>
  <si>
    <t>CUST-00586</t>
  </si>
  <si>
    <t>ORD-100398</t>
  </si>
  <si>
    <t>ORD-101367</t>
  </si>
  <si>
    <t>CUST-00409</t>
  </si>
  <si>
    <t>ORD-100420</t>
  </si>
  <si>
    <t>CUST-00056</t>
  </si>
  <si>
    <t>ORD-101305</t>
  </si>
  <si>
    <t>CUST-00498</t>
  </si>
  <si>
    <t>ORD-101317</t>
  </si>
  <si>
    <t>CUST-00364</t>
  </si>
  <si>
    <t>ORD-101580</t>
  </si>
  <si>
    <t>CUST-00542</t>
  </si>
  <si>
    <t>ORD-101586</t>
  </si>
  <si>
    <t>CUST-00528</t>
  </si>
  <si>
    <t>ORD-100093</t>
  </si>
  <si>
    <t>CUST-00051</t>
  </si>
  <si>
    <t>ORD-100771</t>
  </si>
  <si>
    <t>CUST-00045</t>
  </si>
  <si>
    <t>ORD-101519</t>
  </si>
  <si>
    <t>CUST-00492</t>
  </si>
  <si>
    <t>ORD-101695</t>
  </si>
  <si>
    <t>CUST-00259</t>
  </si>
  <si>
    <t>ORD-101814</t>
  </si>
  <si>
    <t>CUST-00393</t>
  </si>
  <si>
    <t>ORD-101923</t>
  </si>
  <si>
    <t>CUST-00496</t>
  </si>
  <si>
    <t>ORD-100993</t>
  </si>
  <si>
    <t>CUST-00449</t>
  </si>
  <si>
    <t>ORD-100284</t>
  </si>
  <si>
    <t>CUST-00161</t>
  </si>
  <si>
    <t>ORD-101281</t>
  </si>
  <si>
    <t>CUST-00178</t>
  </si>
  <si>
    <t>ORD-100817</t>
  </si>
  <si>
    <t>CUST-00201</t>
  </si>
  <si>
    <t>ORD-101006</t>
  </si>
  <si>
    <t>CUST-00043</t>
  </si>
  <si>
    <t>ORD-101668</t>
  </si>
  <si>
    <t>CUST-00447</t>
  </si>
  <si>
    <t>ORD-100162</t>
  </si>
  <si>
    <t>ORD-100258</t>
  </si>
  <si>
    <t>ORD-100716</t>
  </si>
  <si>
    <t>CUST-00274</t>
  </si>
  <si>
    <t>ORD-101473</t>
  </si>
  <si>
    <t>ORD-100018</t>
  </si>
  <si>
    <t>ORD-100623</t>
  </si>
  <si>
    <t>CUST-00012</t>
  </si>
  <si>
    <t>ORD-100814</t>
  </si>
  <si>
    <t>CUST-00114</t>
  </si>
  <si>
    <t>ORD-101136</t>
  </si>
  <si>
    <t>CUST-00443</t>
  </si>
  <si>
    <t>ORD-100259</t>
  </si>
  <si>
    <t>CUST-00468</t>
  </si>
  <si>
    <t>ORD-101875</t>
  </si>
  <si>
    <t>CUST-00226</t>
  </si>
  <si>
    <t>ORD-101389</t>
  </si>
  <si>
    <t>CUST-00397</t>
  </si>
  <si>
    <t>ORD-101969</t>
  </si>
  <si>
    <t>CUST-00240</t>
  </si>
  <si>
    <t>ORD-101049</t>
  </si>
  <si>
    <t>CUST-00109</t>
  </si>
  <si>
    <t>ORD-100798</t>
  </si>
  <si>
    <t>CUST-00599</t>
  </si>
  <si>
    <t>ORD-101041</t>
  </si>
  <si>
    <t>CUST-00520</t>
  </si>
  <si>
    <t>ORD-101833</t>
  </si>
  <si>
    <t>CUST-00427</t>
  </si>
  <si>
    <t>ORD-101922</t>
  </si>
  <si>
    <t>ORD-100103</t>
  </si>
  <si>
    <t>CUST-00352</t>
  </si>
  <si>
    <t>ORD-100882</t>
  </si>
  <si>
    <t>CUST-00558</t>
  </si>
  <si>
    <t>ORD-100558</t>
  </si>
  <si>
    <t>CUST-00117</t>
  </si>
  <si>
    <t>ORD-101201</t>
  </si>
  <si>
    <t>CUST-00249</t>
  </si>
  <si>
    <t>ORD-100609</t>
  </si>
  <si>
    <t>ORD-100611</t>
  </si>
  <si>
    <t>CUST-00398</t>
  </si>
  <si>
    <t>ORD-101091</t>
  </si>
  <si>
    <t>ORD-100217</t>
  </si>
  <si>
    <t>CUST-00448</t>
  </si>
  <si>
    <t>ORD-100396</t>
  </si>
  <si>
    <t>CUST-00450</t>
  </si>
  <si>
    <t>ORD-100583</t>
  </si>
  <si>
    <t>CUST-00418</t>
  </si>
  <si>
    <t>ORD-101003</t>
  </si>
  <si>
    <t>CUST-00375</t>
  </si>
  <si>
    <t>ORD-101370</t>
  </si>
  <si>
    <t>ORD-101405</t>
  </si>
  <si>
    <t>ORD-101697</t>
  </si>
  <si>
    <t>CUST-00412</t>
  </si>
  <si>
    <t>ORD-100472</t>
  </si>
  <si>
    <t>CUST-00210</t>
  </si>
  <si>
    <t>ORD-101345</t>
  </si>
  <si>
    <t>ORD-101443</t>
  </si>
  <si>
    <t>ORD-100117</t>
  </si>
  <si>
    <t>CUST-00107</t>
  </si>
  <si>
    <t>ORD-100444</t>
  </si>
  <si>
    <t>CUST-00101</t>
  </si>
  <si>
    <t>ORD-100601</t>
  </si>
  <si>
    <t>CUST-00199</t>
  </si>
  <si>
    <t>ORD-101095</t>
  </si>
  <si>
    <t>CUST-00075</t>
  </si>
  <si>
    <t>ORD-101155</t>
  </si>
  <si>
    <t>CUST-00160</t>
  </si>
  <si>
    <t>ORD-101569</t>
  </si>
  <si>
    <t>ORD-101756</t>
  </si>
  <si>
    <t>CUST-00227</t>
  </si>
  <si>
    <t>ORD-100269</t>
  </si>
  <si>
    <t>CUST-00200</t>
  </si>
  <si>
    <t>ORD-100305</t>
  </si>
  <si>
    <t>CUST-00234</t>
  </si>
  <si>
    <t>ORD-100812</t>
  </si>
  <si>
    <t>ORD-101719</t>
  </si>
  <si>
    <t>CUST-00529</t>
  </si>
  <si>
    <t>ORD-100096</t>
  </si>
  <si>
    <t>CUST-00044</t>
  </si>
  <si>
    <t>ORD-100382</t>
  </si>
  <si>
    <t>CUST-00441</t>
  </si>
  <si>
    <t>ORD-101540</t>
  </si>
  <si>
    <t>CUST-00598</t>
  </si>
  <si>
    <t>ORD-100215</t>
  </si>
  <si>
    <t>ORD-100240</t>
  </si>
  <si>
    <t>CUST-00406</t>
  </si>
  <si>
    <t>ORD-100306</t>
  </si>
  <si>
    <t>CUST-00515</t>
  </si>
  <si>
    <t>ORD-100739</t>
  </si>
  <si>
    <t>CUST-00474</t>
  </si>
  <si>
    <t>ORD-100808</t>
  </si>
  <si>
    <t>CUST-00384</t>
  </si>
  <si>
    <t>ORD-101361</t>
  </si>
  <si>
    <t>ORD-100181</t>
  </si>
  <si>
    <t>CUST-00158</t>
  </si>
  <si>
    <t>ORD-100464</t>
  </si>
  <si>
    <t>CUST-00497</t>
  </si>
  <si>
    <t>ORD-100945</t>
  </si>
  <si>
    <t>CUST-00424</t>
  </si>
  <si>
    <t>ORD-101020</t>
  </si>
  <si>
    <t>CUST-00488</t>
  </si>
  <si>
    <t>ORD-101191</t>
  </si>
  <si>
    <t>CUST-00566</t>
  </si>
  <si>
    <t>ORD-101409</t>
  </si>
  <si>
    <t>CUST-00388</t>
  </si>
  <si>
    <t>ORD-101480</t>
  </si>
  <si>
    <t>ORD-100298</t>
  </si>
  <si>
    <t>ORD-100679</t>
  </si>
  <si>
    <t>ORD-100707</t>
  </si>
  <si>
    <t>ORD-100766</t>
  </si>
  <si>
    <t>CUST-00432</t>
  </si>
  <si>
    <t>ORD-101364</t>
  </si>
  <si>
    <t>CUST-00565</t>
  </si>
  <si>
    <t>ORD-101503</t>
  </si>
  <si>
    <t>CUST-00518</t>
  </si>
  <si>
    <t>ORD-101666</t>
  </si>
  <si>
    <t>CUST-00087</t>
  </si>
  <si>
    <t>ORD-101857</t>
  </si>
  <si>
    <t>ORD-100987</t>
  </si>
  <si>
    <t>CUST-00093</t>
  </si>
  <si>
    <t>ORD-101038</t>
  </si>
  <si>
    <t>CUST-00014</t>
  </si>
  <si>
    <t>ORD-101042</t>
  </si>
  <si>
    <t>CUST-00330</t>
  </si>
  <si>
    <t>ORD-100819</t>
  </si>
  <si>
    <t>ORD-100860</t>
  </si>
  <si>
    <t>CUST-00426</t>
  </si>
  <si>
    <t>ORD-101611</t>
  </si>
  <si>
    <t>ORD-100832</t>
  </si>
  <si>
    <t>CUST-00334</t>
  </si>
  <si>
    <t>ORD-100867</t>
  </si>
  <si>
    <t>ORD-101763</t>
  </si>
  <si>
    <t>CUST-00519</t>
  </si>
  <si>
    <t>ORD-100496</t>
  </si>
  <si>
    <t>CUST-00115</t>
  </si>
  <si>
    <t>ORD-100908</t>
  </si>
  <si>
    <t>ORD-101164</t>
  </si>
  <si>
    <t>CUST-00284</t>
  </si>
  <si>
    <t>ORD-101549</t>
  </si>
  <si>
    <t>CUST-00358</t>
  </si>
  <si>
    <t>ORD-101730</t>
  </si>
  <si>
    <t>ORD-100370</t>
  </si>
  <si>
    <t>CUST-00063</t>
  </si>
  <si>
    <t>ORD-100903</t>
  </si>
  <si>
    <t>CUST-00346</t>
  </si>
  <si>
    <t>ORD-101040</t>
  </si>
  <si>
    <t>CUST-00543</t>
  </si>
  <si>
    <t>ORD-100458</t>
  </si>
  <si>
    <t>CUST-00184</t>
  </si>
  <si>
    <t>ORD-100471</t>
  </si>
  <si>
    <t>CUST-00344</t>
  </si>
  <si>
    <t>ORD-101604</t>
  </si>
  <si>
    <t>CUST-00475</t>
  </si>
  <si>
    <t>ORD-101638</t>
  </si>
  <si>
    <t>ORD-101979</t>
  </si>
  <si>
    <t>ORD-100041</t>
  </si>
  <si>
    <t>CUST-00553</t>
  </si>
  <si>
    <t>ORD-100155</t>
  </si>
  <si>
    <t>CUST-00541</t>
  </si>
  <si>
    <t>ORD-101194</t>
  </si>
  <si>
    <t>ORD-101702</t>
  </si>
  <si>
    <t>ORD-101846</t>
  </si>
  <si>
    <t>CUST-00238</t>
  </si>
  <si>
    <t>ORD-101285</t>
  </si>
  <si>
    <t>CUST-00512</t>
  </si>
  <si>
    <t>ORD-100864</t>
  </si>
  <si>
    <t>CUST-00174</t>
  </si>
  <si>
    <t>ORD-101818</t>
  </si>
  <si>
    <t>CUST-00494</t>
  </si>
  <si>
    <t>ORD-101479</t>
  </si>
  <si>
    <t>ORD-100384</t>
  </si>
  <si>
    <t>ORD-101974</t>
  </si>
  <si>
    <t>CUST-00208</t>
  </si>
  <si>
    <t>ORD-100486</t>
  </si>
  <si>
    <t>ORD-101371</t>
  </si>
  <si>
    <t>ORD-101431</t>
  </si>
  <si>
    <t>ORD-100417</t>
  </si>
  <si>
    <t>ORD-100485</t>
  </si>
  <si>
    <t>CUST-00455</t>
  </si>
  <si>
    <t>ORD-100736</t>
  </si>
  <si>
    <t>CUST-00466</t>
  </si>
  <si>
    <t>ORD-101262</t>
  </si>
  <si>
    <t>CUST-00363</t>
  </si>
  <si>
    <t>ORD-101681</t>
  </si>
  <si>
    <t>CUST-00530</t>
  </si>
  <si>
    <t>ORD-101750</t>
  </si>
  <si>
    <t>ORD-101793</t>
  </si>
  <si>
    <t>CUST-00560</t>
  </si>
  <si>
    <t>ORD-100069</t>
  </si>
  <si>
    <t>ORD-100102</t>
  </si>
  <si>
    <t>ORD-100229</t>
  </si>
  <si>
    <t>CUST-00312</t>
  </si>
  <si>
    <t>ORD-100315</t>
  </si>
  <si>
    <t>ORD-100400</t>
  </si>
  <si>
    <t>CUST-00168</t>
  </si>
  <si>
    <t>ORD-100520</t>
  </si>
  <si>
    <t>ORD-100985</t>
  </si>
  <si>
    <t>CUST-00321</t>
  </si>
  <si>
    <t>ORD-101745</t>
  </si>
  <si>
    <t>CUST-00097</t>
  </si>
  <si>
    <t>ORD-101781</t>
  </si>
  <si>
    <t>ORD-101881</t>
  </si>
  <si>
    <t>CUST-00102</t>
  </si>
  <si>
    <t>ORD-101444</t>
  </si>
  <si>
    <t>ORD-101577</t>
  </si>
  <si>
    <t>ORD-101848</t>
  </si>
  <si>
    <t>ORD-101115</t>
  </si>
  <si>
    <t>CUST-00567</t>
  </si>
  <si>
    <t>ORD-101271</t>
  </si>
  <si>
    <t>CUST-00009</t>
  </si>
  <si>
    <t>ORD-101529</t>
  </si>
  <si>
    <t>ORD-100205</t>
  </si>
  <si>
    <t>ORD-100280</t>
  </si>
  <si>
    <t>CUST-00351</t>
  </si>
  <si>
    <t>ORD-100545</t>
  </si>
  <si>
    <t>ORD-100686</t>
  </si>
  <si>
    <t>CUST-00059</t>
  </si>
  <si>
    <t>ORD-100862</t>
  </si>
  <si>
    <t>CUST-00417</t>
  </si>
  <si>
    <t>ORD-101284</t>
  </si>
  <si>
    <t>CUST-00153</t>
  </si>
  <si>
    <t>ORD-100547</t>
  </si>
  <si>
    <t>ORD-100906</t>
  </si>
  <si>
    <t>ORD-101086</t>
  </si>
  <si>
    <t>ORD-101998</t>
  </si>
  <si>
    <t>CUST-00463</t>
  </si>
  <si>
    <t>ORD-100152</t>
  </si>
  <si>
    <t>ORD-100378</t>
  </si>
  <si>
    <t>CUST-00308</t>
  </si>
  <si>
    <t>ORD-100999</t>
  </si>
  <si>
    <t>ORD-101723</t>
  </si>
  <si>
    <t>ORD-100810</t>
  </si>
  <si>
    <t>ORD-100897</t>
  </si>
  <si>
    <t>ORD-100963</t>
  </si>
  <si>
    <t>CUST-00585</t>
  </si>
  <si>
    <t>ORD-101587</t>
  </si>
  <si>
    <t>ORD-101851</t>
  </si>
  <si>
    <t>CUST-00103</t>
  </si>
  <si>
    <t>ORD-101292</t>
  </si>
  <si>
    <t>CUST-00465</t>
  </si>
  <si>
    <t>ORD-101325</t>
  </si>
  <si>
    <t>ORD-100016</t>
  </si>
  <si>
    <t>CUST-00554</t>
  </si>
  <si>
    <t>ORD-100326</t>
  </si>
  <si>
    <t>CUST-00261</t>
  </si>
  <si>
    <t>ORD-100443</t>
  </si>
  <si>
    <t>ORD-100570</t>
  </si>
  <si>
    <t>CUST-00436</t>
  </si>
  <si>
    <t>ORD-101308</t>
  </si>
  <si>
    <t>ORD-101807</t>
  </si>
  <si>
    <t>ORD-100236</t>
  </si>
  <si>
    <t>CUST-00247</t>
  </si>
  <si>
    <t>ORD-100714</t>
  </si>
  <si>
    <t>CUST-00022</t>
  </si>
  <si>
    <t>ORD-100957</t>
  </si>
  <si>
    <t>CUST-00318</t>
  </si>
  <si>
    <t>ORD-101299</t>
  </si>
  <si>
    <t>CUST-00283</t>
  </si>
  <si>
    <t>ORD-101381</t>
  </si>
  <si>
    <t>ORD-101653</t>
  </si>
  <si>
    <t>ORD-100003</t>
  </si>
  <si>
    <t>ORD-100702</t>
  </si>
  <si>
    <t>ORD-100859</t>
  </si>
  <si>
    <t>ORD-101242</t>
  </si>
  <si>
    <t>CUST-00268</t>
  </si>
  <si>
    <t>ORD-100448</t>
  </si>
  <si>
    <t>CUST-00073</t>
  </si>
  <si>
    <t>ORD-100632</t>
  </si>
  <si>
    <t>CUST-00316</t>
  </si>
  <si>
    <t>ORD-100770</t>
  </si>
  <si>
    <t>ORD-101180</t>
  </si>
  <si>
    <t>CUST-00141</t>
  </si>
  <si>
    <t>ORD-101645</t>
  </si>
  <si>
    <t>CUST-00176</t>
  </si>
  <si>
    <t>ORD-101913</t>
  </si>
  <si>
    <t>ORD-100304</t>
  </si>
  <si>
    <t>ORD-100720</t>
  </si>
  <si>
    <t>ORD-100749</t>
  </si>
  <si>
    <t>CUST-00017</t>
  </si>
  <si>
    <t>ORD-100881</t>
  </si>
  <si>
    <t>CUST-00030</t>
  </si>
  <si>
    <t>ORD-101765</t>
  </si>
  <si>
    <t>CUST-00296</t>
  </si>
  <si>
    <t>ORD-100964</t>
  </si>
  <si>
    <t>CUST-00257</t>
  </si>
  <si>
    <t>ORD-100715</t>
  </si>
  <si>
    <t>CUST-00347</t>
  </si>
  <si>
    <t>ORD-101039</t>
  </si>
  <si>
    <t>ORD-100339</t>
  </si>
  <si>
    <t>CUST-00081</t>
  </si>
  <si>
    <t>ORD-100394</t>
  </si>
  <si>
    <t>ORD-100424</t>
  </si>
  <si>
    <t>ORD-101177</t>
  </si>
  <si>
    <t>CUST-00290</t>
  </si>
  <si>
    <t>ORD-101300</t>
  </si>
  <si>
    <t>CUST-00032</t>
  </si>
  <si>
    <t>ORD-100043</t>
  </si>
  <si>
    <t>CUST-00320</t>
  </si>
  <si>
    <t>ORD-100863</t>
  </si>
  <si>
    <t>CUST-00592</t>
  </si>
  <si>
    <t>ORD-101002</t>
  </si>
  <si>
    <t>CUST-00185</t>
  </si>
  <si>
    <t>ORD-101466</t>
  </si>
  <si>
    <t>ORD-101567</t>
  </si>
  <si>
    <t>CUST-00053</t>
  </si>
  <si>
    <t>ORD-101878</t>
  </si>
  <si>
    <t>ORD-100368</t>
  </si>
  <si>
    <t>ORD-100608</t>
  </si>
  <si>
    <t>CUST-00216</t>
  </si>
  <si>
    <t>ORD-100439</t>
  </si>
  <si>
    <t>CUST-00155</t>
  </si>
  <si>
    <t>ORD-101312</t>
  </si>
  <si>
    <t>CUST-00456</t>
  </si>
  <si>
    <t>ORD-101400</t>
  </si>
  <si>
    <t>CUST-00217</t>
  </si>
  <si>
    <t>ORD-100214</t>
  </si>
  <si>
    <t>ORD-100254</t>
  </si>
  <si>
    <t>CUST-00152</t>
  </si>
  <si>
    <t>ORD-100718</t>
  </si>
  <si>
    <t>CUST-00113</t>
  </si>
  <si>
    <t>ORD-100721</t>
  </si>
  <si>
    <t>CUST-00286</t>
  </si>
  <si>
    <t>ORD-100949</t>
  </si>
  <si>
    <t>CUST-00526</t>
  </si>
  <si>
    <t>ORD-101067</t>
  </si>
  <si>
    <t>CUST-00110</t>
  </si>
  <si>
    <t>ORD-101190</t>
  </si>
  <si>
    <t>CUST-00405</t>
  </si>
  <si>
    <t>ORD-101914</t>
  </si>
  <si>
    <t>ORD-100823</t>
  </si>
  <si>
    <t>CUST-00035</t>
  </si>
  <si>
    <t>ORD-101132</t>
  </si>
  <si>
    <t>ORD-100097</t>
  </si>
  <si>
    <t>CUST-00333</t>
  </si>
  <si>
    <t>ORD-100193</t>
  </si>
  <si>
    <t>ORD-100511</t>
  </si>
  <si>
    <t>CUST-00021</t>
  </si>
  <si>
    <t>ORD-100606</t>
  </si>
  <si>
    <t>ORD-100028</t>
  </si>
  <si>
    <t>CUST-00591</t>
  </si>
  <si>
    <t>ORD-100079</t>
  </si>
  <si>
    <t>ORD-100463</t>
  </si>
  <si>
    <t>CUST-00241</t>
  </si>
  <si>
    <t>ORD-100902</t>
  </si>
  <si>
    <t>CUST-00462</t>
  </si>
  <si>
    <t>ORD-101852</t>
  </si>
  <si>
    <t>CUST-00139</t>
  </si>
  <si>
    <t>ORD-100336</t>
  </si>
  <si>
    <t>ORD-100554</t>
  </si>
  <si>
    <t>CUST-00356</t>
  </si>
  <si>
    <t>ORD-100935</t>
  </si>
  <si>
    <t>ORD-101609</t>
  </si>
  <si>
    <t>CUST-00509</t>
  </si>
  <si>
    <t>ORD-100154</t>
  </si>
  <si>
    <t>ORD-100675</t>
  </si>
  <si>
    <t>ORD-100690</t>
  </si>
  <si>
    <t>CUST-00495</t>
  </si>
  <si>
    <t>ORD-101651</t>
  </si>
  <si>
    <t>ORD-100507</t>
  </si>
  <si>
    <t>CUST-00323</t>
  </si>
  <si>
    <t>ORD-101083</t>
  </si>
  <si>
    <t>ORD-100445</t>
  </si>
  <si>
    <t>ORD-100490</t>
  </si>
  <si>
    <t>CUST-00590</t>
  </si>
  <si>
    <t>ORD-100573</t>
  </si>
  <si>
    <t>ORD-100582</t>
  </si>
  <si>
    <t>CUST-00246</t>
  </si>
  <si>
    <t>ORD-101056</t>
  </si>
  <si>
    <t>ORD-101614</t>
  </si>
  <si>
    <t>ORD-101684</t>
  </si>
  <si>
    <t>ORD-101737</t>
  </si>
  <si>
    <t>CUST-00222</t>
  </si>
  <si>
    <t>ORD-101546</t>
  </si>
  <si>
    <t>ORD-101616</t>
  </si>
  <si>
    <t>CUST-00039</t>
  </si>
  <si>
    <t>ORD-100089</t>
  </si>
  <si>
    <t>CUST-00434</t>
  </si>
  <si>
    <t>ORD-100789</t>
  </si>
  <si>
    <t>ORD-100820</t>
  </si>
  <si>
    <t>CUST-00079</t>
  </si>
  <si>
    <t>ORD-101650</t>
  </si>
  <si>
    <t>CUST-00276</t>
  </si>
  <si>
    <t>ORD-100682</t>
  </si>
  <si>
    <t>ORD-100801</t>
  </si>
  <si>
    <t>CUST-00023</t>
  </si>
  <si>
    <t>ORD-100654</t>
  </si>
  <si>
    <t>ORD-100955</t>
  </si>
  <si>
    <t>CUST-00180</t>
  </si>
  <si>
    <t>ORD-101449</t>
  </si>
  <si>
    <t>ORD-100642</t>
  </si>
  <si>
    <t>CUST-00563</t>
  </si>
  <si>
    <t>ORD-100746</t>
  </si>
  <si>
    <t>ORD-101461</t>
  </si>
  <si>
    <t>ORD-100051</t>
  </si>
  <si>
    <t>ORD-100760</t>
  </si>
  <si>
    <t>ORD-100969</t>
  </si>
  <si>
    <t>CUST-00469</t>
  </si>
  <si>
    <t>ORD-101362</t>
  </si>
  <si>
    <t>CUST-00090</t>
  </si>
  <si>
    <t>ORD-101398</t>
  </si>
  <si>
    <t>ORD-100593</t>
  </si>
  <si>
    <t>CUST-00584</t>
  </si>
  <si>
    <t>ORD-100602</t>
  </si>
  <si>
    <t>ORD-100705</t>
  </si>
  <si>
    <t>CUST-00564</t>
  </si>
  <si>
    <t>ORD-101097</t>
  </si>
  <si>
    <t>ORD-101338</t>
  </si>
  <si>
    <t>CUST-00082</t>
  </si>
  <si>
    <t>ORD-100291</t>
  </si>
  <si>
    <t>ORD-100619</t>
  </si>
  <si>
    <t>CUST-00010</t>
  </si>
  <si>
    <t>ORD-101051</t>
  </si>
  <si>
    <t>CUST-00485</t>
  </si>
  <si>
    <t>ORD-101811</t>
  </si>
  <si>
    <t>ORD-101932</t>
  </si>
  <si>
    <t>CUST-00041</t>
  </si>
  <si>
    <t>ORD-100129</t>
  </si>
  <si>
    <t>CUST-00057</t>
  </si>
  <si>
    <t>ORD-100227</t>
  </si>
  <si>
    <t>ORD-100239</t>
  </si>
  <si>
    <t>CUST-00182</t>
  </si>
  <si>
    <t>ORD-100282</t>
  </si>
  <si>
    <t>CUST-00500</t>
  </si>
  <si>
    <t>ORD-101293</t>
  </si>
  <si>
    <t>CUST-00028</t>
  </si>
  <si>
    <t>ORD-101407</t>
  </si>
  <si>
    <t>CUST-00428</t>
  </si>
  <si>
    <t>ORD-101600</t>
  </si>
  <si>
    <t>ORD-101827</t>
  </si>
  <si>
    <t>CUST-00181</t>
  </si>
  <si>
    <t>ORD-100075</t>
  </si>
  <si>
    <t>ORD-100544</t>
  </si>
  <si>
    <t>ORD-100965</t>
  </si>
  <si>
    <t>ORD-101267</t>
  </si>
  <si>
    <t>ORD-101900</t>
  </si>
  <si>
    <t>ORD-100182</t>
  </si>
  <si>
    <t>CUST-00442</t>
  </si>
  <si>
    <t>ORD-100204</t>
  </si>
  <si>
    <t>ORD-100469</t>
  </si>
  <si>
    <t>ORD-100921</t>
  </si>
  <si>
    <t>ORD-101728</t>
  </si>
  <si>
    <t>ORD-101961</t>
  </si>
  <si>
    <t>CUST-00005</t>
  </si>
  <si>
    <t>ORD-100159</t>
  </si>
  <si>
    <t>CUST-00357</t>
  </si>
  <si>
    <t>ORD-100637</t>
  </si>
  <si>
    <t>ORD-100689</t>
  </si>
  <si>
    <t>ORD-101255</t>
  </si>
  <si>
    <t>ORD-101206</t>
  </si>
  <si>
    <t>CUST-00064</t>
  </si>
  <si>
    <t>ORD-101576</t>
  </si>
  <si>
    <t>ORD-101665</t>
  </si>
  <si>
    <t>CUST-00001</t>
  </si>
  <si>
    <t>ORD-101404</t>
  </si>
  <si>
    <t>ORD-100519</t>
  </si>
  <si>
    <t>ORD-100687</t>
  </si>
  <si>
    <t>ORD-101395</t>
  </si>
  <si>
    <t>ORD-101536</t>
  </si>
  <si>
    <t>ORD-101591</t>
  </si>
  <si>
    <t>CUST-00368</t>
  </si>
  <si>
    <t>ORD-100124</t>
  </si>
  <si>
    <t>ORD-101063</t>
  </si>
  <si>
    <t>CUST-00331</t>
  </si>
  <si>
    <t>ORD-101099</t>
  </si>
  <si>
    <t>CUST-00094</t>
  </si>
  <si>
    <t>ORD-101235</t>
  </si>
  <si>
    <t>ORD-101740</t>
  </si>
  <si>
    <t>CUST-00293</t>
  </si>
  <si>
    <t>ORD-100292</t>
  </si>
  <si>
    <t>ORD-100772</t>
  </si>
  <si>
    <t>CUST-00123</t>
  </si>
  <si>
    <t>ORD-100818</t>
  </si>
  <si>
    <t>ORD-100899</t>
  </si>
  <si>
    <t>CUST-00046</t>
  </si>
  <si>
    <t>ORD-100919</t>
  </si>
  <si>
    <t>CUST-00516</t>
  </si>
  <si>
    <t>ORD-101280</t>
  </si>
  <si>
    <t>CUST-00572</t>
  </si>
  <si>
    <t>ORD-101403</t>
  </si>
  <si>
    <t>ORD-101891</t>
  </si>
  <si>
    <t>ORD-100127</t>
  </si>
  <si>
    <t>CUST-00506</t>
  </si>
  <si>
    <t>ORD-100188</t>
  </si>
  <si>
    <t>CUST-00248</t>
  </si>
  <si>
    <t>ORD-100657</t>
  </si>
  <si>
    <t>CUST-00126</t>
  </si>
  <si>
    <t>ORD-100724</t>
  </si>
  <si>
    <t>CUST-00148</t>
  </si>
  <si>
    <t>ORD-101247</t>
  </si>
  <si>
    <t>ORD-101310</t>
  </si>
  <si>
    <t>CUST-00479</t>
  </si>
  <si>
    <t>ORD-101592</t>
  </si>
  <si>
    <t>ORD-101743</t>
  </si>
  <si>
    <t>ORD-100452</t>
  </si>
  <si>
    <t>CUST-00026</t>
  </si>
  <si>
    <t>ORD-101105</t>
  </si>
  <si>
    <t>CUST-00371</t>
  </si>
  <si>
    <t>ORD-101124</t>
  </si>
  <si>
    <t>ORD-101657</t>
  </si>
  <si>
    <t>ORD-101174</t>
  </si>
  <si>
    <t>ORD-101753</t>
  </si>
  <si>
    <t>ORD-100211</t>
  </si>
  <si>
    <t>ORD-100651</t>
  </si>
  <si>
    <t>CUST-00215</t>
  </si>
  <si>
    <t>ORD-101219</t>
  </si>
  <si>
    <t>ORD-100756</t>
  </si>
  <si>
    <t>CUST-00594</t>
  </si>
  <si>
    <t>ORD-101022</t>
  </si>
  <si>
    <t>CUST-00421</t>
  </si>
  <si>
    <t>ORD-101574</t>
  </si>
  <si>
    <t>ORD-100523</t>
  </si>
  <si>
    <t>CUST-00377</t>
  </si>
  <si>
    <t>ORD-101176</t>
  </si>
  <si>
    <t>ORD-101618</t>
  </si>
  <si>
    <t>ORD-100070</t>
  </si>
  <si>
    <t>CUST-00422</t>
  </si>
  <si>
    <t>ORD-100113</t>
  </si>
  <si>
    <t>CUST-00294</t>
  </si>
  <si>
    <t>ORD-100146</t>
  </si>
  <si>
    <t>CUST-00295</t>
  </si>
  <si>
    <t>ORD-100359</t>
  </si>
  <si>
    <t>CUST-00402</t>
  </si>
  <si>
    <t>ORD-100741</t>
  </si>
  <si>
    <t>CUST-00328</t>
  </si>
  <si>
    <t>ORD-101076</t>
  </si>
  <si>
    <t>ORD-101458</t>
  </si>
  <si>
    <t>CUST-00337</t>
  </si>
  <si>
    <t>ORD-101982</t>
  </si>
  <si>
    <t>CUST-00435</t>
  </si>
  <si>
    <t>ORD-100252</t>
  </si>
  <si>
    <t>CUST-00460</t>
  </si>
  <si>
    <t>ORD-101228</t>
  </si>
  <si>
    <t>ORD-101838</t>
  </si>
  <si>
    <t>CUST-00482</t>
  </si>
  <si>
    <t>ORD-100024</t>
  </si>
  <si>
    <t>ORD-100670</t>
  </si>
  <si>
    <t>ORD-100994</t>
  </si>
  <si>
    <t>ORD-101143</t>
  </si>
  <si>
    <t>ORD-101146</t>
  </si>
  <si>
    <t>ORD-101428</t>
  </si>
  <si>
    <t>ORD-101477</t>
  </si>
  <si>
    <t>CUST-00066</t>
  </si>
  <si>
    <t>ORD-100065</t>
  </si>
  <si>
    <t>ORD-101047</t>
  </si>
  <si>
    <t>ORD-101230</t>
  </si>
  <si>
    <t>CUST-00319</t>
  </si>
  <si>
    <t>ORD-101406</t>
  </si>
  <si>
    <t>CUST-00135</t>
  </si>
  <si>
    <t>ORD-101598</t>
  </si>
  <si>
    <t>ORD-100105</t>
  </si>
  <si>
    <t>CUST-00597</t>
  </si>
  <si>
    <t>ORD-100324</t>
  </si>
  <si>
    <t>ORD-100344</t>
  </si>
  <si>
    <t>ORD-100733</t>
  </si>
  <si>
    <t>ORD-100719</t>
  </si>
  <si>
    <t>ORD-101714</t>
  </si>
  <si>
    <t>CUST-00188</t>
  </si>
  <si>
    <t>ORD-101836</t>
  </si>
  <si>
    <t>ORD-101849</t>
  </si>
  <si>
    <t>ORD-100449</t>
  </si>
  <si>
    <t>ORD-100950</t>
  </si>
  <si>
    <t>ORD-100972</t>
  </si>
  <si>
    <t>ORD-101430</t>
  </si>
  <si>
    <t>CUST-00183</t>
  </si>
  <si>
    <t>ORD-100391</t>
  </si>
  <si>
    <t>ORD-100506</t>
  </si>
  <si>
    <t>ORD-101073</t>
  </si>
  <si>
    <t>ORD-101438</t>
  </si>
  <si>
    <t>CUST-00166</t>
  </si>
  <si>
    <t>ORD-100063</t>
  </si>
  <si>
    <t>CUST-00299</t>
  </si>
  <si>
    <t>ORD-100364</t>
  </si>
  <si>
    <t>ORD-100631</t>
  </si>
  <si>
    <t>ORD-101187</t>
  </si>
  <si>
    <t>ORD-101439</t>
  </si>
  <si>
    <t>CUST-00189</t>
  </si>
  <si>
    <t>ORD-101487</t>
  </si>
  <si>
    <t>CUST-00083</t>
  </si>
  <si>
    <t>ORD-101489</t>
  </si>
  <si>
    <t>ORD-101770</t>
  </si>
  <si>
    <t>ORD-101825</t>
  </si>
  <si>
    <t>CUST-00419</t>
  </si>
  <si>
    <t>ORD-100299</t>
  </si>
  <si>
    <t>ORD-100363</t>
  </si>
  <si>
    <t>CUST-00092</t>
  </si>
  <si>
    <t>ORD-100799</t>
  </si>
  <si>
    <t>ORD-100940</t>
  </si>
  <si>
    <t>CUST-00197</t>
  </si>
  <si>
    <t>ORD-100022</t>
  </si>
  <si>
    <t>ORD-100228</t>
  </si>
  <si>
    <t>CUST-00461</t>
  </si>
  <si>
    <t>ORD-100481</t>
  </si>
  <si>
    <t>ORD-101696</t>
  </si>
  <si>
    <t>CUST-00306</t>
  </si>
  <si>
    <t>ORD-101864</t>
  </si>
  <si>
    <t>ORD-100307</t>
  </si>
  <si>
    <t>CUST-00140</t>
  </si>
  <si>
    <t>ORD-100728</t>
  </si>
  <si>
    <t>ORD-101491</t>
  </si>
  <si>
    <t>CUST-00086</t>
  </si>
  <si>
    <t>ORD-101619</t>
  </si>
  <si>
    <t>ORD-101975</t>
  </si>
  <si>
    <t>CUST-00600</t>
  </si>
  <si>
    <t>ORD-100148</t>
  </si>
  <si>
    <t>ORD-100361</t>
  </si>
  <si>
    <t>ORD-101186</t>
  </si>
  <si>
    <t>CUST-00008</t>
  </si>
  <si>
    <t>ORD-100001</t>
  </si>
  <si>
    <t>CUST-00349</t>
  </si>
  <si>
    <t>ORD-100401</t>
  </si>
  <si>
    <t>CUST-00390</t>
  </si>
  <si>
    <t>ORD-101380</t>
  </si>
  <si>
    <t>ORD-101834</t>
  </si>
  <si>
    <t>CUST-00453</t>
  </si>
  <si>
    <t>ORD-100060</t>
  </si>
  <si>
    <t>CUST-00508</t>
  </si>
  <si>
    <t>ORD-100366</t>
  </si>
  <si>
    <t>CUST-00159</t>
  </si>
  <si>
    <t>ORD-100479</t>
  </si>
  <si>
    <t>ORD-101108</t>
  </si>
  <si>
    <t>CUST-00277</t>
  </si>
  <si>
    <t>ORD-100329</t>
  </si>
  <si>
    <t>CUST-00521</t>
  </si>
  <si>
    <t>ORD-100556</t>
  </si>
  <si>
    <t>ORD-100649</t>
  </si>
  <si>
    <t>ORD-101943</t>
  </si>
  <si>
    <t>ORD-100647</t>
  </si>
  <si>
    <t>ORD-100004</t>
  </si>
  <si>
    <t>ORD-101238</t>
  </si>
  <si>
    <t>CUST-00116</t>
  </si>
  <si>
    <t>ORD-101469</t>
  </si>
  <si>
    <t>CUST-00573</t>
  </si>
  <si>
    <t>ORD-101766</t>
  </si>
  <si>
    <t>CUST-00198</t>
  </si>
  <si>
    <t>ORD-100076</t>
  </si>
  <si>
    <t>ORD-100875</t>
  </si>
  <si>
    <t>ORD-101193</t>
  </si>
  <si>
    <t>ORD-101256</t>
  </si>
  <si>
    <t>CUST-00336</t>
  </si>
  <si>
    <t>ORD-101339</t>
  </si>
  <si>
    <t>ORD-100011</t>
  </si>
  <si>
    <t>ORD-100577</t>
  </si>
  <si>
    <t>ORD-101222</t>
  </si>
  <si>
    <t>CUST-00587</t>
  </si>
  <si>
    <t>ORD-100281</t>
  </si>
  <si>
    <t>CUST-00061</t>
  </si>
  <si>
    <t>ORD-100706</t>
  </si>
  <si>
    <t>ORD-101344</t>
  </si>
  <si>
    <t>ORD-100492</t>
  </si>
  <si>
    <t>CUST-00324</t>
  </si>
  <si>
    <t>ORD-101997</t>
  </si>
  <si>
    <t>CUST-00060</t>
  </si>
  <si>
    <t>ORD-100203</t>
  </si>
  <si>
    <t>CUST-00300</t>
  </si>
  <si>
    <t>ORD-100271</t>
  </si>
  <si>
    <t>ORD-100312</t>
  </si>
  <si>
    <t>CUST-00253</t>
  </si>
  <si>
    <t>ORD-100457</t>
  </si>
  <si>
    <t>ORD-100503</t>
  </si>
  <si>
    <t>CUST-00204</t>
  </si>
  <si>
    <t>ORD-100986</t>
  </si>
  <si>
    <t>ORD-101399</t>
  </si>
  <si>
    <t>ORD-101674</t>
  </si>
  <si>
    <t>ORD-100332</t>
  </si>
  <si>
    <t>ORD-100535</t>
  </si>
  <si>
    <t>CUST-00348</t>
  </si>
  <si>
    <t>ORD-100581</t>
  </si>
  <si>
    <t>ORD-100142</t>
  </si>
  <si>
    <t>ORD-100466</t>
  </si>
  <si>
    <t>ORD-100683</t>
  </si>
  <si>
    <t>CUST-00399</t>
  </si>
  <si>
    <t>ORD-100913</t>
  </si>
  <si>
    <t>CUST-00262</t>
  </si>
  <si>
    <t>ORD-101538</t>
  </si>
  <si>
    <t>CUST-00400</t>
  </si>
  <si>
    <t>ORD-101539</t>
  </si>
  <si>
    <t>ORD-100176</t>
  </si>
  <si>
    <t>ORD-100562</t>
  </si>
  <si>
    <t>CUST-00382</t>
  </si>
  <si>
    <t>ORD-101237</t>
  </si>
  <si>
    <t>CUST-00411</t>
  </si>
  <si>
    <t>ORD-101257</t>
  </si>
  <si>
    <t>ORD-101500</t>
  </si>
  <si>
    <t>ORD-101788</t>
  </si>
  <si>
    <t>ORD-101026</t>
  </si>
  <si>
    <t>ORD-100198</t>
  </si>
  <si>
    <t>CUST-00502</t>
  </si>
  <si>
    <t>ORD-100237</t>
  </si>
  <si>
    <t>ORD-100431</t>
  </si>
  <si>
    <t>ORD-100727</t>
  </si>
  <si>
    <t>ORD-101669</t>
  </si>
  <si>
    <t>ORD-101984</t>
  </si>
  <si>
    <t>ORD-101708</t>
  </si>
  <si>
    <t>CUST-00052</t>
  </si>
  <si>
    <t>ORD-100059</t>
  </si>
  <si>
    <t>ORD-100149</t>
  </si>
  <si>
    <t>ORD-100218</t>
  </si>
  <si>
    <t>ORD-100331</t>
  </si>
  <si>
    <t>ORD-100411</t>
  </si>
  <si>
    <t>ORD-100487</t>
  </si>
  <si>
    <t>CUST-00582</t>
  </si>
  <si>
    <t>ORD-101341</t>
  </si>
  <si>
    <t>CUST-00127</t>
  </si>
  <si>
    <t>ORD-101117</t>
  </si>
  <si>
    <t>ORD-101634</t>
  </si>
  <si>
    <t>CUST-00151</t>
  </si>
  <si>
    <t>ORD-100622</t>
  </si>
  <si>
    <t>ORD-101001</t>
  </si>
  <si>
    <t>ORD-101382</t>
  </si>
  <si>
    <t>CUST-00025</t>
  </si>
  <si>
    <t>ORD-101553</t>
  </si>
  <si>
    <t>CUST-00387</t>
  </si>
  <si>
    <t>ORD-100447</t>
  </si>
  <si>
    <t>CUST-00504</t>
  </si>
  <si>
    <t>ORD-101008</t>
  </si>
  <si>
    <t>ORD-100174</t>
  </si>
  <si>
    <t>ORD-100316</t>
  </si>
  <si>
    <t>CUST-00580</t>
  </si>
  <si>
    <t>ORD-100372</t>
  </si>
  <si>
    <t>ORD-101118</t>
  </si>
  <si>
    <t>ORD-101899</t>
  </si>
  <si>
    <t>CUST-00237</t>
  </si>
  <si>
    <t>ORD-100121</t>
  </si>
  <si>
    <t>CUST-00329</t>
  </si>
  <si>
    <t>ORD-100433</t>
  </si>
  <si>
    <t>ORD-100758</t>
  </si>
  <si>
    <t>ORD-101329</t>
  </si>
  <si>
    <t>CUST-00490</t>
  </si>
  <si>
    <t>ORD-101495</t>
  </si>
  <si>
    <t>CUST-00145</t>
  </si>
  <si>
    <t>ORD-100910</t>
  </si>
  <si>
    <t>CUST-00280</t>
  </si>
  <si>
    <t>ORD-100040</t>
  </si>
  <si>
    <t>CUST-00389</t>
  </si>
  <si>
    <t>ORD-100047</t>
  </si>
  <si>
    <t>ORD-101268</t>
  </si>
  <si>
    <t>CUST-00291</t>
  </si>
  <si>
    <t>ORD-101383</t>
  </si>
  <si>
    <t>CUST-00322</t>
  </si>
  <si>
    <t>ORD-101532</t>
  </si>
  <si>
    <t>ORD-101606</t>
  </si>
  <si>
    <t>ORD-100939</t>
  </si>
  <si>
    <t>CUST-00112</t>
  </si>
  <si>
    <t>ORD-101465</t>
  </si>
  <si>
    <t>ORD-101599</t>
  </si>
  <si>
    <t>CUST-00004</t>
  </si>
  <si>
    <t>ORD-101639</t>
  </si>
  <si>
    <t>CUST-00287</t>
  </si>
  <si>
    <t>ORD-100300</t>
  </si>
  <si>
    <t>ORD-100393</t>
  </si>
  <si>
    <t>CUST-00150</t>
  </si>
  <si>
    <t>ORD-100527</t>
  </si>
  <si>
    <t>ORD-101392</t>
  </si>
  <si>
    <t>ORD-101949</t>
  </si>
  <si>
    <t>ORD-100050</t>
  </si>
  <si>
    <t>ORD-100674</t>
  </si>
  <si>
    <t>ORD-101447</t>
  </si>
  <si>
    <t>ORD-100653</t>
  </si>
  <si>
    <t>ORD-100890</t>
  </si>
  <si>
    <t>ORD-101116</t>
  </si>
  <si>
    <t>ORD-101432</t>
  </si>
  <si>
    <t>ORD-100233</t>
  </si>
  <si>
    <t>CUST-00457</t>
  </si>
  <si>
    <t>ORD-100320</t>
  </si>
  <si>
    <t>CUST-00122</t>
  </si>
  <si>
    <t>ORD-101435</t>
  </si>
  <si>
    <t>CUST-00510</t>
  </si>
  <si>
    <t>ORD-101504</t>
  </si>
  <si>
    <t>CUST-00065</t>
  </si>
  <si>
    <t>ORD-100713</t>
  </si>
  <si>
    <t>CUST-00074</t>
  </si>
  <si>
    <t>ORD-100871</t>
  </si>
  <si>
    <t>ORD-101908</t>
  </si>
  <si>
    <t>CUST-00379</t>
  </si>
  <si>
    <t>ORD-100779</t>
  </si>
  <si>
    <t>ORD-101000</t>
  </si>
  <si>
    <t>CUST-00511</t>
  </si>
  <si>
    <t>ORD-101157</t>
  </si>
  <si>
    <t>ORD-100338</t>
  </si>
  <si>
    <t>CUST-00205</t>
  </si>
  <si>
    <t>ORD-101224</t>
  </si>
  <si>
    <t>ORD-100704</t>
  </si>
  <si>
    <t>ORD-100956</t>
  </si>
  <si>
    <t>ORD-101796</t>
  </si>
  <si>
    <t>ORD-100107</t>
  </si>
  <si>
    <t>ORD-100990</t>
  </si>
  <si>
    <t>ORD-100303</t>
  </si>
  <si>
    <t>ORD-100759</t>
  </si>
  <si>
    <t>ORD-100761</t>
  </si>
  <si>
    <t>CUST-00203</t>
  </si>
  <si>
    <t>ORD-101184</t>
  </si>
  <si>
    <t>ORD-101562</t>
  </si>
  <si>
    <t>CUST-00430</t>
  </si>
  <si>
    <t>ORD-100409</t>
  </si>
  <si>
    <t>ORD-100334</t>
  </si>
  <si>
    <t>CUST-00414</t>
  </si>
  <si>
    <t>ORD-100629</t>
  </si>
  <si>
    <t>ORD-100936</t>
  </si>
  <si>
    <t>ORD-101944</t>
  </si>
  <si>
    <t>CUST-00407</t>
  </si>
  <si>
    <t>ORD-101950</t>
  </si>
  <si>
    <t>CUST-00105</t>
  </si>
  <si>
    <t>ORD-100029</t>
  </si>
  <si>
    <t>CUST-00072</t>
  </si>
  <si>
    <t>ORD-100931</t>
  </si>
  <si>
    <t>ORD-101675</t>
  </si>
  <si>
    <t>ORD-101744</t>
  </si>
  <si>
    <t>ORD-101841</t>
  </si>
  <si>
    <t>CUST-00305</t>
  </si>
  <si>
    <t>ORD-100056</t>
  </si>
  <si>
    <t>ORD-101823</t>
  </si>
  <si>
    <t>ORD-100694</t>
  </si>
  <si>
    <t>CUST-00292</t>
  </si>
  <si>
    <t>ORD-100884</t>
  </si>
  <si>
    <t>CUST-00420</t>
  </si>
  <si>
    <t>ORD-101470</t>
  </si>
  <si>
    <t>CUST-00533</t>
  </si>
  <si>
    <t>ORD-100740</t>
  </si>
  <si>
    <t>CUST-00067</t>
  </si>
  <si>
    <t>ORD-101064</t>
  </si>
  <si>
    <t>ORD-101372</t>
  </si>
  <si>
    <t>ORD-101768</t>
  </si>
  <si>
    <t>ORD-100186</t>
  </si>
  <si>
    <t>ORD-100333</t>
  </si>
  <si>
    <t>CUST-00071</t>
  </si>
  <si>
    <t>ORD-101303</t>
  </si>
  <si>
    <t>ORD-100277</t>
  </si>
  <si>
    <t>ORD-100625</t>
  </si>
  <si>
    <t>CUST-00147</t>
  </si>
  <si>
    <t>ORD-101608</t>
  </si>
  <si>
    <t>CUST-00458</t>
  </si>
  <si>
    <t>ORD-100297</t>
  </si>
  <si>
    <t>CUST-00454</t>
  </si>
  <si>
    <t>ORD-100465</t>
  </si>
  <si>
    <t>ORD-100873</t>
  </si>
  <si>
    <t>CUST-00157</t>
  </si>
  <si>
    <t>ORD-101790</t>
  </si>
  <si>
    <t>CUST-00080</t>
  </si>
  <si>
    <t>ORD-101918</t>
  </si>
  <si>
    <t>ORD-100143</t>
  </si>
  <si>
    <t>CUST-00483</t>
  </si>
  <si>
    <t>ORD-100754</t>
  </si>
  <si>
    <t>ORD-101217</t>
  </si>
  <si>
    <t>ORD-101520</t>
  </si>
  <si>
    <t>ORD-100639</t>
  </si>
  <si>
    <t>CUST-00244</t>
  </si>
  <si>
    <t>ORD-100815</t>
  </si>
  <si>
    <t>CUST-00338</t>
  </si>
  <si>
    <t>ORD-101106</t>
  </si>
  <si>
    <t>CUST-00581</t>
  </si>
  <si>
    <t>ORD-101125</t>
  </si>
  <si>
    <t>ORD-100082</t>
  </si>
  <si>
    <t>CUST-00568</t>
  </si>
  <si>
    <t>ORD-100480</t>
  </si>
  <si>
    <t>CUST-00036</t>
  </si>
  <si>
    <t>ORD-101102</t>
  </si>
  <si>
    <t>ORD-101192</t>
  </si>
  <si>
    <t>ORD-100317</t>
  </si>
  <si>
    <t>CUST-00370</t>
  </si>
  <si>
    <t>ORD-100624</t>
  </si>
  <si>
    <t>CUST-00211</t>
  </si>
  <si>
    <t>ORD-101629</t>
  </si>
  <si>
    <t>ORD-100145</t>
  </si>
  <si>
    <t>ORD-100757</t>
  </si>
  <si>
    <t>CUST-00503</t>
  </si>
  <si>
    <t>ORD-101805</t>
  </si>
  <si>
    <t>CUST-00394</t>
  </si>
  <si>
    <t>ORD-101893</t>
  </si>
  <si>
    <t>ORD-100461</t>
  </si>
  <si>
    <t>ORD-100543</t>
  </si>
  <si>
    <t>CUST-00413</t>
  </si>
  <si>
    <t>ORD-101575</t>
  </si>
  <si>
    <t>CUST-00431</t>
  </si>
  <si>
    <t>ORD-101929</t>
  </si>
  <si>
    <t>CUST-00480</t>
  </si>
  <si>
    <t>ORD-100407</t>
  </si>
  <si>
    <t>ORD-100551</t>
  </si>
  <si>
    <t>ORD-101082</t>
  </si>
  <si>
    <t>ORD-101486</t>
  </si>
  <si>
    <t>CUST-00325</t>
  </si>
  <si>
    <t>ORD-101602</t>
  </si>
  <si>
    <t>ORD-100587</t>
  </si>
  <si>
    <t>ORD-100709</t>
  </si>
  <si>
    <t>CUST-00002</t>
  </si>
  <si>
    <t>ORD-101131</t>
  </si>
  <si>
    <t>CUST-00068</t>
  </si>
  <si>
    <t>ORD-100549</t>
  </si>
  <si>
    <t>CUST-00266</t>
  </si>
  <si>
    <t>ORD-101813</t>
  </si>
  <si>
    <t>ORD-100778</t>
  </si>
  <si>
    <t>ORD-101065</t>
  </si>
  <si>
    <t>ORD-101353</t>
  </si>
  <si>
    <t>ORD-101776</t>
  </si>
  <si>
    <t>ORD-101094</t>
  </si>
  <si>
    <t>ORD-101212</t>
  </si>
  <si>
    <t>CUST-00355</t>
  </si>
  <si>
    <t>ORD-101786</t>
  </si>
  <si>
    <t>CUST-00089</t>
  </si>
  <si>
    <t>ORD-100037</t>
  </si>
  <si>
    <t>ORD-100195</t>
  </si>
  <si>
    <t>ORD-100851</t>
  </si>
  <si>
    <t>ORD-100967</t>
  </si>
  <si>
    <t>CUST-00270</t>
  </si>
  <si>
    <t>ORD-101288</t>
  </si>
  <si>
    <t>ORD-101561</t>
  </si>
  <si>
    <t>ORD-101829</t>
  </si>
  <si>
    <t>ORD-100764</t>
  </si>
  <si>
    <t>ORD-100995</t>
  </si>
  <si>
    <t>ORD-101214</t>
  </si>
  <si>
    <t>ORD-101564</t>
  </si>
  <si>
    <t>ORD-101843</t>
  </si>
  <si>
    <t>ORD-101971</t>
  </si>
  <si>
    <t>CUST-00235</t>
  </si>
  <si>
    <t>ORD-100322</t>
  </si>
  <si>
    <t>ORD-101402</t>
  </si>
  <si>
    <t>ORD-101956</t>
  </si>
  <si>
    <t>ORD-101988</t>
  </si>
  <si>
    <t>ORD-100212</t>
  </si>
  <si>
    <t>ORD-100636</t>
  </si>
  <si>
    <t>ORD-100829</t>
  </si>
  <si>
    <t>ORD-101181</t>
  </si>
  <si>
    <t>CUST-00038</t>
  </si>
  <si>
    <t>ORD-101218</t>
  </si>
  <si>
    <t>ORD-101390</t>
  </si>
  <si>
    <t>ORD-100853</t>
  </si>
  <si>
    <t>ORD-100989</t>
  </si>
  <si>
    <t>CUST-00232</t>
  </si>
  <si>
    <t>ORD-100711</t>
  </si>
  <si>
    <t>CUST-00209</t>
  </si>
  <si>
    <t>ORD-101226</t>
  </si>
  <si>
    <t>ORD-101482</t>
  </si>
  <si>
    <t>CUST-00187</t>
  </si>
  <si>
    <t>ORD-101678</t>
  </si>
  <si>
    <t>ORD-101939</t>
  </si>
  <si>
    <t>ORD-101996</t>
  </si>
  <si>
    <t>ORD-101393</t>
  </si>
  <si>
    <t>CUST-00098</t>
  </si>
  <si>
    <t>ORD-101456</t>
  </si>
  <si>
    <t>CUST-00264</t>
  </si>
  <si>
    <t>ORD-100231</t>
  </si>
  <si>
    <t>ORD-100641</t>
  </si>
  <si>
    <t>ORD-100665</t>
  </si>
  <si>
    <t>ORD-101269</t>
  </si>
  <si>
    <t>CUST-00452</t>
  </si>
  <si>
    <t>ORD-101590</t>
  </si>
  <si>
    <t>ORD-101642</t>
  </si>
  <si>
    <t>ORD-101667</t>
  </si>
  <si>
    <t>CUST-00006</t>
  </si>
  <si>
    <t>ORD-101861</t>
  </si>
  <si>
    <t>ORD-101919</t>
  </si>
  <si>
    <t>ORD-100285</t>
  </si>
  <si>
    <t>ORD-100663</t>
  </si>
  <si>
    <t>CUST-00298</t>
  </si>
  <si>
    <t>ORD-101524</t>
  </si>
  <si>
    <t>ORD-101703</t>
  </si>
  <si>
    <t>CUST-00255</t>
  </si>
  <si>
    <t>ORD-100222</t>
  </si>
  <si>
    <t>ORD-100529</t>
  </si>
  <si>
    <t>CUST-00024</t>
  </si>
  <si>
    <t>ORD-100595</t>
  </si>
  <si>
    <t>ORD-100717</t>
  </si>
  <si>
    <t>ORD-100835</t>
  </si>
  <si>
    <t>CUST-00589</t>
  </si>
  <si>
    <t>ORD-101307</t>
  </si>
  <si>
    <t>ORD-101837</t>
  </si>
  <si>
    <t>CUST-00218</t>
  </si>
  <si>
    <t>ORD-100473</t>
  </si>
  <si>
    <t>ORD-101434</t>
  </si>
  <si>
    <t>ORD-101676</t>
  </si>
  <si>
    <t>ORD-100514</t>
  </si>
  <si>
    <t>ORD-101185</t>
  </si>
  <si>
    <t>ORD-101209</t>
  </si>
  <si>
    <t>ORD-101732</t>
  </si>
  <si>
    <t>ORD-100830</t>
  </si>
  <si>
    <t>ORD-101501</t>
  </si>
  <si>
    <t>CUST-00570</t>
  </si>
  <si>
    <t>ORD-101677</t>
  </si>
  <si>
    <t>ORD-101782</t>
  </si>
  <si>
    <t>ORD-101804</t>
  </si>
  <si>
    <t>ORD-101886</t>
  </si>
  <si>
    <t>ORD-100831</t>
  </si>
  <si>
    <t>ORD-101865</t>
  </si>
  <si>
    <t>ORD-100699</t>
  </si>
  <si>
    <t>ORD-100858</t>
  </si>
  <si>
    <t>ORD-101301</t>
  </si>
  <si>
    <t>ORD-101821</t>
  </si>
  <si>
    <t>CUST-00548</t>
  </si>
  <si>
    <t>ORD-100838</t>
  </si>
  <si>
    <t>CUST-00129</t>
  </si>
  <si>
    <t>ORD-101068</t>
  </si>
  <si>
    <t>ORD-101248</t>
  </si>
  <si>
    <t>ORD-100505</t>
  </si>
  <si>
    <t>CUST-00138</t>
  </si>
  <si>
    <t>ORD-101294</t>
  </si>
  <si>
    <t>ORD-101579</t>
  </si>
  <si>
    <t>CUST-00571</t>
  </si>
  <si>
    <t>ORD-101707</t>
  </si>
  <si>
    <t>ORD-101795</t>
  </si>
  <si>
    <t>CUST-00524</t>
  </si>
  <si>
    <t>ORD-101936</t>
  </si>
  <si>
    <t>ORD-100071</t>
  </si>
  <si>
    <t>ORD-100358</t>
  </si>
  <si>
    <t>CUST-00016</t>
  </si>
  <si>
    <t>ORD-100765</t>
  </si>
  <si>
    <t>CUST-00395</t>
  </si>
  <si>
    <t>ORD-101636</t>
  </si>
  <si>
    <t>ORD-101690</t>
  </si>
  <si>
    <t>ORD-100209</t>
  </si>
  <si>
    <t>ORD-100569</t>
  </si>
  <si>
    <t>ORD-101803</t>
  </si>
  <si>
    <t>ORD-100311</t>
  </si>
  <si>
    <t>ORD-100991</t>
  </si>
  <si>
    <t>CUST-00366</t>
  </si>
  <si>
    <t>ORD-101061</t>
  </si>
  <si>
    <t>ORD-101433</t>
  </si>
  <si>
    <t>ORD-101935</t>
  </si>
  <si>
    <t>ORD-100362</t>
  </si>
  <si>
    <t>ORD-100525</t>
  </si>
  <si>
    <t>CUST-00165</t>
  </si>
  <si>
    <t>ORD-101260</t>
  </si>
  <si>
    <t>ORD-101276</t>
  </si>
  <si>
    <t>ORD-101523</t>
  </si>
  <si>
    <t>CUST-00302</t>
  </si>
  <si>
    <t>ORD-100202</t>
  </si>
  <si>
    <t>ORD-101182</t>
  </si>
  <si>
    <t>CUST-00096</t>
  </si>
  <si>
    <t>ORD-100440</t>
  </si>
  <si>
    <t>ORD-100521</t>
  </si>
  <si>
    <t>ORD-100966</t>
  </si>
  <si>
    <t>ORD-100042</t>
  </si>
  <si>
    <t>CUST-00118</t>
  </si>
  <si>
    <t>ORD-100367</t>
  </si>
  <si>
    <t>ORD-100518</t>
  </si>
  <si>
    <t>ORD-100981</t>
  </si>
  <si>
    <t>ORD-101953</t>
  </si>
  <si>
    <t>ORD-100010</t>
  </si>
  <si>
    <t>ORD-100356</t>
  </si>
  <si>
    <t>CUST-00279</t>
  </si>
  <si>
    <t>ORD-100777</t>
  </si>
  <si>
    <t>CUST-00472</t>
  </si>
  <si>
    <t>ORD-100837</t>
  </si>
  <si>
    <t>ORD-100876</t>
  </si>
  <si>
    <t>ORD-101397</t>
  </si>
  <si>
    <t>ORD-101731</t>
  </si>
  <si>
    <t>ORD-100115</t>
  </si>
  <si>
    <t>ORD-101015</t>
  </si>
  <si>
    <t>ORD-101377</t>
  </si>
  <si>
    <t>CUST-00156</t>
  </si>
  <si>
    <t>ORD-100774</t>
  </si>
  <si>
    <t>ORD-101594</t>
  </si>
  <si>
    <t>CUST-00470</t>
  </si>
  <si>
    <t>ORD-101972</t>
  </si>
  <si>
    <t>ORD-101355</t>
  </si>
  <si>
    <t>ORD-100821</t>
  </si>
  <si>
    <t>ORD-100933</t>
  </si>
  <si>
    <t>ORD-101394</t>
  </si>
  <si>
    <t>ORD-101440</t>
  </si>
  <si>
    <t>ORD-101647</t>
  </si>
  <si>
    <t>ORD-101761</t>
  </si>
  <si>
    <t>CUST-00196</t>
  </si>
  <si>
    <t>ORD-100224</t>
  </si>
  <si>
    <t>ORD-101197</t>
  </si>
  <si>
    <t>ORD-101543</t>
  </si>
  <si>
    <t>ORD-101746</t>
  </si>
  <si>
    <t>ORD-100019</t>
  </si>
  <si>
    <t>ORD-100467</t>
  </si>
  <si>
    <t>ORD-100648</t>
  </si>
  <si>
    <t>ORD-101649</t>
  </si>
  <si>
    <t>ORD-101711</t>
  </si>
  <si>
    <t>ORD-100012</t>
  </si>
  <si>
    <t>ORD-100597</t>
  </si>
  <si>
    <t>ORD-100698</t>
  </si>
  <si>
    <t>CUST-00440</t>
  </si>
  <si>
    <t>ORD-100360</t>
  </si>
  <si>
    <t>ORD-101135</t>
  </si>
  <si>
    <t>ORD-101170</t>
  </si>
  <si>
    <t>ORD-101318</t>
  </si>
  <si>
    <t>ORD-101323</t>
  </si>
  <si>
    <t>ORD-101725</t>
  </si>
  <si>
    <t>ORD-100596</t>
  </si>
  <si>
    <t>ORD-101053</t>
  </si>
  <si>
    <t>ORD-100130</t>
  </si>
  <si>
    <t>ORD-100335</t>
  </si>
  <si>
    <t>ORD-100345</t>
  </si>
  <si>
    <t>ORD-101589</t>
  </si>
  <si>
    <t>ORD-101995</t>
  </si>
  <si>
    <t>ORD-100813</t>
  </si>
  <si>
    <t>ORD-101122</t>
  </si>
  <si>
    <t>ORD-101203</t>
  </si>
  <si>
    <t>ORD-101298</t>
  </si>
  <si>
    <t>ORD-101337</t>
  </si>
  <si>
    <t>ORD-101481</t>
  </si>
  <si>
    <t>ORD-101654</t>
  </si>
  <si>
    <t>CUST-00146</t>
  </si>
  <si>
    <t>ORD-100809</t>
  </si>
  <si>
    <t>ORD-100865</t>
  </si>
  <si>
    <t>ORD-101515</t>
  </si>
  <si>
    <t>ORD-100880</t>
  </si>
  <si>
    <t>ORD-101278</t>
  </si>
  <si>
    <t>ORD-101351</t>
  </si>
  <si>
    <t>ORD-101907</t>
  </si>
  <si>
    <t>ORD-101103</t>
  </si>
  <si>
    <t>ORD-100095</t>
  </si>
  <si>
    <t>ORD-101414</t>
  </si>
  <si>
    <t>ORD-101511</t>
  </si>
  <si>
    <t>ORD-100533</t>
  </si>
  <si>
    <t>ORD-101828</t>
  </si>
  <si>
    <t>ORD-100151</t>
  </si>
  <si>
    <t>ORD-100253</t>
  </si>
  <si>
    <t>ORD-100567</t>
  </si>
  <si>
    <t>ORD-101154</t>
  </si>
  <si>
    <t>ORD-101322</t>
  </si>
  <si>
    <t>ORD-101457</t>
  </si>
  <si>
    <t>ORD-101596</t>
  </si>
  <si>
    <t>ORD-100342</t>
  </si>
  <si>
    <t>ORD-100408</t>
  </si>
  <si>
    <t>ORD-100743</t>
  </si>
  <si>
    <t>ORD-100947</t>
  </si>
  <si>
    <t>ORD-101311</t>
  </si>
  <si>
    <t>ORD-101556</t>
  </si>
  <si>
    <t>ORD-101965</t>
  </si>
  <si>
    <t>ORD-100314</t>
  </si>
  <si>
    <t>ORD-100530</t>
  </si>
  <si>
    <t>ORD-101114</t>
  </si>
  <si>
    <t>CUST-00173</t>
  </si>
  <si>
    <t>ORD-101313</t>
  </si>
  <si>
    <t>CUST-00142</t>
  </si>
  <si>
    <t>ORD-101476</t>
  </si>
  <si>
    <t>ORD-101483</t>
  </si>
  <si>
    <t>ORD-101200</t>
  </si>
  <si>
    <t>CUST-00265</t>
  </si>
  <si>
    <t>ORD-101348</t>
  </si>
  <si>
    <t>ORD-101715</t>
  </si>
  <si>
    <t>ORD-101369</t>
  </si>
  <si>
    <t>ORD-101437</t>
  </si>
  <si>
    <t>ORD-101738</t>
  </si>
  <si>
    <t>ORD-100318</t>
  </si>
  <si>
    <t>ORD-101236</t>
  </si>
  <si>
    <t>CUST-00537</t>
  </si>
  <si>
    <t>ORD-100323</t>
  </si>
  <si>
    <t>ORD-100571</t>
  </si>
  <si>
    <t>ORD-101749</t>
  </si>
  <si>
    <t>ORD-100020</t>
  </si>
  <si>
    <t>ORD-100247</t>
  </si>
  <si>
    <t>ORD-100249</t>
  </si>
  <si>
    <t>ORD-100531</t>
  </si>
  <si>
    <t>CUST-00507</t>
  </si>
  <si>
    <t>ORD-100695</t>
  </si>
  <si>
    <t>ORD-100780</t>
  </si>
  <si>
    <t>CUST-00545</t>
  </si>
  <si>
    <t>ORD-101054</t>
  </si>
  <si>
    <t>ORD-101320</t>
  </si>
  <si>
    <t>ORD-101423</t>
  </si>
  <si>
    <t>ORD-101661</t>
  </si>
  <si>
    <t>ORD-100091</t>
  </si>
  <si>
    <t>ORD-101346</t>
  </si>
  <si>
    <t>ORD-100166</t>
  </si>
  <si>
    <t>ORD-100781</t>
  </si>
  <si>
    <t>ORD-101254</t>
  </si>
  <si>
    <t>ORD-101652</t>
  </si>
  <si>
    <t>ORD-100219</t>
  </si>
  <si>
    <t>ORD-100250</t>
  </si>
  <si>
    <t>ORD-100541</t>
  </si>
  <si>
    <t>ORD-100836</t>
  </si>
  <si>
    <t>ORD-100941</t>
  </si>
  <si>
    <t>ORD-101876</t>
  </si>
  <si>
    <t>ORD-101306</t>
  </si>
  <si>
    <t>ORD-101316</t>
  </si>
  <si>
    <t>ORD-101903</t>
  </si>
  <si>
    <t>ORD-100177</t>
  </si>
  <si>
    <t>CUST-00077</t>
  </si>
  <si>
    <t>ORD-100387</t>
  </si>
  <si>
    <t>ORD-100792</t>
  </si>
  <si>
    <t>ORD-100816</t>
  </si>
  <si>
    <t>ORD-100932</t>
  </si>
  <si>
    <t>ORD-101560</t>
  </si>
  <si>
    <t>ORD-101656</t>
  </si>
  <si>
    <t>ORD-100147</t>
  </si>
  <si>
    <t>ORD-100352</t>
  </si>
  <si>
    <t>ORD-100357</t>
  </si>
  <si>
    <t>ORD-100414</t>
  </si>
  <si>
    <t>ORD-101734</t>
  </si>
  <si>
    <t>ORD-100504</t>
  </si>
  <si>
    <t>CUST-00410</t>
  </si>
  <si>
    <t>ORD-100539</t>
  </si>
  <si>
    <t>ORD-101011</t>
  </si>
  <si>
    <t>ORD-101168</t>
  </si>
  <si>
    <t>ORD-101509</t>
  </si>
  <si>
    <t>ORD-101874</t>
  </si>
  <si>
    <t>ORD-100827</t>
  </si>
  <si>
    <t>CUST-00256</t>
  </si>
  <si>
    <t>ORD-101173</t>
  </si>
  <si>
    <t>ORD-101664</t>
  </si>
  <si>
    <t>ORD-101840</t>
  </si>
  <si>
    <t>ORD-100101</t>
  </si>
  <si>
    <t>CUST-00361</t>
  </si>
  <si>
    <t>ORD-100340</t>
  </si>
  <si>
    <t>ORD-100522</t>
  </si>
  <si>
    <t>ORD-100616</t>
  </si>
  <si>
    <t>ORD-100958</t>
  </si>
  <si>
    <t>CUST-00332</t>
  </si>
  <si>
    <t>ORD-100064</t>
  </si>
  <si>
    <t>CUST-00425</t>
  </si>
  <si>
    <t>ORD-100184</t>
  </si>
  <si>
    <t>ORD-100975</t>
  </si>
  <si>
    <t>ORD-101130</t>
  </si>
  <si>
    <t>ORD-101410</t>
  </si>
  <si>
    <t>ORD-101699</t>
  </si>
  <si>
    <t>ORD-100446</t>
  </si>
  <si>
    <t>ORD-101104</t>
  </si>
  <si>
    <t>ORD-101565</t>
  </si>
  <si>
    <t>CUST-00477</t>
  </si>
  <si>
    <t>ORD-101784</t>
  </si>
  <si>
    <t>ORD-100404</t>
  </si>
  <si>
    <t>ORD-100877</t>
  </si>
  <si>
    <t>ORD-101693</t>
  </si>
  <si>
    <t>CUST-00252</t>
  </si>
  <si>
    <t>ORD-101777</t>
  </si>
  <si>
    <t>ORD-100805</t>
  </si>
  <si>
    <t>ORD-100846</t>
  </si>
  <si>
    <t>CUST-00212</t>
  </si>
  <si>
    <t>ORD-101120</t>
  </si>
  <si>
    <t>ORD-100138</t>
  </si>
  <si>
    <t>ORD-100343</t>
  </si>
  <si>
    <t>ORD-100390</t>
  </si>
  <si>
    <t>ORD-100435</t>
  </si>
  <si>
    <t>ORD-101109</t>
  </si>
  <si>
    <t>ORD-101234</t>
  </si>
  <si>
    <t>ORD-101265</t>
  </si>
  <si>
    <t>ORD-101572</t>
  </si>
  <si>
    <t>ORD-101785</t>
  </si>
  <si>
    <t>ORD-100536</t>
  </si>
  <si>
    <t>ORD-101030</t>
  </si>
  <si>
    <t>ORD-101074</t>
  </si>
  <si>
    <t>CUST-00491</t>
  </si>
  <si>
    <t>ORD-101162</t>
  </si>
  <si>
    <t>ORD-101426</t>
  </si>
  <si>
    <t>ORD-101885</t>
  </si>
  <si>
    <t>ORD-100410</t>
  </si>
  <si>
    <t>ORD-101478</t>
  </si>
  <si>
    <t>ORD-101847</t>
  </si>
  <si>
    <t>ORD-100104</t>
  </si>
  <si>
    <t>ORD-100168</t>
  </si>
  <si>
    <t>ORD-100223</t>
  </si>
  <si>
    <t>ORD-100264</t>
  </si>
  <si>
    <t>CUST-00111</t>
  </si>
  <si>
    <t>ORD-100542</t>
  </si>
  <si>
    <t>ORD-100668</t>
  </si>
  <si>
    <t>ORD-100351</t>
  </si>
  <si>
    <t>ORD-100501</t>
  </si>
  <si>
    <t>ORD-100915</t>
  </si>
  <si>
    <t>ORD-101249</t>
  </si>
  <si>
    <t>ORD-101450</t>
  </si>
  <si>
    <t>ORD-101548</t>
  </si>
  <si>
    <t>ORD-100111</t>
  </si>
  <si>
    <t>ORD-100213</t>
  </si>
  <si>
    <t>ORD-100347</t>
  </si>
  <si>
    <t>CUST-00523</t>
  </si>
  <si>
    <t>ORD-100768</t>
  </si>
  <si>
    <t>ORD-101387</t>
  </si>
  <si>
    <t>ORD-101887</t>
  </si>
  <si>
    <t>ORD-101296</t>
  </si>
  <si>
    <t>ORD-101488</t>
  </si>
  <si>
    <t>ORD-101533</t>
  </si>
  <si>
    <t>ORD-100295</t>
  </si>
  <si>
    <t>ORD-101442</t>
  </si>
  <si>
    <t>ORD-100337</t>
  </si>
  <si>
    <t>ORD-100489</t>
  </si>
  <si>
    <t>ORD-100626</t>
  </si>
  <si>
    <t>ORD-101018</t>
  </si>
  <si>
    <t>ORD-101121</t>
  </si>
  <si>
    <t>ORD-101169</t>
  </si>
  <si>
    <t>ORD-101671</t>
  </si>
  <si>
    <t>ORD-101869</t>
  </si>
  <si>
    <t>ORD-100057</t>
  </si>
  <si>
    <t>ORD-100200</t>
  </si>
  <si>
    <t>ORD-100640</t>
  </si>
  <si>
    <t>ORD-100652</t>
  </si>
  <si>
    <t>CUST-00175</t>
  </si>
  <si>
    <t>ORD-100889</t>
  </si>
  <si>
    <t>ORD-100918</t>
  </si>
  <si>
    <t>CUST-00343</t>
  </si>
  <si>
    <t>ORD-100451</t>
  </si>
  <si>
    <t>ORD-100790</t>
  </si>
  <si>
    <t>CUST-00167</t>
  </si>
  <si>
    <t>ORD-100916</t>
  </si>
  <si>
    <t>ORD-101029</t>
  </si>
  <si>
    <t>CUST-00576</t>
  </si>
  <si>
    <t>ORD-100273</t>
  </si>
  <si>
    <t>ORD-100279</t>
  </si>
  <si>
    <t>ORD-100553</t>
  </si>
  <si>
    <t>ORD-101621</t>
  </si>
  <si>
    <t>ORD-101947</t>
  </si>
  <si>
    <t>ORD-101957</t>
  </si>
  <si>
    <t>ORD-100183</t>
  </si>
  <si>
    <t>ORD-100288</t>
  </si>
  <si>
    <t>CUST-00383</t>
  </si>
  <si>
    <t>ORD-100914</t>
  </si>
  <si>
    <t>ORD-100927</t>
  </si>
  <si>
    <t>ORD-100978</t>
  </si>
  <si>
    <t>CUST-00106</t>
  </si>
  <si>
    <t>ORD-101017</t>
  </si>
  <si>
    <t>CUST-00231</t>
  </si>
  <si>
    <t>ORD-101773</t>
  </si>
  <si>
    <t>ORD-101850</t>
  </si>
  <si>
    <t>CUST-00206</t>
  </si>
  <si>
    <t>ORD-101880</t>
  </si>
  <si>
    <t>CUST-00228</t>
  </si>
  <si>
    <t>ORD-101909</t>
  </si>
  <si>
    <t>ORD-101033</t>
  </si>
  <si>
    <t>ORD-101213</t>
  </si>
  <si>
    <t>ORD-100008</t>
  </si>
  <si>
    <t>ORD-100659</t>
  </si>
  <si>
    <t>ORD-100677</t>
  </si>
  <si>
    <t>ORD-100841</t>
  </si>
  <si>
    <t>CUST-00345</t>
  </si>
  <si>
    <t>ORD-100951</t>
  </si>
  <si>
    <t>ORD-100959</t>
  </si>
  <si>
    <t>ORD-100988</t>
  </si>
  <si>
    <t>ORD-101801</t>
  </si>
  <si>
    <t>ORD-100365</t>
  </si>
  <si>
    <t>ORD-100437</t>
  </si>
  <si>
    <t>CUST-00037</t>
  </si>
  <si>
    <t>ORD-100610</t>
  </si>
  <si>
    <t>ORD-100710</t>
  </si>
  <si>
    <t>ORD-101215</t>
  </si>
  <si>
    <t>ORD-100030</t>
  </si>
  <si>
    <t>ORD-100073</t>
  </si>
  <si>
    <t>ORD-101101</t>
  </si>
  <si>
    <t>ORD-101530</t>
  </si>
  <si>
    <t>ORD-101057</t>
  </si>
  <si>
    <t>ORD-101627</t>
  </si>
  <si>
    <t>ORD-101842</t>
  </si>
  <si>
    <t>CUST-00416</t>
  </si>
  <si>
    <t>ORD-101071</t>
  </si>
  <si>
    <t>ORD-101165</t>
  </si>
  <si>
    <t>ORD-101451</t>
  </si>
  <si>
    <t>ORD-100265</t>
  </si>
  <si>
    <t>ORD-100405</t>
  </si>
  <si>
    <t>ORD-101464</t>
  </si>
  <si>
    <t>ORD-101873</t>
  </si>
  <si>
    <t>ORD-100072</t>
  </si>
  <si>
    <t>ORD-100178</t>
  </si>
  <si>
    <t>ORD-100230</t>
  </si>
  <si>
    <t>CUST-00179</t>
  </si>
  <si>
    <t>ORD-100412</t>
  </si>
  <si>
    <t>ORD-100513</t>
  </si>
  <si>
    <t>ORD-100693</t>
  </si>
  <si>
    <t>ORD-100937</t>
  </si>
  <si>
    <t>ORD-101358</t>
  </si>
  <si>
    <t>ORD-100377</t>
  </si>
  <si>
    <t>ORD-100517</t>
  </si>
  <si>
    <t>ORD-101663</t>
  </si>
  <si>
    <t>ORD-101748</t>
  </si>
  <si>
    <t>CUST-00415</t>
  </si>
  <si>
    <t>ORD-100044</t>
  </si>
  <si>
    <t>CUST-00124</t>
  </si>
  <si>
    <t>ORD-100599</t>
  </si>
  <si>
    <t>ORD-101331</t>
  </si>
  <si>
    <t>ORD-101424</t>
  </si>
  <si>
    <t>CUST-00317</t>
  </si>
  <si>
    <t>ORD-101735</t>
  </si>
  <si>
    <t>ORD-100208</t>
  </si>
  <si>
    <t>CUST-00281</t>
  </si>
  <si>
    <t>ORD-100515</t>
  </si>
  <si>
    <t>ORD-100793</t>
  </si>
  <si>
    <t>ORD-100796</t>
  </si>
  <si>
    <t>ORD-101422</t>
  </si>
  <si>
    <t>ORD-101687</t>
  </si>
  <si>
    <t>ORD-101691</t>
  </si>
  <si>
    <t>CUST-00020</t>
  </si>
  <si>
    <t>ORD-101791</t>
  </si>
  <si>
    <t>ORD-100557</t>
  </si>
  <si>
    <t>ORD-100591</t>
  </si>
  <si>
    <t>ORD-100643</t>
  </si>
  <si>
    <t>ORD-100803</t>
  </si>
  <si>
    <t>ORD-100053</t>
  </si>
  <si>
    <t>ORD-100371</t>
  </si>
  <si>
    <t>ORD-101643</t>
  </si>
  <si>
    <t>ORD-101759</t>
  </si>
  <si>
    <t>ORD-100313</t>
  </si>
  <si>
    <t>ORD-100383</t>
  </si>
  <si>
    <t>ORD-100782</t>
  </si>
  <si>
    <t>ORD-100794</t>
  </si>
  <si>
    <t>ORD-101441</t>
  </si>
  <si>
    <t>ORD-101493</t>
  </si>
  <si>
    <t>ORD-101712</t>
  </si>
  <si>
    <t>CUST-00233</t>
  </si>
  <si>
    <t>ORD-100478</t>
  </si>
  <si>
    <t>ORD-100700</t>
  </si>
  <si>
    <t>ORD-101259</t>
  </si>
  <si>
    <t>ORD-101872</t>
  </si>
  <si>
    <t>ORD-100225</t>
  </si>
  <si>
    <t>ORD-101202</t>
  </si>
  <si>
    <t>ORD-101898</t>
  </si>
  <si>
    <t>ORD-100141</t>
  </si>
  <si>
    <t>ORD-100157</t>
  </si>
  <si>
    <t>ORD-101050</t>
  </si>
  <si>
    <t>ORD-101277</t>
  </si>
  <si>
    <t>ORD-101297</t>
  </si>
  <si>
    <t>ORD-101682</t>
  </si>
  <si>
    <t>ORD-100392</t>
  </si>
  <si>
    <t>ORD-100666</t>
  </si>
  <si>
    <t>ORD-101448</t>
  </si>
  <si>
    <t>ORD-100575</t>
  </si>
  <si>
    <t>ORD-100879</t>
  </si>
  <si>
    <t>CUST-00378</t>
  </si>
  <si>
    <t>ORD-101970</t>
  </si>
  <si>
    <t>ORD-100421</t>
  </si>
  <si>
    <t>ORD-100436</t>
  </si>
  <si>
    <t>ORD-100861</t>
  </si>
  <si>
    <t>ORD-100196</t>
  </si>
  <si>
    <t>ORD-100197</t>
  </si>
  <si>
    <t>ORD-100397</t>
  </si>
  <si>
    <t>ORD-100834</t>
  </si>
  <si>
    <t>ORD-101195</t>
  </si>
  <si>
    <t>ORD-101545</t>
  </si>
  <si>
    <t>CUST-00552</t>
  </si>
  <si>
    <t>ORD-100500</t>
  </si>
  <si>
    <t>ORD-100845</t>
  </si>
  <si>
    <t>ORD-101058</t>
  </si>
  <si>
    <t>ORD-101467</t>
  </si>
  <si>
    <t>ORD-101494</t>
  </si>
  <si>
    <t>ORD-101632</t>
  </si>
  <si>
    <t>ORD-101983</t>
  </si>
  <si>
    <t>ORD-100005</t>
  </si>
  <si>
    <t>ORD-100656</t>
  </si>
  <si>
    <t>ORD-100996</t>
  </si>
  <si>
    <t>ORD-101150</t>
  </si>
  <si>
    <t>ORD-101547</t>
  </si>
  <si>
    <t>CUST-00250</t>
  </si>
  <si>
    <t>ORD-101655</t>
  </si>
  <si>
    <t>ORD-101762</t>
  </si>
  <si>
    <t>ORD-101960</t>
  </si>
  <si>
    <t>ORD-100388</t>
  </si>
  <si>
    <t>ORD-100887</t>
  </si>
  <si>
    <t>ORD-101356</t>
  </si>
  <si>
    <t>ORD-101620</t>
  </si>
  <si>
    <t>ORD-100241</t>
  </si>
  <si>
    <t>ORD-100745</t>
  </si>
  <si>
    <t>ORD-100769</t>
  </si>
  <si>
    <t>ORD-101161</t>
  </si>
  <si>
    <t>ORD-101819</t>
  </si>
  <si>
    <t>ORD-100855</t>
  </si>
  <si>
    <t>ORD-100911</t>
  </si>
  <si>
    <t>ORD-100917</t>
  </si>
  <si>
    <t>ORD-101016</t>
  </si>
  <si>
    <t>ORD-101775</t>
  </si>
  <si>
    <t>ORD-100140</t>
  </si>
  <si>
    <t>CUST-00307</t>
  </si>
  <si>
    <t>ORD-100419</t>
  </si>
  <si>
    <t>ORD-101037</t>
  </si>
  <si>
    <t>ORD-101045</t>
  </si>
  <si>
    <t>ORD-100126</t>
  </si>
  <si>
    <t>ORD-100169</t>
  </si>
  <si>
    <t>ORD-100528</t>
  </si>
  <si>
    <t>CUST-00137</t>
  </si>
  <si>
    <t>ORD-101558</t>
  </si>
  <si>
    <t>ORD-101822</t>
  </si>
  <si>
    <t>ORD-101933</t>
  </si>
  <si>
    <t>ORD-101934</t>
  </si>
  <si>
    <t>CUST-00223</t>
  </si>
  <si>
    <t>ORD-100257</t>
  </si>
  <si>
    <t>ORD-100302</t>
  </si>
  <si>
    <t>ORD-101004</t>
  </si>
  <si>
    <t>ORD-101324</t>
  </si>
  <si>
    <t>ORD-101349</t>
  </si>
  <si>
    <t>ORD-101527</t>
  </si>
  <si>
    <t>ORD-101889</t>
  </si>
  <si>
    <t>ORD-100031</t>
  </si>
  <si>
    <t>ORD-100658</t>
  </si>
  <si>
    <t>ORD-100984</t>
  </si>
  <si>
    <t>ORD-101019</t>
  </si>
  <si>
    <t>ORD-101233</t>
  </si>
  <si>
    <t>ORD-101658</t>
  </si>
  <si>
    <t>ORD-101727</t>
  </si>
  <si>
    <t>ORD-100058</t>
  </si>
  <si>
    <t>ORD-100406</t>
  </si>
  <si>
    <t>ORD-101797</t>
  </si>
  <si>
    <t>ORD-101799</t>
  </si>
  <si>
    <t>ORD-100374</t>
  </si>
  <si>
    <t>ORD-100635</t>
  </si>
  <si>
    <t>ORD-101060</t>
  </si>
  <si>
    <t>ORD-101100</t>
  </si>
  <si>
    <t>ORD-101145</t>
  </si>
  <si>
    <t>ORD-101554</t>
  </si>
  <si>
    <t>ORD-101816</t>
  </si>
  <si>
    <t>ORD-101641</t>
  </si>
  <si>
    <t>ORD-101769</t>
  </si>
  <si>
    <t>ORD-100576</t>
  </si>
  <si>
    <t>ORD-100628</t>
  </si>
  <si>
    <t>ORD-100483</t>
  </si>
  <si>
    <t>ORD-100661</t>
  </si>
  <si>
    <t>CUST-00288</t>
  </si>
  <si>
    <t>ORD-101059</t>
  </si>
  <si>
    <t>ORD-101066</t>
  </si>
  <si>
    <t>ORD-101327</t>
  </si>
  <si>
    <t>CUST-00404</t>
  </si>
  <si>
    <t>ORD-101069</t>
  </si>
  <si>
    <t>ORD-101534</t>
  </si>
  <si>
    <t>ORD-100068</t>
  </si>
  <si>
    <t>ORD-100106</t>
  </si>
  <si>
    <t>ORD-100540</t>
  </si>
  <si>
    <t>ORD-100588</t>
  </si>
  <si>
    <t>ORD-100912</t>
  </si>
  <si>
    <t>ORD-101153</t>
  </si>
  <si>
    <t>ORD-101648</t>
  </si>
  <si>
    <t>ORD-101928</t>
  </si>
  <si>
    <t>ORD-101188</t>
  </si>
  <si>
    <t>CUST-00162</t>
  </si>
  <si>
    <t>ORD-101868</t>
  </si>
  <si>
    <t>ORD-100013</t>
  </si>
  <si>
    <t>ORD-100870</t>
  </si>
  <si>
    <t>ORD-100874</t>
  </si>
  <si>
    <t>ORD-100926</t>
  </si>
  <si>
    <t>ORD-101133</t>
  </si>
  <si>
    <t>ORD-101183</t>
  </si>
  <si>
    <t>ORD-101419</t>
  </si>
  <si>
    <t>ORD-101911</t>
  </si>
  <si>
    <t>ORD-100027</t>
  </si>
  <si>
    <t>ORD-100190</t>
  </si>
  <si>
    <t>ORD-100232</t>
  </si>
  <si>
    <t>ORD-100287</t>
  </si>
  <si>
    <t>ORD-100922</t>
  </si>
  <si>
    <t>CUST-00164</t>
  </si>
  <si>
    <t>ORD-100997</t>
  </si>
  <si>
    <t>ORD-101755</t>
  </si>
  <si>
    <t>ORD-100185</t>
  </si>
  <si>
    <t>ORD-100526</t>
  </si>
  <si>
    <t>ORD-101035</t>
  </si>
  <si>
    <t>ORD-100389</t>
  </si>
  <si>
    <t>ORD-100722</t>
  </si>
  <si>
    <t>ORD-101660</t>
  </si>
  <si>
    <t>ORD-100346</t>
  </si>
  <si>
    <t>ORD-100566</t>
  </si>
  <si>
    <t>ORD-101167</t>
  </si>
  <si>
    <t>ORD-101232</t>
  </si>
  <si>
    <t>ORD-101391</t>
  </si>
  <si>
    <t>CUST-00224</t>
  </si>
  <si>
    <t>ORD-101815</t>
  </si>
  <si>
    <t>ORD-100032</t>
  </si>
  <si>
    <t>ORD-100150</t>
  </si>
  <si>
    <t>CUST-00557</t>
  </si>
  <si>
    <t>ORD-100243</t>
  </si>
  <si>
    <t>CUST-00272</t>
  </si>
  <si>
    <t>ORD-100268</t>
  </si>
  <si>
    <t>ORD-100730</t>
  </si>
  <si>
    <t>ORD-100849</t>
  </si>
  <si>
    <t>ORD-101455</t>
  </si>
  <si>
    <t>ORD-101856</t>
  </si>
  <si>
    <t>ORD-101917</t>
  </si>
  <si>
    <t>ORD-100108</t>
  </si>
  <si>
    <t>ORD-100825</t>
  </si>
  <si>
    <t>ORD-101780</t>
  </si>
  <si>
    <t>CUST-00562</t>
  </si>
  <si>
    <t>ORD-100131</t>
  </si>
  <si>
    <t>ORD-100348</t>
  </si>
  <si>
    <t>ORD-101156</t>
  </si>
  <si>
    <t>ORD-101384</t>
  </si>
  <si>
    <t>ORD-101463</t>
  </si>
  <si>
    <t>ORD-100283</t>
  </si>
  <si>
    <t>ORD-100015</t>
  </si>
  <si>
    <t>ORD-100555</t>
  </si>
  <si>
    <t>ORD-100607</t>
  </si>
  <si>
    <t>ORD-101490</t>
  </si>
  <si>
    <t>ORD-100052</t>
  </si>
  <si>
    <t>ORD-100425</t>
  </si>
  <si>
    <t>ORD-101052</t>
  </si>
  <si>
    <t>ORD-101673</t>
  </si>
  <si>
    <t>ORD-101692</t>
  </si>
  <si>
    <t>ORD-101787</t>
  </si>
  <si>
    <t>ORD-100510</t>
  </si>
  <si>
    <t>ORD-100604</t>
  </si>
  <si>
    <t>ORD-100968</t>
  </si>
  <si>
    <t>ORD-100977</t>
  </si>
  <si>
    <t>ORD-100144</t>
  </si>
  <si>
    <t>ORD-100245</t>
  </si>
  <si>
    <t>ORD-100495</t>
  </si>
  <si>
    <t>ORD-101220</t>
  </si>
  <si>
    <t>ORD-101340</t>
  </si>
  <si>
    <t>ORD-101078</t>
  </si>
  <si>
    <t>ORD-101147</t>
  </si>
  <si>
    <t>ORD-100309</t>
  </si>
  <si>
    <t>ORD-100354</t>
  </si>
  <si>
    <t>ORD-100429</t>
  </si>
  <si>
    <t>ORD-100983</t>
  </si>
  <si>
    <t>ORD-101227</t>
  </si>
  <si>
    <t>ORD-101522</t>
  </si>
  <si>
    <t>ORD-101870</t>
  </si>
  <si>
    <t>ORD-101964</t>
  </si>
  <si>
    <t>ORD-100293</t>
  </si>
  <si>
    <t>ORD-100688</t>
  </si>
  <si>
    <t>ORD-100872</t>
  </si>
  <si>
    <t>ORD-101043</t>
  </si>
  <si>
    <t>ORD-100179</t>
  </si>
  <si>
    <t>ORD-100878</t>
  </si>
  <si>
    <t>CUST-00219</t>
  </si>
  <si>
    <t>ORD-100341</t>
  </si>
  <si>
    <t>ORD-100353</t>
  </si>
  <si>
    <t>ORD-101335</t>
  </si>
  <si>
    <t>ORD-101551</t>
  </si>
  <si>
    <t>ORD-101722</t>
  </si>
  <si>
    <t>ORD-100192</t>
  </si>
  <si>
    <t>CUST-00467</t>
  </si>
  <si>
    <t>ORD-100498</t>
  </si>
  <si>
    <t>CUST-00513</t>
  </si>
  <si>
    <t>ORD-100953</t>
  </si>
  <si>
    <t>ORD-101525</t>
  </si>
  <si>
    <t>ORD-101809</t>
  </si>
  <si>
    <t>CUST-00031</t>
  </si>
  <si>
    <t>ORD-101291</t>
  </si>
  <si>
    <t>ORD-101507</t>
  </si>
  <si>
    <t>ORD-100099</t>
  </si>
  <si>
    <t>ORD-100244</t>
  </si>
  <si>
    <t>CUST-00104</t>
  </si>
  <si>
    <t>ORD-100586</t>
  </si>
  <si>
    <t>ORD-100701</t>
  </si>
  <si>
    <t>ORD-101085</t>
  </si>
  <si>
    <t>ORD-101158</t>
  </si>
  <si>
    <t>ORD-101863</t>
  </si>
  <si>
    <t>ORD-100074</t>
  </si>
  <si>
    <t>ORD-100748</t>
  </si>
  <si>
    <t>CUST-00437</t>
  </si>
  <si>
    <t>ORD-101948</t>
  </si>
  <si>
    <t>ORD-100122</t>
  </si>
  <si>
    <t>ORD-101046</t>
  </si>
  <si>
    <t>ORD-101895</t>
  </si>
  <si>
    <t>ORD-101107</t>
  </si>
  <si>
    <t>ORD-101436</t>
  </si>
  <si>
    <t>ORD-101508</t>
  </si>
  <si>
    <t>ORD-100952</t>
  </si>
  <si>
    <t>ORD-101207</t>
  </si>
  <si>
    <t>CUST-00539</t>
  </si>
  <si>
    <t>ORD-101610</t>
  </si>
  <si>
    <t>ORD-101462</t>
  </si>
  <si>
    <t>ORD-101563</t>
  </si>
  <si>
    <t>ORD-101603</t>
  </si>
  <si>
    <t>CUST-00263</t>
  </si>
  <si>
    <t>ORD-101771</t>
  </si>
  <si>
    <t>ORD-101941</t>
  </si>
  <si>
    <t>ORD-101028</t>
  </si>
  <si>
    <t>ORD-101139</t>
  </si>
  <si>
    <t>ORD-101179</t>
  </si>
  <si>
    <t>ORD-101429</t>
  </si>
  <si>
    <t>ORD-101617</t>
  </si>
  <si>
    <t>ORD-100755</t>
  </si>
  <si>
    <t>ORD-100795</t>
  </si>
  <si>
    <t>ORD-101518</t>
  </si>
  <si>
    <t>CUST-00100</t>
  </si>
  <si>
    <t>ORD-101883</t>
  </si>
  <si>
    <t>ORD-101930</t>
  </si>
  <si>
    <t>ORD-101966</t>
  </si>
  <si>
    <t>ORD-100081</t>
  </si>
  <si>
    <t>ORD-100430</t>
  </si>
  <si>
    <t>ORD-101388</t>
  </si>
  <si>
    <t>ORD-101858</t>
  </si>
  <si>
    <t>ORD-100220</t>
  </si>
  <si>
    <t>ORD-100491</t>
  </si>
  <si>
    <t>CUST-00365</t>
  </si>
  <si>
    <t>ORD-101363</t>
  </si>
  <si>
    <t>ORD-101412</t>
  </si>
  <si>
    <t>ORD-101601</t>
  </si>
  <si>
    <t>ORD-101860</t>
  </si>
  <si>
    <t>ORD-100462</t>
  </si>
  <si>
    <t>ORD-100561</t>
  </si>
  <si>
    <t>ORD-101989</t>
  </si>
  <si>
    <t>ORD-101417</t>
  </si>
  <si>
    <t>ORD-101716</t>
  </si>
  <si>
    <t>ORD-101926</t>
  </si>
  <si>
    <t>ORD-100077</t>
  </si>
  <si>
    <t>ORD-101198</t>
  </si>
  <si>
    <t>ORD-101246</t>
  </si>
  <si>
    <t>ORD-100883</t>
  </si>
  <si>
    <t>ORD-101411</t>
  </si>
  <si>
    <t>ORD-100090</t>
  </si>
  <si>
    <t>ORD-100502</t>
  </si>
  <si>
    <t>ORD-101204</t>
  </si>
  <si>
    <t>CUST-00192</t>
  </si>
  <si>
    <t>ORD-101270</t>
  </si>
  <si>
    <t>ORD-101854</t>
  </si>
  <si>
    <t>ORD-100021</t>
  </si>
  <si>
    <t>ORD-101032</t>
  </si>
  <si>
    <t>ORD-101334</t>
  </si>
  <si>
    <t>ORD-101916</t>
  </si>
  <si>
    <t>ORD-100134</t>
  </si>
  <si>
    <t>ORD-100920</t>
  </si>
  <si>
    <t>ORD-101742</t>
  </si>
  <si>
    <t>ORD-101973</t>
  </si>
  <si>
    <t>CUST-00478</t>
  </si>
  <si>
    <t>ORD-100869</t>
  </si>
  <si>
    <t>CUST-00170</t>
  </si>
  <si>
    <t>ORD-100256</t>
  </si>
  <si>
    <t>ORD-100260</t>
  </si>
  <si>
    <t>ORD-101366</t>
  </si>
  <si>
    <t>CUST-00047</t>
  </si>
  <si>
    <t>ORD-100395</t>
  </si>
  <si>
    <t>ORD-100948</t>
  </si>
  <si>
    <t>ORD-101092</t>
  </si>
  <si>
    <t>ORD-101475</t>
  </si>
  <si>
    <t>ORD-101566</t>
  </si>
  <si>
    <t>ORD-101820</t>
  </si>
  <si>
    <t>CUST-00062</t>
  </si>
  <si>
    <t>ORD-100613</t>
  </si>
  <si>
    <t>ORD-100646</t>
  </si>
  <si>
    <t>ORD-100833</t>
  </si>
  <si>
    <t>ORD-100886</t>
  </si>
  <si>
    <t>ORD-100896</t>
  </si>
  <si>
    <t>ORD-101994</t>
  </si>
  <si>
    <t>ORD-100645</t>
  </si>
  <si>
    <t>CUST-00493</t>
  </si>
  <si>
    <t>ORD-101036</t>
  </si>
  <si>
    <t>ORD-101239</t>
  </si>
  <si>
    <t>ORD-100512</t>
  </si>
  <si>
    <t>ORD-101005</t>
  </si>
  <si>
    <t>ORD-101925</t>
  </si>
  <si>
    <t>ORD-100002</t>
  </si>
  <si>
    <t>CUST-00301</t>
  </si>
  <si>
    <t>ORD-100684</t>
  </si>
  <si>
    <t>ORD-100857</t>
  </si>
  <si>
    <t>CUST-00342</t>
  </si>
  <si>
    <t>ORD-101354</t>
  </si>
  <si>
    <t>ORD-101357</t>
  </si>
  <si>
    <t>ORD-101855</t>
  </si>
  <si>
    <t>ORD-100038</t>
  </si>
  <si>
    <t>ORD-101110</t>
  </si>
  <si>
    <t>ORD-101315</t>
  </si>
  <si>
    <t>ORD-101416</t>
  </si>
  <si>
    <t>ORD-101571</t>
  </si>
  <si>
    <t>ORD-101535</t>
  </si>
  <si>
    <t>ORD-101906</t>
  </si>
  <si>
    <t>ORD-101912</t>
  </si>
  <si>
    <t>ORD-100379</t>
  </si>
  <si>
    <t>ORD-100672</t>
  </si>
  <si>
    <t>ORD-100824</t>
  </si>
  <si>
    <t>ORD-100033</t>
  </si>
  <si>
    <t>ORD-100524</t>
  </si>
  <si>
    <t>ORD-100928</t>
  </si>
  <si>
    <t>ORD-100007</t>
  </si>
  <si>
    <t>ORD-101505</t>
  </si>
  <si>
    <t>ORD-101967</t>
  </si>
  <si>
    <t>ORD-100120</t>
  </si>
  <si>
    <t>ORD-100735</t>
  </si>
  <si>
    <t>ORD-100296</t>
  </si>
  <si>
    <t>ORD-100696</t>
  </si>
  <si>
    <t>ORD-101210</t>
  </si>
  <si>
    <t>ORD-101741</t>
  </si>
  <si>
    <t>ORD-101845</t>
  </si>
  <si>
    <t>ORD-100017</t>
  </si>
  <si>
    <t>ORD-101175</t>
  </si>
  <si>
    <t>ORD-101250</t>
  </si>
  <si>
    <t>ORD-101253</t>
  </si>
  <si>
    <t>ORD-100191</t>
  </si>
  <si>
    <t>ORD-100509</t>
  </si>
  <si>
    <t>ORD-100621</t>
  </si>
  <si>
    <t>CUST-00396</t>
  </si>
  <si>
    <t>ORD-101093</t>
  </si>
  <si>
    <t>ORD-100667</t>
  </si>
  <si>
    <t>ORD-101274</t>
  </si>
  <si>
    <t>ORD-101662</t>
  </si>
  <si>
    <t>ORD-100187</t>
  </si>
  <si>
    <t>ORD-100289</t>
  </si>
  <si>
    <t>ORD-100548</t>
  </si>
  <si>
    <t>ORD-100589</t>
  </si>
  <si>
    <t>ORD-101420</t>
  </si>
  <si>
    <t>ORD-100484</t>
  </si>
  <si>
    <t>ORD-101012</t>
  </si>
  <si>
    <t>ORD-101330</t>
  </si>
  <si>
    <t>ORD-100592</t>
  </si>
  <si>
    <t>ORD-100751</t>
  </si>
  <si>
    <t>ORD-100895</t>
  </si>
  <si>
    <t>ORD-101240</t>
  </si>
  <si>
    <t>ORD-101347</t>
  </si>
  <si>
    <t>ORD-100206</t>
  </si>
  <si>
    <t>ORD-100732</t>
  </si>
  <si>
    <t>ORD-101013</t>
  </si>
  <si>
    <t>ORD-101319</t>
  </si>
  <si>
    <t>ORD-100006</t>
  </si>
  <si>
    <t>ORD-101568</t>
  </si>
  <si>
    <t>ORD-101792</t>
  </si>
  <si>
    <t>ORD-101817</t>
  </si>
  <si>
    <t>ORD-101142</t>
  </si>
  <si>
    <t>ORD-100139</t>
  </si>
  <si>
    <t>ORD-100456</t>
  </si>
  <si>
    <t>ORD-101010</t>
  </si>
  <si>
    <t>ORD-101826</t>
  </si>
  <si>
    <t>ORD-101859</t>
  </si>
  <si>
    <t>ORD-101376</t>
  </si>
  <si>
    <t>ORD-101583</t>
  </si>
  <si>
    <t>ORD-100274</t>
  </si>
  <si>
    <t>CUST-00230</t>
  </si>
  <si>
    <t>ORD-100671</t>
  </si>
  <si>
    <t>ORD-100942</t>
  </si>
  <si>
    <t>ORD-101446</t>
  </si>
  <si>
    <t>ORD-101832</t>
  </si>
  <si>
    <t>ORD-101112</t>
  </si>
  <si>
    <t>ORD-101360</t>
  </si>
  <si>
    <t>ORD-101718</t>
  </si>
  <si>
    <t>CUST-00054</t>
  </si>
  <si>
    <t>ORD-100175</t>
  </si>
  <si>
    <t>ORD-100470</t>
  </si>
  <si>
    <t>ORD-100929</t>
  </si>
  <si>
    <t>ORD-101137</t>
  </si>
  <si>
    <t>ORD-100014</t>
  </si>
  <si>
    <t>ORD-100048</t>
  </si>
  <si>
    <t>ORD-100584</t>
  </si>
  <si>
    <t>ORD-100681</t>
  </si>
  <si>
    <t>ORD-101321</t>
  </si>
  <si>
    <t>ORD-101573</t>
  </si>
  <si>
    <t>ORD-101077</t>
  </si>
  <si>
    <t>ORD-101709</t>
  </si>
  <si>
    <t>ORD-101835</t>
  </si>
  <si>
    <t>ORD-101931</t>
  </si>
  <si>
    <t>ORD-100055</t>
  </si>
  <si>
    <t>ORD-100839</t>
  </si>
  <si>
    <t>ORD-101024</t>
  </si>
  <si>
    <t>ORD-100856</t>
  </si>
  <si>
    <t>ORD-100066</t>
  </si>
  <si>
    <t>ORD-100109</t>
  </si>
  <si>
    <t>ORD-100974</t>
  </si>
  <si>
    <t>ORD-101670</t>
  </si>
  <si>
    <t>ORD-101897</t>
  </si>
  <si>
    <t>ORD-101862</t>
  </si>
  <si>
    <t>ORD-100172</t>
  </si>
  <si>
    <t>ORD-101025</t>
  </si>
  <si>
    <t>ORD-101123</t>
  </si>
  <si>
    <t>ORD-101295</t>
  </si>
  <si>
    <t>ORD-101374</t>
  </si>
  <si>
    <t>ORD-100349</t>
  </si>
  <si>
    <t>ORD-100112</t>
  </si>
  <si>
    <t>ORD-100752</t>
  </si>
  <si>
    <t>ORD-101211</t>
  </si>
  <si>
    <t>ORD-101686</t>
  </si>
  <si>
    <t>ORD-100216</t>
  </si>
  <si>
    <t>ORD-100634</t>
  </si>
  <si>
    <t>ORD-101680</t>
  </si>
  <si>
    <t>ORD-101810</t>
  </si>
  <si>
    <t>ORD-100726</t>
  </si>
  <si>
    <t>ORD-101152</t>
  </si>
  <si>
    <t>ORD-101264</t>
  </si>
  <si>
    <t>ORD-101413</t>
  </si>
  <si>
    <t>ORD-100170</t>
  </si>
  <si>
    <t>ORD-100905</t>
  </si>
  <si>
    <t>ORD-101492</t>
  </si>
  <si>
    <t>ORD-100135</t>
  </si>
  <si>
    <t>ORD-100189</t>
  </si>
  <si>
    <t>ORD-100266</t>
  </si>
  <si>
    <t>ORD-100460</t>
  </si>
  <si>
    <t>CUST-00242</t>
  </si>
  <si>
    <t>ORD-101955</t>
  </si>
  <si>
    <t>CUST-00527</t>
  </si>
  <si>
    <t>ORD-100234</t>
  </si>
  <si>
    <t>ORD-100402</t>
  </si>
  <si>
    <t>ORD-100564</t>
  </si>
  <si>
    <t>ORD-101178</t>
  </si>
  <si>
    <t>ORD-100750</t>
  </si>
  <si>
    <t>ORD-101622</t>
  </si>
  <si>
    <t>ORD-100574</t>
  </si>
  <si>
    <t>ORD-101701</t>
  </si>
  <si>
    <t>ORD-100000</t>
  </si>
  <si>
    <t>ORD-100742</t>
  </si>
  <si>
    <t>ORD-101510</t>
  </si>
  <si>
    <t>ORD-100160</t>
  </si>
  <si>
    <t>CUST-00236</t>
  </si>
  <si>
    <t>ORD-100725</t>
  </si>
  <si>
    <t>ORD-101993</t>
  </si>
  <si>
    <t>ORD-101705</t>
  </si>
  <si>
    <t>ORD-101968</t>
  </si>
  <si>
    <t>ORD-100844</t>
  </si>
  <si>
    <t>ORD-101229</t>
  </si>
  <si>
    <t>ORD-101595</t>
  </si>
  <si>
    <t>ORD-101244</t>
  </si>
  <si>
    <t>ORD-101888</t>
  </si>
  <si>
    <t>ORD-100054</t>
  </si>
  <si>
    <t>ORD-100753</t>
  </si>
  <si>
    <t>ORD-101342</t>
  </si>
  <si>
    <t>ORD-101938</t>
  </si>
  <si>
    <t>ORD-100087</t>
  </si>
  <si>
    <t>ORD-100094</t>
  </si>
  <si>
    <t>ORD-101044</t>
  </si>
  <si>
    <t>ORD-101550</t>
  </si>
  <si>
    <t>ORD-101659</t>
  </si>
  <si>
    <t>ORD-100137</t>
  </si>
  <si>
    <t>ORD-100325</t>
  </si>
  <si>
    <t>ORD-100508</t>
  </si>
  <si>
    <t>ORD-100692</t>
  </si>
  <si>
    <t>ORD-100787</t>
  </si>
  <si>
    <t>ORD-100840</t>
  </si>
  <si>
    <t>ORD-100627</t>
  </si>
  <si>
    <t>ORD-101096</t>
  </si>
  <si>
    <t>ORD-101498</t>
  </si>
  <si>
    <t>ORD-101126</t>
  </si>
  <si>
    <t>ORD-101760</t>
  </si>
  <si>
    <t>ORD-100330</t>
  </si>
  <si>
    <t>ORD-101075</t>
  </si>
  <si>
    <t>ORD-101302</t>
  </si>
  <si>
    <t>ORD-101332</t>
  </si>
  <si>
    <t>ORD-101644</t>
  </si>
  <si>
    <t>ORD-100842</t>
  </si>
  <si>
    <t>ORD-101764</t>
  </si>
  <si>
    <t>ORD-100744</t>
  </si>
  <si>
    <t>ORD-100123</t>
  </si>
  <si>
    <t>ORD-100630</t>
  </si>
  <si>
    <t>ORD-101282</t>
  </si>
  <si>
    <t>ORD-101990</t>
  </si>
  <si>
    <t>CUST-00120</t>
  </si>
  <si>
    <t>ORD-100067</t>
  </si>
  <si>
    <t>ORD-100133</t>
  </si>
  <si>
    <t>ORD-100537</t>
  </si>
  <si>
    <t>ORD-100924</t>
  </si>
  <si>
    <t>ORD-100962</t>
  </si>
  <si>
    <t>ORD-101279</t>
  </si>
  <si>
    <t>ORD-101328</t>
  </si>
  <si>
    <t>ORD-101408</t>
  </si>
  <si>
    <t>ORD-100110</t>
  </si>
  <si>
    <t>ORD-100201</t>
  </si>
  <si>
    <t>ORD-101991</t>
  </si>
  <si>
    <t>ORD-100482</t>
  </si>
  <si>
    <t>ORD-101111</t>
  </si>
  <si>
    <t>ORD-101890</t>
  </si>
  <si>
    <t>ORD-100035</t>
  </si>
  <si>
    <t>ORD-100563</t>
  </si>
  <si>
    <t>ORD-101333</t>
  </si>
  <si>
    <t>ORD-101688</t>
  </si>
  <si>
    <t>ORD-101830</t>
  </si>
  <si>
    <t>ORD-100085</t>
  </si>
  <si>
    <t>ORD-100415</t>
  </si>
  <si>
    <t>ORD-100579</t>
  </si>
  <si>
    <t>ORD-101612</t>
  </si>
  <si>
    <t>ORD-101683</t>
  </si>
  <si>
    <t>ORD-101937</t>
  </si>
  <si>
    <t>ORD-101087</t>
  </si>
  <si>
    <t>ORD-101544</t>
  </si>
  <si>
    <t>ORD-101871</t>
  </si>
  <si>
    <t>ORD-100125</t>
  </si>
  <si>
    <t>ORD-100565</t>
  </si>
  <si>
    <t>ORD-100762</t>
  </si>
  <si>
    <t>ORD-100598</t>
  </si>
  <si>
    <t>ORD-101497</t>
  </si>
  <si>
    <t>ORD-101343</t>
  </si>
  <si>
    <t>ORD-101789</t>
  </si>
  <si>
    <t>ORD-101940</t>
  </si>
  <si>
    <t>ORD-100568</t>
  </si>
  <si>
    <t>ORD-101062</t>
  </si>
  <si>
    <t>ORD-101704</t>
  </si>
  <si>
    <t>ORD-101720</t>
  </si>
  <si>
    <t>ORD-100738</t>
  </si>
  <si>
    <t>ORD-101352</t>
  </si>
  <si>
    <t>ORD-101808</t>
  </si>
  <si>
    <t>ORD-100180</t>
  </si>
  <si>
    <t>ORD-101396</t>
  </si>
  <si>
    <t>ORD-101800</t>
  </si>
  <si>
    <t>ORD-100399</t>
  </si>
  <si>
    <t>ORD-101685</t>
  </si>
  <si>
    <t>ORD-100767</t>
  </si>
  <si>
    <t>ORD-100785</t>
  </si>
  <si>
    <t>ORD-101023</t>
  </si>
  <si>
    <t>ORD-100423</t>
  </si>
  <si>
    <t>ORD-100594</t>
  </si>
  <si>
    <t>ORD-100843</t>
  </si>
  <si>
    <t>ORD-101081</t>
  </si>
  <si>
    <t>ORD-101559</t>
  </si>
  <si>
    <t>ORD-101021</t>
  </si>
  <si>
    <t>ORD-101208</t>
  </si>
  <si>
    <t>ORD-100455</t>
  </si>
  <si>
    <t>ORD-100892</t>
  </si>
  <si>
    <t>ORD-101149</t>
  </si>
  <si>
    <t>ORD-101223</t>
  </si>
  <si>
    <t>ORD-100270</t>
  </si>
  <si>
    <t>ORD-100475</t>
  </si>
  <si>
    <t>ORD-100669</t>
  </si>
  <si>
    <t>ORD-101927</t>
  </si>
  <si>
    <t>ORD-100263</t>
  </si>
  <si>
    <t>ORD-100712</t>
  </si>
  <si>
    <t>ORD-100026</t>
  </si>
  <si>
    <t>ORD-101128</t>
  </si>
  <si>
    <t>ORD-101199</t>
  </si>
  <si>
    <t>CUST-00018</t>
  </si>
  <si>
    <t>ORD-101286</t>
  </si>
  <si>
    <t>ORD-101752</t>
  </si>
  <si>
    <t>ORD-101844</t>
  </si>
  <si>
    <t>ORD-100310</t>
  </si>
  <si>
    <t>ORD-100618</t>
  </si>
  <si>
    <t>ORD-101624</t>
  </si>
  <si>
    <t>ORD-100061</t>
  </si>
  <si>
    <t>ORD-100194</t>
  </si>
  <si>
    <t>ORD-101512</t>
  </si>
  <si>
    <t>ORD-101625</t>
  </si>
  <si>
    <t>ORD-100426</t>
  </si>
  <si>
    <t>ORD-100826</t>
  </si>
  <si>
    <t>ORD-100885</t>
  </si>
  <si>
    <t>ORD-101160</t>
  </si>
  <si>
    <t>ORD-101385</t>
  </si>
  <si>
    <t>ORD-101453</t>
  </si>
  <si>
    <t>ORD-101779</t>
  </si>
  <si>
    <t>ORD-101867</t>
  </si>
  <si>
    <t>ORD-101962</t>
  </si>
  <si>
    <t>CUST-00239</t>
  </si>
  <si>
    <t>ORD-100046</t>
  </si>
  <si>
    <t>CUST-00275</t>
  </si>
  <si>
    <t>ORD-100422</t>
  </si>
  <si>
    <t>ORD-100605</t>
  </si>
  <si>
    <t>ORD-100614</t>
  </si>
  <si>
    <t>ORD-101506</t>
  </si>
  <si>
    <t>ORD-101747</t>
  </si>
  <si>
    <t>CUST-00327</t>
  </si>
  <si>
    <t>ORD-101976</t>
  </si>
  <si>
    <t>ORD-100685</t>
  </si>
  <si>
    <t>ORD-100729</t>
  </si>
  <si>
    <t>ORD-100973</t>
  </si>
  <si>
    <t>ORD-101359</t>
  </si>
  <si>
    <t>ORD-101401</t>
  </si>
  <si>
    <t>ORD-101713</t>
  </si>
  <si>
    <t>ORD-101721</t>
  </si>
  <si>
    <t>ORD-100078</t>
  </si>
  <si>
    <t>ORD-100552</t>
  </si>
  <si>
    <t>ORD-101272</t>
  </si>
  <si>
    <t>ORD-101552</t>
  </si>
  <si>
    <t>ORD-101694</t>
  </si>
  <si>
    <t>ORD-100158</t>
  </si>
  <si>
    <t>ORD-100784</t>
  </si>
  <si>
    <t>ORD-101526</t>
  </si>
  <si>
    <t>ORD-101700</t>
  </si>
  <si>
    <t>ORD-100049</t>
  </si>
  <si>
    <t>ORD-100119</t>
  </si>
  <si>
    <t>ORD-100255</t>
  </si>
  <si>
    <t>ORD-100350</t>
  </si>
  <si>
    <t>ORD-101225</t>
  </si>
  <si>
    <t>ORD-101724</t>
  </si>
  <si>
    <t>ORD-101831</t>
  </si>
  <si>
    <t>ORD-100088</t>
  </si>
  <si>
    <t>ORD-100612</t>
  </si>
  <si>
    <t>ORD-100800</t>
  </si>
  <si>
    <t>ORD-101336</t>
  </si>
  <si>
    <t>ORD-101375</t>
  </si>
  <si>
    <t>ORD-101516</t>
  </si>
  <si>
    <t>ORD-101689</t>
  </si>
  <si>
    <t>ORD-100499</t>
  </si>
  <si>
    <t>CUST-00190</t>
  </si>
  <si>
    <t>ORD-101304</t>
  </si>
  <si>
    <t>ORD-101630</t>
  </si>
  <si>
    <t>ORD-101921</t>
  </si>
  <si>
    <t>ORD-101924</t>
  </si>
  <si>
    <t>CUST-00374</t>
  </si>
  <si>
    <t>ORD-100807</t>
  </si>
  <si>
    <t>ORD-101072</t>
  </si>
  <si>
    <t>ORD-101365</t>
  </si>
  <si>
    <t>ORD-100210</t>
  </si>
  <si>
    <t>ORD-100546</t>
  </si>
  <si>
    <t>ORD-101758</t>
  </si>
  <si>
    <t>ORD-100118</t>
  </si>
  <si>
    <t>ORD-100128</t>
  </si>
  <si>
    <t>ORD-101751</t>
  </si>
  <si>
    <t>ORD-100248</t>
  </si>
  <si>
    <t>ORD-100673</t>
  </si>
  <si>
    <t>ORD-101999</t>
  </si>
  <si>
    <t>CUST-00459</t>
  </si>
  <si>
    <t>ORD-100900</t>
  </si>
  <si>
    <t>ORD-101626</t>
  </si>
  <si>
    <t>ORD-100450</t>
  </si>
  <si>
    <t>ORD-100644</t>
  </si>
  <si>
    <t>ORD-100660</t>
  </si>
  <si>
    <t>ORD-100173</t>
  </si>
  <si>
    <t>ORD-100328</t>
  </si>
  <si>
    <t>ORD-100925</t>
  </si>
  <si>
    <t>ORD-101055</t>
  </si>
  <si>
    <t>ORD-100786</t>
  </si>
  <si>
    <t>ORD-101273</t>
  </si>
  <si>
    <t>ORD-101521</t>
  </si>
  <si>
    <t>ORD-101978</t>
  </si>
  <si>
    <t>ORD-100062</t>
  </si>
  <si>
    <t>ORD-100493</t>
  </si>
  <si>
    <t>ORD-100039</t>
  </si>
  <si>
    <t>ORD-101986</t>
  </si>
  <si>
    <t>ORD-100550</t>
  </si>
  <si>
    <t>ORD-100944</t>
  </si>
  <si>
    <t>ORD-101027</t>
  </si>
  <si>
    <t>ORD-101468</t>
  </si>
  <si>
    <t>ORD-101778</t>
  </si>
  <si>
    <t>ORD-101806</t>
  </si>
  <si>
    <t>ORD-100691</t>
  </si>
  <si>
    <t>ORD-100737</t>
  </si>
  <si>
    <t>ORD-100980</t>
  </si>
  <si>
    <t>ORD-101729</t>
  </si>
  <si>
    <t>ORD-101812</t>
  </si>
  <si>
    <t>ORD-101896</t>
  </si>
  <si>
    <t>ORD-100454</t>
  </si>
  <si>
    <t>ORD-100791</t>
  </si>
  <si>
    <t>ORD-100854</t>
  </si>
  <si>
    <t>ORD-100866</t>
  </si>
  <si>
    <t>ORD-100898</t>
  </si>
  <si>
    <t>ORD-101080</t>
  </si>
  <si>
    <t>ORD-101794</t>
  </si>
  <si>
    <t>ORD-101977</t>
  </si>
  <si>
    <t>ORD-100045</t>
  </si>
  <si>
    <t>ORD-100080</t>
  </si>
  <si>
    <t>ORD-100369</t>
  </si>
  <si>
    <t>ORD-100904</t>
  </si>
  <si>
    <t>ORD-101258</t>
  </si>
  <si>
    <t>ORD-101884</t>
  </si>
  <si>
    <t>ORD-100171</t>
  </si>
  <si>
    <t>ORD-101140</t>
  </si>
  <si>
    <t>ORD-101196</t>
  </si>
  <si>
    <t>ORD-101894</t>
  </si>
  <si>
    <t>CUST-00207</t>
  </si>
  <si>
    <t>ORD-100662</t>
  </si>
  <si>
    <t>ORD-101582</t>
  </si>
  <si>
    <t>ORD-101635</t>
  </si>
  <si>
    <t>ORD-100238</t>
  </si>
  <si>
    <t>ORD-100802</t>
  </si>
  <si>
    <t>CUST-00282</t>
  </si>
  <si>
    <t>ORD-101623</t>
  </si>
  <si>
    <t>ORD-101757</t>
  </si>
  <si>
    <t>ORD-100100</t>
  </si>
  <si>
    <t>ORD-100278</t>
  </si>
  <si>
    <t>ORD-100488</t>
  </si>
  <si>
    <t>ORD-100848</t>
  </si>
  <si>
    <t>ORD-101772</t>
  </si>
  <si>
    <t>ORD-100427</t>
  </si>
  <si>
    <t>ORD-101159</t>
  </si>
  <si>
    <t>ORD-101251</t>
  </si>
  <si>
    <t>CUST-00505</t>
  </si>
  <si>
    <t>ORD-101557</t>
  </si>
  <si>
    <t>ORD-101710</t>
  </si>
  <si>
    <t>ORD-101946</t>
  </si>
  <si>
    <t>ORD-101954</t>
  </si>
  <si>
    <t>ORD-101141</t>
  </si>
  <si>
    <t>ORD-101014</t>
  </si>
  <si>
    <t>ORD-100403</t>
  </si>
  <si>
    <t>ORD-101427</t>
  </si>
  <si>
    <t>ORD-101802</t>
  </si>
  <si>
    <t>ORD-101952</t>
  </si>
  <si>
    <t>ORD-100516</t>
  </si>
  <si>
    <t>ORD-100998</t>
  </si>
  <si>
    <t>ORD-101241</t>
  </si>
  <si>
    <t>ORD-101119</t>
  </si>
  <si>
    <t>ORD-101615</t>
  </si>
  <si>
    <t>ORD-100381</t>
  </si>
  <si>
    <t>ORD-100434</t>
  </si>
  <si>
    <t>ORD-100615</t>
  </si>
  <si>
    <t>ORD-100734</t>
  </si>
  <si>
    <t>CUST-00536</t>
  </si>
  <si>
    <t>ORD-101079</t>
  </si>
  <si>
    <t>ORD-101767</t>
  </si>
  <si>
    <t>ORD-100235</t>
  </si>
  <si>
    <t>ORD-101528</t>
  </si>
  <si>
    <t>ORD-101824</t>
  </si>
  <si>
    <t>ORD-100804</t>
  </si>
  <si>
    <t>ORD-101368</t>
  </si>
  <si>
    <t>CUST-00574</t>
  </si>
  <si>
    <t>ORD-101378</t>
  </si>
  <si>
    <t>ORD-100290</t>
  </si>
  <si>
    <t>ORD-100373</t>
  </si>
  <si>
    <t>ORD-100380</t>
  </si>
  <si>
    <t>ORD-100468</t>
  </si>
  <si>
    <t>ORD-100970</t>
  </si>
  <si>
    <t>ORD-101373</t>
  </si>
  <si>
    <t>ORD-100136</t>
  </si>
  <si>
    <t>ORD-100199</t>
  </si>
  <si>
    <t>ORD-101148</t>
  </si>
  <si>
    <t>ORD-101502</t>
  </si>
  <si>
    <t>ORD-101127</t>
  </si>
  <si>
    <t>ORD-101129</t>
  </si>
  <si>
    <t>ORD-100009</t>
  </si>
  <si>
    <t>ORD-100267</t>
  </si>
  <si>
    <t>ORD-100893</t>
  </si>
  <si>
    <t>ORD-100992</t>
  </si>
  <si>
    <t>ORD-101314</t>
  </si>
  <si>
    <t>ORD-101485</t>
  </si>
  <si>
    <t>ORD-100979</t>
  </si>
  <si>
    <t>CUST-00258</t>
  </si>
  <si>
    <t>ORD-101134</t>
  </si>
  <si>
    <t>ORD-101706</t>
  </si>
  <si>
    <t>ORD-100376</t>
  </si>
  <si>
    <t>ORD-100680</t>
  </si>
  <si>
    <t>ORD-100763</t>
  </si>
  <si>
    <t>ORD-101613</t>
  </si>
  <si>
    <t>ORD-101774</t>
  </si>
  <si>
    <t>ORD-101877</t>
  </si>
  <si>
    <t>ORD-100084</t>
  </si>
  <si>
    <t>ORD-100708</t>
  </si>
  <si>
    <t>ORD-100776</t>
  </si>
  <si>
    <t>ORD-101415</t>
  </si>
  <si>
    <t>ORD-100909</t>
  </si>
  <si>
    <t>ORD-101231</t>
  </si>
  <si>
    <t>ORD-101578</t>
  </si>
  <si>
    <t>ORD-100559</t>
  </si>
  <si>
    <t>ORD-101243</t>
  </si>
  <si>
    <t>ORD-101309</t>
  </si>
  <si>
    <t>ORD-101839</t>
  </si>
  <si>
    <t>ORD-100319</t>
  </si>
  <si>
    <t>ORD-100416</t>
  </si>
  <si>
    <t>ORD-101754</t>
  </si>
  <si>
    <t>ORD-101798</t>
  </si>
  <si>
    <t>ORD-100034</t>
  </si>
  <si>
    <t>ORD-101905</t>
  </si>
  <si>
    <t>ORD-101172</t>
  </si>
  <si>
    <t>ORD-100156</t>
  </si>
  <si>
    <t>ORD-100226</t>
  </si>
  <si>
    <t>ORD-100276</t>
  </si>
  <si>
    <t>ORD-100477</t>
  </si>
  <si>
    <t>ORD-101904</t>
  </si>
  <si>
    <t>ORD-100036</t>
  </si>
  <si>
    <t>ORD-100163</t>
  </si>
  <si>
    <t>ORD-100822</t>
  </si>
  <si>
    <t>ORD-101289</t>
  </si>
  <si>
    <t>ORD-101853</t>
  </si>
  <si>
    <t>ORD-101980</t>
  </si>
  <si>
    <t>ORD-100578</t>
  </si>
  <si>
    <t>ORD-101459</t>
  </si>
  <si>
    <t>ORD-100251</t>
  </si>
  <si>
    <t>ORD-100327</t>
  </si>
  <si>
    <t>ORD-100459</t>
  </si>
  <si>
    <t>ORD-100888</t>
  </si>
  <si>
    <t>ORD-100934</t>
  </si>
  <si>
    <t>CUST-00213</t>
  </si>
  <si>
    <t>ORD-101542</t>
  </si>
  <si>
    <t>ORD-101679</t>
  </si>
  <si>
    <t>ORD-101783</t>
  </si>
  <si>
    <t>ORD-100098</t>
  </si>
  <si>
    <t>ORD-100894</t>
  </si>
  <si>
    <t>ORD-100907</t>
  </si>
  <si>
    <t>ORD-100976</t>
  </si>
  <si>
    <t>ORD-100164</t>
  </si>
  <si>
    <t>ORD-100868</t>
  </si>
  <si>
    <t>CUST-00561</t>
  </si>
  <si>
    <t>ORD-100930</t>
  </si>
  <si>
    <t>ORD-101163</t>
  </si>
  <si>
    <t>ORD-101261</t>
  </si>
  <si>
    <t>ORD-100116</t>
  </si>
  <si>
    <t>ORD-100806</t>
  </si>
  <si>
    <t>ORD-100386</t>
  </si>
  <si>
    <t>ORD-100723</t>
  </si>
  <si>
    <t>ORD-100788</t>
  </si>
  <si>
    <t>ORD-101698</t>
  </si>
  <si>
    <t>ORD-100114</t>
  </si>
  <si>
    <t>ORD-100580</t>
  </si>
  <si>
    <t>ORD-100773</t>
  </si>
  <si>
    <t>ORD-100775</t>
  </si>
  <si>
    <t>ORD-100811</t>
  </si>
  <si>
    <t>ORD-101350</t>
  </si>
  <si>
    <t>ORD-101605</t>
  </si>
  <si>
    <t>ORD-101607</t>
  </si>
  <si>
    <t>ORD-101628</t>
  </si>
  <si>
    <t>ORD-100572</t>
  </si>
  <si>
    <t>ORD-100703</t>
  </si>
  <si>
    <t>ORD-101418</t>
  </si>
  <si>
    <t>CUST-00029</t>
  </si>
  <si>
    <t>ORD-101541</t>
  </si>
  <si>
    <t>ORD-100165</t>
  </si>
  <si>
    <t>ORD-100442</t>
  </si>
  <si>
    <t>ORD-101902</t>
  </si>
  <si>
    <t>ORD-100086</t>
  </si>
  <si>
    <t>ORD-100272</t>
  </si>
  <si>
    <t>ORD-100301</t>
  </si>
  <si>
    <t>ORD-100852</t>
  </si>
  <si>
    <t>ORD-100971</t>
  </si>
  <si>
    <t>ORD-101205</t>
  </si>
  <si>
    <t>ORD-101866</t>
  </si>
  <si>
    <t>ORD-101942</t>
  </si>
  <si>
    <t>ORD-100428</t>
  </si>
  <si>
    <t>ORD-100474</t>
  </si>
  <si>
    <t>ORD-100494</t>
  </si>
  <si>
    <t>ORD-101252</t>
  </si>
  <si>
    <t>ORD-101496</t>
  </si>
  <si>
    <t>ORD-101733</t>
  </si>
  <si>
    <t>ORD-100418</t>
  </si>
  <si>
    <t>ORD-100441</t>
  </si>
  <si>
    <t>ORD-100650</t>
  </si>
  <si>
    <t>ORD-100294</t>
  </si>
  <si>
    <t>CUST-00433</t>
  </si>
  <si>
    <t>ORD-100923</t>
  </si>
  <si>
    <t>ORD-101513</t>
  </si>
  <si>
    <t>Grand Total</t>
  </si>
  <si>
    <t>Total Total Sales</t>
  </si>
  <si>
    <t>Total Total Profit</t>
  </si>
  <si>
    <t>Total Order Count</t>
  </si>
  <si>
    <t>Order Count</t>
  </si>
  <si>
    <t>Values</t>
  </si>
  <si>
    <t>Category sales, profit and orders by region</t>
  </si>
  <si>
    <t>Native PivotTable | Source: Orders_Clean | Use Region and Category slicers; clear filters to restore all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</si>
</sst>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quot;Rs &quot;#,##0;[Red]\(&quot;Rs &quot;#,##0\)"/>
  </numFmts>
  <fonts count="8">
    <font>
      <sz val="11"/>
      <name val="Carlito"/>
    </font>
    <font>
      <sz val="11"/>
      <color rgb="FF233840"/>
      <name val="Arial"/>
    </font>
    <font>
      <sz val="10"/>
      <color rgb="FF233840"/>
      <name val="Arial"/>
    </font>
    <font>
      <sz val="10"/>
      <name val="Arial"/>
    </font>
    <font>
      <b/>
      <sz val="11"/>
      <color rgb="FFFFFFFF"/>
      <name val="Arial"/>
    </font>
    <font>
      <b/>
      <sz val="16"/>
      <color rgb="FF195646"/>
      <name val="Arial"/>
    </font>
    <font>
      <b/>
      <sz val="18"/>
      <color rgb="FF203060"/>
      <name val="Carlito"/>
    </font>
    <font>
      <sz val="10"/>
      <name val="Carlito"/>
    </font>
  </fonts>
  <fills count="3">
    <fill>
      <patternFill patternType="none"/>
    </fill>
    <fill>
      <patternFill patternType="gray125"/>
    </fill>
    <fill>
      <patternFill patternType="solid">
        <fgColor rgb="FF195646"/>
      </patternFill>
    </fill>
  </fills>
  <borders count="2">
    <border>
      <left/>
      <right/>
      <top/>
      <bottom/>
      <diagonal/>
    </border>
    <border>
      <left style="thin">
        <color rgb="FFD5E1DB"/>
      </left>
      <right style="thin">
        <color rgb="FFD5E1DB"/>
      </right>
      <top style="thin">
        <color rgb="FFD5E1DB"/>
      </top>
      <bottom style="thin">
        <color rgb="FFD5E1DB"/>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164" fontId="2" fillId="0" borderId="0" xfId="0" applyNumberFormat="1" applyFont="1"/>
    <xf numFmtId="164" fontId="3" fillId="0" borderId="0" xfId="0" applyNumberFormat="1" applyFont="1"/>
    <xf numFmtId="4" fontId="2" fillId="0" borderId="0" xfId="0" applyNumberFormat="1" applyFont="1"/>
    <xf numFmtId="4" fontId="3" fillId="0" borderId="0" xfId="0" applyNumberFormat="1" applyFont="1"/>
    <xf numFmtId="165" fontId="2" fillId="0" borderId="0" xfId="0" applyNumberFormat="1" applyFont="1"/>
    <xf numFmtId="165" fontId="3" fillId="0" borderId="0" xfId="0" applyNumberFormat="1" applyFont="1"/>
    <xf numFmtId="0" fontId="4" fillId="2" borderId="0" xfId="0" applyFont="1" applyFill="1"/>
    <xf numFmtId="166" fontId="1" fillId="0" borderId="0" xfId="0" applyNumberFormat="1" applyFont="1"/>
    <xf numFmtId="165" fontId="1" fillId="0" borderId="0" xfId="0" applyNumberFormat="1" applyFont="1"/>
    <xf numFmtId="0" fontId="5" fillId="0" borderId="0" xfId="0" applyFont="1"/>
    <xf numFmtId="0" fontId="4" fillId="2" borderId="1" xfId="0" applyFont="1" applyFill="1" applyBorder="1"/>
    <xf numFmtId="0" fontId="1" fillId="0" borderId="1" xfId="0" applyFont="1" applyBorder="1"/>
    <xf numFmtId="166" fontId="1" fillId="0" borderId="1" xfId="0" applyNumberFormat="1" applyFont="1" applyBorder="1"/>
    <xf numFmtId="165" fontId="1" fillId="0" borderId="1" xfId="0" applyNumberFormat="1" applyFont="1" applyBorder="1"/>
    <xf numFmtId="3" fontId="1" fillId="0" borderId="1" xfId="0" applyNumberFormat="1" applyFont="1" applyBorder="1"/>
    <xf numFmtId="4" fontId="1" fillId="0" borderId="0" xfId="0" applyNumberFormat="1" applyFont="1"/>
    <xf numFmtId="0" fontId="0" fillId="0" borderId="0" xfId="0" pivotButton="1"/>
    <xf numFmtId="4" fontId="0" fillId="0" borderId="0" xfId="0" applyNumberFormat="1"/>
    <xf numFmtId="3" fontId="0" fillId="0" borderId="0" xfId="0" applyNumberFormat="1"/>
    <xf numFmtId="0" fontId="7" fillId="0" borderId="0" xfId="0" applyFont="1"/>
    <xf numFmtId="0" fontId="6" fillId="0" borderId="0" xfId="0" applyFont="1"/>
    <xf numFmtId="0" fontId="0" fillId="0" borderId="0" xfId="0"/>
  </cellXfs>
  <cellStyles count="1">
    <cellStyle name="Normal" xfId="0" builtinId="0"/>
  </cellStyles>
  <dxfs count="4">
    <dxf>
      <fill>
        <patternFill patternType="solid">
          <bgColor rgb="FFFFF0CC"/>
        </patternFill>
      </fill>
    </dxf>
    <dxf>
      <fill>
        <patternFill patternType="solid">
          <bgColor rgb="FFFCE0DE"/>
        </patternFill>
      </fill>
    </dxf>
    <dxf>
      <fill>
        <patternFill patternType="solid">
          <bgColor rgb="FFE1F0E6"/>
        </patternFill>
      </fill>
    </dxf>
    <dxf>
      <font>
        <color rgb="FFA52121"/>
      </font>
      <fill>
        <patternFill patternType="solid">
          <bgColor rgb="FFFCE0D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sz="1050">
                <a:latin typeface="Arial"/>
                <a:ea typeface="Arial"/>
                <a:cs typeface="Arial"/>
              </a:rPr>
              <a:t>Monthly sales (Rs millions)</a:t>
            </a:r>
          </a:p>
        </c:rich>
      </c:tx>
      <c:overlay val="0"/>
    </c:title>
    <c:autoTitleDeleted val="0"/>
    <c:plotArea>
      <c:layout/>
      <c:lineChart>
        <c:grouping val="standard"/>
        <c:varyColors val="0"/>
        <c:ser>
          <c:idx val="0"/>
          <c:order val="0"/>
          <c:tx>
            <c:v>Sales</c:v>
          </c:tx>
          <c:spPr>
            <a:ln w="19050">
              <a:solidFill>
                <a:srgbClr val="267B65"/>
              </a:solidFill>
              <a:prstDash val="solid"/>
            </a:ln>
          </c:spPr>
          <c:marker>
            <c:symbol val="none"/>
          </c:marker>
          <c:cat>
            <c:strRef>
              <c:f>KPI_Dashboard!$D$5:$D$22</c:f>
              <c:strCache>
                <c:ptCount val="18"/>
                <c:pt idx="0">
                  <c:v>2024-01</c:v>
                </c:pt>
                <c:pt idx="1">
                  <c:v>2024-02</c:v>
                </c:pt>
                <c:pt idx="2">
                  <c:v>2024-03</c:v>
                </c:pt>
                <c:pt idx="3">
                  <c:v>2024-04</c:v>
                </c:pt>
                <c:pt idx="4">
                  <c:v>2024-05</c:v>
                </c:pt>
                <c:pt idx="5">
                  <c:v>2024-06</c:v>
                </c:pt>
                <c:pt idx="6">
                  <c:v>2024-07</c:v>
                </c:pt>
                <c:pt idx="7">
                  <c:v>2024-08</c:v>
                </c:pt>
                <c:pt idx="8">
                  <c:v>2024-09</c:v>
                </c:pt>
                <c:pt idx="9">
                  <c:v>2024-10</c:v>
                </c:pt>
                <c:pt idx="10">
                  <c:v>2024-11</c:v>
                </c:pt>
                <c:pt idx="11">
                  <c:v>2024-12</c:v>
                </c:pt>
                <c:pt idx="12">
                  <c:v>2025-01</c:v>
                </c:pt>
                <c:pt idx="13">
                  <c:v>2025-02</c:v>
                </c:pt>
                <c:pt idx="14">
                  <c:v>2025-03</c:v>
                </c:pt>
                <c:pt idx="15">
                  <c:v>2025-04</c:v>
                </c:pt>
                <c:pt idx="16">
                  <c:v>2025-05</c:v>
                </c:pt>
                <c:pt idx="17">
                  <c:v>2025-06</c:v>
                </c:pt>
              </c:strCache>
            </c:strRef>
          </c:cat>
          <c:val>
            <c:numRef>
              <c:f>KPI_Dashboard!$E$5:$E$22</c:f>
              <c:numCache>
                <c:formatCode>"Rs "#,##0;[Red]\("Rs "#,##0\)</c:formatCode>
                <c:ptCount val="18"/>
                <c:pt idx="0">
                  <c:v>1262656.8299999994</c:v>
                </c:pt>
                <c:pt idx="1">
                  <c:v>2132179.7100000004</c:v>
                </c:pt>
                <c:pt idx="2">
                  <c:v>1498811.1800000006</c:v>
                </c:pt>
                <c:pt idx="3">
                  <c:v>2866899.74</c:v>
                </c:pt>
                <c:pt idx="4">
                  <c:v>1805108.86</c:v>
                </c:pt>
                <c:pt idx="5">
                  <c:v>2416060.8600000008</c:v>
                </c:pt>
                <c:pt idx="6">
                  <c:v>1574698.9300000004</c:v>
                </c:pt>
                <c:pt idx="7">
                  <c:v>2401676.23</c:v>
                </c:pt>
                <c:pt idx="8">
                  <c:v>1647274.5499999998</c:v>
                </c:pt>
                <c:pt idx="9">
                  <c:v>2283368.8899999997</c:v>
                </c:pt>
                <c:pt idx="10">
                  <c:v>3322851.9600000014</c:v>
                </c:pt>
                <c:pt idx="11">
                  <c:v>2941985.0699999994</c:v>
                </c:pt>
                <c:pt idx="12">
                  <c:v>1525579.38</c:v>
                </c:pt>
                <c:pt idx="13">
                  <c:v>1355935.13</c:v>
                </c:pt>
                <c:pt idx="14">
                  <c:v>1728383.7399999998</c:v>
                </c:pt>
                <c:pt idx="15">
                  <c:v>1570424.67</c:v>
                </c:pt>
                <c:pt idx="16">
                  <c:v>1811992.3400000008</c:v>
                </c:pt>
                <c:pt idx="17">
                  <c:v>1783080.5000000005</c:v>
                </c:pt>
              </c:numCache>
            </c:numRef>
          </c:val>
          <c:smooth val="0"/>
          <c:extLst>
            <c:ext xmlns:c16="http://schemas.microsoft.com/office/drawing/2014/chart" uri="{C3380CC4-5D6E-409C-BE32-E72D297353CC}">
              <c16:uniqueId val="{00000000-7F1A-47CF-B0A8-3C1D45E46886}"/>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quot;M&quot;" sourceLinked="0"/>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sz="1050">
                <a:latin typeface="Arial"/>
                <a:ea typeface="Arial"/>
                <a:cs typeface="Arial"/>
              </a:rPr>
              <a:t>Monthly sales (Rs millions)</a:t>
            </a:r>
          </a:p>
        </c:rich>
      </c:tx>
      <c:overlay val="0"/>
    </c:title>
    <c:autoTitleDeleted val="0"/>
    <c:plotArea>
      <c:layout/>
      <c:lineChart>
        <c:grouping val="standard"/>
        <c:varyColors val="0"/>
        <c:ser>
          <c:idx val="0"/>
          <c:order val="0"/>
          <c:tx>
            <c:v>Sales</c:v>
          </c:tx>
          <c:spPr>
            <a:ln w="19050">
              <a:solidFill>
                <a:srgbClr val="267B65"/>
              </a:solidFill>
              <a:prstDash val="solid"/>
            </a:ln>
          </c:spPr>
          <c:marker>
            <c:symbol val="none"/>
          </c:marker>
          <c:cat>
            <c:strRef>
              <c:f>Monthly_Trend!$A$2:$A$19</c:f>
              <c:strCache>
                <c:ptCount val="18"/>
                <c:pt idx="0">
                  <c:v>2024-01</c:v>
                </c:pt>
                <c:pt idx="1">
                  <c:v>2024-02</c:v>
                </c:pt>
                <c:pt idx="2">
                  <c:v>2024-03</c:v>
                </c:pt>
                <c:pt idx="3">
                  <c:v>2024-04</c:v>
                </c:pt>
                <c:pt idx="4">
                  <c:v>2024-05</c:v>
                </c:pt>
                <c:pt idx="5">
                  <c:v>2024-06</c:v>
                </c:pt>
                <c:pt idx="6">
                  <c:v>2024-07</c:v>
                </c:pt>
                <c:pt idx="7">
                  <c:v>2024-08</c:v>
                </c:pt>
                <c:pt idx="8">
                  <c:v>2024-09</c:v>
                </c:pt>
                <c:pt idx="9">
                  <c:v>2024-10</c:v>
                </c:pt>
                <c:pt idx="10">
                  <c:v>2024-11</c:v>
                </c:pt>
                <c:pt idx="11">
                  <c:v>2024-12</c:v>
                </c:pt>
                <c:pt idx="12">
                  <c:v>2025-01</c:v>
                </c:pt>
                <c:pt idx="13">
                  <c:v>2025-02</c:v>
                </c:pt>
                <c:pt idx="14">
                  <c:v>2025-03</c:v>
                </c:pt>
                <c:pt idx="15">
                  <c:v>2025-04</c:v>
                </c:pt>
                <c:pt idx="16">
                  <c:v>2025-05</c:v>
                </c:pt>
                <c:pt idx="17">
                  <c:v>2025-06</c:v>
                </c:pt>
              </c:strCache>
            </c:strRef>
          </c:cat>
          <c:val>
            <c:numRef>
              <c:f>Monthly_Trend!$C$2:$C$19</c:f>
              <c:numCache>
                <c:formatCode>"Rs "#,##0;[Red]\("Rs "#,##0\)</c:formatCode>
                <c:ptCount val="18"/>
                <c:pt idx="0">
                  <c:v>1262656.8299999994</c:v>
                </c:pt>
                <c:pt idx="1">
                  <c:v>2132179.7100000004</c:v>
                </c:pt>
                <c:pt idx="2">
                  <c:v>1498811.1800000006</c:v>
                </c:pt>
                <c:pt idx="3">
                  <c:v>2866899.74</c:v>
                </c:pt>
                <c:pt idx="4">
                  <c:v>1805108.86</c:v>
                </c:pt>
                <c:pt idx="5">
                  <c:v>2416060.8600000008</c:v>
                </c:pt>
                <c:pt idx="6">
                  <c:v>1574698.9300000004</c:v>
                </c:pt>
                <c:pt idx="7">
                  <c:v>2401676.23</c:v>
                </c:pt>
                <c:pt idx="8">
                  <c:v>1647274.5499999998</c:v>
                </c:pt>
                <c:pt idx="9">
                  <c:v>2283368.8899999997</c:v>
                </c:pt>
                <c:pt idx="10">
                  <c:v>3322851.9600000014</c:v>
                </c:pt>
                <c:pt idx="11">
                  <c:v>2941985.0699999994</c:v>
                </c:pt>
                <c:pt idx="12">
                  <c:v>1525579.38</c:v>
                </c:pt>
                <c:pt idx="13">
                  <c:v>1355935.13</c:v>
                </c:pt>
                <c:pt idx="14">
                  <c:v>1728383.7399999998</c:v>
                </c:pt>
                <c:pt idx="15">
                  <c:v>1570424.67</c:v>
                </c:pt>
                <c:pt idx="16">
                  <c:v>1811992.3400000008</c:v>
                </c:pt>
                <c:pt idx="17">
                  <c:v>1783080.5000000005</c:v>
                </c:pt>
              </c:numCache>
            </c:numRef>
          </c:val>
          <c:smooth val="0"/>
          <c:extLst>
            <c:ext xmlns:c16="http://schemas.microsoft.com/office/drawing/2014/chart" uri="{C3380CC4-5D6E-409C-BE32-E72D297353CC}">
              <c16:uniqueId val="{00000000-5FE0-459C-BC43-691DA92E19D1}"/>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quot;M&quot;" sourceLinked="0"/>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sz="1050">
                <a:latin typeface="Arial"/>
                <a:ea typeface="Arial"/>
                <a:cs typeface="Arial"/>
              </a:rPr>
              <a:t>Sales by category (Rs millions)</a:t>
            </a:r>
          </a:p>
        </c:rich>
      </c:tx>
      <c:overlay val="0"/>
    </c:title>
    <c:autoTitleDeleted val="0"/>
    <c:plotArea>
      <c:layout/>
      <c:barChart>
        <c:barDir val="col"/>
        <c:grouping val="clustered"/>
        <c:varyColors val="0"/>
        <c:ser>
          <c:idx val="0"/>
          <c:order val="0"/>
          <c:tx>
            <c:v>Sales</c:v>
          </c:tx>
          <c:spPr>
            <a:solidFill>
              <a:srgbClr val="267B65"/>
            </a:solidFill>
          </c:spPr>
          <c:invertIfNegative val="0"/>
          <c:cat>
            <c:strRef>
              <c:f>Category_Region!$A$2:$A$6</c:f>
              <c:strCache>
                <c:ptCount val="5"/>
                <c:pt idx="0">
                  <c:v>Electronics</c:v>
                </c:pt>
                <c:pt idx="1">
                  <c:v>Fashion</c:v>
                </c:pt>
                <c:pt idx="2">
                  <c:v>Home &amp; Kitchen</c:v>
                </c:pt>
                <c:pt idx="3">
                  <c:v>Sports</c:v>
                </c:pt>
                <c:pt idx="4">
                  <c:v>Beauty</c:v>
                </c:pt>
              </c:strCache>
            </c:strRef>
          </c:cat>
          <c:val>
            <c:numRef>
              <c:f>Category_Region!$C$2:$C$6</c:f>
              <c:numCache>
                <c:formatCode>"Rs "#,##0;[Red]\("Rs "#,##0\)</c:formatCode>
                <c:ptCount val="5"/>
                <c:pt idx="0">
                  <c:v>25774936.06000001</c:v>
                </c:pt>
                <c:pt idx="1">
                  <c:v>1517003.1999999997</c:v>
                </c:pt>
                <c:pt idx="2">
                  <c:v>3935871.96</c:v>
                </c:pt>
                <c:pt idx="3">
                  <c:v>3864046.68</c:v>
                </c:pt>
                <c:pt idx="4">
                  <c:v>837110.67000000027</c:v>
                </c:pt>
              </c:numCache>
            </c:numRef>
          </c:val>
          <c:extLst>
            <c:ext xmlns:c16="http://schemas.microsoft.com/office/drawing/2014/chart" uri="{C3380CC4-5D6E-409C-BE32-E72D297353CC}">
              <c16:uniqueId val="{00000000-C8DF-4AE1-A97D-1BE3F81D03F9}"/>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quot;M&quot;" sourceLinked="0"/>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sz="1050">
                <a:latin typeface="Arial"/>
                <a:ea typeface="Arial"/>
                <a:cs typeface="Arial"/>
              </a:rPr>
              <a:t>Orders by payment method</a:t>
            </a:r>
          </a:p>
        </c:rich>
      </c:tx>
      <c:overlay val="0"/>
    </c:title>
    <c:autoTitleDeleted val="0"/>
    <c:plotArea>
      <c:layout/>
      <c:doughnutChart>
        <c:varyColors val="1"/>
        <c:ser>
          <c:idx val="0"/>
          <c:order val="0"/>
          <c:tx>
            <c:v>Orders</c:v>
          </c:tx>
          <c:cat>
            <c:strRef>
              <c:f>Discount_Payment!$A$10:$A$14</c:f>
              <c:strCache>
                <c:ptCount val="5"/>
                <c:pt idx="0">
                  <c:v>UPI</c:v>
                </c:pt>
                <c:pt idx="1">
                  <c:v>Credit Card</c:v>
                </c:pt>
                <c:pt idx="2">
                  <c:v>Debit Card</c:v>
                </c:pt>
                <c:pt idx="3">
                  <c:v>Net Banking</c:v>
                </c:pt>
                <c:pt idx="4">
                  <c:v>Cash on Delivery</c:v>
                </c:pt>
              </c:strCache>
            </c:strRef>
          </c:cat>
          <c:val>
            <c:numRef>
              <c:f>Discount_Payment!$B$10:$B$14</c:f>
              <c:numCache>
                <c:formatCode>General</c:formatCode>
                <c:ptCount val="5"/>
                <c:pt idx="0">
                  <c:v>865</c:v>
                </c:pt>
                <c:pt idx="1">
                  <c:v>540</c:v>
                </c:pt>
                <c:pt idx="2">
                  <c:v>293</c:v>
                </c:pt>
                <c:pt idx="3">
                  <c:v>152</c:v>
                </c:pt>
                <c:pt idx="4">
                  <c:v>150</c:v>
                </c:pt>
              </c:numCache>
            </c:numRef>
          </c:val>
          <c:extLst>
            <c:ext xmlns:c16="http://schemas.microsoft.com/office/drawing/2014/chart" uri="{C3380CC4-5D6E-409C-BE32-E72D297353CC}">
              <c16:uniqueId val="{00000000-3624-4F4D-952F-A4EA3AC073E0}"/>
            </c:ext>
          </c:extLst>
        </c:ser>
        <c:dLbls>
          <c:showLegendKey val="0"/>
          <c:showVal val="0"/>
          <c:showCatName val="0"/>
          <c:showSerName val="0"/>
          <c:showPercent val="0"/>
          <c:showBubbleSize val="0"/>
          <c:showLeaderLines val="1"/>
        </c:dLbls>
        <c:firstSliceAng val="0"/>
        <c:holeSize val="0"/>
      </c:doughnutChart>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0</xdr:colOff>
      <xdr:row>3</xdr:row>
      <xdr:rowOff>0</xdr:rowOff>
    </xdr:from>
    <xdr:to>
      <xdr:col>15</xdr:col>
      <xdr:colOff>0</xdr:colOff>
      <xdr:row>22</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22</xdr:row>
      <xdr:rowOff>0</xdr:rowOff>
    </xdr:from>
    <xdr:to>
      <xdr:col>8</xdr:col>
      <xdr:colOff>0</xdr:colOff>
      <xdr:row>39</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16</xdr:row>
      <xdr:rowOff>0</xdr:rowOff>
    </xdr:from>
    <xdr:to>
      <xdr:col>8</xdr:col>
      <xdr:colOff>0</xdr:colOff>
      <xdr:row>33</xdr:row>
      <xdr:rowOff>0</xdr:rowOff>
    </xdr:to>
    <xdr:graphicFrame macro="">
      <xdr:nvGraphicFramePr>
        <xdr:cNvPr id="2" name="Chart">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17</xdr:row>
      <xdr:rowOff>0</xdr:rowOff>
    </xdr:from>
    <xdr:to>
      <xdr:col>8</xdr:col>
      <xdr:colOff>0</xdr:colOff>
      <xdr:row>35</xdr:row>
      <xdr:rowOff>0</xdr:rowOff>
    </xdr:to>
    <xdr:graphicFrame macro="">
      <xdr:nvGraphicFramePr>
        <xdr:cNvPr id="2" name="Chart">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8467</xdr:colOff>
      <xdr:row>3</xdr:row>
      <xdr:rowOff>247650</xdr:rowOff>
    </xdr:from>
    <xdr:to>
      <xdr:col>6</xdr:col>
      <xdr:colOff>872067</xdr:colOff>
      <xdr:row>11</xdr:row>
      <xdr:rowOff>257170</xdr:rowOff>
    </xdr:to>
    <mc:AlternateContent xmlns:mc="http://schemas.openxmlformats.org/markup-compatibility/2006">
      <mc:Choice xmlns:a14="http://schemas.microsoft.com/office/drawing/2010/main" Requires="a14">
        <xdr:graphicFrame macro="">
          <xdr:nvGraphicFramePr>
            <xdr:cNvPr id="4" name="region">
              <a:extLst>
                <a:ext uri="{FF2B5EF4-FFF2-40B4-BE49-F238E27FC236}">
                  <a16:creationId xmlns:a16="http://schemas.microsoft.com/office/drawing/2014/main" id="{8976DFC1-C8A6-40E1-9AD4-EBF131F158C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4953000" y="1136650"/>
              <a:ext cx="1828800" cy="24394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8467</xdr:colOff>
      <xdr:row>3</xdr:row>
      <xdr:rowOff>247650</xdr:rowOff>
    </xdr:from>
    <xdr:to>
      <xdr:col>6</xdr:col>
      <xdr:colOff>872067</xdr:colOff>
      <xdr:row>11</xdr:row>
      <xdr:rowOff>257170</xdr:rowOff>
    </xdr:to>
    <mc:AlternateContent xmlns:mc="http://schemas.openxmlformats.org/markup-compatibility/2006">
      <mc:Choice xmlns:a14="http://schemas.microsoft.com/office/drawing/2010/main" Requires="a14">
        <xdr:graphicFrame macro="">
          <xdr:nvGraphicFramePr>
            <xdr:cNvPr id="5" name="category">
              <a:extLst>
                <a:ext uri="{FF2B5EF4-FFF2-40B4-BE49-F238E27FC236}">
                  <a16:creationId xmlns:a16="http://schemas.microsoft.com/office/drawing/2014/main" id="{9A733C8A-ACEC-45C8-B2CE-E739800A8CA1}"/>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4953000" y="1136650"/>
              <a:ext cx="1828800" cy="24394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322.394330671297" createdVersion="6" refreshedVersion="7" minRefreshableVersion="3" recordCount="2000" xr:uid="{2F3D688A-ABAE-4E00-AC8C-3FEF9F09A233}">
  <cacheSource type="worksheet">
    <worksheetSource name="Orders_Clean"/>
  </cacheSource>
  <cacheFields count="17">
    <cacheField name="order_id" numFmtId="0">
      <sharedItems/>
    </cacheField>
    <cacheField name="order_date" numFmtId="164">
      <sharedItems containsSemiMixedTypes="0" containsNonDate="0" containsDate="1" containsString="0" minDate="2024-01-01T00:00:00" maxDate="2025-07-01T00:00:00"/>
    </cacheField>
    <cacheField name="customer_id" numFmtId="0">
      <sharedItems/>
    </cacheField>
    <cacheField name="region" numFmtId="0">
      <sharedItems count="4">
        <s v="West"/>
        <s v="East"/>
        <s v="North"/>
        <s v="South"/>
      </sharedItems>
    </cacheField>
    <cacheField name="category" numFmtId="0">
      <sharedItems count="5">
        <s v="Beauty"/>
        <s v="Electronics"/>
        <s v="Home &amp; Kitchen"/>
        <s v="Fashion"/>
        <s v="Sports"/>
      </sharedItems>
    </cacheField>
    <cacheField name="sub_category" numFmtId="0">
      <sharedItems/>
    </cacheField>
    <cacheField name="product" numFmtId="0">
      <sharedItems/>
    </cacheField>
    <cacheField name="quantity" numFmtId="0">
      <sharedItems containsSemiMixedTypes="0" containsString="0" containsNumber="1" containsInteger="1" minValue="1" maxValue="5"/>
    </cacheField>
    <cacheField name="unit_price" numFmtId="4">
      <sharedItems containsSemiMixedTypes="0" containsString="0" containsNumber="1" minValue="854.14" maxValue="82917.31"/>
    </cacheField>
    <cacheField name="discount" numFmtId="165">
      <sharedItems containsSemiMixedTypes="0" containsString="0" containsNumber="1" minValue="0" maxValue="0.4"/>
    </cacheField>
    <cacheField name="sales" numFmtId="4">
      <sharedItems containsSemiMixedTypes="0" containsString="0" containsNumber="1" minValue="572.71" maxValue="384461.63"/>
    </cacheField>
    <cacheField name="profit" numFmtId="4">
      <sharedItems containsSemiMixedTypes="0" containsString="0" containsNumber="1" minValue="-40938.199999999997" maxValue="82500.479999999996"/>
    </cacheField>
    <cacheField name="payment_method" numFmtId="0">
      <sharedItems/>
    </cacheField>
    <cacheField name="Year-Month" numFmtId="0">
      <sharedItems/>
    </cacheField>
    <cacheField name="Discount Bucket" numFmtId="0">
      <sharedItems/>
    </cacheField>
    <cacheField name="Margin %" numFmtId="165">
      <sharedItems containsSemiMixedTypes="0" containsString="0" containsNumber="1" minValue="-0.29211344627921937" maxValue="0.58974802103665147"/>
    </cacheField>
    <cacheField name="Is Loss-Making" numFmtId="0">
      <sharedItems/>
    </cacheField>
  </cacheFields>
  <extLst>
    <ext xmlns:x14="http://schemas.microsoft.com/office/spreadsheetml/2009/9/main" uri="{725AE2AE-9491-48be-B2B4-4EB974FC3084}">
      <x14:pivotCacheDefinition pivotCacheId="35634657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ORD-101070"/>
    <d v="2024-01-01T00:00:00"/>
    <s v="CUST-00391"/>
    <x v="0"/>
    <x v="0"/>
    <s v="Skincare"/>
    <s v="HydraBoost Moisturizer"/>
    <n v="1"/>
    <n v="1234.3699999999999"/>
    <n v="0.1"/>
    <n v="1110.93"/>
    <n v="498.1"/>
    <s v="UPI"/>
    <s v="2024-01"/>
    <s v="1-10%"/>
    <n v="0.44836308318255874"/>
    <s v="No"/>
  </r>
  <r>
    <s v="ORD-101945"/>
    <d v="2024-01-01T00:00:00"/>
    <s v="CUST-00595"/>
    <x v="1"/>
    <x v="1"/>
    <s v="Laptop"/>
    <s v="AirBook Slim"/>
    <n v="1"/>
    <n v="80111.490000000005"/>
    <n v="0.1"/>
    <n v="72100.34"/>
    <n v="5701.57"/>
    <s v="Cash on Delivery"/>
    <s v="2024-01"/>
    <s v="1-10%"/>
    <n v="7.9078267869471905E-2"/>
    <s v="No"/>
  </r>
  <r>
    <s v="ORD-100664"/>
    <d v="2024-01-02T00:00:00"/>
    <s v="CUST-00549"/>
    <x v="1"/>
    <x v="1"/>
    <s v="Mobile"/>
    <s v="Galaxy Nova X5"/>
    <n v="1"/>
    <n v="24219.42"/>
    <n v="0.1"/>
    <n v="21797.48"/>
    <n v="2187.61"/>
    <s v="UPI"/>
    <s v="2024-01"/>
    <s v="1-10%"/>
    <n v="0.10036068389556958"/>
    <s v="No"/>
  </r>
  <r>
    <s v="ORD-101555"/>
    <d v="2024-01-02T00:00:00"/>
    <s v="CUST-00220"/>
    <x v="2"/>
    <x v="2"/>
    <s v="Appliances"/>
    <s v="ColdBrew Coffee Maker"/>
    <n v="1"/>
    <n v="6807.91"/>
    <n v="0"/>
    <n v="6807.91"/>
    <n v="2498.96"/>
    <s v="Credit Card"/>
    <s v="2024-01"/>
    <s v="No discount"/>
    <n v="0.36706713220356912"/>
    <s v="No"/>
  </r>
  <r>
    <s v="ORD-101584"/>
    <d v="2024-01-03T00:00:00"/>
    <s v="CUST-00095"/>
    <x v="2"/>
    <x v="0"/>
    <s v="Skincare"/>
    <s v="Vitamin C Serum"/>
    <n v="1"/>
    <n v="924.01"/>
    <n v="0.1"/>
    <n v="831.61"/>
    <n v="394.97"/>
    <s v="UPI"/>
    <s v="2024-01"/>
    <s v="1-10%"/>
    <n v="0.47494618871826938"/>
    <s v="No"/>
  </r>
  <r>
    <s v="ORD-101499"/>
    <d v="2024-01-04T00:00:00"/>
    <s v="CUST-00048"/>
    <x v="3"/>
    <x v="3"/>
    <s v="Footwear"/>
    <s v="RunFlex Sneakers"/>
    <n v="1"/>
    <n v="2908.04"/>
    <n v="0.05"/>
    <n v="2762.64"/>
    <n v="926.6"/>
    <s v="Credit Card"/>
    <s v="2024-01"/>
    <s v="1-10%"/>
    <n v="0.33540381663915675"/>
    <s v="No"/>
  </r>
  <r>
    <s v="ORD-101151"/>
    <d v="2024-01-05T00:00:00"/>
    <s v="CUST-00042"/>
    <x v="1"/>
    <x v="4"/>
    <s v="Outdoor"/>
    <s v="AllWeather Tent 4P"/>
    <n v="4"/>
    <n v="12379.05"/>
    <n v="0.2"/>
    <n v="39612.959999999999"/>
    <n v="6475.71"/>
    <s v="UPI"/>
    <s v="2024-01"/>
    <s v="16-20%"/>
    <n v="0.16347452954790553"/>
    <s v="No"/>
  </r>
  <r>
    <s v="ORD-101166"/>
    <d v="2024-01-05T00:00:00"/>
    <s v="CUST-00489"/>
    <x v="2"/>
    <x v="1"/>
    <s v="Laptop"/>
    <s v="AirBook Slim"/>
    <n v="1"/>
    <n v="80903.62"/>
    <n v="0.05"/>
    <n v="76858.44"/>
    <n v="7182.52"/>
    <s v="Cash on Delivery"/>
    <s v="2024-01"/>
    <s v="1-10%"/>
    <n v="9.3451285245966478E-2"/>
    <s v="No"/>
  </r>
  <r>
    <s v="ORD-101640"/>
    <d v="2024-01-06T00:00:00"/>
    <s v="CUST-00577"/>
    <x v="3"/>
    <x v="4"/>
    <s v="Fitness"/>
    <s v="ProYoga Mat"/>
    <n v="3"/>
    <n v="1307.21"/>
    <n v="0.05"/>
    <n v="3725.55"/>
    <n v="1285.69"/>
    <s v="UPI"/>
    <s v="2024-01"/>
    <s v="1-10%"/>
    <n v="0.34510072338312464"/>
    <s v="No"/>
  </r>
  <r>
    <s v="ORD-101882"/>
    <d v="2024-01-06T00:00:00"/>
    <s v="CUST-00130"/>
    <x v="3"/>
    <x v="4"/>
    <s v="Outdoor"/>
    <s v="TrailHike Backpack 60L"/>
    <n v="2"/>
    <n v="3333.3"/>
    <n v="0.2"/>
    <n v="5333.28"/>
    <n v="623.79"/>
    <s v="Net Banking"/>
    <s v="2024-01"/>
    <s v="16-20%"/>
    <n v="0.11696179461794617"/>
    <s v="No"/>
  </r>
  <r>
    <s v="ORD-100797"/>
    <d v="2024-01-07T00:00:00"/>
    <s v="CUST-00531"/>
    <x v="0"/>
    <x v="0"/>
    <s v="Makeup"/>
    <s v="Matte Lipstick Set"/>
    <n v="2"/>
    <n v="1036.74"/>
    <n v="0.2"/>
    <n v="1658.78"/>
    <n v="471.56"/>
    <s v="UPI"/>
    <s v="2024-01"/>
    <s v="16-20%"/>
    <n v="0.28428121872701623"/>
    <s v="No"/>
  </r>
  <r>
    <s v="ORD-100938"/>
    <d v="2024-01-07T00:00:00"/>
    <s v="CUST-00522"/>
    <x v="1"/>
    <x v="3"/>
    <s v="Women"/>
    <s v="Knit Winter Sweater"/>
    <n v="2"/>
    <n v="2226.69"/>
    <n v="0.05"/>
    <n v="4230.71"/>
    <n v="1402.13"/>
    <s v="UPI"/>
    <s v="2024-01"/>
    <s v="1-10%"/>
    <n v="0.33141718529513958"/>
    <s v="No"/>
  </r>
  <r>
    <s v="ORD-101263"/>
    <d v="2024-01-07T00:00:00"/>
    <s v="CUST-00133"/>
    <x v="3"/>
    <x v="3"/>
    <s v="Women"/>
    <s v="Knit Winter Sweater"/>
    <n v="2"/>
    <n v="2115.88"/>
    <n v="0.25"/>
    <n v="3173.82"/>
    <n v="443.82"/>
    <s v="UPI"/>
    <s v="2024-01"/>
    <s v="21%+"/>
    <n v="0.13983779798476284"/>
    <s v="No"/>
  </r>
  <r>
    <s v="ORD-101631"/>
    <d v="2024-01-07T00:00:00"/>
    <s v="CUST-00027"/>
    <x v="3"/>
    <x v="1"/>
    <s v="Laptop"/>
    <s v="AirBook Slim"/>
    <n v="2"/>
    <n v="75503.570000000007"/>
    <n v="0"/>
    <n v="151007.14000000001"/>
    <n v="25183.27"/>
    <s v="UPI"/>
    <s v="2024-01"/>
    <s v="No discount"/>
    <n v="0.16676873689548719"/>
    <s v="No"/>
  </r>
  <r>
    <s v="ORD-101717"/>
    <d v="2024-01-07T00:00:00"/>
    <s v="CUST-00315"/>
    <x v="2"/>
    <x v="4"/>
    <s v="Outdoor"/>
    <s v="AllWeather Tent 4P"/>
    <n v="1"/>
    <n v="12085.24"/>
    <n v="0.1"/>
    <n v="10876.72"/>
    <n v="3298.41"/>
    <s v="Debit Card"/>
    <s v="2024-01"/>
    <s v="1-10%"/>
    <n v="0.30325410601725522"/>
    <s v="No"/>
  </r>
  <r>
    <s v="ORD-101901"/>
    <d v="2024-01-07T00:00:00"/>
    <s v="CUST-00354"/>
    <x v="3"/>
    <x v="4"/>
    <s v="Outdoor"/>
    <s v="TrailHike Backpack 60L"/>
    <n v="1"/>
    <n v="3426.47"/>
    <n v="0.15"/>
    <n v="2912.5"/>
    <n v="602.80999999999995"/>
    <s v="Net Banking"/>
    <s v="2024-01"/>
    <s v="11-15%"/>
    <n v="0.2069733905579399"/>
    <s v="No"/>
  </r>
  <r>
    <s v="ORD-100355"/>
    <d v="2024-01-08T00:00:00"/>
    <s v="CUST-00194"/>
    <x v="2"/>
    <x v="1"/>
    <s v="Audio"/>
    <s v="BassBoom Speaker"/>
    <n v="4"/>
    <n v="8557.27"/>
    <n v="0.05"/>
    <n v="32517.63"/>
    <n v="3802.44"/>
    <s v="UPI"/>
    <s v="2024-01"/>
    <s v="1-10%"/>
    <n v="0.116934721257361"/>
    <s v="No"/>
  </r>
  <r>
    <s v="ORD-101920"/>
    <d v="2024-01-08T00:00:00"/>
    <s v="CUST-00578"/>
    <x v="3"/>
    <x v="2"/>
    <s v="Appliances"/>
    <s v="AirFryer Deluxe"/>
    <n v="1"/>
    <n v="8013.29"/>
    <n v="0"/>
    <n v="8013.29"/>
    <n v="2928.63"/>
    <s v="Cash on Delivery"/>
    <s v="2024-01"/>
    <s v="No discount"/>
    <n v="0.36547161028741004"/>
    <s v="No"/>
  </r>
  <r>
    <s v="ORD-100590"/>
    <d v="2024-01-09T00:00:00"/>
    <s v="CUST-00380"/>
    <x v="3"/>
    <x v="0"/>
    <s v="Skincare"/>
    <s v="HydraBoost Moisturizer"/>
    <n v="2"/>
    <n v="1236.5"/>
    <n v="0.05"/>
    <n v="2349.35"/>
    <n v="1218.5999999999999"/>
    <s v="UPI"/>
    <s v="2024-01"/>
    <s v="1-10%"/>
    <n v="0.51869666077851317"/>
    <s v="No"/>
  </r>
  <r>
    <s v="ORD-100603"/>
    <d v="2024-01-09T00:00:00"/>
    <s v="CUST-00149"/>
    <x v="1"/>
    <x v="0"/>
    <s v="Makeup"/>
    <s v="HD Foundation Kit"/>
    <n v="2"/>
    <n v="1445.88"/>
    <n v="0.1"/>
    <n v="2602.58"/>
    <n v="1125.78"/>
    <s v="UPI"/>
    <s v="2024-01"/>
    <s v="1-10%"/>
    <n v="0.43256307202852556"/>
    <s v="No"/>
  </r>
  <r>
    <s v="ORD-100697"/>
    <d v="2024-01-09T00:00:00"/>
    <s v="CUST-00297"/>
    <x v="0"/>
    <x v="1"/>
    <s v="Mobile"/>
    <s v="Galaxy Nova X5"/>
    <n v="1"/>
    <n v="25460.080000000002"/>
    <n v="0"/>
    <n v="25460.080000000002"/>
    <n v="3670.41"/>
    <s v="Credit Card"/>
    <s v="2024-01"/>
    <s v="No discount"/>
    <n v="0.14416333334380724"/>
    <s v="No"/>
  </r>
  <r>
    <s v="ORD-100850"/>
    <d v="2024-01-09T00:00:00"/>
    <s v="CUST-00386"/>
    <x v="3"/>
    <x v="1"/>
    <s v="Audio"/>
    <s v="BassBoom Speaker"/>
    <n v="4"/>
    <n v="8639.43"/>
    <n v="0"/>
    <n v="34557.72"/>
    <n v="6787.42"/>
    <s v="UPI"/>
    <s v="2024-01"/>
    <s v="No discount"/>
    <n v="0.19640821211584561"/>
    <s v="No"/>
  </r>
  <r>
    <s v="ORD-100891"/>
    <d v="2024-01-09T00:00:00"/>
    <s v="CUST-00487"/>
    <x v="2"/>
    <x v="0"/>
    <s v="Makeup"/>
    <s v="HD Foundation Kit"/>
    <n v="2"/>
    <n v="1559.15"/>
    <n v="0.1"/>
    <n v="2806.47"/>
    <n v="1180.93"/>
    <s v="UPI"/>
    <s v="2024-01"/>
    <s v="1-10%"/>
    <n v="0.42078839253581907"/>
    <s v="No"/>
  </r>
  <r>
    <s v="ORD-101138"/>
    <d v="2024-01-09T00:00:00"/>
    <s v="CUST-00439"/>
    <x v="2"/>
    <x v="2"/>
    <s v="Furniture"/>
    <s v="Oakwood Study Desk"/>
    <n v="1"/>
    <n v="13120.47"/>
    <n v="0.1"/>
    <n v="11808.42"/>
    <n v="2872.47"/>
    <s v="UPI"/>
    <s v="2024-01"/>
    <s v="1-10%"/>
    <n v="0.24325608337101828"/>
    <s v="No"/>
  </r>
  <r>
    <s v="ORD-101290"/>
    <d v="2024-01-09T00:00:00"/>
    <s v="CUST-00335"/>
    <x v="2"/>
    <x v="3"/>
    <s v="Men"/>
    <s v="SlimFit Denim Jeans"/>
    <n v="1"/>
    <n v="2035.59"/>
    <n v="0.15"/>
    <n v="1730.25"/>
    <n v="445.59"/>
    <s v="UPI"/>
    <s v="2024-01"/>
    <s v="11-15%"/>
    <n v="0.25752925877763327"/>
    <s v="No"/>
  </r>
  <r>
    <s v="ORD-101421"/>
    <d v="2024-01-09T00:00:00"/>
    <s v="CUST-00314"/>
    <x v="3"/>
    <x v="4"/>
    <s v="Fitness"/>
    <s v="Adjustable Dumbbell 24kg"/>
    <n v="1"/>
    <n v="9578.1200000000008"/>
    <n v="0"/>
    <n v="9578.1200000000008"/>
    <n v="3519.58"/>
    <s v="Credit Card"/>
    <s v="2024-01"/>
    <s v="No discount"/>
    <n v="0.3674604202077234"/>
    <s v="No"/>
  </r>
  <r>
    <s v="ORD-101454"/>
    <d v="2024-01-09T00:00:00"/>
    <s v="CUST-00359"/>
    <x v="3"/>
    <x v="0"/>
    <s v="Makeup"/>
    <s v="Matte Lipstick Set"/>
    <n v="2"/>
    <n v="981.13"/>
    <n v="0.05"/>
    <n v="1864.15"/>
    <n v="850.92"/>
    <s v="Credit Card"/>
    <s v="2024-01"/>
    <s v="1-10%"/>
    <n v="0.45646541319099854"/>
    <s v="No"/>
  </r>
  <r>
    <s v="ORD-101959"/>
    <d v="2024-01-09T00:00:00"/>
    <s v="CUST-00202"/>
    <x v="3"/>
    <x v="2"/>
    <s v="Furniture"/>
    <s v="ErgoComfort Chair"/>
    <n v="5"/>
    <n v="8706.41"/>
    <n v="0"/>
    <n v="43532.05"/>
    <n v="13561.59"/>
    <s v="Debit Card"/>
    <s v="2024-01"/>
    <s v="No discount"/>
    <n v="0.3115311592263631"/>
    <s v="No"/>
  </r>
  <r>
    <s v="ORD-100262"/>
    <d v="2024-01-10T00:00:00"/>
    <s v="CUST-00136"/>
    <x v="1"/>
    <x v="3"/>
    <s v="Men"/>
    <s v="SlimFit Denim Jeans"/>
    <n v="2"/>
    <n v="1980.91"/>
    <n v="0"/>
    <n v="3961.82"/>
    <n v="1511.85"/>
    <s v="Debit Card"/>
    <s v="2024-01"/>
    <s v="No discount"/>
    <n v="0.38160491895139098"/>
    <s v="No"/>
  </r>
  <r>
    <s v="ORD-101985"/>
    <d v="2024-01-10T00:00:00"/>
    <s v="CUST-00579"/>
    <x v="1"/>
    <x v="3"/>
    <s v="Footwear"/>
    <s v="RunFlex Sneakers"/>
    <n v="3"/>
    <n v="3005.89"/>
    <n v="0.1"/>
    <n v="8115.9"/>
    <n v="2620.5700000000002"/>
    <s v="UPI"/>
    <s v="2024-01"/>
    <s v="1-10%"/>
    <n v="0.32289333284047367"/>
    <s v="No"/>
  </r>
  <r>
    <s v="ORD-101987"/>
    <d v="2024-01-10T00:00:00"/>
    <s v="CUST-00445"/>
    <x v="2"/>
    <x v="1"/>
    <s v="Mobile"/>
    <s v="Galaxy Nova X5"/>
    <n v="1"/>
    <n v="25495.85"/>
    <n v="0"/>
    <n v="25495.85"/>
    <n v="3772.82"/>
    <s v="Credit Card"/>
    <s v="2024-01"/>
    <s v="No discount"/>
    <n v="0.14797780815309158"/>
    <s v="No"/>
  </r>
  <r>
    <s v="ORD-100600"/>
    <d v="2024-01-11T00:00:00"/>
    <s v="CUST-00476"/>
    <x v="1"/>
    <x v="1"/>
    <s v="Mobile"/>
    <s v="iPhone Zeta"/>
    <n v="1"/>
    <n v="72448.47"/>
    <n v="0"/>
    <n v="72448.47"/>
    <n v="12470.89"/>
    <s v="UPI"/>
    <s v="2024-01"/>
    <s v="No discount"/>
    <n v="0.17213462202859495"/>
    <s v="No"/>
  </r>
  <r>
    <s v="ORD-101471"/>
    <d v="2024-01-11T00:00:00"/>
    <s v="CUST-00225"/>
    <x v="2"/>
    <x v="3"/>
    <s v="Footwear"/>
    <s v="RunFlex Sneakers"/>
    <n v="1"/>
    <n v="2948.07"/>
    <n v="0"/>
    <n v="2948.07"/>
    <n v="1255.55"/>
    <s v="UPI"/>
    <s v="2024-01"/>
    <s v="No discount"/>
    <n v="0.42588880182627953"/>
    <s v="No"/>
  </r>
  <r>
    <s v="ORD-101472"/>
    <d v="2024-01-11T00:00:00"/>
    <s v="CUST-00438"/>
    <x v="3"/>
    <x v="3"/>
    <s v="Women"/>
    <s v="Knit Winter Sweater"/>
    <n v="1"/>
    <n v="2241.2800000000002"/>
    <n v="0"/>
    <n v="2241.2800000000002"/>
    <n v="971.88"/>
    <s v="Credit Card"/>
    <s v="2024-01"/>
    <s v="No discount"/>
    <n v="0.43362721302113072"/>
    <s v="No"/>
  </r>
  <r>
    <s v="ORD-100153"/>
    <d v="2024-01-12T00:00:00"/>
    <s v="CUST-00369"/>
    <x v="3"/>
    <x v="4"/>
    <s v="Outdoor"/>
    <s v="TrailHike Backpack 60L"/>
    <n v="1"/>
    <n v="3480.36"/>
    <n v="0.05"/>
    <n v="3306.34"/>
    <n v="1004.66"/>
    <s v="Credit Card"/>
    <s v="2024-01"/>
    <s v="1-10%"/>
    <n v="0.30385864732604628"/>
    <s v="No"/>
  </r>
  <r>
    <s v="ORD-100308"/>
    <d v="2024-01-12T00:00:00"/>
    <s v="CUST-00569"/>
    <x v="1"/>
    <x v="4"/>
    <s v="Outdoor"/>
    <s v="TrailHike Backpack 60L"/>
    <n v="1"/>
    <n v="3661.83"/>
    <n v="0.2"/>
    <n v="2929.46"/>
    <n v="525.46"/>
    <s v="Cash on Delivery"/>
    <s v="2024-01"/>
    <s v="16-20%"/>
    <n v="0.17937094208488938"/>
    <s v="No"/>
  </r>
  <r>
    <s v="ORD-100221"/>
    <d v="2024-01-13T00:00:00"/>
    <s v="CUST-00484"/>
    <x v="2"/>
    <x v="3"/>
    <s v="Women"/>
    <s v="Floral Summer Dress"/>
    <n v="1"/>
    <n v="1812.3"/>
    <n v="0"/>
    <n v="1812.3"/>
    <n v="793.47"/>
    <s v="Credit Card"/>
    <s v="2024-01"/>
    <s v="No discount"/>
    <n v="0.43782486343320642"/>
    <s v="No"/>
  </r>
  <r>
    <s v="ORD-100617"/>
    <d v="2024-01-13T00:00:00"/>
    <s v="CUST-00525"/>
    <x v="0"/>
    <x v="0"/>
    <s v="Makeup"/>
    <s v="Matte Lipstick Set"/>
    <n v="3"/>
    <n v="983.68"/>
    <n v="0"/>
    <n v="2951.04"/>
    <n v="1740.37"/>
    <s v="Debit Card"/>
    <s v="2024-01"/>
    <s v="No discount"/>
    <n v="0.58974802103665147"/>
    <s v="No"/>
  </r>
  <r>
    <s v="ORD-100828"/>
    <d v="2024-01-13T00:00:00"/>
    <s v="CUST-00583"/>
    <x v="2"/>
    <x v="0"/>
    <s v="Makeup"/>
    <s v="HD Foundation Kit"/>
    <n v="2"/>
    <n v="1465.16"/>
    <n v="0"/>
    <n v="2930.32"/>
    <n v="1557.46"/>
    <s v="Credit Card"/>
    <s v="2024-01"/>
    <s v="No discount"/>
    <n v="0.53149826640093911"/>
    <s v="No"/>
  </r>
  <r>
    <s v="ORD-100901"/>
    <d v="2024-01-13T00:00:00"/>
    <s v="CUST-00132"/>
    <x v="1"/>
    <x v="3"/>
    <s v="Men"/>
    <s v="Oxford Casual Shirt"/>
    <n v="2"/>
    <n v="1294.44"/>
    <n v="0.2"/>
    <n v="2071.1"/>
    <n v="324.36"/>
    <s v="UPI"/>
    <s v="2024-01"/>
    <s v="16-20%"/>
    <n v="0.15661242817826276"/>
    <s v="No"/>
  </r>
  <r>
    <s v="ORD-101386"/>
    <d v="2024-01-13T00:00:00"/>
    <s v="CUST-00593"/>
    <x v="2"/>
    <x v="2"/>
    <s v="Appliances"/>
    <s v="ColdBrew Coffee Maker"/>
    <n v="2"/>
    <n v="6607.16"/>
    <n v="0.25"/>
    <n v="9910.74"/>
    <n v="682.24"/>
    <s v="Cash on Delivery"/>
    <s v="2024-01"/>
    <s v="21%+"/>
    <n v="6.8838452022755112E-2"/>
    <s v="No"/>
  </r>
  <r>
    <s v="ORD-101570"/>
    <d v="2024-01-13T00:00:00"/>
    <s v="CUST-00473"/>
    <x v="3"/>
    <x v="4"/>
    <s v="Fitness"/>
    <s v="ProYoga Mat"/>
    <n v="1"/>
    <n v="1274.71"/>
    <n v="0.05"/>
    <n v="1210.97"/>
    <n v="347.91"/>
    <s v="UPI"/>
    <s v="2024-01"/>
    <s v="1-10%"/>
    <n v="0.28729861185661082"/>
    <s v="No"/>
  </r>
  <r>
    <s v="ORD-100638"/>
    <d v="2024-01-14T00:00:00"/>
    <s v="CUST-00128"/>
    <x v="1"/>
    <x v="4"/>
    <s v="Fitness"/>
    <s v="Adjustable Dumbbell 24kg"/>
    <n v="1"/>
    <n v="9947.92"/>
    <n v="0.25"/>
    <n v="7460.94"/>
    <n v="696.72"/>
    <s v="Credit Card"/>
    <s v="2024-01"/>
    <s v="21%+"/>
    <n v="9.3382335201730615E-2"/>
    <s v="No"/>
  </r>
  <r>
    <s v="ORD-100747"/>
    <d v="2024-01-15T00:00:00"/>
    <s v="CUST-00373"/>
    <x v="1"/>
    <x v="1"/>
    <s v="Mobile"/>
    <s v="Galaxy Nova X5"/>
    <n v="2"/>
    <n v="25490.1"/>
    <n v="0"/>
    <n v="50980.2"/>
    <n v="10295.49"/>
    <s v="UPI"/>
    <s v="2024-01"/>
    <s v="No discount"/>
    <n v="0.20195075735285464"/>
    <s v="No"/>
  </r>
  <r>
    <s v="ORD-101171"/>
    <d v="2024-01-15T00:00:00"/>
    <s v="CUST-00350"/>
    <x v="0"/>
    <x v="3"/>
    <s v="Men"/>
    <s v="SlimFit Denim Jeans"/>
    <n v="2"/>
    <n v="1925.63"/>
    <n v="0.1"/>
    <n v="3466.13"/>
    <n v="979.01"/>
    <s v="Credit Card"/>
    <s v="2024-01"/>
    <s v="1-10%"/>
    <n v="0.28245045627255755"/>
    <s v="No"/>
  </r>
  <r>
    <s v="ORD-101637"/>
    <d v="2024-01-15T00:00:00"/>
    <s v="CUST-00273"/>
    <x v="2"/>
    <x v="1"/>
    <s v="Laptop"/>
    <s v="ThinkPro 14"/>
    <n v="1"/>
    <n v="53234.47"/>
    <n v="0.2"/>
    <n v="42587.58"/>
    <n v="-3732.08"/>
    <s v="UPI"/>
    <s v="2024-01"/>
    <s v="16-20%"/>
    <n v="-8.7633061094337827E-2"/>
    <s v="Yes"/>
  </r>
  <r>
    <s v="ORD-100167"/>
    <d v="2024-01-16T00:00:00"/>
    <s v="CUST-00195"/>
    <x v="3"/>
    <x v="1"/>
    <s v="Mobile"/>
    <s v="iPhone Zeta"/>
    <n v="2"/>
    <n v="69854.759999999995"/>
    <n v="0.1"/>
    <n v="125738.57"/>
    <n v="11889.58"/>
    <s v="Cash on Delivery"/>
    <s v="2024-01"/>
    <s v="1-10%"/>
    <n v="9.4557938745446199E-2"/>
    <s v="No"/>
  </r>
  <r>
    <s v="ORD-101009"/>
    <d v="2024-01-16T00:00:00"/>
    <s v="CUST-00391"/>
    <x v="2"/>
    <x v="3"/>
    <s v="Men"/>
    <s v="Oxford Casual Shirt"/>
    <n v="4"/>
    <n v="1326.59"/>
    <n v="0.2"/>
    <n v="4245.09"/>
    <n v="661.54"/>
    <s v="UPI"/>
    <s v="2024-01"/>
    <s v="16-20%"/>
    <n v="0.15583650758876724"/>
    <s v="No"/>
  </r>
  <r>
    <s v="ORD-101245"/>
    <d v="2024-01-16T00:00:00"/>
    <s v="CUST-00003"/>
    <x v="1"/>
    <x v="4"/>
    <s v="Outdoor"/>
    <s v="TrailHike Backpack 60L"/>
    <n v="1"/>
    <n v="3406.61"/>
    <n v="0.25"/>
    <n v="2554.96"/>
    <n v="216.93"/>
    <s v="UPI"/>
    <s v="2024-01"/>
    <s v="21%+"/>
    <n v="8.4905438832701879E-2"/>
    <s v="No"/>
  </r>
  <r>
    <s v="ORD-101879"/>
    <d v="2024-01-16T00:00:00"/>
    <s v="CUST-00169"/>
    <x v="3"/>
    <x v="2"/>
    <s v="Decor"/>
    <s v="LED Wall Lamp"/>
    <n v="3"/>
    <n v="951.93"/>
    <n v="0.1"/>
    <n v="2570.21"/>
    <n v="485.59"/>
    <s v="Debit Card"/>
    <s v="2024-01"/>
    <s v="1-10%"/>
    <n v="0.18893008742476294"/>
    <s v="No"/>
  </r>
  <r>
    <s v="ORD-100161"/>
    <d v="2024-01-17T00:00:00"/>
    <s v="CUST-00069"/>
    <x v="2"/>
    <x v="3"/>
    <s v="Women"/>
    <s v="Knit Winter Sweater"/>
    <n v="1"/>
    <n v="2281.5100000000002"/>
    <n v="0"/>
    <n v="2281.5100000000002"/>
    <n v="1006.69"/>
    <s v="Credit Card"/>
    <s v="2024-01"/>
    <s v="No discount"/>
    <n v="0.44123847802551819"/>
    <s v="No"/>
  </r>
  <r>
    <s v="ORD-100375"/>
    <d v="2024-01-17T00:00:00"/>
    <s v="CUST-00310"/>
    <x v="3"/>
    <x v="0"/>
    <s v="Skincare"/>
    <s v="HydraBoost Moisturizer"/>
    <n v="2"/>
    <n v="1169.52"/>
    <n v="0.25"/>
    <n v="1754.28"/>
    <n v="525.29"/>
    <s v="UPI"/>
    <s v="2024-01"/>
    <s v="21%+"/>
    <n v="0.29943338577650086"/>
    <s v="No"/>
  </r>
  <r>
    <s v="ORD-100432"/>
    <d v="2024-01-17T00:00:00"/>
    <s v="CUST-00499"/>
    <x v="2"/>
    <x v="0"/>
    <s v="Makeup"/>
    <s v="HD Foundation Kit"/>
    <n v="3"/>
    <n v="1573.57"/>
    <n v="0"/>
    <n v="4720.71"/>
    <n v="2660.62"/>
    <s v="UPI"/>
    <s v="2024-01"/>
    <s v="No discount"/>
    <n v="0.56360589826530327"/>
    <s v="No"/>
  </r>
  <r>
    <s v="ORD-100453"/>
    <d v="2024-01-17T00:00:00"/>
    <s v="CUST-00058"/>
    <x v="0"/>
    <x v="0"/>
    <s v="Skincare"/>
    <s v="HydraBoost Moisturizer"/>
    <n v="1"/>
    <n v="1216.19"/>
    <n v="0.15"/>
    <n v="1033.76"/>
    <n v="390.22"/>
    <s v="Debit Card"/>
    <s v="2024-01"/>
    <s v="11-15%"/>
    <n v="0.37747639684259404"/>
    <s v="No"/>
  </r>
  <r>
    <s v="ORD-100633"/>
    <d v="2024-01-17T00:00:00"/>
    <s v="CUST-00015"/>
    <x v="0"/>
    <x v="4"/>
    <s v="Fitness"/>
    <s v="ProYoga Mat"/>
    <n v="1"/>
    <n v="1260.26"/>
    <n v="0.05"/>
    <n v="1197.25"/>
    <n v="362.14"/>
    <s v="UPI"/>
    <s v="2024-01"/>
    <s v="1-10%"/>
    <n v="0.3024765086656922"/>
    <s v="No"/>
  </r>
  <r>
    <s v="ORD-100286"/>
    <d v="2024-01-19T00:00:00"/>
    <s v="CUST-00423"/>
    <x v="3"/>
    <x v="4"/>
    <s v="Fitness"/>
    <s v="ProYoga Mat"/>
    <n v="1"/>
    <n v="1292.26"/>
    <n v="0.15"/>
    <n v="1098.42"/>
    <n v="259.26"/>
    <s v="UPI"/>
    <s v="2024-01"/>
    <s v="11-15%"/>
    <n v="0.2360299339050636"/>
    <s v="No"/>
  </r>
  <r>
    <s v="ORD-101425"/>
    <d v="2024-01-19T00:00:00"/>
    <s v="CUST-00125"/>
    <x v="2"/>
    <x v="3"/>
    <s v="Footwear"/>
    <s v="RunFlex Sneakers"/>
    <n v="1"/>
    <n v="3046.32"/>
    <n v="0.05"/>
    <n v="2894"/>
    <n v="1039.33"/>
    <s v="Net Banking"/>
    <s v="2024-01"/>
    <s v="1-10%"/>
    <n v="0.35913268832066342"/>
    <s v="No"/>
  </r>
  <r>
    <s v="ORD-101445"/>
    <d v="2024-01-19T00:00:00"/>
    <s v="CUST-00446"/>
    <x v="0"/>
    <x v="0"/>
    <s v="Skincare"/>
    <s v="HydraBoost Moisturizer"/>
    <n v="1"/>
    <n v="1235.55"/>
    <n v="0.05"/>
    <n v="1173.77"/>
    <n v="536.78"/>
    <s v="Debit Card"/>
    <s v="2024-01"/>
    <s v="1-10%"/>
    <n v="0.45731276144389443"/>
    <s v="No"/>
  </r>
  <r>
    <s v="ORD-101484"/>
    <d v="2024-01-19T00:00:00"/>
    <s v="CUST-00532"/>
    <x v="3"/>
    <x v="3"/>
    <s v="Men"/>
    <s v="SlimFit Denim Jeans"/>
    <n v="2"/>
    <n v="1939.5"/>
    <n v="0.15"/>
    <n v="3297.15"/>
    <n v="760.63"/>
    <s v="Net Banking"/>
    <s v="2024-01"/>
    <s v="11-15%"/>
    <n v="0.230693174408201"/>
    <s v="No"/>
  </r>
  <r>
    <s v="ORD-101588"/>
    <d v="2024-01-19T00:00:00"/>
    <s v="CUST-00267"/>
    <x v="0"/>
    <x v="2"/>
    <s v="Furniture"/>
    <s v="ErgoComfort Chair"/>
    <n v="2"/>
    <n v="8676.41"/>
    <n v="0.05"/>
    <n v="16485.18"/>
    <n v="4588.92"/>
    <s v="UPI"/>
    <s v="2024-01"/>
    <s v="1-10%"/>
    <n v="0.27836638726419732"/>
    <s v="No"/>
  </r>
  <r>
    <s v="ORD-101593"/>
    <d v="2024-01-19T00:00:00"/>
    <s v="CUST-00408"/>
    <x v="0"/>
    <x v="1"/>
    <s v="Audio"/>
    <s v="SoundPods Pro"/>
    <n v="2"/>
    <n v="5063.16"/>
    <n v="0.25"/>
    <n v="7594.74"/>
    <n v="-642.48"/>
    <s v="UPI"/>
    <s v="2024-01"/>
    <s v="21%+"/>
    <n v="-8.4595391020627436E-2"/>
    <s v="Yes"/>
  </r>
  <r>
    <s v="ORD-100275"/>
    <d v="2024-01-21T00:00:00"/>
    <s v="CUST-00119"/>
    <x v="2"/>
    <x v="3"/>
    <s v="Men"/>
    <s v="SlimFit Denim Jeans"/>
    <n v="2"/>
    <n v="1972.33"/>
    <n v="0"/>
    <n v="3944.66"/>
    <n v="1704.26"/>
    <s v="Net Banking"/>
    <s v="2024-01"/>
    <s v="No discount"/>
    <n v="0.43204230529373888"/>
    <s v="No"/>
  </r>
  <r>
    <s v="ORD-101031"/>
    <d v="2024-01-21T00:00:00"/>
    <s v="CUST-00372"/>
    <x v="3"/>
    <x v="1"/>
    <s v="Audio"/>
    <s v="SoundPods Pro"/>
    <n v="4"/>
    <n v="4768.74"/>
    <n v="0"/>
    <n v="19074.96"/>
    <n v="4013.73"/>
    <s v="Credit Card"/>
    <s v="2024-01"/>
    <s v="No discount"/>
    <n v="0.21041878986902202"/>
    <s v="No"/>
  </r>
  <r>
    <s v="ORD-101189"/>
    <d v="2024-01-21T00:00:00"/>
    <s v="CUST-00303"/>
    <x v="2"/>
    <x v="0"/>
    <s v="Skincare"/>
    <s v="HydraBoost Moisturizer"/>
    <n v="1"/>
    <n v="1234.3399999999999"/>
    <n v="0.1"/>
    <n v="1110.9100000000001"/>
    <n v="463.62"/>
    <s v="UPI"/>
    <s v="2024-01"/>
    <s v="1-10%"/>
    <n v="0.41733353737026402"/>
    <s v="No"/>
  </r>
  <r>
    <s v="ORD-100783"/>
    <d v="2024-01-22T00:00:00"/>
    <s v="CUST-00271"/>
    <x v="1"/>
    <x v="3"/>
    <s v="Women"/>
    <s v="Floral Summer Dress"/>
    <n v="1"/>
    <n v="1790.94"/>
    <n v="0.05"/>
    <n v="1701.39"/>
    <n v="679.67"/>
    <s v="Credit Card"/>
    <s v="2024-01"/>
    <s v="1-10%"/>
    <n v="0.39947924931967388"/>
    <s v="No"/>
  </r>
  <r>
    <s v="ORD-100321"/>
    <d v="2024-01-23T00:00:00"/>
    <s v="CUST-00131"/>
    <x v="2"/>
    <x v="3"/>
    <s v="Women"/>
    <s v="Knit Winter Sweater"/>
    <n v="2"/>
    <n v="2194.34"/>
    <n v="0.05"/>
    <n v="4169.25"/>
    <n v="1414.86"/>
    <s v="Debit Card"/>
    <s v="2024-01"/>
    <s v="1-10%"/>
    <n v="0.33935599928044607"/>
    <s v="No"/>
  </r>
  <r>
    <s v="ORD-100946"/>
    <d v="2024-01-23T00:00:00"/>
    <s v="CUST-00070"/>
    <x v="3"/>
    <x v="3"/>
    <s v="Men"/>
    <s v="Oxford Casual Shirt"/>
    <n v="2"/>
    <n v="1290.98"/>
    <n v="0.1"/>
    <n v="2323.7600000000002"/>
    <n v="676.74"/>
    <s v="Credit Card"/>
    <s v="2024-01"/>
    <s v="1-10%"/>
    <n v="0.29122628842909765"/>
    <s v="No"/>
  </r>
  <r>
    <s v="ORD-101048"/>
    <d v="2024-01-23T00:00:00"/>
    <s v="CUST-00163"/>
    <x v="2"/>
    <x v="4"/>
    <s v="Fitness"/>
    <s v="ProYoga Mat"/>
    <n v="2"/>
    <n v="1246.3699999999999"/>
    <n v="0"/>
    <n v="2492.7399999999998"/>
    <n v="925.56"/>
    <s v="UPI"/>
    <s v="2024-01"/>
    <s v="No discount"/>
    <n v="0.37130226176817477"/>
    <s v="No"/>
  </r>
  <r>
    <s v="ORD-101113"/>
    <d v="2024-01-23T00:00:00"/>
    <s v="CUST-00354"/>
    <x v="2"/>
    <x v="3"/>
    <s v="Women"/>
    <s v="Knit Winter Sweater"/>
    <n v="5"/>
    <n v="2212.92"/>
    <n v="0.1"/>
    <n v="9958.14"/>
    <n v="3153.13"/>
    <s v="Debit Card"/>
    <s v="2024-01"/>
    <s v="1-10%"/>
    <n v="0.31663844854561196"/>
    <s v="No"/>
  </r>
  <r>
    <s v="ORD-101892"/>
    <d v="2024-01-23T00:00:00"/>
    <s v="CUST-00251"/>
    <x v="2"/>
    <x v="2"/>
    <s v="Appliances"/>
    <s v="ColdBrew Coffee Maker"/>
    <n v="1"/>
    <n v="6228.5"/>
    <n v="0.25"/>
    <n v="4671.38"/>
    <n v="118.58"/>
    <s v="UPI"/>
    <s v="2024-01"/>
    <s v="21%+"/>
    <n v="2.5384361794587466E-2"/>
    <s v="No"/>
  </r>
  <r>
    <s v="ORD-100385"/>
    <d v="2024-01-24T00:00:00"/>
    <s v="CUST-00551"/>
    <x v="2"/>
    <x v="3"/>
    <s v="Footwear"/>
    <s v="RunFlex Sneakers"/>
    <n v="3"/>
    <n v="2853.17"/>
    <n v="0.2"/>
    <n v="6847.61"/>
    <n v="1407.21"/>
    <s v="Credit Card"/>
    <s v="2024-01"/>
    <s v="16-20%"/>
    <n v="0.20550381812048293"/>
    <s v="No"/>
  </r>
  <r>
    <s v="ORD-100476"/>
    <d v="2024-01-24T00:00:00"/>
    <s v="CUST-00555"/>
    <x v="0"/>
    <x v="3"/>
    <s v="Women"/>
    <s v="Floral Summer Dress"/>
    <n v="1"/>
    <n v="1834.46"/>
    <n v="0"/>
    <n v="1834.46"/>
    <n v="769.93"/>
    <s v="Credit Card"/>
    <s v="2024-01"/>
    <s v="No discount"/>
    <n v="0.41970389106331013"/>
    <s v="No"/>
  </r>
  <r>
    <s v="ORD-100620"/>
    <d v="2024-01-24T00:00:00"/>
    <s v="CUST-00033"/>
    <x v="1"/>
    <x v="4"/>
    <s v="Outdoor"/>
    <s v="AllWeather Tent 4P"/>
    <n v="1"/>
    <n v="12302.13"/>
    <n v="0.05"/>
    <n v="11687.02"/>
    <n v="4014.81"/>
    <s v="UPI"/>
    <s v="2024-01"/>
    <s v="1-10%"/>
    <n v="0.34352726357959512"/>
    <s v="No"/>
  </r>
  <r>
    <s v="ORD-101951"/>
    <d v="2024-01-24T00:00:00"/>
    <s v="CUST-00353"/>
    <x v="2"/>
    <x v="3"/>
    <s v="Women"/>
    <s v="Floral Summer Dress"/>
    <n v="1"/>
    <n v="1859.38"/>
    <n v="0.05"/>
    <n v="1766.41"/>
    <n v="574.77"/>
    <s v="Credit Card"/>
    <s v="2024-01"/>
    <s v="1-10%"/>
    <n v="0.32538878289864753"/>
    <s v="No"/>
  </r>
  <r>
    <s v="ORD-100943"/>
    <d v="2024-01-25T00:00:00"/>
    <s v="CUST-00392"/>
    <x v="2"/>
    <x v="2"/>
    <s v="Appliances"/>
    <s v="AirFryer Deluxe"/>
    <n v="5"/>
    <n v="7614.63"/>
    <n v="0.15"/>
    <n v="32362.18"/>
    <n v="5626.07"/>
    <s v="Debit Card"/>
    <s v="2024-01"/>
    <s v="11-15%"/>
    <n v="0.1738470646909448"/>
    <s v="No"/>
  </r>
  <r>
    <s v="ORD-101034"/>
    <d v="2024-01-25T00:00:00"/>
    <s v="CUST-00171"/>
    <x v="0"/>
    <x v="2"/>
    <s v="Appliances"/>
    <s v="ColdBrew Coffee Maker"/>
    <n v="1"/>
    <n v="6445.54"/>
    <n v="0.2"/>
    <n v="5156.43"/>
    <n v="379.13"/>
    <s v="UPI"/>
    <s v="2024-01"/>
    <s v="16-20%"/>
    <n v="7.3525675709744914E-2"/>
    <s v="No"/>
  </r>
  <r>
    <s v="ORD-101090"/>
    <d v="2024-01-25T00:00:00"/>
    <s v="CUST-00376"/>
    <x v="2"/>
    <x v="2"/>
    <s v="Appliances"/>
    <s v="ColdBrew Coffee Maker"/>
    <n v="1"/>
    <n v="6629.49"/>
    <n v="0.05"/>
    <n v="6298.02"/>
    <n v="1923.62"/>
    <s v="UPI"/>
    <s v="2024-01"/>
    <s v="1-10%"/>
    <n v="0.30543250100825337"/>
    <s v="No"/>
  </r>
  <r>
    <s v="ORD-100025"/>
    <d v="2024-01-26T00:00:00"/>
    <s v="CUST-00341"/>
    <x v="1"/>
    <x v="2"/>
    <s v="Decor"/>
    <s v="Ceramic Vase Set"/>
    <n v="4"/>
    <n v="1461.45"/>
    <n v="0"/>
    <n v="5845.8"/>
    <n v="1743.35"/>
    <s v="Net Banking"/>
    <s v="2024-01"/>
    <s v="No discount"/>
    <n v="0.29822265558178518"/>
    <s v="No"/>
  </r>
  <r>
    <s v="ORD-101597"/>
    <d v="2024-01-26T00:00:00"/>
    <s v="CUST-00091"/>
    <x v="1"/>
    <x v="2"/>
    <s v="Appliances"/>
    <s v="AirFryer Deluxe"/>
    <n v="4"/>
    <n v="7934.18"/>
    <n v="0.3"/>
    <n v="22215.7"/>
    <n v="-833.07"/>
    <s v="UPI"/>
    <s v="2024-01"/>
    <s v="21%+"/>
    <n v="-3.749915600228667E-2"/>
    <s v="Yes"/>
  </r>
  <r>
    <s v="ORD-100083"/>
    <d v="2024-01-27T00:00:00"/>
    <s v="CUST-00367"/>
    <x v="1"/>
    <x v="3"/>
    <s v="Footwear"/>
    <s v="RunFlex Sneakers"/>
    <n v="3"/>
    <n v="3081.28"/>
    <n v="0"/>
    <n v="9243.84"/>
    <n v="4095.87"/>
    <s v="UPI"/>
    <s v="2024-01"/>
    <s v="No discount"/>
    <n v="0.44309183196593621"/>
    <s v="No"/>
  </r>
  <r>
    <s v="ORD-100847"/>
    <d v="2024-01-27T00:00:00"/>
    <s v="CUST-00289"/>
    <x v="2"/>
    <x v="0"/>
    <s v="Skincare"/>
    <s v="Vitamin C Serum"/>
    <n v="2"/>
    <n v="934.12"/>
    <n v="0"/>
    <n v="1868.24"/>
    <n v="1033.2"/>
    <s v="Credit Card"/>
    <s v="2024-01"/>
    <s v="No discount"/>
    <n v="0.55303387145120542"/>
    <s v="No"/>
  </r>
  <r>
    <s v="ORD-100982"/>
    <d v="2024-01-27T00:00:00"/>
    <s v="CUST-00186"/>
    <x v="2"/>
    <x v="4"/>
    <s v="Fitness"/>
    <s v="Adjustable Dumbbell 24kg"/>
    <n v="2"/>
    <n v="9959.75"/>
    <n v="0.05"/>
    <n v="18923.52"/>
    <n v="6653"/>
    <s v="UPI"/>
    <s v="2024-01"/>
    <s v="1-10%"/>
    <n v="0.35157306885822509"/>
    <s v="No"/>
  </r>
  <r>
    <s v="ORD-101266"/>
    <d v="2024-01-27T00:00:00"/>
    <s v="CUST-00007"/>
    <x v="2"/>
    <x v="0"/>
    <s v="Makeup"/>
    <s v="HD Foundation Kit"/>
    <n v="3"/>
    <n v="1530.88"/>
    <n v="0.05"/>
    <n v="4363.01"/>
    <n v="2188.4499999999998"/>
    <s v="UPI"/>
    <s v="2024-01"/>
    <s v="1-10%"/>
    <n v="0.5015917909883314"/>
    <s v="No"/>
  </r>
  <r>
    <s v="ORD-100438"/>
    <d v="2024-01-28T00:00:00"/>
    <s v="CUST-00085"/>
    <x v="0"/>
    <x v="0"/>
    <s v="Makeup"/>
    <s v="HD Foundation Kit"/>
    <n v="1"/>
    <n v="1449.39"/>
    <n v="0.05"/>
    <n v="1376.92"/>
    <n v="628.74"/>
    <s v="Debit Card"/>
    <s v="2024-01"/>
    <s v="1-10%"/>
    <n v="0.45662783603985707"/>
    <s v="No"/>
  </r>
  <r>
    <s v="ORD-100954"/>
    <d v="2024-01-28T00:00:00"/>
    <s v="CUST-00451"/>
    <x v="0"/>
    <x v="2"/>
    <s v="Furniture"/>
    <s v="Oakwood Study Desk"/>
    <n v="1"/>
    <n v="13637.26"/>
    <n v="0"/>
    <n v="13637.26"/>
    <n v="4208.9799999999996"/>
    <s v="Debit Card"/>
    <s v="2024-01"/>
    <s v="No discount"/>
    <n v="0.30863824551266161"/>
    <s v="No"/>
  </r>
  <r>
    <s v="ORD-101007"/>
    <d v="2024-01-29T00:00:00"/>
    <s v="CUST-00311"/>
    <x v="3"/>
    <x v="3"/>
    <s v="Men"/>
    <s v="Oxford Casual Shirt"/>
    <n v="4"/>
    <n v="1308.26"/>
    <n v="0.15"/>
    <n v="4448.08"/>
    <n v="984.67"/>
    <s v="UPI"/>
    <s v="2024-01"/>
    <s v="11-15%"/>
    <n v="0.22136966961025881"/>
    <s v="No"/>
  </r>
  <r>
    <s v="ORD-101633"/>
    <d v="2024-01-29T00:00:00"/>
    <s v="CUST-00540"/>
    <x v="3"/>
    <x v="4"/>
    <s v="Outdoor"/>
    <s v="TrailHike Backpack 60L"/>
    <n v="2"/>
    <n v="3632.6"/>
    <n v="0.05"/>
    <n v="6901.94"/>
    <n v="2225.77"/>
    <s v="UPI"/>
    <s v="2024-01"/>
    <s v="1-10%"/>
    <n v="0.32248469270958602"/>
    <s v="No"/>
  </r>
  <r>
    <s v="ORD-101915"/>
    <d v="2024-01-29T00:00:00"/>
    <s v="CUST-00550"/>
    <x v="2"/>
    <x v="4"/>
    <s v="Outdoor"/>
    <s v="AllWeather Tent 4P"/>
    <n v="1"/>
    <n v="12024.58"/>
    <n v="0.15"/>
    <n v="10220.89"/>
    <n v="2254.9299999999998"/>
    <s v="UPI"/>
    <s v="2024-01"/>
    <s v="11-15%"/>
    <n v="0.22061973076708583"/>
    <s v="No"/>
  </r>
  <r>
    <s v="ORD-100532"/>
    <d v="2024-01-30T00:00:00"/>
    <s v="CUST-00269"/>
    <x v="1"/>
    <x v="4"/>
    <s v="Fitness"/>
    <s v="Adjustable Dumbbell 24kg"/>
    <n v="3"/>
    <n v="10494.16"/>
    <n v="0.1"/>
    <n v="28334.23"/>
    <n v="7016.61"/>
    <s v="UPI"/>
    <s v="2024-01"/>
    <s v="1-10%"/>
    <n v="0.24763722183380313"/>
    <s v="No"/>
  </r>
  <r>
    <s v="ORD-101275"/>
    <d v="2024-01-30T00:00:00"/>
    <s v="CUST-00177"/>
    <x v="1"/>
    <x v="4"/>
    <s v="Fitness"/>
    <s v="Adjustable Dumbbell 24kg"/>
    <n v="1"/>
    <n v="9714.1"/>
    <n v="0.05"/>
    <n v="9228.4"/>
    <n v="2934"/>
    <s v="UPI"/>
    <s v="2024-01"/>
    <s v="1-10%"/>
    <n v="0.31793160244462748"/>
    <s v="No"/>
  </r>
  <r>
    <s v="ORD-101963"/>
    <d v="2024-01-30T00:00:00"/>
    <s v="CUST-00171"/>
    <x v="2"/>
    <x v="3"/>
    <s v="Women"/>
    <s v="Knit Winter Sweater"/>
    <n v="1"/>
    <n v="2248.4499999999998"/>
    <n v="0.15"/>
    <n v="1911.18"/>
    <n v="411.95"/>
    <s v="Credit Card"/>
    <s v="2024-01"/>
    <s v="11-15%"/>
    <n v="0.21554746282401446"/>
    <s v="No"/>
  </r>
  <r>
    <s v="ORD-100960"/>
    <d v="2024-01-31T00:00:00"/>
    <s v="CUST-00314"/>
    <x v="1"/>
    <x v="3"/>
    <s v="Women"/>
    <s v="Floral Summer Dress"/>
    <n v="1"/>
    <n v="1736.28"/>
    <n v="0.05"/>
    <n v="1649.47"/>
    <n v="638.76"/>
    <s v="UPI"/>
    <s v="2024-01"/>
    <s v="1-10%"/>
    <n v="0.38725166265527716"/>
    <s v="No"/>
  </r>
  <r>
    <s v="ORD-100092"/>
    <d v="2024-02-01T00:00:00"/>
    <s v="CUST-00544"/>
    <x v="2"/>
    <x v="2"/>
    <s v="Decor"/>
    <s v="LED Wall Lamp"/>
    <n v="1"/>
    <n v="1005.63"/>
    <n v="0.2"/>
    <n v="804.5"/>
    <n v="74.06"/>
    <s v="Credit Card"/>
    <s v="2024-02"/>
    <s v="16-20%"/>
    <n v="9.2057178371659415E-2"/>
    <s v="No"/>
  </r>
  <r>
    <s v="ORD-100132"/>
    <d v="2024-02-01T00:00:00"/>
    <s v="CUST-00559"/>
    <x v="1"/>
    <x v="1"/>
    <s v="Mobile"/>
    <s v="Galaxy Nova X5"/>
    <n v="1"/>
    <n v="25190.92"/>
    <n v="0.1"/>
    <n v="22671.83"/>
    <n v="1747.78"/>
    <s v="UPI"/>
    <s v="2024-02"/>
    <s v="1-10%"/>
    <n v="7.7090380441278888E-2"/>
    <s v="No"/>
  </r>
  <r>
    <s v="ORD-100246"/>
    <d v="2024-02-01T00:00:00"/>
    <s v="CUST-00169"/>
    <x v="1"/>
    <x v="3"/>
    <s v="Footwear"/>
    <s v="RunFlex Sneakers"/>
    <n v="1"/>
    <n v="2876.97"/>
    <n v="0.2"/>
    <n v="2301.58"/>
    <n v="454.61"/>
    <s v="Credit Card"/>
    <s v="2024-02"/>
    <s v="16-20%"/>
    <n v="0.19752083351436842"/>
    <s v="No"/>
  </r>
  <r>
    <s v="ORD-100413"/>
    <d v="2024-02-01T00:00:00"/>
    <s v="CUST-00385"/>
    <x v="2"/>
    <x v="0"/>
    <s v="Skincare"/>
    <s v="Vitamin C Serum"/>
    <n v="2"/>
    <n v="936.42"/>
    <n v="0.05"/>
    <n v="1779.2"/>
    <n v="918.36"/>
    <s v="UPI"/>
    <s v="2024-02"/>
    <s v="1-10%"/>
    <n v="0.51616456834532376"/>
    <s v="No"/>
  </r>
  <r>
    <s v="ORD-101084"/>
    <d v="2024-02-02T00:00:00"/>
    <s v="CUST-00360"/>
    <x v="0"/>
    <x v="4"/>
    <s v="Fitness"/>
    <s v="Adjustable Dumbbell 24kg"/>
    <n v="1"/>
    <n v="9802.81"/>
    <n v="0.05"/>
    <n v="9312.67"/>
    <n v="3092.18"/>
    <s v="Credit Card"/>
    <s v="2024-02"/>
    <s v="1-10%"/>
    <n v="0.3320401130932375"/>
    <s v="No"/>
  </r>
  <r>
    <s v="ORD-101514"/>
    <d v="2024-02-02T00:00:00"/>
    <s v="CUST-00143"/>
    <x v="0"/>
    <x v="2"/>
    <s v="Furniture"/>
    <s v="Oakwood Study Desk"/>
    <n v="2"/>
    <n v="12861.86"/>
    <n v="0.05"/>
    <n v="24437.53"/>
    <n v="5701.11"/>
    <s v="UPI"/>
    <s v="2024-02"/>
    <s v="1-10%"/>
    <n v="0.23329321744055148"/>
    <s v="No"/>
  </r>
  <r>
    <s v="ORD-101672"/>
    <d v="2024-02-02T00:00:00"/>
    <s v="CUST-00214"/>
    <x v="3"/>
    <x v="4"/>
    <s v="Fitness"/>
    <s v="Adjustable Dumbbell 24kg"/>
    <n v="1"/>
    <n v="10022.36"/>
    <n v="0.2"/>
    <n v="8017.89"/>
    <n v="1187.68"/>
    <s v="Net Banking"/>
    <s v="2024-02"/>
    <s v="16-20%"/>
    <n v="0.1481287470893215"/>
    <s v="No"/>
  </r>
  <r>
    <s v="ORD-101958"/>
    <d v="2024-02-02T00:00:00"/>
    <s v="CUST-00313"/>
    <x v="1"/>
    <x v="0"/>
    <s v="Skincare"/>
    <s v="HydraBoost Moisturizer"/>
    <n v="1"/>
    <n v="1226.43"/>
    <n v="0.2"/>
    <n v="981.14"/>
    <n v="352.96"/>
    <s v="Net Banking"/>
    <s v="2024-02"/>
    <s v="16-20%"/>
    <n v="0.35974478667672299"/>
    <s v="No"/>
  </r>
  <r>
    <s v="ORD-100242"/>
    <d v="2024-02-03T00:00:00"/>
    <s v="CUST-00326"/>
    <x v="2"/>
    <x v="0"/>
    <s v="Makeup"/>
    <s v="Matte Lipstick Set"/>
    <n v="2"/>
    <n v="986.85"/>
    <n v="0.15"/>
    <n v="1677.64"/>
    <n v="664.71"/>
    <s v="UPI"/>
    <s v="2024-02"/>
    <s v="11-15%"/>
    <n v="0.39621730526215398"/>
    <s v="No"/>
  </r>
  <r>
    <s v="ORD-100731"/>
    <d v="2024-02-03T00:00:00"/>
    <s v="CUST-00088"/>
    <x v="3"/>
    <x v="3"/>
    <s v="Footwear"/>
    <s v="RunFlex Sneakers"/>
    <n v="1"/>
    <n v="3075.93"/>
    <n v="0.1"/>
    <n v="2768.34"/>
    <n v="802.07"/>
    <s v="Credit Card"/>
    <s v="2024-02"/>
    <s v="1-10%"/>
    <n v="0.28972958523880737"/>
    <s v="No"/>
  </r>
  <r>
    <s v="ORD-101452"/>
    <d v="2024-02-03T00:00:00"/>
    <s v="CUST-00251"/>
    <x v="2"/>
    <x v="2"/>
    <s v="Furniture"/>
    <s v="ErgoComfort Chair"/>
    <n v="3"/>
    <n v="8861.82"/>
    <n v="0.05"/>
    <n v="25256.19"/>
    <n v="7267.47"/>
    <s v="Net Banking"/>
    <s v="2024-02"/>
    <s v="1-10%"/>
    <n v="0.28775005256137209"/>
    <s v="No"/>
  </r>
  <r>
    <s v="ORD-101646"/>
    <d v="2024-02-03T00:00:00"/>
    <s v="CUST-00556"/>
    <x v="2"/>
    <x v="0"/>
    <s v="Skincare"/>
    <s v="Vitamin C Serum"/>
    <n v="1"/>
    <n v="887.44"/>
    <n v="0"/>
    <n v="887.44"/>
    <n v="511.19"/>
    <s v="Debit Card"/>
    <s v="2024-02"/>
    <s v="No discount"/>
    <n v="0.57602767511042996"/>
    <s v="No"/>
  </r>
  <r>
    <s v="ORD-101144"/>
    <d v="2024-02-04T00:00:00"/>
    <s v="CUST-00401"/>
    <x v="3"/>
    <x v="3"/>
    <s v="Men"/>
    <s v="SlimFit Denim Jeans"/>
    <n v="1"/>
    <n v="1963.01"/>
    <n v="0.05"/>
    <n v="1864.86"/>
    <n v="637.11"/>
    <s v="UPI"/>
    <s v="2024-02"/>
    <s v="1-10%"/>
    <n v="0.34163958688587887"/>
    <s v="No"/>
  </r>
  <r>
    <s v="ORD-100676"/>
    <d v="2024-02-05T00:00:00"/>
    <s v="CUST-00128"/>
    <x v="2"/>
    <x v="1"/>
    <s v="Audio"/>
    <s v="BassBoom Speaker"/>
    <n v="3"/>
    <n v="8664.9699999999993"/>
    <n v="0"/>
    <n v="25994.91"/>
    <n v="4068.16"/>
    <s v="Credit Card"/>
    <s v="2024-02"/>
    <s v="No discount"/>
    <n v="0.1564983298653467"/>
    <s v="No"/>
  </r>
  <r>
    <s v="ORD-101910"/>
    <d v="2024-02-06T00:00:00"/>
    <s v="CUST-00070"/>
    <x v="1"/>
    <x v="2"/>
    <s v="Appliances"/>
    <s v="AirFryer Deluxe"/>
    <n v="1"/>
    <n v="8360.2800000000007"/>
    <n v="0"/>
    <n v="8360.2800000000007"/>
    <n v="2915.23"/>
    <s v="Debit Card"/>
    <s v="2024-02"/>
    <s v="No discount"/>
    <n v="0.34870004353921158"/>
    <s v="No"/>
  </r>
  <r>
    <s v="ORD-101531"/>
    <d v="2024-02-07T00:00:00"/>
    <s v="CUST-00501"/>
    <x v="0"/>
    <x v="1"/>
    <s v="Laptop"/>
    <s v="AirBook Slim"/>
    <n v="2"/>
    <n v="78678.759999999995"/>
    <n v="0.3"/>
    <n v="110150.26"/>
    <n v="-20290.05"/>
    <s v="Credit Card"/>
    <s v="2024-02"/>
    <s v="21%+"/>
    <n v="-0.18420337818539875"/>
    <s v="Yes"/>
  </r>
  <r>
    <s v="ORD-101537"/>
    <d v="2024-02-07T00:00:00"/>
    <s v="CUST-00546"/>
    <x v="1"/>
    <x v="2"/>
    <s v="Decor"/>
    <s v="LED Wall Lamp"/>
    <n v="1"/>
    <n v="954.31"/>
    <n v="0.25"/>
    <n v="715.73"/>
    <n v="35.43"/>
    <s v="UPI"/>
    <s v="2024-02"/>
    <s v="21%+"/>
    <n v="4.9501907143755325E-2"/>
    <s v="No"/>
  </r>
  <r>
    <s v="ORD-101088"/>
    <d v="2024-02-10T00:00:00"/>
    <s v="CUST-00340"/>
    <x v="2"/>
    <x v="4"/>
    <s v="Outdoor"/>
    <s v="AllWeather Tent 4P"/>
    <n v="3"/>
    <n v="12268.17"/>
    <n v="0.1"/>
    <n v="33124.06"/>
    <n v="8123.89"/>
    <s v="Credit Card"/>
    <s v="2024-02"/>
    <s v="1-10%"/>
    <n v="0.24525646916470992"/>
    <s v="No"/>
  </r>
  <r>
    <s v="ORD-101098"/>
    <d v="2024-02-10T00:00:00"/>
    <s v="CUST-00403"/>
    <x v="2"/>
    <x v="4"/>
    <s v="Fitness"/>
    <s v="ProYoga Mat"/>
    <n v="2"/>
    <n v="1334.48"/>
    <n v="0"/>
    <n v="2668.96"/>
    <n v="999.84"/>
    <s v="UPI"/>
    <s v="2024-02"/>
    <s v="No discount"/>
    <n v="0.37461782866734611"/>
    <s v="No"/>
  </r>
  <r>
    <s v="ORD-101581"/>
    <d v="2024-02-10T00:00:00"/>
    <s v="CUST-00121"/>
    <x v="2"/>
    <x v="3"/>
    <s v="Women"/>
    <s v="Floral Summer Dress"/>
    <n v="3"/>
    <n v="1885.29"/>
    <n v="0.15"/>
    <n v="4807.49"/>
    <n v="1104.7"/>
    <s v="Credit Card"/>
    <s v="2024-02"/>
    <s v="11-15%"/>
    <n v="0.22978726944829841"/>
    <s v="No"/>
  </r>
  <r>
    <s v="ORD-101726"/>
    <d v="2024-02-10T00:00:00"/>
    <s v="CUST-00381"/>
    <x v="1"/>
    <x v="3"/>
    <s v="Men"/>
    <s v="SlimFit Denim Jeans"/>
    <n v="3"/>
    <n v="1940.83"/>
    <n v="0"/>
    <n v="5822.49"/>
    <n v="2390.77"/>
    <s v="Debit Card"/>
    <s v="2024-02"/>
    <s v="No discount"/>
    <n v="0.41060955020961826"/>
    <s v="No"/>
  </r>
  <r>
    <s v="ORD-100538"/>
    <d v="2024-02-11T00:00:00"/>
    <s v="CUST-00575"/>
    <x v="0"/>
    <x v="1"/>
    <s v="Mobile"/>
    <s v="Galaxy Nova X5"/>
    <n v="1"/>
    <n v="25513.89"/>
    <n v="0"/>
    <n v="25513.89"/>
    <n v="4462.75"/>
    <s v="Net Banking"/>
    <s v="2024-02"/>
    <s v="No discount"/>
    <n v="0.17491452694983009"/>
    <s v="No"/>
  </r>
  <r>
    <s v="ORD-101283"/>
    <d v="2024-02-11T00:00:00"/>
    <s v="CUST-00285"/>
    <x v="0"/>
    <x v="2"/>
    <s v="Appliances"/>
    <s v="ColdBrew Coffee Maker"/>
    <n v="1"/>
    <n v="6430.34"/>
    <n v="0.1"/>
    <n v="5787.31"/>
    <n v="1040.97"/>
    <s v="Debit Card"/>
    <s v="2024-02"/>
    <s v="1-10%"/>
    <n v="0.17987113183845344"/>
    <s v="No"/>
  </r>
  <r>
    <s v="ORD-100560"/>
    <d v="2024-02-12T00:00:00"/>
    <s v="CUST-00172"/>
    <x v="1"/>
    <x v="1"/>
    <s v="Laptop"/>
    <s v="AirBook Slim"/>
    <n v="5"/>
    <n v="82748.759999999995"/>
    <n v="0.15"/>
    <n v="351682.23"/>
    <n v="10561.79"/>
    <s v="Net Banking"/>
    <s v="2024-02"/>
    <s v="11-15%"/>
    <n v="3.0032196963719213E-2"/>
    <s v="No"/>
  </r>
  <r>
    <s v="ORD-100585"/>
    <d v="2024-02-12T00:00:00"/>
    <s v="CUST-00476"/>
    <x v="0"/>
    <x v="3"/>
    <s v="Men"/>
    <s v="Oxford Casual Shirt"/>
    <n v="1"/>
    <n v="1265.9000000000001"/>
    <n v="0"/>
    <n v="1265.9000000000001"/>
    <n v="577.51"/>
    <s v="Credit Card"/>
    <s v="2024-02"/>
    <s v="No discount"/>
    <n v="0.45620507149063905"/>
    <s v="No"/>
  </r>
  <r>
    <s v="ORD-100655"/>
    <d v="2024-02-12T00:00:00"/>
    <s v="CUST-00535"/>
    <x v="1"/>
    <x v="1"/>
    <s v="Audio"/>
    <s v="SoundPods Pro"/>
    <n v="1"/>
    <n v="4799.4399999999996"/>
    <n v="0.1"/>
    <n v="4319.5"/>
    <n v="129.09"/>
    <s v="UPI"/>
    <s v="2024-02"/>
    <s v="1-10%"/>
    <n v="2.9885403403171664E-2"/>
    <s v="No"/>
  </r>
  <r>
    <s v="ORD-101287"/>
    <d v="2024-02-12T00:00:00"/>
    <s v="CUST-00033"/>
    <x v="2"/>
    <x v="1"/>
    <s v="Mobile"/>
    <s v="iPhone Zeta"/>
    <n v="3"/>
    <n v="67310.58"/>
    <n v="0.1"/>
    <n v="181738.57"/>
    <n v="10105.86"/>
    <s v="Net Banking"/>
    <s v="2024-02"/>
    <s v="1-10%"/>
    <n v="5.5606578174352314E-2"/>
    <s v="No"/>
  </r>
  <r>
    <s v="ORD-101326"/>
    <d v="2024-02-12T00:00:00"/>
    <s v="CUST-00003"/>
    <x v="3"/>
    <x v="3"/>
    <s v="Footwear"/>
    <s v="UrbanLoafers"/>
    <n v="1"/>
    <n v="3469.75"/>
    <n v="0.15"/>
    <n v="2949.29"/>
    <n v="811.38"/>
    <s v="Debit Card"/>
    <s v="2024-02"/>
    <s v="11-15%"/>
    <n v="0.27511028077944183"/>
    <s v="No"/>
  </r>
  <r>
    <s v="ORD-101736"/>
    <d v="2024-02-12T00:00:00"/>
    <s v="CUST-00245"/>
    <x v="0"/>
    <x v="4"/>
    <s v="Outdoor"/>
    <s v="TrailHike Backpack 60L"/>
    <n v="1"/>
    <n v="3464.46"/>
    <n v="0.05"/>
    <n v="3291.24"/>
    <n v="1016.83"/>
    <s v="UPI"/>
    <s v="2024-02"/>
    <s v="1-10%"/>
    <n v="0.3089504259792662"/>
    <s v="No"/>
  </r>
  <r>
    <s v="ORD-101739"/>
    <d v="2024-02-12T00:00:00"/>
    <s v="CUST-00547"/>
    <x v="0"/>
    <x v="4"/>
    <s v="Outdoor"/>
    <s v="AllWeather Tent 4P"/>
    <n v="2"/>
    <n v="12427.93"/>
    <n v="0.05"/>
    <n v="23613.07"/>
    <n v="7755.91"/>
    <s v="Cash on Delivery"/>
    <s v="2024-02"/>
    <s v="1-10%"/>
    <n v="0.32845834954963499"/>
    <s v="No"/>
  </r>
  <r>
    <s v="ORD-100497"/>
    <d v="2024-02-14T00:00:00"/>
    <s v="CUST-00011"/>
    <x v="3"/>
    <x v="1"/>
    <s v="Mobile"/>
    <s v="Pixel Aura 12"/>
    <n v="2"/>
    <n v="31704.84"/>
    <n v="0"/>
    <n v="63409.68"/>
    <n v="12900.35"/>
    <s v="UPI"/>
    <s v="2024-02"/>
    <s v="No discount"/>
    <n v="0.20344448986337732"/>
    <s v="No"/>
  </r>
  <r>
    <s v="ORD-101089"/>
    <d v="2024-02-14T00:00:00"/>
    <s v="CUST-00229"/>
    <x v="3"/>
    <x v="4"/>
    <s v="Fitness"/>
    <s v="ProYoga Mat"/>
    <n v="5"/>
    <n v="1296.68"/>
    <n v="0"/>
    <n v="6483.4"/>
    <n v="2333.5300000000002"/>
    <s v="Debit Card"/>
    <s v="2024-02"/>
    <s v="No discount"/>
    <n v="0.35992380541074132"/>
    <s v="No"/>
  </r>
  <r>
    <s v="ORD-101460"/>
    <d v="2024-02-14T00:00:00"/>
    <s v="CUST-00309"/>
    <x v="2"/>
    <x v="1"/>
    <s v="Mobile"/>
    <s v="Galaxy Nova X5"/>
    <n v="1"/>
    <n v="25984.5"/>
    <n v="0"/>
    <n v="25984.5"/>
    <n v="4824.82"/>
    <s v="Credit Card"/>
    <s v="2024-02"/>
    <s v="No discount"/>
    <n v="0.18568069426003964"/>
    <s v="No"/>
  </r>
  <r>
    <s v="ORD-100023"/>
    <d v="2024-02-15T00:00:00"/>
    <s v="CUST-00134"/>
    <x v="1"/>
    <x v="2"/>
    <s v="Furniture"/>
    <s v="ErgoComfort Chair"/>
    <n v="1"/>
    <n v="9366.2999999999993"/>
    <n v="0"/>
    <n v="9366.2999999999993"/>
    <n v="2754.29"/>
    <s v="Debit Card"/>
    <s v="2024-02"/>
    <s v="No discount"/>
    <n v="0.29406382456252739"/>
    <s v="No"/>
  </r>
  <r>
    <s v="ORD-100678"/>
    <d v="2024-02-15T00:00:00"/>
    <s v="CUST-00193"/>
    <x v="3"/>
    <x v="3"/>
    <s v="Footwear"/>
    <s v="UrbanLoafers"/>
    <n v="2"/>
    <n v="3669.06"/>
    <n v="0.1"/>
    <n v="6604.31"/>
    <n v="1936.18"/>
    <s v="UPI"/>
    <s v="2024-02"/>
    <s v="1-10%"/>
    <n v="0.29316915771670315"/>
    <s v="No"/>
  </r>
  <r>
    <s v="ORD-101585"/>
    <d v="2024-02-15T00:00:00"/>
    <s v="CUST-00555"/>
    <x v="1"/>
    <x v="4"/>
    <s v="Fitness"/>
    <s v="ProYoga Mat"/>
    <n v="1"/>
    <n v="1355.35"/>
    <n v="0.05"/>
    <n v="1287.58"/>
    <n v="440.19"/>
    <s v="Credit Card"/>
    <s v="2024-02"/>
    <s v="1-10%"/>
    <n v="0.34187390298078568"/>
    <s v="No"/>
  </r>
  <r>
    <s v="ORD-100534"/>
    <d v="2024-02-16T00:00:00"/>
    <s v="CUST-00517"/>
    <x v="1"/>
    <x v="1"/>
    <s v="Mobile"/>
    <s v="Pixel Aura 12"/>
    <n v="4"/>
    <n v="32518.21"/>
    <n v="0.05"/>
    <n v="123569.2"/>
    <n v="16188.8"/>
    <s v="Debit Card"/>
    <s v="2024-02"/>
    <s v="1-10%"/>
    <n v="0.13100999278137271"/>
    <s v="No"/>
  </r>
  <r>
    <s v="ORD-100961"/>
    <d v="2024-02-17T00:00:00"/>
    <s v="CUST-00538"/>
    <x v="3"/>
    <x v="4"/>
    <s v="Outdoor"/>
    <s v="AllWeather Tent 4P"/>
    <n v="2"/>
    <n v="11430.04"/>
    <n v="0"/>
    <n v="22860.080000000002"/>
    <n v="7824.54"/>
    <s v="Debit Card"/>
    <s v="2024-02"/>
    <s v="No discount"/>
    <n v="0.34227964206599448"/>
    <s v="No"/>
  </r>
  <r>
    <s v="ORD-101216"/>
    <d v="2024-02-17T00:00:00"/>
    <s v="CUST-00099"/>
    <x v="3"/>
    <x v="4"/>
    <s v="Fitness"/>
    <s v="Adjustable Dumbbell 24kg"/>
    <n v="2"/>
    <n v="9836.51"/>
    <n v="0.15"/>
    <n v="16722.07"/>
    <n v="3459.63"/>
    <s v="Credit Card"/>
    <s v="2024-02"/>
    <s v="11-15%"/>
    <n v="0.20689005607559352"/>
    <s v="No"/>
  </r>
  <r>
    <s v="ORD-101474"/>
    <d v="2024-02-17T00:00:00"/>
    <s v="CUST-00304"/>
    <x v="0"/>
    <x v="3"/>
    <s v="Footwear"/>
    <s v="UrbanLoafers"/>
    <n v="3"/>
    <n v="3334.21"/>
    <n v="0"/>
    <n v="10002.629999999999"/>
    <n v="4017.74"/>
    <s v="Debit Card"/>
    <s v="2024-02"/>
    <s v="No discount"/>
    <n v="0.40166836122099892"/>
    <s v="No"/>
  </r>
  <r>
    <s v="ORD-101992"/>
    <d v="2024-02-17T00:00:00"/>
    <s v="CUST-00144"/>
    <x v="3"/>
    <x v="2"/>
    <s v="Decor"/>
    <s v="LED Wall Lamp"/>
    <n v="1"/>
    <n v="1003.44"/>
    <n v="0"/>
    <n v="1003.44"/>
    <n v="359.4"/>
    <s v="UPI"/>
    <s v="2024-02"/>
    <s v="No discount"/>
    <n v="0.35816790241568996"/>
    <s v="No"/>
  </r>
  <r>
    <s v="ORD-101221"/>
    <d v="2024-02-18T00:00:00"/>
    <s v="CUST-00579"/>
    <x v="2"/>
    <x v="0"/>
    <s v="Skincare"/>
    <s v="HydraBoost Moisturizer"/>
    <n v="1"/>
    <n v="1183.93"/>
    <n v="0"/>
    <n v="1183.93"/>
    <n v="672.36"/>
    <s v="Credit Card"/>
    <s v="2024-02"/>
    <s v="No discount"/>
    <n v="0.56790519709780141"/>
    <s v="No"/>
  </r>
  <r>
    <s v="ORD-101379"/>
    <d v="2024-02-18T00:00:00"/>
    <s v="CUST-00055"/>
    <x v="2"/>
    <x v="3"/>
    <s v="Women"/>
    <s v="Floral Summer Dress"/>
    <n v="1"/>
    <n v="1872.35"/>
    <n v="0.4"/>
    <n v="1123.4100000000001"/>
    <n v="-2.78"/>
    <s v="Net Banking"/>
    <s v="2024-02"/>
    <s v="21%+"/>
    <n v="-2.4746085578729047E-3"/>
    <s v="Yes"/>
  </r>
  <r>
    <s v="ORD-101517"/>
    <d v="2024-02-18T00:00:00"/>
    <s v="CUST-00048"/>
    <x v="1"/>
    <x v="0"/>
    <s v="Makeup"/>
    <s v="HD Foundation Kit"/>
    <n v="5"/>
    <n v="1446.44"/>
    <n v="0"/>
    <n v="7232.2"/>
    <n v="4243.93"/>
    <s v="Net Banking"/>
    <s v="2024-02"/>
    <s v="No discount"/>
    <n v="0.58681037581925288"/>
    <s v="No"/>
  </r>
  <r>
    <s v="ORD-101981"/>
    <d v="2024-02-18T00:00:00"/>
    <s v="CUST-00049"/>
    <x v="1"/>
    <x v="0"/>
    <s v="Skincare"/>
    <s v="Vitamin C Serum"/>
    <n v="2"/>
    <n v="885.18"/>
    <n v="0.05"/>
    <n v="1681.84"/>
    <n v="768.47"/>
    <s v="Credit Card"/>
    <s v="2024-02"/>
    <s v="1-10%"/>
    <n v="0.45692218046901018"/>
    <s v="No"/>
  </r>
  <r>
    <s v="ORD-100207"/>
    <d v="2024-02-19T00:00:00"/>
    <s v="CUST-00471"/>
    <x v="0"/>
    <x v="3"/>
    <s v="Women"/>
    <s v="Knit Winter Sweater"/>
    <n v="1"/>
    <n v="2209.4"/>
    <n v="0"/>
    <n v="2209.4"/>
    <n v="862.65"/>
    <s v="Debit Card"/>
    <s v="2024-02"/>
    <s v="No discount"/>
    <n v="0.39044536978365163"/>
    <s v="No"/>
  </r>
  <r>
    <s v="ORD-100261"/>
    <d v="2024-02-20T00:00:00"/>
    <s v="CUST-00586"/>
    <x v="2"/>
    <x v="3"/>
    <s v="Women"/>
    <s v="Knit Winter Sweater"/>
    <n v="1"/>
    <n v="2145.9299999999998"/>
    <n v="0.2"/>
    <n v="1716.74"/>
    <n v="371.62"/>
    <s v="UPI"/>
    <s v="2024-02"/>
    <s v="16-20%"/>
    <n v="0.21646842270815617"/>
    <s v="No"/>
  </r>
  <r>
    <s v="ORD-100398"/>
    <d v="2024-02-20T00:00:00"/>
    <s v="CUST-00451"/>
    <x v="3"/>
    <x v="0"/>
    <s v="Skincare"/>
    <s v="Vitamin C Serum"/>
    <n v="1"/>
    <n v="857.86"/>
    <n v="0.2"/>
    <n v="686.29"/>
    <n v="246.84"/>
    <s v="UPI"/>
    <s v="2024-02"/>
    <s v="16-20%"/>
    <n v="0.3596730245231608"/>
    <s v="No"/>
  </r>
  <r>
    <s v="ORD-101367"/>
    <d v="2024-02-20T00:00:00"/>
    <s v="CUST-00409"/>
    <x v="3"/>
    <x v="2"/>
    <s v="Decor"/>
    <s v="Ceramic Vase Set"/>
    <n v="1"/>
    <n v="1442.99"/>
    <n v="0.1"/>
    <n v="1298.69"/>
    <n v="317.62"/>
    <s v="UPI"/>
    <s v="2024-02"/>
    <s v="1-10%"/>
    <n v="0.24456952775489146"/>
    <s v="No"/>
  </r>
  <r>
    <s v="ORD-100420"/>
    <d v="2024-02-21T00:00:00"/>
    <s v="CUST-00056"/>
    <x v="2"/>
    <x v="0"/>
    <s v="Skincare"/>
    <s v="Vitamin C Serum"/>
    <n v="1"/>
    <n v="884.5"/>
    <n v="0.1"/>
    <n v="796.05"/>
    <n v="342.69"/>
    <s v="Credit Card"/>
    <s v="2024-02"/>
    <s v="1-10%"/>
    <n v="0.43048803467118901"/>
    <s v="No"/>
  </r>
  <r>
    <s v="ORD-101305"/>
    <d v="2024-02-21T00:00:00"/>
    <s v="CUST-00498"/>
    <x v="1"/>
    <x v="2"/>
    <s v="Decor"/>
    <s v="LED Wall Lamp"/>
    <n v="1"/>
    <n v="982.05"/>
    <n v="0.05"/>
    <n v="932.95"/>
    <n v="260.89"/>
    <s v="Debit Card"/>
    <s v="2024-02"/>
    <s v="1-10%"/>
    <n v="0.27963985208210512"/>
    <s v="No"/>
  </r>
  <r>
    <s v="ORD-101317"/>
    <d v="2024-02-21T00:00:00"/>
    <s v="CUST-00364"/>
    <x v="0"/>
    <x v="0"/>
    <s v="Skincare"/>
    <s v="HydraBoost Moisturizer"/>
    <n v="2"/>
    <n v="1252.1500000000001"/>
    <n v="0.05"/>
    <n v="2379.09"/>
    <n v="1204.1099999999999"/>
    <s v="Credit Card"/>
    <s v="2024-02"/>
    <s v="1-10%"/>
    <n v="0.5061220886977793"/>
    <s v="No"/>
  </r>
  <r>
    <s v="ORD-101580"/>
    <d v="2024-02-21T00:00:00"/>
    <s v="CUST-00542"/>
    <x v="2"/>
    <x v="1"/>
    <s v="Audio"/>
    <s v="SoundPods Pro"/>
    <n v="2"/>
    <n v="5058.84"/>
    <n v="0.05"/>
    <n v="9611.7999999999993"/>
    <n v="1229.1600000000001"/>
    <s v="UPI"/>
    <s v="2024-02"/>
    <s v="1-10%"/>
    <n v="0.12788031378097756"/>
    <s v="No"/>
  </r>
  <r>
    <s v="ORD-101586"/>
    <d v="2024-02-21T00:00:00"/>
    <s v="CUST-00528"/>
    <x v="2"/>
    <x v="2"/>
    <s v="Decor"/>
    <s v="Ceramic Vase Set"/>
    <n v="4"/>
    <n v="1506.14"/>
    <n v="0.2"/>
    <n v="4819.6499999999996"/>
    <n v="474.26"/>
    <s v="UPI"/>
    <s v="2024-02"/>
    <s v="16-20%"/>
    <n v="9.8401336196611788E-2"/>
    <s v="No"/>
  </r>
  <r>
    <s v="ORD-100093"/>
    <d v="2024-02-23T00:00:00"/>
    <s v="CUST-00051"/>
    <x v="0"/>
    <x v="3"/>
    <s v="Women"/>
    <s v="Knit Winter Sweater"/>
    <n v="1"/>
    <n v="2157.58"/>
    <n v="0"/>
    <n v="2157.58"/>
    <n v="875.87"/>
    <s v="Credit Card"/>
    <s v="2024-02"/>
    <s v="No discount"/>
    <n v="0.40595018492941165"/>
    <s v="No"/>
  </r>
  <r>
    <s v="ORD-100771"/>
    <d v="2024-02-23T00:00:00"/>
    <s v="CUST-00045"/>
    <x v="2"/>
    <x v="1"/>
    <s v="Mobile"/>
    <s v="Galaxy Nova X5"/>
    <n v="5"/>
    <n v="25559.61"/>
    <n v="0.2"/>
    <n v="102238.44"/>
    <n v="-7350.2"/>
    <s v="Debit Card"/>
    <s v="2024-02"/>
    <s v="16-20%"/>
    <n v="-7.1892724497752511E-2"/>
    <s v="Yes"/>
  </r>
  <r>
    <s v="ORD-101519"/>
    <d v="2024-02-23T00:00:00"/>
    <s v="CUST-00492"/>
    <x v="2"/>
    <x v="0"/>
    <s v="Makeup"/>
    <s v="Matte Lipstick Set"/>
    <n v="3"/>
    <n v="1015.48"/>
    <n v="0.3"/>
    <n v="2132.5100000000002"/>
    <n v="504.93"/>
    <s v="Credit Card"/>
    <s v="2024-02"/>
    <s v="21%+"/>
    <n v="0.23677731874645369"/>
    <s v="No"/>
  </r>
  <r>
    <s v="ORD-101695"/>
    <d v="2024-02-23T00:00:00"/>
    <s v="CUST-00259"/>
    <x v="1"/>
    <x v="4"/>
    <s v="Outdoor"/>
    <s v="AllWeather Tent 4P"/>
    <n v="2"/>
    <n v="11811.5"/>
    <n v="0.1"/>
    <n v="21260.7"/>
    <n v="5881.05"/>
    <s v="Debit Card"/>
    <s v="2024-02"/>
    <s v="1-10%"/>
    <n v="0.2766160098209372"/>
    <s v="No"/>
  </r>
  <r>
    <s v="ORD-101814"/>
    <d v="2024-02-23T00:00:00"/>
    <s v="CUST-00393"/>
    <x v="0"/>
    <x v="1"/>
    <s v="Laptop"/>
    <s v="AirBook Slim"/>
    <n v="3"/>
    <n v="78479.83"/>
    <n v="0.25"/>
    <n v="176579.62"/>
    <n v="-21706.3"/>
    <s v="UPI"/>
    <s v="2024-02"/>
    <s v="21%+"/>
    <n v="-0.12292641698968432"/>
    <s v="Yes"/>
  </r>
  <r>
    <s v="ORD-101923"/>
    <d v="2024-02-23T00:00:00"/>
    <s v="CUST-00496"/>
    <x v="1"/>
    <x v="3"/>
    <s v="Men"/>
    <s v="SlimFit Denim Jeans"/>
    <n v="3"/>
    <n v="1954.75"/>
    <n v="0.15"/>
    <n v="4984.6099999999997"/>
    <n v="1111.45"/>
    <s v="Credit Card"/>
    <s v="2024-02"/>
    <s v="11-15%"/>
    <n v="0.22297632111639629"/>
    <s v="No"/>
  </r>
  <r>
    <s v="ORD-100993"/>
    <d v="2024-02-24T00:00:00"/>
    <s v="CUST-00449"/>
    <x v="0"/>
    <x v="2"/>
    <s v="Furniture"/>
    <s v="Oakwood Study Desk"/>
    <n v="2"/>
    <n v="13187.44"/>
    <n v="0.15"/>
    <n v="22418.65"/>
    <n v="3627.92"/>
    <s v="Credit Card"/>
    <s v="2024-02"/>
    <s v="11-15%"/>
    <n v="0.16182597970885845"/>
    <s v="No"/>
  </r>
  <r>
    <s v="ORD-100284"/>
    <d v="2024-02-25T00:00:00"/>
    <s v="CUST-00161"/>
    <x v="3"/>
    <x v="4"/>
    <s v="Fitness"/>
    <s v="Adjustable Dumbbell 24kg"/>
    <n v="1"/>
    <n v="9883.89"/>
    <n v="0.1"/>
    <n v="8895.5"/>
    <n v="2598.58"/>
    <s v="Cash on Delivery"/>
    <s v="2024-02"/>
    <s v="1-10%"/>
    <n v="0.2921229835309988"/>
    <s v="No"/>
  </r>
  <r>
    <s v="ORD-101281"/>
    <d v="2024-02-25T00:00:00"/>
    <s v="CUST-00178"/>
    <x v="1"/>
    <x v="0"/>
    <s v="Skincare"/>
    <s v="Vitamin C Serum"/>
    <n v="1"/>
    <n v="921.72"/>
    <n v="0.15"/>
    <n v="783.46"/>
    <n v="270.58999999999997"/>
    <s v="UPI"/>
    <s v="2024-02"/>
    <s v="11-15%"/>
    <n v="0.34537819416434784"/>
    <s v="No"/>
  </r>
  <r>
    <s v="ORD-100817"/>
    <d v="2024-02-26T00:00:00"/>
    <s v="CUST-00201"/>
    <x v="0"/>
    <x v="1"/>
    <s v="Laptop"/>
    <s v="ThinkPro 14"/>
    <n v="2"/>
    <n v="53917.82"/>
    <n v="0.05"/>
    <n v="102443.86"/>
    <n v="15416.44"/>
    <s v="UPI"/>
    <s v="2024-02"/>
    <s v="1-10%"/>
    <n v="0.15048671535805075"/>
    <s v="No"/>
  </r>
  <r>
    <s v="ORD-101006"/>
    <d v="2024-02-26T00:00:00"/>
    <s v="CUST-00043"/>
    <x v="1"/>
    <x v="4"/>
    <s v="Fitness"/>
    <s v="Adjustable Dumbbell 24kg"/>
    <n v="2"/>
    <n v="9804.92"/>
    <n v="0.1"/>
    <n v="17648.86"/>
    <n v="5372.01"/>
    <s v="Debit Card"/>
    <s v="2024-02"/>
    <s v="1-10%"/>
    <n v="0.30438283265887994"/>
    <s v="No"/>
  </r>
  <r>
    <s v="ORD-101668"/>
    <d v="2024-02-26T00:00:00"/>
    <s v="CUST-00447"/>
    <x v="3"/>
    <x v="1"/>
    <s v="Laptop"/>
    <s v="ThinkPro 14"/>
    <n v="4"/>
    <n v="54921.2"/>
    <n v="0"/>
    <n v="219684.8"/>
    <n v="31410.92"/>
    <s v="UPI"/>
    <s v="2024-02"/>
    <s v="No discount"/>
    <n v="0.14298176296220766"/>
    <s v="No"/>
  </r>
  <r>
    <s v="ORD-100162"/>
    <d v="2024-02-27T00:00:00"/>
    <s v="CUST-00297"/>
    <x v="2"/>
    <x v="1"/>
    <s v="Audio"/>
    <s v="SoundPods Pro"/>
    <n v="1"/>
    <n v="5185.07"/>
    <n v="0.1"/>
    <n v="4666.5600000000004"/>
    <n v="208.03"/>
    <s v="Credit Card"/>
    <s v="2024-02"/>
    <s v="1-10%"/>
    <n v="4.4578876088596307E-2"/>
    <s v="No"/>
  </r>
  <r>
    <s v="ORD-100258"/>
    <d v="2024-02-27T00:00:00"/>
    <s v="CUST-00163"/>
    <x v="3"/>
    <x v="0"/>
    <s v="Skincare"/>
    <s v="Vitamin C Serum"/>
    <n v="1"/>
    <n v="890.65"/>
    <n v="0.25"/>
    <n v="667.99"/>
    <n v="174.52"/>
    <s v="UPI"/>
    <s v="2024-02"/>
    <s v="21%+"/>
    <n v="0.2612613961286846"/>
    <s v="No"/>
  </r>
  <r>
    <s v="ORD-100716"/>
    <d v="2024-02-27T00:00:00"/>
    <s v="CUST-00274"/>
    <x v="3"/>
    <x v="1"/>
    <s v="Mobile"/>
    <s v="Galaxy Nova X5"/>
    <n v="1"/>
    <n v="24859.82"/>
    <n v="0.1"/>
    <n v="22373.84"/>
    <n v="851.36"/>
    <s v="UPI"/>
    <s v="2024-02"/>
    <s v="1-10%"/>
    <n v="3.8051581668591537E-2"/>
    <s v="No"/>
  </r>
  <r>
    <s v="ORD-101473"/>
    <d v="2024-02-27T00:00:00"/>
    <s v="CUST-00178"/>
    <x v="2"/>
    <x v="3"/>
    <s v="Women"/>
    <s v="Knit Winter Sweater"/>
    <n v="2"/>
    <n v="2286.66"/>
    <n v="0.05"/>
    <n v="4344.6499999999996"/>
    <n v="1420.84"/>
    <s v="UPI"/>
    <s v="2024-02"/>
    <s v="1-10%"/>
    <n v="0.32703209694681967"/>
    <s v="No"/>
  </r>
  <r>
    <s v="ORD-100018"/>
    <d v="2024-02-28T00:00:00"/>
    <s v="CUST-00489"/>
    <x v="3"/>
    <x v="2"/>
    <s v="Decor"/>
    <s v="LED Wall Lamp"/>
    <n v="1"/>
    <n v="1045.82"/>
    <n v="0"/>
    <n v="1045.82"/>
    <n v="351.75"/>
    <s v="Debit Card"/>
    <s v="2024-02"/>
    <s v="No discount"/>
    <n v="0.33633894934118685"/>
    <s v="No"/>
  </r>
  <r>
    <s v="ORD-100623"/>
    <d v="2024-02-28T00:00:00"/>
    <s v="CUST-00012"/>
    <x v="1"/>
    <x v="1"/>
    <s v="Mobile"/>
    <s v="Galaxy Nova X5"/>
    <n v="1"/>
    <n v="24458.57"/>
    <n v="0.3"/>
    <n v="17121"/>
    <n v="-3190.62"/>
    <s v="UPI"/>
    <s v="2024-02"/>
    <s v="21%+"/>
    <n v="-0.1863571053092693"/>
    <s v="Yes"/>
  </r>
  <r>
    <s v="ORD-100814"/>
    <d v="2024-02-28T00:00:00"/>
    <s v="CUST-00114"/>
    <x v="3"/>
    <x v="1"/>
    <s v="Mobile"/>
    <s v="Pixel Aura 12"/>
    <n v="1"/>
    <n v="34164.51"/>
    <n v="0.1"/>
    <n v="30748.06"/>
    <n v="3060.81"/>
    <s v="UPI"/>
    <s v="2024-02"/>
    <s v="1-10%"/>
    <n v="9.9544816811206943E-2"/>
    <s v="No"/>
  </r>
  <r>
    <s v="ORD-101136"/>
    <d v="2024-02-28T00:00:00"/>
    <s v="CUST-00443"/>
    <x v="2"/>
    <x v="1"/>
    <s v="Audio"/>
    <s v="BassBoom Speaker"/>
    <n v="1"/>
    <n v="9058.91"/>
    <n v="0.05"/>
    <n v="8605.9599999999991"/>
    <n v="915.9"/>
    <s v="Credit Card"/>
    <s v="2024-02"/>
    <s v="1-10%"/>
    <n v="0.10642624413778359"/>
    <s v="No"/>
  </r>
  <r>
    <s v="ORD-100259"/>
    <d v="2024-02-29T00:00:00"/>
    <s v="CUST-00468"/>
    <x v="2"/>
    <x v="1"/>
    <s v="Laptop"/>
    <s v="AirBook Slim"/>
    <n v="1"/>
    <n v="81995.69"/>
    <n v="0.2"/>
    <n v="65596.55"/>
    <n v="-5751.78"/>
    <s v="Debit Card"/>
    <s v="2024-02"/>
    <s v="16-20%"/>
    <n v="-8.7684184610318669E-2"/>
    <s v="Yes"/>
  </r>
  <r>
    <s v="ORD-101875"/>
    <d v="2024-02-29T00:00:00"/>
    <s v="CUST-00226"/>
    <x v="3"/>
    <x v="1"/>
    <s v="Laptop"/>
    <s v="AirBook Slim"/>
    <n v="1"/>
    <n v="82367.86"/>
    <n v="0.05"/>
    <n v="78249.47"/>
    <n v="9073.84"/>
    <s v="UPI"/>
    <s v="2024-02"/>
    <s v="1-10%"/>
    <n v="0.11596040203211599"/>
    <s v="No"/>
  </r>
  <r>
    <s v="ORD-101389"/>
    <d v="2024-03-01T00:00:00"/>
    <s v="CUST-00397"/>
    <x v="0"/>
    <x v="2"/>
    <s v="Appliances"/>
    <s v="ColdBrew Coffee Maker"/>
    <n v="1"/>
    <n v="6219.97"/>
    <n v="0.05"/>
    <n v="5908.97"/>
    <n v="1401.88"/>
    <s v="Credit Card"/>
    <s v="2024-03"/>
    <s v="1-10%"/>
    <n v="0.23724608518912774"/>
    <s v="No"/>
  </r>
  <r>
    <s v="ORD-101969"/>
    <d v="2024-03-01T00:00:00"/>
    <s v="CUST-00240"/>
    <x v="3"/>
    <x v="3"/>
    <s v="Women"/>
    <s v="Floral Summer Dress"/>
    <n v="1"/>
    <n v="1801.01"/>
    <n v="0.1"/>
    <n v="1620.91"/>
    <n v="531.14"/>
    <s v="UPI"/>
    <s v="2024-03"/>
    <s v="1-10%"/>
    <n v="0.32768013029717874"/>
    <s v="No"/>
  </r>
  <r>
    <s v="ORD-101049"/>
    <d v="2024-03-02T00:00:00"/>
    <s v="CUST-00109"/>
    <x v="0"/>
    <x v="2"/>
    <s v="Appliances"/>
    <s v="ColdBrew Coffee Maker"/>
    <n v="1"/>
    <n v="6644.4"/>
    <n v="0.05"/>
    <n v="6312.18"/>
    <n v="1686.16"/>
    <s v="UPI"/>
    <s v="2024-03"/>
    <s v="1-10%"/>
    <n v="0.26712799698360945"/>
    <s v="No"/>
  </r>
  <r>
    <s v="ORD-100798"/>
    <d v="2024-03-03T00:00:00"/>
    <s v="CUST-00599"/>
    <x v="2"/>
    <x v="4"/>
    <s v="Fitness"/>
    <s v="ProYoga Mat"/>
    <n v="1"/>
    <n v="1318.47"/>
    <n v="0.2"/>
    <n v="1054.78"/>
    <n v="144.16999999999999"/>
    <s v="UPI"/>
    <s v="2024-03"/>
    <s v="16-20%"/>
    <n v="0.13668253095432223"/>
    <s v="No"/>
  </r>
  <r>
    <s v="ORD-101041"/>
    <d v="2024-03-03T00:00:00"/>
    <s v="CUST-00520"/>
    <x v="1"/>
    <x v="3"/>
    <s v="Women"/>
    <s v="Floral Summer Dress"/>
    <n v="2"/>
    <n v="1836.11"/>
    <n v="0.05"/>
    <n v="3488.61"/>
    <n v="1256.03"/>
    <s v="Credit Card"/>
    <s v="2024-03"/>
    <s v="1-10%"/>
    <n v="0.36003737878410025"/>
    <s v="No"/>
  </r>
  <r>
    <s v="ORD-101833"/>
    <d v="2024-03-03T00:00:00"/>
    <s v="CUST-00427"/>
    <x v="2"/>
    <x v="0"/>
    <s v="Skincare"/>
    <s v="HydraBoost Moisturizer"/>
    <n v="1"/>
    <n v="1254.21"/>
    <n v="0.2"/>
    <n v="1003.37"/>
    <n v="310.62"/>
    <s v="Credit Card"/>
    <s v="2024-03"/>
    <s v="16-20%"/>
    <n v="0.30957672643192441"/>
    <s v="No"/>
  </r>
  <r>
    <s v="ORD-101922"/>
    <d v="2024-03-03T00:00:00"/>
    <s v="CUST-00085"/>
    <x v="0"/>
    <x v="1"/>
    <s v="Audio"/>
    <s v="BassBoom Speaker"/>
    <n v="1"/>
    <n v="9208.2199999999993"/>
    <n v="0"/>
    <n v="9208.2199999999993"/>
    <n v="1769.8"/>
    <s v="UPI"/>
    <s v="2024-03"/>
    <s v="No discount"/>
    <n v="0.1921978406250068"/>
    <s v="No"/>
  </r>
  <r>
    <s v="ORD-100103"/>
    <d v="2024-03-04T00:00:00"/>
    <s v="CUST-00352"/>
    <x v="3"/>
    <x v="4"/>
    <s v="Outdoor"/>
    <s v="TrailHike Backpack 60L"/>
    <n v="1"/>
    <n v="3552.13"/>
    <n v="0.15"/>
    <n v="3019.31"/>
    <n v="583.4"/>
    <s v="UPI"/>
    <s v="2024-03"/>
    <s v="11-15%"/>
    <n v="0.19322295491353986"/>
    <s v="No"/>
  </r>
  <r>
    <s v="ORD-100882"/>
    <d v="2024-03-04T00:00:00"/>
    <s v="CUST-00558"/>
    <x v="2"/>
    <x v="0"/>
    <s v="Skincare"/>
    <s v="Vitamin C Serum"/>
    <n v="3"/>
    <n v="891.77"/>
    <n v="0"/>
    <n v="2675.31"/>
    <n v="1545.43"/>
    <s v="Credit Card"/>
    <s v="2024-03"/>
    <s v="No discount"/>
    <n v="0.57766389689419173"/>
    <s v="No"/>
  </r>
  <r>
    <s v="ORD-100558"/>
    <d v="2024-03-06T00:00:00"/>
    <s v="CUST-00117"/>
    <x v="0"/>
    <x v="1"/>
    <s v="Mobile"/>
    <s v="Pixel Aura 12"/>
    <n v="3"/>
    <n v="31872.43"/>
    <n v="0.05"/>
    <n v="90836.43"/>
    <n v="13510.64"/>
    <s v="UPI"/>
    <s v="2024-03"/>
    <s v="1-10%"/>
    <n v="0.14873592015890541"/>
    <s v="No"/>
  </r>
  <r>
    <s v="ORD-101201"/>
    <d v="2024-03-06T00:00:00"/>
    <s v="CUST-00249"/>
    <x v="1"/>
    <x v="3"/>
    <s v="Footwear"/>
    <s v="UrbanLoafers"/>
    <n v="1"/>
    <n v="3504.48"/>
    <n v="0.25"/>
    <n v="2628.36"/>
    <n v="322.62"/>
    <s v="Credit Card"/>
    <s v="2024-03"/>
    <s v="21%+"/>
    <n v="0.12274574259233895"/>
    <s v="No"/>
  </r>
  <r>
    <s v="ORD-100609"/>
    <d v="2024-03-07T00:00:00"/>
    <s v="CUST-00134"/>
    <x v="1"/>
    <x v="2"/>
    <s v="Decor"/>
    <s v="Ceramic Vase Set"/>
    <n v="1"/>
    <n v="1449.74"/>
    <n v="0.05"/>
    <n v="1377.25"/>
    <n v="378.27"/>
    <s v="Credit Card"/>
    <s v="2024-03"/>
    <s v="1-10%"/>
    <n v="0.27465601742603013"/>
    <s v="No"/>
  </r>
  <r>
    <s v="ORD-100611"/>
    <d v="2024-03-07T00:00:00"/>
    <s v="CUST-00398"/>
    <x v="2"/>
    <x v="3"/>
    <s v="Men"/>
    <s v="Oxford Casual Shirt"/>
    <n v="3"/>
    <n v="1359.84"/>
    <n v="0.2"/>
    <n v="3263.62"/>
    <n v="720.83"/>
    <s v="UPI"/>
    <s v="2024-03"/>
    <s v="16-20%"/>
    <n v="0.22086823833657107"/>
    <s v="No"/>
  </r>
  <r>
    <s v="ORD-101091"/>
    <d v="2024-03-07T00:00:00"/>
    <s v="CUST-00367"/>
    <x v="3"/>
    <x v="4"/>
    <s v="Fitness"/>
    <s v="Adjustable Dumbbell 24kg"/>
    <n v="2"/>
    <n v="9972.66"/>
    <n v="0"/>
    <n v="19945.32"/>
    <n v="7226.43"/>
    <s v="Credit Card"/>
    <s v="2024-03"/>
    <s v="No discount"/>
    <n v="0.36231206117525316"/>
    <s v="No"/>
  </r>
  <r>
    <s v="ORD-100217"/>
    <d v="2024-03-08T00:00:00"/>
    <s v="CUST-00448"/>
    <x v="0"/>
    <x v="1"/>
    <s v="Audio"/>
    <s v="SoundPods Pro"/>
    <n v="1"/>
    <n v="5004.6499999999996"/>
    <n v="0.05"/>
    <n v="4754.42"/>
    <n v="469.53"/>
    <s v="Credit Card"/>
    <s v="2024-03"/>
    <s v="1-10%"/>
    <n v="9.8756525506791565E-2"/>
    <s v="No"/>
  </r>
  <r>
    <s v="ORD-100396"/>
    <d v="2024-03-08T00:00:00"/>
    <s v="CUST-00450"/>
    <x v="0"/>
    <x v="4"/>
    <s v="Outdoor"/>
    <s v="TrailHike Backpack 60L"/>
    <n v="1"/>
    <n v="3467.02"/>
    <n v="0"/>
    <n v="3467.02"/>
    <n v="1447.5"/>
    <s v="Cash on Delivery"/>
    <s v="2024-03"/>
    <s v="No discount"/>
    <n v="0.41750552347549191"/>
    <s v="No"/>
  </r>
  <r>
    <s v="ORD-100583"/>
    <d v="2024-03-08T00:00:00"/>
    <s v="CUST-00418"/>
    <x v="3"/>
    <x v="0"/>
    <s v="Skincare"/>
    <s v="HydraBoost Moisturizer"/>
    <n v="1"/>
    <n v="1252.8800000000001"/>
    <n v="0.05"/>
    <n v="1190.24"/>
    <n v="564.22"/>
    <s v="Credit Card"/>
    <s v="2024-03"/>
    <s v="1-10%"/>
    <n v="0.47403884930770268"/>
    <s v="No"/>
  </r>
  <r>
    <s v="ORD-101003"/>
    <d v="2024-03-08T00:00:00"/>
    <s v="CUST-00375"/>
    <x v="0"/>
    <x v="0"/>
    <s v="Skincare"/>
    <s v="Vitamin C Serum"/>
    <n v="1"/>
    <n v="943.71"/>
    <n v="0.1"/>
    <n v="849.34"/>
    <n v="398"/>
    <s v="Net Banking"/>
    <s v="2024-03"/>
    <s v="1-10%"/>
    <n v="0.46859914757340992"/>
    <s v="No"/>
  </r>
  <r>
    <s v="ORD-101370"/>
    <d v="2024-03-08T00:00:00"/>
    <s v="CUST-00360"/>
    <x v="1"/>
    <x v="1"/>
    <s v="Mobile"/>
    <s v="Pixel Aura 12"/>
    <n v="1"/>
    <n v="33138.400000000001"/>
    <n v="0.25"/>
    <n v="24853.8"/>
    <n v="-1814.36"/>
    <s v="UPI"/>
    <s v="2024-03"/>
    <s v="21%+"/>
    <n v="-7.3001311670649965E-2"/>
    <s v="Yes"/>
  </r>
  <r>
    <s v="ORD-101405"/>
    <d v="2024-03-08T00:00:00"/>
    <s v="CUST-00369"/>
    <x v="2"/>
    <x v="1"/>
    <s v="Laptop"/>
    <s v="ThinkPro 14"/>
    <n v="1"/>
    <n v="53782.21"/>
    <n v="0.05"/>
    <n v="51093.1"/>
    <n v="5079.3599999999997"/>
    <s v="Debit Card"/>
    <s v="2024-03"/>
    <s v="1-10%"/>
    <n v="9.9413815172694542E-2"/>
    <s v="No"/>
  </r>
  <r>
    <s v="ORD-101697"/>
    <d v="2024-03-08T00:00:00"/>
    <s v="CUST-00412"/>
    <x v="0"/>
    <x v="1"/>
    <s v="Laptop"/>
    <s v="ThinkPro 14"/>
    <n v="1"/>
    <n v="55215.81"/>
    <n v="0.05"/>
    <n v="52455.02"/>
    <n v="6499.52"/>
    <s v="Cash on Delivery"/>
    <s v="2024-03"/>
    <s v="1-10%"/>
    <n v="0.12390653935505126"/>
    <s v="No"/>
  </r>
  <r>
    <s v="ORD-100472"/>
    <d v="2024-03-09T00:00:00"/>
    <s v="CUST-00210"/>
    <x v="3"/>
    <x v="1"/>
    <s v="Audio"/>
    <s v="BassBoom Speaker"/>
    <n v="3"/>
    <n v="8878.0499999999993"/>
    <n v="0"/>
    <n v="26634.15"/>
    <n v="5047.99"/>
    <s v="UPI"/>
    <s v="2024-03"/>
    <s v="No discount"/>
    <n v="0.18953073403881857"/>
    <s v="No"/>
  </r>
  <r>
    <s v="ORD-101345"/>
    <d v="2024-03-09T00:00:00"/>
    <s v="CUST-00397"/>
    <x v="2"/>
    <x v="3"/>
    <s v="Footwear"/>
    <s v="UrbanLoafers"/>
    <n v="2"/>
    <n v="3638.17"/>
    <n v="0.15"/>
    <n v="6184.89"/>
    <n v="1458.34"/>
    <s v="Credit Card"/>
    <s v="2024-03"/>
    <s v="11-15%"/>
    <n v="0.23579077396687731"/>
    <s v="No"/>
  </r>
  <r>
    <s v="ORD-101443"/>
    <d v="2024-03-09T00:00:00"/>
    <s v="CUST-00439"/>
    <x v="3"/>
    <x v="0"/>
    <s v="Makeup"/>
    <s v="HD Foundation Kit"/>
    <n v="1"/>
    <n v="1465.55"/>
    <n v="0.05"/>
    <n v="1392.27"/>
    <n v="683.04"/>
    <s v="UPI"/>
    <s v="2024-03"/>
    <s v="1-10%"/>
    <n v="0.49059449675709449"/>
    <s v="No"/>
  </r>
  <r>
    <s v="ORD-100117"/>
    <d v="2024-03-10T00:00:00"/>
    <s v="CUST-00107"/>
    <x v="1"/>
    <x v="0"/>
    <s v="Skincare"/>
    <s v="HydraBoost Moisturizer"/>
    <n v="3"/>
    <n v="1185.44"/>
    <n v="0"/>
    <n v="3556.32"/>
    <n v="1919.93"/>
    <s v="UPI"/>
    <s v="2024-03"/>
    <s v="No discount"/>
    <n v="0.53986424168803704"/>
    <s v="No"/>
  </r>
  <r>
    <s v="ORD-100444"/>
    <d v="2024-03-10T00:00:00"/>
    <s v="CUST-00101"/>
    <x v="1"/>
    <x v="4"/>
    <s v="Outdoor"/>
    <s v="TrailHike Backpack 60L"/>
    <n v="2"/>
    <n v="3392.25"/>
    <n v="0.1"/>
    <n v="6106.05"/>
    <n v="1538.68"/>
    <s v="UPI"/>
    <s v="2024-03"/>
    <s v="1-10%"/>
    <n v="0.25199269576895045"/>
    <s v="No"/>
  </r>
  <r>
    <s v="ORD-100601"/>
    <d v="2024-03-10T00:00:00"/>
    <s v="CUST-00199"/>
    <x v="1"/>
    <x v="4"/>
    <s v="Fitness"/>
    <s v="Adjustable Dumbbell 24kg"/>
    <n v="2"/>
    <n v="9525.02"/>
    <n v="0.1"/>
    <n v="17145.04"/>
    <n v="4567.04"/>
    <s v="UPI"/>
    <s v="2024-03"/>
    <s v="1-10%"/>
    <n v="0.26637674802741784"/>
    <s v="No"/>
  </r>
  <r>
    <s v="ORD-101095"/>
    <d v="2024-03-10T00:00:00"/>
    <s v="CUST-00075"/>
    <x v="0"/>
    <x v="4"/>
    <s v="Outdoor"/>
    <s v="TrailHike Backpack 60L"/>
    <n v="1"/>
    <n v="3545.68"/>
    <n v="0.05"/>
    <n v="3368.4"/>
    <n v="1097.47"/>
    <s v="UPI"/>
    <s v="2024-03"/>
    <s v="1-10%"/>
    <n v="0.32581344258401612"/>
    <s v="No"/>
  </r>
  <r>
    <s v="ORD-101155"/>
    <d v="2024-03-11T00:00:00"/>
    <s v="CUST-00160"/>
    <x v="0"/>
    <x v="2"/>
    <s v="Decor"/>
    <s v="Ceramic Vase Set"/>
    <n v="4"/>
    <n v="1448.62"/>
    <n v="0"/>
    <n v="5794.48"/>
    <n v="1725.64"/>
    <s v="UPI"/>
    <s v="2024-03"/>
    <s v="No discount"/>
    <n v="0.29780756858251306"/>
    <s v="No"/>
  </r>
  <r>
    <s v="ORD-101569"/>
    <d v="2024-03-12T00:00:00"/>
    <s v="CUST-00202"/>
    <x v="0"/>
    <x v="1"/>
    <s v="Mobile"/>
    <s v="Galaxy Nova X5"/>
    <n v="1"/>
    <n v="25730.03"/>
    <n v="0.05"/>
    <n v="24443.53"/>
    <n v="2781.04"/>
    <s v="Debit Card"/>
    <s v="2024-03"/>
    <s v="1-10%"/>
    <n v="0.11377407436650926"/>
    <s v="No"/>
  </r>
  <r>
    <s v="ORD-101756"/>
    <d v="2024-03-12T00:00:00"/>
    <s v="CUST-00227"/>
    <x v="3"/>
    <x v="2"/>
    <s v="Decor"/>
    <s v="LED Wall Lamp"/>
    <n v="1"/>
    <n v="1040.44"/>
    <n v="0.05"/>
    <n v="988.42"/>
    <n v="264.8"/>
    <s v="Credit Card"/>
    <s v="2024-03"/>
    <s v="1-10%"/>
    <n v="0.26790230873515308"/>
    <s v="No"/>
  </r>
  <r>
    <s v="ORD-100269"/>
    <d v="2024-03-13T00:00:00"/>
    <s v="CUST-00200"/>
    <x v="3"/>
    <x v="2"/>
    <s v="Furniture"/>
    <s v="ErgoComfort Chair"/>
    <n v="1"/>
    <n v="8883.5300000000007"/>
    <n v="0.2"/>
    <n v="7106.82"/>
    <n v="759.33"/>
    <s v="UPI"/>
    <s v="2024-03"/>
    <s v="16-20%"/>
    <n v="0.10684525568397681"/>
    <s v="No"/>
  </r>
  <r>
    <s v="ORD-100305"/>
    <d v="2024-03-13T00:00:00"/>
    <s v="CUST-00234"/>
    <x v="2"/>
    <x v="1"/>
    <s v="Audio"/>
    <s v="SoundPods Pro"/>
    <n v="1"/>
    <n v="4767.99"/>
    <n v="0.15"/>
    <n v="4052.79"/>
    <n v="-107.97"/>
    <s v="UPI"/>
    <s v="2024-03"/>
    <s v="11-15%"/>
    <n v="-2.6640906634688696E-2"/>
    <s v="Yes"/>
  </r>
  <r>
    <s v="ORD-100812"/>
    <d v="2024-03-13T00:00:00"/>
    <s v="CUST-00131"/>
    <x v="3"/>
    <x v="0"/>
    <s v="Makeup"/>
    <s v="HD Foundation Kit"/>
    <n v="1"/>
    <n v="1551.98"/>
    <n v="0.2"/>
    <n v="1241.58"/>
    <n v="427.26"/>
    <s v="Credit Card"/>
    <s v="2024-03"/>
    <s v="16-20%"/>
    <n v="0.34412603295800515"/>
    <s v="No"/>
  </r>
  <r>
    <s v="ORD-101719"/>
    <d v="2024-03-13T00:00:00"/>
    <s v="CUST-00529"/>
    <x v="2"/>
    <x v="4"/>
    <s v="Outdoor"/>
    <s v="AllWeather Tent 4P"/>
    <n v="1"/>
    <n v="11994.6"/>
    <n v="0"/>
    <n v="11994.6"/>
    <n v="5009.6000000000004"/>
    <s v="UPI"/>
    <s v="2024-03"/>
    <s v="No discount"/>
    <n v="0.41765461124172548"/>
    <s v="No"/>
  </r>
  <r>
    <s v="ORD-100096"/>
    <d v="2024-03-14T00:00:00"/>
    <s v="CUST-00044"/>
    <x v="0"/>
    <x v="1"/>
    <s v="Laptop"/>
    <s v="AirBook Slim"/>
    <n v="1"/>
    <n v="80607.98"/>
    <n v="0.05"/>
    <n v="76577.58"/>
    <n v="9382.36"/>
    <s v="Debit Card"/>
    <s v="2024-03"/>
    <s v="1-10%"/>
    <n v="0.12252097807217205"/>
    <s v="No"/>
  </r>
  <r>
    <s v="ORD-100382"/>
    <d v="2024-03-14T00:00:00"/>
    <s v="CUST-00441"/>
    <x v="1"/>
    <x v="3"/>
    <s v="Women"/>
    <s v="Floral Summer Dress"/>
    <n v="1"/>
    <n v="1744.33"/>
    <n v="0.1"/>
    <n v="1569.9"/>
    <n v="493.39"/>
    <s v="UPI"/>
    <s v="2024-03"/>
    <s v="1-10%"/>
    <n v="0.31428116440537612"/>
    <s v="No"/>
  </r>
  <r>
    <s v="ORD-101540"/>
    <d v="2024-03-14T00:00:00"/>
    <s v="CUST-00598"/>
    <x v="1"/>
    <x v="4"/>
    <s v="Outdoor"/>
    <s v="AllWeather Tent 4P"/>
    <n v="2"/>
    <n v="12020.97"/>
    <n v="0"/>
    <n v="24041.94"/>
    <n v="8388.06"/>
    <s v="UPI"/>
    <s v="2024-03"/>
    <s v="No discount"/>
    <n v="0.34889280981484855"/>
    <s v="No"/>
  </r>
  <r>
    <s v="ORD-100215"/>
    <d v="2024-03-15T00:00:00"/>
    <s v="CUST-00070"/>
    <x v="3"/>
    <x v="0"/>
    <s v="Skincare"/>
    <s v="HydraBoost Moisturizer"/>
    <n v="4"/>
    <n v="1242.26"/>
    <n v="0"/>
    <n v="4969.04"/>
    <n v="2760.15"/>
    <s v="Credit Card"/>
    <s v="2024-03"/>
    <s v="No discount"/>
    <n v="0.55546946693928811"/>
    <s v="No"/>
  </r>
  <r>
    <s v="ORD-100240"/>
    <d v="2024-03-15T00:00:00"/>
    <s v="CUST-00406"/>
    <x v="3"/>
    <x v="2"/>
    <s v="Furniture"/>
    <s v="Oakwood Study Desk"/>
    <n v="1"/>
    <n v="12533.18"/>
    <n v="0.15"/>
    <n v="10653.2"/>
    <n v="1346.28"/>
    <s v="UPI"/>
    <s v="2024-03"/>
    <s v="11-15%"/>
    <n v="0.12637329628656177"/>
    <s v="No"/>
  </r>
  <r>
    <s v="ORD-100306"/>
    <d v="2024-03-15T00:00:00"/>
    <s v="CUST-00515"/>
    <x v="2"/>
    <x v="2"/>
    <s v="Decor"/>
    <s v="LED Wall Lamp"/>
    <n v="1"/>
    <n v="980.66"/>
    <n v="0.05"/>
    <n v="931.63"/>
    <n v="245.63"/>
    <s v="UPI"/>
    <s v="2024-03"/>
    <s v="1-10%"/>
    <n v="0.26365617251483958"/>
    <s v="No"/>
  </r>
  <r>
    <s v="ORD-100739"/>
    <d v="2024-03-15T00:00:00"/>
    <s v="CUST-00474"/>
    <x v="3"/>
    <x v="0"/>
    <s v="Skincare"/>
    <s v="Vitamin C Serum"/>
    <n v="2"/>
    <n v="867.95"/>
    <n v="0.1"/>
    <n v="1562.31"/>
    <n v="630.27"/>
    <s v="Credit Card"/>
    <s v="2024-03"/>
    <s v="1-10%"/>
    <n v="0.40342185609770148"/>
    <s v="No"/>
  </r>
  <r>
    <s v="ORD-100808"/>
    <d v="2024-03-15T00:00:00"/>
    <s v="CUST-00384"/>
    <x v="2"/>
    <x v="3"/>
    <s v="Men"/>
    <s v="SlimFit Denim Jeans"/>
    <n v="2"/>
    <n v="2093.62"/>
    <n v="0.05"/>
    <n v="3977.88"/>
    <n v="1576.39"/>
    <s v="UPI"/>
    <s v="2024-03"/>
    <s v="1-10%"/>
    <n v="0.3962889780486088"/>
    <s v="No"/>
  </r>
  <r>
    <s v="ORD-101361"/>
    <d v="2024-03-15T00:00:00"/>
    <s v="CUST-00380"/>
    <x v="2"/>
    <x v="1"/>
    <s v="Audio"/>
    <s v="SoundPods Pro"/>
    <n v="1"/>
    <n v="5009.0200000000004"/>
    <n v="0.1"/>
    <n v="4508.12"/>
    <n v="341.82"/>
    <s v="Credit Card"/>
    <s v="2024-03"/>
    <s v="1-10%"/>
    <n v="7.5823181281775995E-2"/>
    <s v="No"/>
  </r>
  <r>
    <s v="ORD-100181"/>
    <d v="2024-03-16T00:00:00"/>
    <s v="CUST-00158"/>
    <x v="2"/>
    <x v="0"/>
    <s v="Makeup"/>
    <s v="HD Foundation Kit"/>
    <n v="1"/>
    <n v="1481.02"/>
    <n v="0.1"/>
    <n v="1332.92"/>
    <n v="608.84"/>
    <s v="UPI"/>
    <s v="2024-03"/>
    <s v="1-10%"/>
    <n v="0.45677159919575067"/>
    <s v="No"/>
  </r>
  <r>
    <s v="ORD-100464"/>
    <d v="2024-03-16T00:00:00"/>
    <s v="CUST-00497"/>
    <x v="3"/>
    <x v="4"/>
    <s v="Outdoor"/>
    <s v="AllWeather Tent 4P"/>
    <n v="1"/>
    <n v="11789.84"/>
    <n v="0.1"/>
    <n v="10610.86"/>
    <n v="3048.69"/>
    <s v="UPI"/>
    <s v="2024-03"/>
    <s v="1-10%"/>
    <n v="0.28731789883195141"/>
    <s v="No"/>
  </r>
  <r>
    <s v="ORD-100945"/>
    <d v="2024-03-16T00:00:00"/>
    <s v="CUST-00424"/>
    <x v="2"/>
    <x v="1"/>
    <s v="Mobile"/>
    <s v="Galaxy Nova X5"/>
    <n v="2"/>
    <n v="24672.639999999999"/>
    <n v="0"/>
    <n v="49345.279999999999"/>
    <n v="10554.39"/>
    <s v="UPI"/>
    <s v="2024-03"/>
    <s v="No discount"/>
    <n v="0.21388854212601488"/>
    <s v="No"/>
  </r>
  <r>
    <s v="ORD-101020"/>
    <d v="2024-03-16T00:00:00"/>
    <s v="CUST-00488"/>
    <x v="3"/>
    <x v="1"/>
    <s v="Audio"/>
    <s v="SoundPods Pro"/>
    <n v="1"/>
    <n v="4778.25"/>
    <n v="0"/>
    <n v="4778.25"/>
    <n v="817.09"/>
    <s v="Net Banking"/>
    <s v="2024-03"/>
    <s v="No discount"/>
    <n v="0.17100193585517712"/>
    <s v="No"/>
  </r>
  <r>
    <s v="ORD-101191"/>
    <d v="2024-03-16T00:00:00"/>
    <s v="CUST-00566"/>
    <x v="0"/>
    <x v="0"/>
    <s v="Skincare"/>
    <s v="Vitamin C Serum"/>
    <n v="1"/>
    <n v="874.89"/>
    <n v="0.1"/>
    <n v="787.4"/>
    <n v="318.99"/>
    <s v="Credit Card"/>
    <s v="2024-03"/>
    <s v="1-10%"/>
    <n v="0.40511811023622052"/>
    <s v="No"/>
  </r>
  <r>
    <s v="ORD-101409"/>
    <d v="2024-03-16T00:00:00"/>
    <s v="CUST-00388"/>
    <x v="1"/>
    <x v="4"/>
    <s v="Fitness"/>
    <s v="ProYoga Mat"/>
    <n v="1"/>
    <n v="1237.03"/>
    <n v="0"/>
    <n v="1237.03"/>
    <n v="436.61"/>
    <s v="UPI"/>
    <s v="2024-03"/>
    <s v="No discount"/>
    <n v="0.35295021139341815"/>
    <s v="No"/>
  </r>
  <r>
    <s v="ORD-101480"/>
    <d v="2024-03-16T00:00:00"/>
    <s v="CUST-00051"/>
    <x v="3"/>
    <x v="1"/>
    <s v="Audio"/>
    <s v="BassBoom Speaker"/>
    <n v="5"/>
    <n v="9176.18"/>
    <n v="0"/>
    <n v="45880.9"/>
    <n v="10029.64"/>
    <s v="Debit Card"/>
    <s v="2024-03"/>
    <s v="No discount"/>
    <n v="0.21860164033399518"/>
    <s v="No"/>
  </r>
  <r>
    <s v="ORD-100298"/>
    <d v="2024-03-17T00:00:00"/>
    <s v="CUST-00178"/>
    <x v="0"/>
    <x v="3"/>
    <s v="Footwear"/>
    <s v="UrbanLoafers"/>
    <n v="2"/>
    <n v="3535.18"/>
    <n v="0.1"/>
    <n v="6363.32"/>
    <n v="2081.39"/>
    <s v="UPI"/>
    <s v="2024-03"/>
    <s v="1-10%"/>
    <n v="0.32709183256539037"/>
    <s v="No"/>
  </r>
  <r>
    <s v="ORD-100679"/>
    <d v="2024-03-17T00:00:00"/>
    <s v="CUST-00267"/>
    <x v="2"/>
    <x v="3"/>
    <s v="Women"/>
    <s v="Floral Summer Dress"/>
    <n v="4"/>
    <n v="1747.92"/>
    <n v="0.1"/>
    <n v="6292.51"/>
    <n v="1848.27"/>
    <s v="Credit Card"/>
    <s v="2024-03"/>
    <s v="1-10%"/>
    <n v="0.29372539733746944"/>
    <s v="No"/>
  </r>
  <r>
    <s v="ORD-100707"/>
    <d v="2024-03-17T00:00:00"/>
    <s v="CUST-00522"/>
    <x v="1"/>
    <x v="2"/>
    <s v="Furniture"/>
    <s v="Oakwood Study Desk"/>
    <n v="3"/>
    <n v="13311.91"/>
    <n v="0.1"/>
    <n v="35942.160000000003"/>
    <n v="7432.82"/>
    <s v="Net Banking"/>
    <s v="2024-03"/>
    <s v="1-10%"/>
    <n v="0.20679948005350815"/>
    <s v="No"/>
  </r>
  <r>
    <s v="ORD-100766"/>
    <d v="2024-03-17T00:00:00"/>
    <s v="CUST-00432"/>
    <x v="0"/>
    <x v="2"/>
    <s v="Appliances"/>
    <s v="AirFryer Deluxe"/>
    <n v="1"/>
    <n v="7821.46"/>
    <n v="0"/>
    <n v="7821.46"/>
    <n v="2648.6"/>
    <s v="Net Banking"/>
    <s v="2024-03"/>
    <s v="No discount"/>
    <n v="0.33863242923955372"/>
    <s v="No"/>
  </r>
  <r>
    <s v="ORD-101364"/>
    <d v="2024-03-17T00:00:00"/>
    <s v="CUST-00565"/>
    <x v="2"/>
    <x v="1"/>
    <s v="Laptop"/>
    <s v="AirBook Slim"/>
    <n v="1"/>
    <n v="80349.600000000006"/>
    <n v="0.15"/>
    <n v="68297.16"/>
    <n v="-1465.82"/>
    <s v="Credit Card"/>
    <s v="2024-03"/>
    <s v="11-15%"/>
    <n v="-2.1462385844447995E-2"/>
    <s v="Yes"/>
  </r>
  <r>
    <s v="ORD-101503"/>
    <d v="2024-03-17T00:00:00"/>
    <s v="CUST-00518"/>
    <x v="1"/>
    <x v="0"/>
    <s v="Makeup"/>
    <s v="Matte Lipstick Set"/>
    <n v="1"/>
    <n v="992.41"/>
    <n v="0"/>
    <n v="992.41"/>
    <n v="530.32000000000005"/>
    <s v="UPI"/>
    <s v="2024-03"/>
    <s v="No discount"/>
    <n v="0.53437591318104416"/>
    <s v="No"/>
  </r>
  <r>
    <s v="ORD-101666"/>
    <d v="2024-03-17T00:00:00"/>
    <s v="CUST-00087"/>
    <x v="0"/>
    <x v="2"/>
    <s v="Decor"/>
    <s v="Ceramic Vase Set"/>
    <n v="5"/>
    <n v="1453.16"/>
    <n v="0.05"/>
    <n v="6902.51"/>
    <n v="1641.69"/>
    <s v="Credit Card"/>
    <s v="2024-03"/>
    <s v="1-10%"/>
    <n v="0.23783956850479029"/>
    <s v="No"/>
  </r>
  <r>
    <s v="ORD-101857"/>
    <d v="2024-03-17T00:00:00"/>
    <s v="CUST-00373"/>
    <x v="2"/>
    <x v="4"/>
    <s v="Outdoor"/>
    <s v="TrailHike Backpack 60L"/>
    <n v="1"/>
    <n v="3412.67"/>
    <n v="0.05"/>
    <n v="3242.04"/>
    <n v="1005.2"/>
    <s v="UPI"/>
    <s v="2024-03"/>
    <s v="1-10%"/>
    <n v="0.31005169584582548"/>
    <s v="No"/>
  </r>
  <r>
    <s v="ORD-100987"/>
    <d v="2024-03-18T00:00:00"/>
    <s v="CUST-00093"/>
    <x v="3"/>
    <x v="3"/>
    <s v="Footwear"/>
    <s v="UrbanLoafers"/>
    <n v="4"/>
    <n v="3520.16"/>
    <n v="0.15"/>
    <n v="11968.54"/>
    <n v="3208.07"/>
    <s v="UPI"/>
    <s v="2024-03"/>
    <s v="11-15%"/>
    <n v="0.26804188313695737"/>
    <s v="No"/>
  </r>
  <r>
    <s v="ORD-101038"/>
    <d v="2024-03-18T00:00:00"/>
    <s v="CUST-00014"/>
    <x v="2"/>
    <x v="1"/>
    <s v="Mobile"/>
    <s v="Galaxy Nova X5"/>
    <n v="1"/>
    <n v="23911.439999999999"/>
    <n v="0"/>
    <n v="23911.439999999999"/>
    <n v="4441.6099999999997"/>
    <s v="UPI"/>
    <s v="2024-03"/>
    <s v="No discount"/>
    <n v="0.18575251009558605"/>
    <s v="No"/>
  </r>
  <r>
    <s v="ORD-101042"/>
    <d v="2024-03-18T00:00:00"/>
    <s v="CUST-00330"/>
    <x v="2"/>
    <x v="1"/>
    <s v="Mobile"/>
    <s v="Galaxy Nova X5"/>
    <n v="5"/>
    <n v="25944.400000000001"/>
    <n v="0"/>
    <n v="129722"/>
    <n v="24132.799999999999"/>
    <s v="UPI"/>
    <s v="2024-03"/>
    <s v="No discount"/>
    <n v="0.18603475123726121"/>
    <s v="No"/>
  </r>
  <r>
    <s v="ORD-100819"/>
    <d v="2024-03-19T00:00:00"/>
    <s v="CUST-00450"/>
    <x v="1"/>
    <x v="0"/>
    <s v="Makeup"/>
    <s v="HD Foundation Kit"/>
    <n v="1"/>
    <n v="1432.73"/>
    <n v="0.05"/>
    <n v="1361.09"/>
    <n v="641.16"/>
    <s v="UPI"/>
    <s v="2024-03"/>
    <s v="1-10%"/>
    <n v="0.47106363282369279"/>
    <s v="No"/>
  </r>
  <r>
    <s v="ORD-100860"/>
    <d v="2024-03-19T00:00:00"/>
    <s v="CUST-00426"/>
    <x v="2"/>
    <x v="1"/>
    <s v="Mobile"/>
    <s v="Pixel Aura 12"/>
    <n v="1"/>
    <n v="33897.93"/>
    <n v="0"/>
    <n v="33897.93"/>
    <n v="5416.37"/>
    <s v="UPI"/>
    <s v="2024-03"/>
    <s v="No discount"/>
    <n v="0.15978468301751758"/>
    <s v="No"/>
  </r>
  <r>
    <s v="ORD-101611"/>
    <d v="2024-03-19T00:00:00"/>
    <s v="CUST-00449"/>
    <x v="3"/>
    <x v="0"/>
    <s v="Makeup"/>
    <s v="Matte Lipstick Set"/>
    <n v="2"/>
    <n v="1046.77"/>
    <n v="0"/>
    <n v="2093.54"/>
    <n v="1145.8599999999999"/>
    <s v="Net Banking"/>
    <s v="2024-03"/>
    <s v="No discount"/>
    <n v="0.54733131442437211"/>
    <s v="No"/>
  </r>
  <r>
    <s v="ORD-100832"/>
    <d v="2024-03-20T00:00:00"/>
    <s v="CUST-00334"/>
    <x v="3"/>
    <x v="2"/>
    <s v="Furniture"/>
    <s v="ErgoComfort Chair"/>
    <n v="1"/>
    <n v="8760.25"/>
    <n v="0"/>
    <n v="8760.25"/>
    <n v="2616.98"/>
    <s v="UPI"/>
    <s v="2024-03"/>
    <s v="No discount"/>
    <n v="0.29873348363345797"/>
    <s v="No"/>
  </r>
  <r>
    <s v="ORD-100867"/>
    <d v="2024-03-20T00:00:00"/>
    <s v="CUST-00014"/>
    <x v="2"/>
    <x v="3"/>
    <s v="Women"/>
    <s v="Knit Winter Sweater"/>
    <n v="2"/>
    <n v="2277.87"/>
    <n v="0.05"/>
    <n v="4327.95"/>
    <n v="1739.49"/>
    <s v="UPI"/>
    <s v="2024-03"/>
    <s v="1-10%"/>
    <n v="0.401920077634908"/>
    <s v="No"/>
  </r>
  <r>
    <s v="ORD-101763"/>
    <d v="2024-03-20T00:00:00"/>
    <s v="CUST-00519"/>
    <x v="1"/>
    <x v="1"/>
    <s v="Audio"/>
    <s v="SoundPods Pro"/>
    <n v="5"/>
    <n v="5034.3599999999997"/>
    <n v="0.1"/>
    <n v="22654.62"/>
    <n v="1444.29"/>
    <s v="Credit Card"/>
    <s v="2024-03"/>
    <s v="1-10%"/>
    <n v="6.3752559080664337E-2"/>
    <s v="No"/>
  </r>
  <r>
    <s v="ORD-100496"/>
    <d v="2024-03-21T00:00:00"/>
    <s v="CUST-00115"/>
    <x v="2"/>
    <x v="1"/>
    <s v="Audio"/>
    <s v="SoundPods Pro"/>
    <n v="1"/>
    <n v="4820.22"/>
    <n v="0.2"/>
    <n v="3856.18"/>
    <n v="-277.16000000000003"/>
    <s v="UPI"/>
    <s v="2024-03"/>
    <s v="16-20%"/>
    <n v="-7.187423823576701E-2"/>
    <s v="Yes"/>
  </r>
  <r>
    <s v="ORD-100908"/>
    <d v="2024-03-21T00:00:00"/>
    <s v="CUST-00310"/>
    <x v="2"/>
    <x v="1"/>
    <s v="Laptop"/>
    <s v="AirBook Slim"/>
    <n v="1"/>
    <n v="80767.08"/>
    <n v="0.1"/>
    <n v="72690.37"/>
    <n v="6542"/>
    <s v="Credit Card"/>
    <s v="2024-03"/>
    <s v="1-10%"/>
    <n v="8.9998166194504181E-2"/>
    <s v="No"/>
  </r>
  <r>
    <s v="ORD-101164"/>
    <d v="2024-03-21T00:00:00"/>
    <s v="CUST-00284"/>
    <x v="1"/>
    <x v="2"/>
    <s v="Furniture"/>
    <s v="Oakwood Study Desk"/>
    <n v="5"/>
    <n v="12762.82"/>
    <n v="0.15"/>
    <n v="54241.99"/>
    <n v="6910.33"/>
    <s v="Credit Card"/>
    <s v="2024-03"/>
    <s v="11-15%"/>
    <n v="0.12739816514843944"/>
    <s v="No"/>
  </r>
  <r>
    <s v="ORD-101549"/>
    <d v="2024-03-21T00:00:00"/>
    <s v="CUST-00358"/>
    <x v="1"/>
    <x v="2"/>
    <s v="Furniture"/>
    <s v="ErgoComfort Chair"/>
    <n v="1"/>
    <n v="8857.94"/>
    <n v="0"/>
    <n v="8857.94"/>
    <n v="3062.83"/>
    <s v="Credit Card"/>
    <s v="2024-03"/>
    <s v="No discount"/>
    <n v="0.34577226759269081"/>
    <s v="No"/>
  </r>
  <r>
    <s v="ORD-101730"/>
    <d v="2024-03-21T00:00:00"/>
    <s v="CUST-00149"/>
    <x v="2"/>
    <x v="4"/>
    <s v="Fitness"/>
    <s v="ProYoga Mat"/>
    <n v="1"/>
    <n v="1249.31"/>
    <n v="0.1"/>
    <n v="1124.3800000000001"/>
    <n v="315.89"/>
    <s v="Debit Card"/>
    <s v="2024-03"/>
    <s v="1-10%"/>
    <n v="0.2809459435422188"/>
    <s v="No"/>
  </r>
  <r>
    <s v="ORD-100370"/>
    <d v="2024-03-22T00:00:00"/>
    <s v="CUST-00063"/>
    <x v="3"/>
    <x v="1"/>
    <s v="Laptop"/>
    <s v="ThinkPro 14"/>
    <n v="2"/>
    <n v="57365.120000000003"/>
    <n v="0"/>
    <n v="114730.24000000001"/>
    <n v="17978.12"/>
    <s v="Net Banking"/>
    <s v="2024-03"/>
    <s v="No discount"/>
    <n v="0.15669905336204298"/>
    <s v="No"/>
  </r>
  <r>
    <s v="ORD-100903"/>
    <d v="2024-03-22T00:00:00"/>
    <s v="CUST-00346"/>
    <x v="2"/>
    <x v="0"/>
    <s v="Makeup"/>
    <s v="HD Foundation Kit"/>
    <n v="2"/>
    <n v="1569.72"/>
    <n v="0.2"/>
    <n v="2511.5500000000002"/>
    <n v="725.67"/>
    <s v="Credit Card"/>
    <s v="2024-03"/>
    <s v="16-20%"/>
    <n v="0.28893312894427742"/>
    <s v="No"/>
  </r>
  <r>
    <s v="ORD-101040"/>
    <d v="2024-03-22T00:00:00"/>
    <s v="CUST-00543"/>
    <x v="1"/>
    <x v="3"/>
    <s v="Men"/>
    <s v="SlimFit Denim Jeans"/>
    <n v="1"/>
    <n v="1917.36"/>
    <n v="0.15"/>
    <n v="1629.76"/>
    <n v="394.63"/>
    <s v="UPI"/>
    <s v="2024-03"/>
    <s v="11-15%"/>
    <n v="0.24213994698605928"/>
    <s v="No"/>
  </r>
  <r>
    <s v="ORD-100458"/>
    <d v="2024-03-23T00:00:00"/>
    <s v="CUST-00184"/>
    <x v="1"/>
    <x v="3"/>
    <s v="Women"/>
    <s v="Floral Summer Dress"/>
    <n v="4"/>
    <n v="1727.03"/>
    <n v="0"/>
    <n v="6908.12"/>
    <n v="3093.38"/>
    <s v="Debit Card"/>
    <s v="2024-03"/>
    <s v="No discount"/>
    <n v="0.44778897876701623"/>
    <s v="No"/>
  </r>
  <r>
    <s v="ORD-100471"/>
    <d v="2024-03-23T00:00:00"/>
    <s v="CUST-00344"/>
    <x v="1"/>
    <x v="4"/>
    <s v="Fitness"/>
    <s v="ProYoga Mat"/>
    <n v="1"/>
    <n v="1303.02"/>
    <n v="0.1"/>
    <n v="1172.72"/>
    <n v="291.69"/>
    <s v="Credit Card"/>
    <s v="2024-03"/>
    <s v="1-10%"/>
    <n v="0.24872944948495804"/>
    <s v="No"/>
  </r>
  <r>
    <s v="ORD-101604"/>
    <d v="2024-03-23T00:00:00"/>
    <s v="CUST-00475"/>
    <x v="0"/>
    <x v="0"/>
    <s v="Skincare"/>
    <s v="Vitamin C Serum"/>
    <n v="5"/>
    <n v="878.9"/>
    <n v="0.1"/>
    <n v="3955.05"/>
    <n v="1651.8"/>
    <s v="Debit Card"/>
    <s v="2024-03"/>
    <s v="1-10%"/>
    <n v="0.41764326620396702"/>
    <s v="No"/>
  </r>
  <r>
    <s v="ORD-101638"/>
    <d v="2024-03-23T00:00:00"/>
    <s v="CUST-00199"/>
    <x v="0"/>
    <x v="3"/>
    <s v="Footwear"/>
    <s v="UrbanLoafers"/>
    <n v="1"/>
    <n v="3345.24"/>
    <n v="0.2"/>
    <n v="2676.19"/>
    <n v="518.4"/>
    <s v="Credit Card"/>
    <s v="2024-03"/>
    <s v="16-20%"/>
    <n v="0.19370821952103548"/>
    <s v="No"/>
  </r>
  <r>
    <s v="ORD-101979"/>
    <d v="2024-03-23T00:00:00"/>
    <s v="CUST-00202"/>
    <x v="1"/>
    <x v="2"/>
    <s v="Furniture"/>
    <s v="ErgoComfort Chair"/>
    <n v="1"/>
    <n v="8811.84"/>
    <n v="0.05"/>
    <n v="8371.25"/>
    <n v="2515.86"/>
    <s v="Debit Card"/>
    <s v="2024-03"/>
    <s v="1-10%"/>
    <n v="0.30053576228161866"/>
    <s v="No"/>
  </r>
  <r>
    <s v="ORD-100041"/>
    <d v="2024-03-24T00:00:00"/>
    <s v="CUST-00553"/>
    <x v="0"/>
    <x v="2"/>
    <s v="Furniture"/>
    <s v="ErgoComfort Chair"/>
    <n v="1"/>
    <n v="8890.23"/>
    <n v="0.15"/>
    <n v="7556.7"/>
    <n v="1342.53"/>
    <s v="UPI"/>
    <s v="2024-03"/>
    <s v="11-15%"/>
    <n v="0.17766088371908373"/>
    <s v="No"/>
  </r>
  <r>
    <s v="ORD-100155"/>
    <d v="2024-03-24T00:00:00"/>
    <s v="CUST-00541"/>
    <x v="1"/>
    <x v="2"/>
    <s v="Appliances"/>
    <s v="AirFryer Deluxe"/>
    <n v="1"/>
    <n v="7721.58"/>
    <n v="0"/>
    <n v="7721.58"/>
    <n v="2701.15"/>
    <s v="UPI"/>
    <s v="2024-03"/>
    <s v="No discount"/>
    <n v="0.34981830143571652"/>
    <s v="No"/>
  </r>
  <r>
    <s v="ORD-101194"/>
    <d v="2024-03-24T00:00:00"/>
    <s v="CUST-00195"/>
    <x v="1"/>
    <x v="1"/>
    <s v="Mobile"/>
    <s v="Galaxy Nova X5"/>
    <n v="3"/>
    <n v="25476.19"/>
    <n v="0.15"/>
    <n v="64964.28"/>
    <n v="2373.1999999999998"/>
    <s v="UPI"/>
    <s v="2024-03"/>
    <s v="11-15%"/>
    <n v="3.6530844334763654E-2"/>
    <s v="No"/>
  </r>
  <r>
    <s v="ORD-101702"/>
    <d v="2024-03-24T00:00:00"/>
    <s v="CUST-00303"/>
    <x v="2"/>
    <x v="2"/>
    <s v="Decor"/>
    <s v="Ceramic Vase Set"/>
    <n v="1"/>
    <n v="1518.52"/>
    <n v="0.1"/>
    <n v="1366.67"/>
    <n v="259.27"/>
    <s v="Cash on Delivery"/>
    <s v="2024-03"/>
    <s v="1-10%"/>
    <n v="0.18970929339196732"/>
    <s v="No"/>
  </r>
  <r>
    <s v="ORD-101846"/>
    <d v="2024-03-24T00:00:00"/>
    <s v="CUST-00238"/>
    <x v="1"/>
    <x v="0"/>
    <s v="Skincare"/>
    <s v="Vitamin C Serum"/>
    <n v="1"/>
    <n v="905.09"/>
    <n v="0.15"/>
    <n v="769.33"/>
    <n v="276.39999999999998"/>
    <s v="Debit Card"/>
    <s v="2024-03"/>
    <s v="11-15%"/>
    <n v="0.35927365369867281"/>
    <s v="No"/>
  </r>
  <r>
    <s v="ORD-101285"/>
    <d v="2024-03-25T00:00:00"/>
    <s v="CUST-00512"/>
    <x v="0"/>
    <x v="0"/>
    <s v="Skincare"/>
    <s v="HydraBoost Moisturizer"/>
    <n v="2"/>
    <n v="1162.8900000000001"/>
    <n v="0"/>
    <n v="2325.7800000000002"/>
    <n v="1237.72"/>
    <s v="Credit Card"/>
    <s v="2024-03"/>
    <s v="No discount"/>
    <n v="0.53217415232739118"/>
    <s v="No"/>
  </r>
  <r>
    <s v="ORD-100864"/>
    <d v="2024-03-26T00:00:00"/>
    <s v="CUST-00174"/>
    <x v="2"/>
    <x v="1"/>
    <s v="Laptop"/>
    <s v="ThinkPro 14"/>
    <n v="1"/>
    <n v="52848.26"/>
    <n v="0.05"/>
    <n v="50205.85"/>
    <n v="5389.54"/>
    <s v="Credit Card"/>
    <s v="2024-03"/>
    <s v="1-10%"/>
    <n v="0.10734884480593397"/>
    <s v="No"/>
  </r>
  <r>
    <s v="ORD-101818"/>
    <d v="2024-03-26T00:00:00"/>
    <s v="CUST-00494"/>
    <x v="0"/>
    <x v="0"/>
    <s v="Skincare"/>
    <s v="Vitamin C Serum"/>
    <n v="1"/>
    <n v="940.06"/>
    <n v="0.15"/>
    <n v="799.05"/>
    <n v="273.91000000000003"/>
    <s v="UPI"/>
    <s v="2024-03"/>
    <s v="11-15%"/>
    <n v="0.34279456855015333"/>
    <s v="No"/>
  </r>
  <r>
    <s v="ORD-101479"/>
    <d v="2024-03-27T00:00:00"/>
    <s v="CUST-00049"/>
    <x v="1"/>
    <x v="3"/>
    <s v="Men"/>
    <s v="Oxford Casual Shirt"/>
    <n v="1"/>
    <n v="1308.54"/>
    <n v="0"/>
    <n v="1308.54"/>
    <n v="595.70000000000005"/>
    <s v="UPI"/>
    <s v="2024-03"/>
    <s v="No discount"/>
    <n v="0.45524019135830779"/>
    <s v="No"/>
  </r>
  <r>
    <s v="ORD-100384"/>
    <d v="2024-03-28T00:00:00"/>
    <s v="CUST-00056"/>
    <x v="2"/>
    <x v="0"/>
    <s v="Makeup"/>
    <s v="Matte Lipstick Set"/>
    <n v="1"/>
    <n v="972.38"/>
    <n v="0.25"/>
    <n v="729.28"/>
    <n v="202.25"/>
    <s v="Debit Card"/>
    <s v="2024-03"/>
    <s v="21%+"/>
    <n v="0.27732832382623956"/>
    <s v="No"/>
  </r>
  <r>
    <s v="ORD-101974"/>
    <d v="2024-03-28T00:00:00"/>
    <s v="CUST-00208"/>
    <x v="1"/>
    <x v="3"/>
    <s v="Footwear"/>
    <s v="RunFlex Sneakers"/>
    <n v="1"/>
    <n v="3026.13"/>
    <n v="0.05"/>
    <n v="2874.82"/>
    <n v="1099.27"/>
    <s v="UPI"/>
    <s v="2024-03"/>
    <s v="1-10%"/>
    <n v="0.38237872284177787"/>
    <s v="No"/>
  </r>
  <r>
    <s v="ORD-100486"/>
    <d v="2024-03-29T00:00:00"/>
    <s v="CUST-00311"/>
    <x v="3"/>
    <x v="4"/>
    <s v="Outdoor"/>
    <s v="AllWeather Tent 4P"/>
    <n v="1"/>
    <n v="12476.23"/>
    <n v="0.15"/>
    <n v="10604.8"/>
    <n v="2394.44"/>
    <s v="Debit Card"/>
    <s v="2024-03"/>
    <s v="11-15%"/>
    <n v="0.22578832226916115"/>
    <s v="No"/>
  </r>
  <r>
    <s v="ORD-101371"/>
    <d v="2024-03-29T00:00:00"/>
    <s v="CUST-00438"/>
    <x v="3"/>
    <x v="0"/>
    <s v="Skincare"/>
    <s v="Vitamin C Serum"/>
    <n v="1"/>
    <n v="854.14"/>
    <n v="0.05"/>
    <n v="811.43"/>
    <n v="378.73"/>
    <s v="Debit Card"/>
    <s v="2024-03"/>
    <s v="1-10%"/>
    <n v="0.46674389657764692"/>
    <s v="No"/>
  </r>
  <r>
    <s v="ORD-101431"/>
    <d v="2024-03-29T00:00:00"/>
    <s v="CUST-00169"/>
    <x v="3"/>
    <x v="3"/>
    <s v="Men"/>
    <s v="Oxford Casual Shirt"/>
    <n v="1"/>
    <n v="1344.03"/>
    <n v="0.05"/>
    <n v="1276.83"/>
    <n v="431.68"/>
    <s v="Credit Card"/>
    <s v="2024-03"/>
    <s v="1-10%"/>
    <n v="0.33808729431482659"/>
    <s v="No"/>
  </r>
  <r>
    <s v="ORD-100417"/>
    <d v="2024-03-30T00:00:00"/>
    <s v="CUST-00048"/>
    <x v="0"/>
    <x v="3"/>
    <s v="Footwear"/>
    <s v="RunFlex Sneakers"/>
    <n v="1"/>
    <n v="3005.7"/>
    <n v="0.15"/>
    <n v="2554.84"/>
    <n v="530.97"/>
    <s v="Credit Card"/>
    <s v="2024-03"/>
    <s v="11-15%"/>
    <n v="0.2078290617024941"/>
    <s v="No"/>
  </r>
  <r>
    <s v="ORD-100485"/>
    <d v="2024-03-30T00:00:00"/>
    <s v="CUST-00455"/>
    <x v="2"/>
    <x v="0"/>
    <s v="Skincare"/>
    <s v="HydraBoost Moisturizer"/>
    <n v="1"/>
    <n v="1190.32"/>
    <n v="0.15"/>
    <n v="1011.77"/>
    <n v="372.72"/>
    <s v="UPI"/>
    <s v="2024-03"/>
    <s v="11-15%"/>
    <n v="0.36838411892030803"/>
    <s v="No"/>
  </r>
  <r>
    <s v="ORD-100736"/>
    <d v="2024-03-30T00:00:00"/>
    <s v="CUST-00466"/>
    <x v="0"/>
    <x v="3"/>
    <s v="Footwear"/>
    <s v="UrbanLoafers"/>
    <n v="1"/>
    <n v="3592.18"/>
    <n v="0"/>
    <n v="3592.18"/>
    <n v="1453.98"/>
    <s v="Debit Card"/>
    <s v="2024-03"/>
    <s v="No discount"/>
    <n v="0.40476256757734858"/>
    <s v="No"/>
  </r>
  <r>
    <s v="ORD-101262"/>
    <d v="2024-03-30T00:00:00"/>
    <s v="CUST-00363"/>
    <x v="0"/>
    <x v="4"/>
    <s v="Outdoor"/>
    <s v="TrailHike Backpack 60L"/>
    <n v="1"/>
    <n v="3657.41"/>
    <n v="0.1"/>
    <n v="3291.67"/>
    <n v="780.04"/>
    <s v="Debit Card"/>
    <s v="2024-03"/>
    <s v="1-10%"/>
    <n v="0.23697393724158253"/>
    <s v="No"/>
  </r>
  <r>
    <s v="ORD-101681"/>
    <d v="2024-03-30T00:00:00"/>
    <s v="CUST-00530"/>
    <x v="1"/>
    <x v="4"/>
    <s v="Fitness"/>
    <s v="Adjustable Dumbbell 24kg"/>
    <n v="2"/>
    <n v="10423.57"/>
    <n v="0.05"/>
    <n v="19804.78"/>
    <n v="7022.9"/>
    <s v="UPI"/>
    <s v="2024-03"/>
    <s v="1-10%"/>
    <n v="0.35460631221351613"/>
    <s v="No"/>
  </r>
  <r>
    <s v="ORD-101750"/>
    <d v="2024-03-31T00:00:00"/>
    <s v="CUST-00251"/>
    <x v="0"/>
    <x v="4"/>
    <s v="Outdoor"/>
    <s v="TrailHike Backpack 60L"/>
    <n v="1"/>
    <n v="3594.17"/>
    <n v="0.05"/>
    <n v="3414.46"/>
    <n v="1229.7"/>
    <s v="Credit Card"/>
    <s v="2024-03"/>
    <s v="1-10%"/>
    <n v="0.36014479595602233"/>
    <s v="No"/>
  </r>
  <r>
    <s v="ORD-101793"/>
    <d v="2024-03-31T00:00:00"/>
    <s v="CUST-00560"/>
    <x v="1"/>
    <x v="0"/>
    <s v="Makeup"/>
    <s v="Matte Lipstick Set"/>
    <n v="1"/>
    <n v="1027.6099999999999"/>
    <n v="0.25"/>
    <n v="770.71"/>
    <n v="208.64"/>
    <s v="UPI"/>
    <s v="2024-03"/>
    <s v="21%+"/>
    <n v="0.27071142193561776"/>
    <s v="No"/>
  </r>
  <r>
    <s v="ORD-100069"/>
    <d v="2024-04-02T00:00:00"/>
    <s v="CUST-00101"/>
    <x v="0"/>
    <x v="4"/>
    <s v="Outdoor"/>
    <s v="AllWeather Tent 4P"/>
    <n v="3"/>
    <n v="11481.15"/>
    <n v="0"/>
    <n v="34443.449999999997"/>
    <n v="13449.92"/>
    <s v="Cash on Delivery"/>
    <s v="2024-04"/>
    <s v="No discount"/>
    <n v="0.39049282229277266"/>
    <s v="No"/>
  </r>
  <r>
    <s v="ORD-100102"/>
    <d v="2024-04-02T00:00:00"/>
    <s v="CUST-00520"/>
    <x v="1"/>
    <x v="0"/>
    <s v="Skincare"/>
    <s v="HydraBoost Moisturizer"/>
    <n v="1"/>
    <n v="1183.26"/>
    <n v="0"/>
    <n v="1183.26"/>
    <n v="630.64"/>
    <s v="Cash on Delivery"/>
    <s v="2024-04"/>
    <s v="No discount"/>
    <n v="0.53296824028531342"/>
    <s v="No"/>
  </r>
  <r>
    <s v="ORD-100229"/>
    <d v="2024-04-02T00:00:00"/>
    <s v="CUST-00312"/>
    <x v="3"/>
    <x v="4"/>
    <s v="Outdoor"/>
    <s v="AllWeather Tent 4P"/>
    <n v="1"/>
    <n v="12323.38"/>
    <n v="0.05"/>
    <n v="11707.21"/>
    <n v="3730.54"/>
    <s v="Net Banking"/>
    <s v="2024-04"/>
    <s v="1-10%"/>
    <n v="0.31865320601578007"/>
    <s v="No"/>
  </r>
  <r>
    <s v="ORD-100315"/>
    <d v="2024-04-02T00:00:00"/>
    <s v="CUST-00515"/>
    <x v="2"/>
    <x v="4"/>
    <s v="Fitness"/>
    <s v="Adjustable Dumbbell 24kg"/>
    <n v="1"/>
    <n v="10088.59"/>
    <n v="0.2"/>
    <n v="8070.87"/>
    <n v="1441.24"/>
    <s v="Credit Card"/>
    <s v="2024-04"/>
    <s v="16-20%"/>
    <n v="0.17857306585287583"/>
    <s v="No"/>
  </r>
  <r>
    <s v="ORD-100400"/>
    <d v="2024-04-02T00:00:00"/>
    <s v="CUST-00168"/>
    <x v="3"/>
    <x v="1"/>
    <s v="Mobile"/>
    <s v="iPhone Zeta"/>
    <n v="4"/>
    <n v="67446.179999999993"/>
    <n v="0.1"/>
    <n v="242806.25"/>
    <n v="14103.34"/>
    <s v="UPI"/>
    <s v="2024-04"/>
    <s v="1-10%"/>
    <n v="5.8084748642178691E-2"/>
    <s v="No"/>
  </r>
  <r>
    <s v="ORD-100520"/>
    <d v="2024-04-02T00:00:00"/>
    <s v="CUST-00144"/>
    <x v="2"/>
    <x v="0"/>
    <s v="Skincare"/>
    <s v="Vitamin C Serum"/>
    <n v="5"/>
    <n v="855.84"/>
    <n v="0.05"/>
    <n v="4065.24"/>
    <n v="2119.0700000000002"/>
    <s v="Credit Card"/>
    <s v="2024-04"/>
    <s v="1-10%"/>
    <n v="0.52126565713217432"/>
    <s v="No"/>
  </r>
  <r>
    <s v="ORD-100985"/>
    <d v="2024-04-02T00:00:00"/>
    <s v="CUST-00321"/>
    <x v="2"/>
    <x v="3"/>
    <s v="Women"/>
    <s v="Floral Summer Dress"/>
    <n v="1"/>
    <n v="1842.15"/>
    <n v="0.1"/>
    <n v="1657.94"/>
    <n v="550.27"/>
    <s v="Debit Card"/>
    <s v="2024-04"/>
    <s v="1-10%"/>
    <n v="0.3318998274967731"/>
    <s v="No"/>
  </r>
  <r>
    <s v="ORD-101745"/>
    <d v="2024-04-02T00:00:00"/>
    <s v="CUST-00097"/>
    <x v="3"/>
    <x v="2"/>
    <s v="Appliances"/>
    <s v="ColdBrew Coffee Maker"/>
    <n v="1"/>
    <n v="6303.41"/>
    <n v="0.05"/>
    <n v="5988.24"/>
    <n v="1394.36"/>
    <s v="Credit Card"/>
    <s v="2024-04"/>
    <s v="1-10%"/>
    <n v="0.23284971878214633"/>
    <s v="No"/>
  </r>
  <r>
    <s v="ORD-101781"/>
    <d v="2024-04-02T00:00:00"/>
    <s v="CUST-00544"/>
    <x v="2"/>
    <x v="1"/>
    <s v="Mobile"/>
    <s v="iPhone Zeta"/>
    <n v="5"/>
    <n v="71519.570000000007"/>
    <n v="0"/>
    <n v="357597.85"/>
    <n v="57243.54"/>
    <s v="Net Banking"/>
    <s v="2024-04"/>
    <s v="No discount"/>
    <n v="0.1600779758603135"/>
    <s v="No"/>
  </r>
  <r>
    <s v="ORD-101881"/>
    <d v="2024-04-02T00:00:00"/>
    <s v="CUST-00102"/>
    <x v="2"/>
    <x v="1"/>
    <s v="Laptop"/>
    <s v="ThinkPro 14"/>
    <n v="1"/>
    <n v="53786.46"/>
    <n v="0"/>
    <n v="53786.46"/>
    <n v="11452.85"/>
    <s v="Credit Card"/>
    <s v="2024-04"/>
    <s v="No discount"/>
    <n v="0.21293184195427622"/>
    <s v="No"/>
  </r>
  <r>
    <s v="ORD-101444"/>
    <d v="2024-04-03T00:00:00"/>
    <s v="CUST-00385"/>
    <x v="2"/>
    <x v="2"/>
    <s v="Furniture"/>
    <s v="Oakwood Study Desk"/>
    <n v="2"/>
    <n v="12793.9"/>
    <n v="0.25"/>
    <n v="19190.849999999999"/>
    <n v="705.48"/>
    <s v="Cash on Delivery"/>
    <s v="2024-04"/>
    <s v="21%+"/>
    <n v="3.6761269042277965E-2"/>
    <s v="No"/>
  </r>
  <r>
    <s v="ORD-101577"/>
    <d v="2024-04-03T00:00:00"/>
    <s v="CUST-00441"/>
    <x v="2"/>
    <x v="2"/>
    <s v="Appliances"/>
    <s v="ColdBrew Coffee Maker"/>
    <n v="1"/>
    <n v="6242.79"/>
    <n v="0"/>
    <n v="6242.79"/>
    <n v="2097.56"/>
    <s v="Cash on Delivery"/>
    <s v="2024-04"/>
    <s v="No discount"/>
    <n v="0.33599720637727681"/>
    <s v="No"/>
  </r>
  <r>
    <s v="ORD-101848"/>
    <d v="2024-04-03T00:00:00"/>
    <s v="CUST-00011"/>
    <x v="2"/>
    <x v="0"/>
    <s v="Makeup"/>
    <s v="Matte Lipstick Set"/>
    <n v="2"/>
    <n v="1035.46"/>
    <n v="0.3"/>
    <n v="1449.64"/>
    <n v="296.44"/>
    <s v="UPI"/>
    <s v="2024-04"/>
    <s v="21%+"/>
    <n v="0.20449214977511657"/>
    <s v="No"/>
  </r>
  <r>
    <s v="ORD-101115"/>
    <d v="2024-04-04T00:00:00"/>
    <s v="CUST-00567"/>
    <x v="2"/>
    <x v="3"/>
    <s v="Footwear"/>
    <s v="RunFlex Sneakers"/>
    <n v="3"/>
    <n v="2958.39"/>
    <n v="0.3"/>
    <n v="6212.62"/>
    <n v="595.52"/>
    <s v="Net Banking"/>
    <s v="2024-04"/>
    <s v="21%+"/>
    <n v="9.5856498546506949E-2"/>
    <s v="No"/>
  </r>
  <r>
    <s v="ORD-101271"/>
    <d v="2024-04-04T00:00:00"/>
    <s v="CUST-00009"/>
    <x v="0"/>
    <x v="0"/>
    <s v="Skincare"/>
    <s v="Vitamin C Serum"/>
    <n v="2"/>
    <n v="863.57"/>
    <n v="0.15"/>
    <n v="1468.07"/>
    <n v="511.18"/>
    <s v="UPI"/>
    <s v="2024-04"/>
    <s v="11-15%"/>
    <n v="0.34819865537746841"/>
    <s v="No"/>
  </r>
  <r>
    <s v="ORD-101529"/>
    <d v="2024-04-04T00:00:00"/>
    <s v="CUST-00466"/>
    <x v="2"/>
    <x v="0"/>
    <s v="Skincare"/>
    <s v="HydraBoost Moisturizer"/>
    <n v="1"/>
    <n v="1145.31"/>
    <n v="0.05"/>
    <n v="1088.04"/>
    <n v="566.47"/>
    <s v="UPI"/>
    <s v="2024-04"/>
    <s v="1-10%"/>
    <n v="0.52063343259438999"/>
    <s v="No"/>
  </r>
  <r>
    <s v="ORD-100205"/>
    <d v="2024-04-05T00:00:00"/>
    <s v="CUST-00285"/>
    <x v="3"/>
    <x v="3"/>
    <s v="Footwear"/>
    <s v="UrbanLoafers"/>
    <n v="1"/>
    <n v="3418.07"/>
    <n v="0.1"/>
    <n v="3076.26"/>
    <n v="917.15"/>
    <s v="Credit Card"/>
    <s v="2024-04"/>
    <s v="1-10%"/>
    <n v="0.29813799873872815"/>
    <s v="No"/>
  </r>
  <r>
    <s v="ORD-100280"/>
    <d v="2024-04-05T00:00:00"/>
    <s v="CUST-00351"/>
    <x v="1"/>
    <x v="4"/>
    <s v="Fitness"/>
    <s v="ProYoga Mat"/>
    <n v="3"/>
    <n v="1235.31"/>
    <n v="0.2"/>
    <n v="2964.74"/>
    <n v="358.95"/>
    <s v="UPI"/>
    <s v="2024-04"/>
    <s v="16-20%"/>
    <n v="0.12107301146137604"/>
    <s v="No"/>
  </r>
  <r>
    <s v="ORD-100545"/>
    <d v="2024-04-05T00:00:00"/>
    <s v="CUST-00350"/>
    <x v="3"/>
    <x v="2"/>
    <s v="Appliances"/>
    <s v="AirFryer Deluxe"/>
    <n v="1"/>
    <n v="7980.15"/>
    <n v="0.2"/>
    <n v="6384.12"/>
    <n v="670.62"/>
    <s v="Debit Card"/>
    <s v="2024-04"/>
    <s v="16-20%"/>
    <n v="0.1050450179507904"/>
    <s v="No"/>
  </r>
  <r>
    <s v="ORD-100686"/>
    <d v="2024-04-05T00:00:00"/>
    <s v="CUST-00059"/>
    <x v="0"/>
    <x v="4"/>
    <s v="Fitness"/>
    <s v="Adjustable Dumbbell 24kg"/>
    <n v="2"/>
    <n v="9804.68"/>
    <n v="0"/>
    <n v="19609.36"/>
    <n v="7876.03"/>
    <s v="Credit Card"/>
    <s v="2024-04"/>
    <s v="No discount"/>
    <n v="0.40164645862996035"/>
    <s v="No"/>
  </r>
  <r>
    <s v="ORD-100862"/>
    <d v="2024-04-05T00:00:00"/>
    <s v="CUST-00417"/>
    <x v="3"/>
    <x v="0"/>
    <s v="Skincare"/>
    <s v="HydraBoost Moisturizer"/>
    <n v="1"/>
    <n v="1170.74"/>
    <n v="0"/>
    <n v="1170.74"/>
    <n v="658.52"/>
    <s v="UPI"/>
    <s v="2024-04"/>
    <s v="No discount"/>
    <n v="0.56248184908690224"/>
    <s v="No"/>
  </r>
  <r>
    <s v="ORD-101284"/>
    <d v="2024-04-05T00:00:00"/>
    <s v="CUST-00153"/>
    <x v="2"/>
    <x v="2"/>
    <s v="Furniture"/>
    <s v="ErgoComfort Chair"/>
    <n v="2"/>
    <n v="9318.6299999999992"/>
    <n v="0.15"/>
    <n v="15841.67"/>
    <n v="2588.66"/>
    <s v="UPI"/>
    <s v="2024-04"/>
    <s v="11-15%"/>
    <n v="0.16340827703139882"/>
    <s v="No"/>
  </r>
  <r>
    <s v="ORD-100547"/>
    <d v="2024-04-06T00:00:00"/>
    <s v="CUST-00583"/>
    <x v="2"/>
    <x v="2"/>
    <s v="Furniture"/>
    <s v="ErgoComfort Chair"/>
    <n v="1"/>
    <n v="8617.92"/>
    <n v="0"/>
    <n v="8617.92"/>
    <n v="2530.29"/>
    <s v="Credit Card"/>
    <s v="2024-04"/>
    <s v="No discount"/>
    <n v="0.29360797036872005"/>
    <s v="No"/>
  </r>
  <r>
    <s v="ORD-100906"/>
    <d v="2024-04-06T00:00:00"/>
    <s v="CUST-00149"/>
    <x v="2"/>
    <x v="2"/>
    <s v="Appliances"/>
    <s v="AirFryer Deluxe"/>
    <n v="2"/>
    <n v="7628.34"/>
    <n v="0.05"/>
    <n v="14493.85"/>
    <n v="4226.33"/>
    <s v="UPI"/>
    <s v="2024-04"/>
    <s v="1-10%"/>
    <n v="0.2915947108601234"/>
    <s v="No"/>
  </r>
  <r>
    <s v="ORD-101086"/>
    <d v="2024-04-06T00:00:00"/>
    <s v="CUST-00346"/>
    <x v="2"/>
    <x v="1"/>
    <s v="Laptop"/>
    <s v="ThinkPro 14"/>
    <n v="5"/>
    <n v="52726.6"/>
    <n v="0.15"/>
    <n v="224088.05"/>
    <n v="-2762.44"/>
    <s v="UPI"/>
    <s v="2024-04"/>
    <s v="11-15%"/>
    <n v="-1.2327475740004878E-2"/>
    <s v="Yes"/>
  </r>
  <r>
    <s v="ORD-101998"/>
    <d v="2024-04-06T00:00:00"/>
    <s v="CUST-00463"/>
    <x v="0"/>
    <x v="4"/>
    <s v="Outdoor"/>
    <s v="TrailHike Backpack 60L"/>
    <n v="1"/>
    <n v="3416.5"/>
    <n v="0"/>
    <n v="3416.5"/>
    <n v="1264.68"/>
    <s v="UPI"/>
    <s v="2024-04"/>
    <s v="No discount"/>
    <n v="0.37016830089272651"/>
    <s v="No"/>
  </r>
  <r>
    <s v="ORD-100152"/>
    <d v="2024-04-07T00:00:00"/>
    <s v="CUST-00144"/>
    <x v="3"/>
    <x v="2"/>
    <s v="Decor"/>
    <s v="Ceramic Vase Set"/>
    <n v="1"/>
    <n v="1558.52"/>
    <n v="0.2"/>
    <n v="1246.82"/>
    <n v="157.30000000000001"/>
    <s v="UPI"/>
    <s v="2024-04"/>
    <s v="16-20%"/>
    <n v="0.12616095346561654"/>
    <s v="No"/>
  </r>
  <r>
    <s v="ORD-100378"/>
    <d v="2024-04-07T00:00:00"/>
    <s v="CUST-00308"/>
    <x v="1"/>
    <x v="0"/>
    <s v="Skincare"/>
    <s v="Vitamin C Serum"/>
    <n v="2"/>
    <n v="869.59"/>
    <n v="0.15"/>
    <n v="1478.3"/>
    <n v="596.58000000000004"/>
    <s v="Credit Card"/>
    <s v="2024-04"/>
    <s v="11-15%"/>
    <n v="0.40355814110802951"/>
    <s v="No"/>
  </r>
  <r>
    <s v="ORD-100999"/>
    <d v="2024-04-07T00:00:00"/>
    <s v="CUST-00542"/>
    <x v="2"/>
    <x v="4"/>
    <s v="Fitness"/>
    <s v="ProYoga Mat"/>
    <n v="1"/>
    <n v="1244.6500000000001"/>
    <n v="0.1"/>
    <n v="1120.19"/>
    <n v="292.52"/>
    <s v="UPI"/>
    <s v="2024-04"/>
    <s v="1-10%"/>
    <n v="0.26113427186459437"/>
    <s v="No"/>
  </r>
  <r>
    <s v="ORD-101723"/>
    <d v="2024-04-07T00:00:00"/>
    <s v="CUST-00463"/>
    <x v="2"/>
    <x v="4"/>
    <s v="Fitness"/>
    <s v="Adjustable Dumbbell 24kg"/>
    <n v="1"/>
    <n v="10057.34"/>
    <n v="0.15"/>
    <n v="8548.74"/>
    <n v="1674.03"/>
    <s v="UPI"/>
    <s v="2024-04"/>
    <s v="11-15%"/>
    <n v="0.19582184041156941"/>
    <s v="No"/>
  </r>
  <r>
    <s v="ORD-100810"/>
    <d v="2024-04-08T00:00:00"/>
    <s v="CUST-00144"/>
    <x v="2"/>
    <x v="3"/>
    <s v="Men"/>
    <s v="SlimFit Denim Jeans"/>
    <n v="1"/>
    <n v="2056.9699999999998"/>
    <n v="0.1"/>
    <n v="1851.27"/>
    <n v="503.33"/>
    <s v="Cash on Delivery"/>
    <s v="2024-04"/>
    <s v="1-10%"/>
    <n v="0.27188362583523745"/>
    <s v="No"/>
  </r>
  <r>
    <s v="ORD-100897"/>
    <d v="2024-04-08T00:00:00"/>
    <s v="CUST-00326"/>
    <x v="3"/>
    <x v="2"/>
    <s v="Furniture"/>
    <s v="ErgoComfort Chair"/>
    <n v="1"/>
    <n v="8740.27"/>
    <n v="0.05"/>
    <n v="8303.26"/>
    <n v="2244.2399999999998"/>
    <s v="Credit Card"/>
    <s v="2024-04"/>
    <s v="1-10%"/>
    <n v="0.27028420162683087"/>
    <s v="No"/>
  </r>
  <r>
    <s v="ORD-100963"/>
    <d v="2024-04-08T00:00:00"/>
    <s v="CUST-00585"/>
    <x v="0"/>
    <x v="2"/>
    <s v="Decor"/>
    <s v="LED Wall Lamp"/>
    <n v="4"/>
    <n v="981.31"/>
    <n v="0"/>
    <n v="3925.24"/>
    <n v="1307.8900000000001"/>
    <s v="Credit Card"/>
    <s v="2024-04"/>
    <s v="No discount"/>
    <n v="0.33320000815236778"/>
    <s v="No"/>
  </r>
  <r>
    <s v="ORD-101587"/>
    <d v="2024-04-08T00:00:00"/>
    <s v="CUST-00088"/>
    <x v="0"/>
    <x v="2"/>
    <s v="Appliances"/>
    <s v="AirFryer Deluxe"/>
    <n v="1"/>
    <n v="7676.47"/>
    <n v="0"/>
    <n v="7676.47"/>
    <n v="2738.98"/>
    <s v="UPI"/>
    <s v="2024-04"/>
    <s v="No discount"/>
    <n v="0.35680201967831565"/>
    <s v="No"/>
  </r>
  <r>
    <s v="ORD-101851"/>
    <d v="2024-04-08T00:00:00"/>
    <s v="CUST-00103"/>
    <x v="3"/>
    <x v="2"/>
    <s v="Appliances"/>
    <s v="ColdBrew Coffee Maker"/>
    <n v="1"/>
    <n v="6275.39"/>
    <n v="0"/>
    <n v="6275.39"/>
    <n v="1849.94"/>
    <s v="UPI"/>
    <s v="2024-04"/>
    <s v="No discount"/>
    <n v="0.29479283359281255"/>
    <s v="No"/>
  </r>
  <r>
    <s v="ORD-101292"/>
    <d v="2024-04-09T00:00:00"/>
    <s v="CUST-00465"/>
    <x v="3"/>
    <x v="1"/>
    <s v="Mobile"/>
    <s v="iPhone Zeta"/>
    <n v="2"/>
    <n v="67396.460000000006"/>
    <n v="0.1"/>
    <n v="121313.63"/>
    <n v="9773.61"/>
    <s v="UPI"/>
    <s v="2024-04"/>
    <s v="1-10%"/>
    <n v="8.0564813698180499E-2"/>
    <s v="No"/>
  </r>
  <r>
    <s v="ORD-101325"/>
    <d v="2024-04-09T00:00:00"/>
    <s v="CUST-00033"/>
    <x v="3"/>
    <x v="4"/>
    <s v="Outdoor"/>
    <s v="TrailHike Backpack 60L"/>
    <n v="4"/>
    <n v="3658.61"/>
    <n v="0.05"/>
    <n v="13902.72"/>
    <n v="4762.21"/>
    <s v="UPI"/>
    <s v="2024-04"/>
    <s v="1-10%"/>
    <n v="0.34253800695115777"/>
    <s v="No"/>
  </r>
  <r>
    <s v="ORD-100016"/>
    <d v="2024-04-10T00:00:00"/>
    <s v="CUST-00554"/>
    <x v="0"/>
    <x v="3"/>
    <s v="Men"/>
    <s v="SlimFit Denim Jeans"/>
    <n v="1"/>
    <n v="1935.73"/>
    <n v="0"/>
    <n v="1935.73"/>
    <n v="807.22"/>
    <s v="UPI"/>
    <s v="2024-04"/>
    <s v="No discount"/>
    <n v="0.41701063681401851"/>
    <s v="No"/>
  </r>
  <r>
    <s v="ORD-100326"/>
    <d v="2024-04-10T00:00:00"/>
    <s v="CUST-00261"/>
    <x v="1"/>
    <x v="1"/>
    <s v="Audio"/>
    <s v="BassBoom Speaker"/>
    <n v="1"/>
    <n v="9259.57"/>
    <n v="0.15"/>
    <n v="7870.63"/>
    <n v="-15.75"/>
    <s v="Debit Card"/>
    <s v="2024-04"/>
    <s v="11-15%"/>
    <n v="-2.001110457485614E-3"/>
    <s v="Yes"/>
  </r>
  <r>
    <s v="ORD-100443"/>
    <d v="2024-04-10T00:00:00"/>
    <s v="CUST-00599"/>
    <x v="3"/>
    <x v="1"/>
    <s v="Audio"/>
    <s v="BassBoom Speaker"/>
    <n v="4"/>
    <n v="9375.2000000000007"/>
    <n v="0.05"/>
    <n v="35625.760000000002"/>
    <n v="5385.49"/>
    <s v="UPI"/>
    <s v="2024-04"/>
    <s v="1-10%"/>
    <n v="0.15116842419642415"/>
    <s v="No"/>
  </r>
  <r>
    <s v="ORD-100570"/>
    <d v="2024-04-10T00:00:00"/>
    <s v="CUST-00436"/>
    <x v="0"/>
    <x v="0"/>
    <s v="Skincare"/>
    <s v="HydraBoost Moisturizer"/>
    <n v="1"/>
    <n v="1178.3599999999999"/>
    <n v="0"/>
    <n v="1178.3599999999999"/>
    <n v="655.86"/>
    <s v="UPI"/>
    <s v="2024-04"/>
    <s v="No discount"/>
    <n v="0.55658712108353992"/>
    <s v="No"/>
  </r>
  <r>
    <s v="ORD-101308"/>
    <d v="2024-04-11T00:00:00"/>
    <s v="CUST-00497"/>
    <x v="3"/>
    <x v="4"/>
    <s v="Outdoor"/>
    <s v="TrailHike Backpack 60L"/>
    <n v="3"/>
    <n v="3518.78"/>
    <n v="0.05"/>
    <n v="10028.52"/>
    <n v="3067.82"/>
    <s v="UPI"/>
    <s v="2024-04"/>
    <s v="1-10%"/>
    <n v="0.30590954597487963"/>
    <s v="No"/>
  </r>
  <r>
    <s v="ORD-101807"/>
    <d v="2024-04-11T00:00:00"/>
    <s v="CUST-00308"/>
    <x v="3"/>
    <x v="4"/>
    <s v="Fitness"/>
    <s v="Adjustable Dumbbell 24kg"/>
    <n v="1"/>
    <n v="9660.6"/>
    <n v="0"/>
    <n v="9660.6"/>
    <n v="3412.58"/>
    <s v="UPI"/>
    <s v="2024-04"/>
    <s v="No discount"/>
    <n v="0.35324721031819967"/>
    <s v="No"/>
  </r>
  <r>
    <s v="ORD-100236"/>
    <d v="2024-04-12T00:00:00"/>
    <s v="CUST-00247"/>
    <x v="0"/>
    <x v="3"/>
    <s v="Men"/>
    <s v="Oxford Casual Shirt"/>
    <n v="2"/>
    <n v="1339.36"/>
    <n v="0"/>
    <n v="2678.72"/>
    <n v="1078.1199999999999"/>
    <s v="Credit Card"/>
    <s v="2024-04"/>
    <s v="No discount"/>
    <n v="0.40247580934177518"/>
    <s v="No"/>
  </r>
  <r>
    <s v="ORD-100714"/>
    <d v="2024-04-12T00:00:00"/>
    <s v="CUST-00022"/>
    <x v="1"/>
    <x v="4"/>
    <s v="Fitness"/>
    <s v="Adjustable Dumbbell 24kg"/>
    <n v="4"/>
    <n v="9599.27"/>
    <n v="0.3"/>
    <n v="26877.96"/>
    <n v="998.31"/>
    <s v="Debit Card"/>
    <s v="2024-04"/>
    <s v="21%+"/>
    <n v="3.7142327765946524E-2"/>
    <s v="No"/>
  </r>
  <r>
    <s v="ORD-100957"/>
    <d v="2024-04-12T00:00:00"/>
    <s v="CUST-00318"/>
    <x v="0"/>
    <x v="0"/>
    <s v="Makeup"/>
    <s v="HD Foundation Kit"/>
    <n v="1"/>
    <n v="1492.55"/>
    <n v="0"/>
    <n v="1492.55"/>
    <n v="762.07"/>
    <s v="UPI"/>
    <s v="2024-04"/>
    <s v="No discount"/>
    <n v="0.51058256004823965"/>
    <s v="No"/>
  </r>
  <r>
    <s v="ORD-101299"/>
    <d v="2024-04-12T00:00:00"/>
    <s v="CUST-00283"/>
    <x v="2"/>
    <x v="1"/>
    <s v="Mobile"/>
    <s v="iPhone Zeta"/>
    <n v="1"/>
    <n v="71984.179999999993"/>
    <n v="0"/>
    <n v="71984.179999999993"/>
    <n v="10784.02"/>
    <s v="Debit Card"/>
    <s v="2024-04"/>
    <s v="No discount"/>
    <n v="0.14981097235531476"/>
    <s v="No"/>
  </r>
  <r>
    <s v="ORD-101381"/>
    <d v="2024-04-12T00:00:00"/>
    <s v="CUST-00520"/>
    <x v="3"/>
    <x v="1"/>
    <s v="Audio"/>
    <s v="SoundPods Pro"/>
    <n v="1"/>
    <n v="5131.8"/>
    <n v="0.05"/>
    <n v="4875.21"/>
    <n v="443.99"/>
    <s v="Credit Card"/>
    <s v="2024-04"/>
    <s v="1-10%"/>
    <n v="9.1070948738618443E-2"/>
    <s v="No"/>
  </r>
  <r>
    <s v="ORD-101653"/>
    <d v="2024-04-12T00:00:00"/>
    <s v="CUST-00238"/>
    <x v="3"/>
    <x v="3"/>
    <s v="Women"/>
    <s v="Knit Winter Sweater"/>
    <n v="2"/>
    <n v="2217.9"/>
    <n v="0.15"/>
    <n v="3770.43"/>
    <n v="836.9"/>
    <s v="Debit Card"/>
    <s v="2024-04"/>
    <s v="11-15%"/>
    <n v="0.22196407306328456"/>
    <s v="No"/>
  </r>
  <r>
    <s v="ORD-100003"/>
    <d v="2024-04-13T00:00:00"/>
    <s v="CUST-00465"/>
    <x v="2"/>
    <x v="0"/>
    <s v="Makeup"/>
    <s v="Matte Lipstick Set"/>
    <n v="2"/>
    <n v="971.82"/>
    <n v="0"/>
    <n v="1943.64"/>
    <n v="1036.25"/>
    <s v="UPI"/>
    <s v="2024-04"/>
    <s v="No discount"/>
    <n v="0.53314914284538284"/>
    <s v="No"/>
  </r>
  <r>
    <s v="ORD-100702"/>
    <d v="2024-04-13T00:00:00"/>
    <s v="CUST-00259"/>
    <x v="3"/>
    <x v="2"/>
    <s v="Furniture"/>
    <s v="Oakwood Study Desk"/>
    <n v="1"/>
    <n v="13317.16"/>
    <n v="0"/>
    <n v="13317.16"/>
    <n v="4087.81"/>
    <s v="Net Banking"/>
    <s v="2024-04"/>
    <s v="No discount"/>
    <n v="0.30695809016336817"/>
    <s v="No"/>
  </r>
  <r>
    <s v="ORD-100859"/>
    <d v="2024-04-14T00:00:00"/>
    <s v="CUST-00497"/>
    <x v="2"/>
    <x v="2"/>
    <s v="Decor"/>
    <s v="LED Wall Lamp"/>
    <n v="1"/>
    <n v="1042.96"/>
    <n v="0.15"/>
    <n v="886.52"/>
    <n v="106.72"/>
    <s v="Cash on Delivery"/>
    <s v="2024-04"/>
    <s v="11-15%"/>
    <n v="0.12038081487163291"/>
    <s v="No"/>
  </r>
  <r>
    <s v="ORD-101242"/>
    <d v="2024-04-14T00:00:00"/>
    <s v="CUST-00268"/>
    <x v="1"/>
    <x v="3"/>
    <s v="Men"/>
    <s v="SlimFit Denim Jeans"/>
    <n v="3"/>
    <n v="2074.6"/>
    <n v="0.1"/>
    <n v="5601.42"/>
    <n v="1885.11"/>
    <s v="Debit Card"/>
    <s v="2024-04"/>
    <s v="1-10%"/>
    <n v="0.33654144841843675"/>
    <s v="No"/>
  </r>
  <r>
    <s v="ORD-100448"/>
    <d v="2024-04-15T00:00:00"/>
    <s v="CUST-00073"/>
    <x v="2"/>
    <x v="3"/>
    <s v="Footwear"/>
    <s v="UrbanLoafers"/>
    <n v="1"/>
    <n v="3374.39"/>
    <n v="0.05"/>
    <n v="3205.67"/>
    <n v="1230.97"/>
    <s v="Credit Card"/>
    <s v="2024-04"/>
    <s v="1-10%"/>
    <n v="0.38399772902388579"/>
    <s v="No"/>
  </r>
  <r>
    <s v="ORD-100632"/>
    <d v="2024-04-15T00:00:00"/>
    <s v="CUST-00316"/>
    <x v="1"/>
    <x v="3"/>
    <s v="Footwear"/>
    <s v="RunFlex Sneakers"/>
    <n v="4"/>
    <n v="2981.62"/>
    <n v="0.1"/>
    <n v="10733.83"/>
    <n v="2885.47"/>
    <s v="Credit Card"/>
    <s v="2024-04"/>
    <s v="1-10%"/>
    <n v="0.26882016950147336"/>
    <s v="No"/>
  </r>
  <r>
    <s v="ORD-100770"/>
    <d v="2024-04-15T00:00:00"/>
    <s v="CUST-00049"/>
    <x v="3"/>
    <x v="1"/>
    <s v="Audio"/>
    <s v="BassBoom Speaker"/>
    <n v="1"/>
    <n v="8817.6200000000008"/>
    <n v="0"/>
    <n v="8817.6200000000008"/>
    <n v="1928.57"/>
    <s v="Credit Card"/>
    <s v="2024-04"/>
    <s v="No discount"/>
    <n v="0.21871774923392023"/>
    <s v="No"/>
  </r>
  <r>
    <s v="ORD-101180"/>
    <d v="2024-04-15T00:00:00"/>
    <s v="CUST-00141"/>
    <x v="3"/>
    <x v="0"/>
    <s v="Skincare"/>
    <s v="Vitamin C Serum"/>
    <n v="1"/>
    <n v="886.13"/>
    <n v="0.2"/>
    <n v="708.9"/>
    <n v="241.53"/>
    <s v="Credit Card"/>
    <s v="2024-04"/>
    <s v="16-20%"/>
    <n v="0.34071096064325013"/>
    <s v="No"/>
  </r>
  <r>
    <s v="ORD-101645"/>
    <d v="2024-04-15T00:00:00"/>
    <s v="CUST-00176"/>
    <x v="2"/>
    <x v="4"/>
    <s v="Outdoor"/>
    <s v="AllWeather Tent 4P"/>
    <n v="2"/>
    <n v="11425.09"/>
    <n v="0.2"/>
    <n v="18280.14"/>
    <n v="2076.0300000000002"/>
    <s v="Debit Card"/>
    <s v="2024-04"/>
    <s v="16-20%"/>
    <n v="0.11356751097092256"/>
    <s v="No"/>
  </r>
  <r>
    <s v="ORD-101913"/>
    <d v="2024-04-15T00:00:00"/>
    <s v="CUST-00540"/>
    <x v="3"/>
    <x v="4"/>
    <s v="Outdoor"/>
    <s v="AllWeather Tent 4P"/>
    <n v="1"/>
    <n v="12128.83"/>
    <n v="0.3"/>
    <n v="8490.18"/>
    <n v="62.67"/>
    <s v="Net Banking"/>
    <s v="2024-04"/>
    <s v="21%+"/>
    <n v="7.3814689441213258E-3"/>
    <s v="No"/>
  </r>
  <r>
    <s v="ORD-100304"/>
    <d v="2024-04-16T00:00:00"/>
    <s v="CUST-00446"/>
    <x v="2"/>
    <x v="1"/>
    <s v="Mobile"/>
    <s v="iPhone Zeta"/>
    <n v="1"/>
    <n v="67974.5"/>
    <n v="0.1"/>
    <n v="61177.05"/>
    <n v="4610.37"/>
    <s v="Credit Card"/>
    <s v="2024-04"/>
    <s v="1-10%"/>
    <n v="7.536110355108655E-2"/>
    <s v="No"/>
  </r>
  <r>
    <s v="ORD-100720"/>
    <d v="2024-04-16T00:00:00"/>
    <s v="CUST-00512"/>
    <x v="0"/>
    <x v="2"/>
    <s v="Appliances"/>
    <s v="AirFryer Deluxe"/>
    <n v="2"/>
    <n v="8132.8"/>
    <n v="0"/>
    <n v="16265.6"/>
    <n v="5109.43"/>
    <s v="UPI"/>
    <s v="2024-04"/>
    <s v="No discount"/>
    <n v="0.31412490163289397"/>
    <s v="No"/>
  </r>
  <r>
    <s v="ORD-100749"/>
    <d v="2024-04-16T00:00:00"/>
    <s v="CUST-00017"/>
    <x v="2"/>
    <x v="0"/>
    <s v="Makeup"/>
    <s v="Matte Lipstick Set"/>
    <n v="4"/>
    <n v="986.32"/>
    <n v="0.05"/>
    <n v="3748.02"/>
    <n v="1861.72"/>
    <s v="Credit Card"/>
    <s v="2024-04"/>
    <s v="1-10%"/>
    <n v="0.49672093532051592"/>
    <s v="No"/>
  </r>
  <r>
    <s v="ORD-100881"/>
    <d v="2024-04-16T00:00:00"/>
    <s v="CUST-00030"/>
    <x v="0"/>
    <x v="0"/>
    <s v="Skincare"/>
    <s v="HydraBoost Moisturizer"/>
    <n v="5"/>
    <n v="1197.8399999999999"/>
    <n v="0.1"/>
    <n v="5390.28"/>
    <n v="2333.3200000000002"/>
    <s v="Debit Card"/>
    <s v="2024-04"/>
    <s v="1-10%"/>
    <n v="0.43287547214615946"/>
    <s v="No"/>
  </r>
  <r>
    <s v="ORD-101765"/>
    <d v="2024-04-16T00:00:00"/>
    <s v="CUST-00296"/>
    <x v="2"/>
    <x v="3"/>
    <s v="Footwear"/>
    <s v="RunFlex Sneakers"/>
    <n v="5"/>
    <n v="2963.31"/>
    <n v="0"/>
    <n v="14816.55"/>
    <n v="5785.28"/>
    <s v="Credit Card"/>
    <s v="2024-04"/>
    <s v="No discount"/>
    <n v="0.39046066729434314"/>
    <s v="No"/>
  </r>
  <r>
    <s v="ORD-100964"/>
    <d v="2024-04-17T00:00:00"/>
    <s v="CUST-00257"/>
    <x v="1"/>
    <x v="3"/>
    <s v="Men"/>
    <s v="SlimFit Denim Jeans"/>
    <n v="1"/>
    <n v="1927.55"/>
    <n v="0.15"/>
    <n v="1638.42"/>
    <n v="426.38"/>
    <s v="Debit Card"/>
    <s v="2024-04"/>
    <s v="11-15%"/>
    <n v="0.26023852247897361"/>
    <s v="No"/>
  </r>
  <r>
    <s v="ORD-100715"/>
    <d v="2024-04-18T00:00:00"/>
    <s v="CUST-00347"/>
    <x v="0"/>
    <x v="1"/>
    <s v="Mobile"/>
    <s v="iPhone Zeta"/>
    <n v="4"/>
    <n v="71889.8"/>
    <n v="0"/>
    <n v="287559.2"/>
    <n v="46415.65"/>
    <s v="Credit Card"/>
    <s v="2024-04"/>
    <s v="No discount"/>
    <n v="0.16141250219085321"/>
    <s v="No"/>
  </r>
  <r>
    <s v="ORD-101039"/>
    <d v="2024-04-18T00:00:00"/>
    <s v="CUST-00058"/>
    <x v="0"/>
    <x v="2"/>
    <s v="Appliances"/>
    <s v="AirFryer Deluxe"/>
    <n v="1"/>
    <n v="8296.0400000000009"/>
    <n v="0.1"/>
    <n v="7466.44"/>
    <n v="1581.85"/>
    <s v="Debit Card"/>
    <s v="2024-04"/>
    <s v="1-10%"/>
    <n v="0.21186134221931738"/>
    <s v="No"/>
  </r>
  <r>
    <s v="ORD-100339"/>
    <d v="2024-04-19T00:00:00"/>
    <s v="CUST-00081"/>
    <x v="1"/>
    <x v="3"/>
    <s v="Footwear"/>
    <s v="RunFlex Sneakers"/>
    <n v="3"/>
    <n v="2909.86"/>
    <n v="0"/>
    <n v="8729.58"/>
    <n v="3491.62"/>
    <s v="UPI"/>
    <s v="2024-04"/>
    <s v="No discount"/>
    <n v="0.39997571475374533"/>
    <s v="No"/>
  </r>
  <r>
    <s v="ORD-100394"/>
    <d v="2024-04-19T00:00:00"/>
    <s v="CUST-00027"/>
    <x v="1"/>
    <x v="1"/>
    <s v="Laptop"/>
    <s v="AirBook Slim"/>
    <n v="5"/>
    <n v="80939.289999999994"/>
    <n v="0.05"/>
    <n v="384461.63"/>
    <n v="56991.01"/>
    <s v="Debit Card"/>
    <s v="2024-04"/>
    <s v="1-10%"/>
    <n v="0.14823588507388891"/>
    <s v="No"/>
  </r>
  <r>
    <s v="ORD-100424"/>
    <d v="2024-04-19T00:00:00"/>
    <s v="CUST-00073"/>
    <x v="1"/>
    <x v="4"/>
    <s v="Fitness"/>
    <s v="Adjustable Dumbbell 24kg"/>
    <n v="1"/>
    <n v="9781.2800000000007"/>
    <n v="0.2"/>
    <n v="7825.02"/>
    <n v="1078.99"/>
    <s v="Credit Card"/>
    <s v="2024-04"/>
    <s v="16-20%"/>
    <n v="0.13788974341279639"/>
    <s v="No"/>
  </r>
  <r>
    <s v="ORD-101177"/>
    <d v="2024-04-19T00:00:00"/>
    <s v="CUST-00290"/>
    <x v="2"/>
    <x v="0"/>
    <s v="Makeup"/>
    <s v="Matte Lipstick Set"/>
    <n v="1"/>
    <n v="1028.92"/>
    <n v="0.1"/>
    <n v="926.03"/>
    <n v="421.08"/>
    <s v="Credit Card"/>
    <s v="2024-04"/>
    <s v="1-10%"/>
    <n v="0.45471529000140382"/>
    <s v="No"/>
  </r>
  <r>
    <s v="ORD-101300"/>
    <d v="2024-04-19T00:00:00"/>
    <s v="CUST-00032"/>
    <x v="1"/>
    <x v="1"/>
    <s v="Laptop"/>
    <s v="ThinkPro 14"/>
    <n v="1"/>
    <n v="52321.26"/>
    <n v="0"/>
    <n v="52321.26"/>
    <n v="7732.78"/>
    <s v="UPI"/>
    <s v="2024-04"/>
    <s v="No discount"/>
    <n v="0.14779422361005831"/>
    <s v="No"/>
  </r>
  <r>
    <s v="ORD-100043"/>
    <d v="2024-04-20T00:00:00"/>
    <s v="CUST-00320"/>
    <x v="1"/>
    <x v="0"/>
    <s v="Skincare"/>
    <s v="HydraBoost Moisturizer"/>
    <n v="2"/>
    <n v="1159.17"/>
    <n v="0.15"/>
    <n v="1970.59"/>
    <n v="760.8"/>
    <s v="UPI"/>
    <s v="2024-04"/>
    <s v="11-15%"/>
    <n v="0.38607726619946309"/>
    <s v="No"/>
  </r>
  <r>
    <s v="ORD-100863"/>
    <d v="2024-04-20T00:00:00"/>
    <s v="CUST-00592"/>
    <x v="0"/>
    <x v="0"/>
    <s v="Makeup"/>
    <s v="HD Foundation Kit"/>
    <n v="1"/>
    <n v="1499.99"/>
    <n v="0.15"/>
    <n v="1274.99"/>
    <n v="469.31"/>
    <s v="Debit Card"/>
    <s v="2024-04"/>
    <s v="11-15%"/>
    <n v="0.36808916148361948"/>
    <s v="No"/>
  </r>
  <r>
    <s v="ORD-101002"/>
    <d v="2024-04-20T00:00:00"/>
    <s v="CUST-00185"/>
    <x v="0"/>
    <x v="1"/>
    <s v="Audio"/>
    <s v="SoundPods Pro"/>
    <n v="4"/>
    <n v="5145.79"/>
    <n v="0.2"/>
    <n v="16466.53"/>
    <n v="-1323.54"/>
    <s v="Cash on Delivery"/>
    <s v="2024-04"/>
    <s v="16-20%"/>
    <n v="-8.0377590178380032E-2"/>
    <s v="Yes"/>
  </r>
  <r>
    <s v="ORD-101466"/>
    <d v="2024-04-20T00:00:00"/>
    <s v="CUST-00238"/>
    <x v="2"/>
    <x v="3"/>
    <s v="Footwear"/>
    <s v="RunFlex Sneakers"/>
    <n v="1"/>
    <n v="2942.03"/>
    <n v="0"/>
    <n v="2942.03"/>
    <n v="1186.8699999999999"/>
    <s v="UPI"/>
    <s v="2024-04"/>
    <s v="No discount"/>
    <n v="0.40341872788516764"/>
    <s v="No"/>
  </r>
  <r>
    <s v="ORD-101567"/>
    <d v="2024-04-20T00:00:00"/>
    <s v="CUST-00053"/>
    <x v="2"/>
    <x v="2"/>
    <s v="Furniture"/>
    <s v="Oakwood Study Desk"/>
    <n v="1"/>
    <n v="13506.06"/>
    <n v="0"/>
    <n v="13506.06"/>
    <n v="4614.41"/>
    <s v="UPI"/>
    <s v="2024-04"/>
    <s v="No discount"/>
    <n v="0.34165478311217334"/>
    <s v="No"/>
  </r>
  <r>
    <s v="ORD-101878"/>
    <d v="2024-04-20T00:00:00"/>
    <s v="CUST-00347"/>
    <x v="0"/>
    <x v="2"/>
    <s v="Furniture"/>
    <s v="ErgoComfort Chair"/>
    <n v="2"/>
    <n v="9197.11"/>
    <n v="0.05"/>
    <n v="17474.509999999998"/>
    <n v="4540.9399999999996"/>
    <s v="UPI"/>
    <s v="2024-04"/>
    <s v="1-10%"/>
    <n v="0.25986079151861768"/>
    <s v="No"/>
  </r>
  <r>
    <s v="ORD-100368"/>
    <d v="2024-04-23T00:00:00"/>
    <s v="CUST-00069"/>
    <x v="3"/>
    <x v="0"/>
    <s v="Makeup"/>
    <s v="Matte Lipstick Set"/>
    <n v="1"/>
    <n v="1004.14"/>
    <n v="0.05"/>
    <n v="953.93"/>
    <n v="478.44"/>
    <s v="Credit Card"/>
    <s v="2024-04"/>
    <s v="1-10%"/>
    <n v="0.50154623504869333"/>
    <s v="No"/>
  </r>
  <r>
    <s v="ORD-100608"/>
    <d v="2024-04-23T00:00:00"/>
    <s v="CUST-00216"/>
    <x v="2"/>
    <x v="3"/>
    <s v="Men"/>
    <s v="SlimFit Denim Jeans"/>
    <n v="1"/>
    <n v="1919.28"/>
    <n v="0"/>
    <n v="1919.28"/>
    <n v="856.99"/>
    <s v="Credit Card"/>
    <s v="2024-04"/>
    <s v="No discount"/>
    <n v="0.44651640198407738"/>
    <s v="No"/>
  </r>
  <r>
    <s v="ORD-100439"/>
    <d v="2024-04-24T00:00:00"/>
    <s v="CUST-00155"/>
    <x v="0"/>
    <x v="3"/>
    <s v="Footwear"/>
    <s v="RunFlex Sneakers"/>
    <n v="3"/>
    <n v="2888.8"/>
    <n v="0"/>
    <n v="8666.4"/>
    <n v="3488.03"/>
    <s v="UPI"/>
    <s v="2024-04"/>
    <s v="No discount"/>
    <n v="0.40247738391950527"/>
    <s v="No"/>
  </r>
  <r>
    <s v="ORD-101312"/>
    <d v="2024-04-24T00:00:00"/>
    <s v="CUST-00456"/>
    <x v="0"/>
    <x v="1"/>
    <s v="Mobile"/>
    <s v="Pixel Aura 12"/>
    <n v="2"/>
    <n v="33235.15"/>
    <n v="0.15"/>
    <n v="56499.75"/>
    <n v="855.29"/>
    <s v="Debit Card"/>
    <s v="2024-04"/>
    <s v="11-15%"/>
    <n v="1.5137943088243754E-2"/>
    <s v="No"/>
  </r>
  <r>
    <s v="ORD-101400"/>
    <d v="2024-04-24T00:00:00"/>
    <s v="CUST-00217"/>
    <x v="3"/>
    <x v="1"/>
    <s v="Laptop"/>
    <s v="ThinkPro 14"/>
    <n v="1"/>
    <n v="56224.32"/>
    <n v="0.25"/>
    <n v="42168.24"/>
    <n v="-3904.29"/>
    <s v="Credit Card"/>
    <s v="2024-04"/>
    <s v="21%+"/>
    <n v="-9.2588403025594623E-2"/>
    <s v="Yes"/>
  </r>
  <r>
    <s v="ORD-100214"/>
    <d v="2024-04-25T00:00:00"/>
    <s v="CUST-00073"/>
    <x v="0"/>
    <x v="2"/>
    <s v="Furniture"/>
    <s v="Oakwood Study Desk"/>
    <n v="2"/>
    <n v="12419.98"/>
    <n v="0"/>
    <n v="24839.96"/>
    <n v="8987.92"/>
    <s v="Credit Card"/>
    <s v="2024-04"/>
    <s v="No discount"/>
    <n v="0.36183311084236852"/>
    <s v="No"/>
  </r>
  <r>
    <s v="ORD-100254"/>
    <d v="2024-04-25T00:00:00"/>
    <s v="CUST-00152"/>
    <x v="2"/>
    <x v="1"/>
    <s v="Laptop"/>
    <s v="AirBook Slim"/>
    <n v="2"/>
    <n v="79154.53"/>
    <n v="0.2"/>
    <n v="126647.25"/>
    <n v="-2105.77"/>
    <s v="Debit Card"/>
    <s v="2024-04"/>
    <s v="16-20%"/>
    <n v="-1.6627048751552048E-2"/>
    <s v="Yes"/>
  </r>
  <r>
    <s v="ORD-100718"/>
    <d v="2024-04-25T00:00:00"/>
    <s v="CUST-00113"/>
    <x v="0"/>
    <x v="4"/>
    <s v="Fitness"/>
    <s v="Adjustable Dumbbell 24kg"/>
    <n v="2"/>
    <n v="10377.950000000001"/>
    <n v="0"/>
    <n v="20755.900000000001"/>
    <n v="7695.86"/>
    <s v="Debit Card"/>
    <s v="2024-04"/>
    <s v="No discount"/>
    <n v="0.37077939284733491"/>
    <s v="No"/>
  </r>
  <r>
    <s v="ORD-100721"/>
    <d v="2024-04-25T00:00:00"/>
    <s v="CUST-00286"/>
    <x v="2"/>
    <x v="2"/>
    <s v="Decor"/>
    <s v="Ceramic Vase Set"/>
    <n v="3"/>
    <n v="1570.66"/>
    <n v="0.2"/>
    <n v="3769.58"/>
    <n v="460.73"/>
    <s v="UPI"/>
    <s v="2024-04"/>
    <s v="16-20%"/>
    <n v="0.12222316544548731"/>
    <s v="No"/>
  </r>
  <r>
    <s v="ORD-100949"/>
    <d v="2024-04-25T00:00:00"/>
    <s v="CUST-00526"/>
    <x v="1"/>
    <x v="1"/>
    <s v="Audio"/>
    <s v="BassBoom Speaker"/>
    <n v="3"/>
    <n v="9066.33"/>
    <n v="0.05"/>
    <n v="25839.040000000001"/>
    <n v="3443.05"/>
    <s v="Credit Card"/>
    <s v="2024-04"/>
    <s v="1-10%"/>
    <n v="0.13324991950165332"/>
    <s v="No"/>
  </r>
  <r>
    <s v="ORD-101067"/>
    <d v="2024-04-25T00:00:00"/>
    <s v="CUST-00110"/>
    <x v="1"/>
    <x v="1"/>
    <s v="Audio"/>
    <s v="BassBoom Speaker"/>
    <n v="1"/>
    <n v="9419.91"/>
    <n v="0.05"/>
    <n v="8948.91"/>
    <n v="1219.27"/>
    <s v="UPI"/>
    <s v="2024-04"/>
    <s v="1-10%"/>
    <n v="0.13624787823321499"/>
    <s v="No"/>
  </r>
  <r>
    <s v="ORD-101190"/>
    <d v="2024-04-25T00:00:00"/>
    <s v="CUST-00405"/>
    <x v="2"/>
    <x v="4"/>
    <s v="Outdoor"/>
    <s v="TrailHike Backpack 60L"/>
    <n v="3"/>
    <n v="3567.06"/>
    <n v="0"/>
    <n v="10701.18"/>
    <n v="4409.6000000000004"/>
    <s v="Debit Card"/>
    <s v="2024-04"/>
    <s v="No discount"/>
    <n v="0.41206670666225598"/>
    <s v="No"/>
  </r>
  <r>
    <s v="ORD-101914"/>
    <d v="2024-04-25T00:00:00"/>
    <s v="CUST-00585"/>
    <x v="3"/>
    <x v="0"/>
    <s v="Skincare"/>
    <s v="HydraBoost Moisturizer"/>
    <n v="2"/>
    <n v="1151.8399999999999"/>
    <n v="0.05"/>
    <n v="2188.5"/>
    <n v="1080.6300000000001"/>
    <s v="Cash on Delivery"/>
    <s v="2024-04"/>
    <s v="1-10%"/>
    <n v="0.49377655928718306"/>
    <s v="No"/>
  </r>
  <r>
    <s v="ORD-100823"/>
    <d v="2024-04-26T00:00:00"/>
    <s v="CUST-00035"/>
    <x v="3"/>
    <x v="3"/>
    <s v="Men"/>
    <s v="Oxford Casual Shirt"/>
    <n v="2"/>
    <n v="1238.71"/>
    <n v="0.15"/>
    <n v="2105.81"/>
    <n v="476.56"/>
    <s v="Debit Card"/>
    <s v="2024-04"/>
    <s v="11-15%"/>
    <n v="0.22630721670046205"/>
    <s v="No"/>
  </r>
  <r>
    <s v="ORD-101132"/>
    <d v="2024-04-26T00:00:00"/>
    <s v="CUST-00471"/>
    <x v="2"/>
    <x v="3"/>
    <s v="Men"/>
    <s v="Oxford Casual Shirt"/>
    <n v="2"/>
    <n v="1262.51"/>
    <n v="0.15"/>
    <n v="2146.27"/>
    <n v="602.48"/>
    <s v="Credit Card"/>
    <s v="2024-04"/>
    <s v="11-15%"/>
    <n v="0.28071025546646045"/>
    <s v="No"/>
  </r>
  <r>
    <s v="ORD-100097"/>
    <d v="2024-04-27T00:00:00"/>
    <s v="CUST-00333"/>
    <x v="1"/>
    <x v="4"/>
    <s v="Fitness"/>
    <s v="Adjustable Dumbbell 24kg"/>
    <n v="4"/>
    <n v="10074.75"/>
    <n v="0.2"/>
    <n v="32239.200000000001"/>
    <n v="5025.1899999999996"/>
    <s v="UPI"/>
    <s v="2024-04"/>
    <s v="16-20%"/>
    <n v="0.15587204397131441"/>
    <s v="No"/>
  </r>
  <r>
    <s v="ORD-100193"/>
    <d v="2024-04-27T00:00:00"/>
    <s v="CUST-00352"/>
    <x v="2"/>
    <x v="3"/>
    <s v="Footwear"/>
    <s v="UrbanLoafers"/>
    <n v="1"/>
    <n v="3576.68"/>
    <n v="0"/>
    <n v="3576.68"/>
    <n v="1488.6"/>
    <s v="UPI"/>
    <s v="2024-04"/>
    <s v="No discount"/>
    <n v="0.41619602536430433"/>
    <s v="No"/>
  </r>
  <r>
    <s v="ORD-100511"/>
    <d v="2024-04-27T00:00:00"/>
    <s v="CUST-00021"/>
    <x v="1"/>
    <x v="2"/>
    <s v="Decor"/>
    <s v="LED Wall Lamp"/>
    <n v="1"/>
    <n v="973.79"/>
    <n v="0.1"/>
    <n v="876.41"/>
    <n v="198.81"/>
    <s v="Net Banking"/>
    <s v="2024-04"/>
    <s v="1-10%"/>
    <n v="0.22684588263483987"/>
    <s v="No"/>
  </r>
  <r>
    <s v="ORD-100606"/>
    <d v="2024-04-27T00:00:00"/>
    <s v="CUST-00451"/>
    <x v="2"/>
    <x v="4"/>
    <s v="Outdoor"/>
    <s v="AllWeather Tent 4P"/>
    <n v="1"/>
    <n v="12586.8"/>
    <n v="0"/>
    <n v="12586.8"/>
    <n v="4644.8500000000004"/>
    <s v="UPI"/>
    <s v="2024-04"/>
    <s v="No discount"/>
    <n v="0.36902548701814603"/>
    <s v="No"/>
  </r>
  <r>
    <s v="ORD-100028"/>
    <d v="2024-04-28T00:00:00"/>
    <s v="CUST-00591"/>
    <x v="3"/>
    <x v="2"/>
    <s v="Furniture"/>
    <s v="ErgoComfort Chair"/>
    <n v="1"/>
    <n v="8860.1299999999992"/>
    <n v="0.1"/>
    <n v="7974.12"/>
    <n v="1897.16"/>
    <s v="Cash on Delivery"/>
    <s v="2024-04"/>
    <s v="1-10%"/>
    <n v="0.23791465390538394"/>
    <s v="No"/>
  </r>
  <r>
    <s v="ORD-100079"/>
    <d v="2024-04-28T00:00:00"/>
    <s v="CUST-00551"/>
    <x v="1"/>
    <x v="2"/>
    <s v="Appliances"/>
    <s v="AirFryer Deluxe"/>
    <n v="2"/>
    <n v="7970.42"/>
    <n v="0.1"/>
    <n v="14346.76"/>
    <n v="3315.34"/>
    <s v="UPI"/>
    <s v="2024-04"/>
    <s v="1-10%"/>
    <n v="0.23108632192913245"/>
    <s v="No"/>
  </r>
  <r>
    <s v="ORD-100463"/>
    <d v="2024-04-28T00:00:00"/>
    <s v="CUST-00241"/>
    <x v="1"/>
    <x v="2"/>
    <s v="Decor"/>
    <s v="LED Wall Lamp"/>
    <n v="1"/>
    <n v="1041.44"/>
    <n v="0.15"/>
    <n v="885.22"/>
    <n v="116.47"/>
    <s v="Credit Card"/>
    <s v="2024-04"/>
    <s v="11-15%"/>
    <n v="0.1315718126567407"/>
    <s v="No"/>
  </r>
  <r>
    <s v="ORD-100902"/>
    <d v="2024-04-28T00:00:00"/>
    <s v="CUST-00462"/>
    <x v="2"/>
    <x v="0"/>
    <s v="Makeup"/>
    <s v="HD Foundation Kit"/>
    <n v="1"/>
    <n v="1524.51"/>
    <n v="0.1"/>
    <n v="1372.06"/>
    <n v="588.33000000000004"/>
    <s v="Credit Card"/>
    <s v="2024-04"/>
    <s v="1-10%"/>
    <n v="0.42879320146349292"/>
    <s v="No"/>
  </r>
  <r>
    <s v="ORD-101852"/>
    <d v="2024-04-28T00:00:00"/>
    <s v="CUST-00139"/>
    <x v="0"/>
    <x v="3"/>
    <s v="Footwear"/>
    <s v="UrbanLoafers"/>
    <n v="1"/>
    <n v="3492.2"/>
    <n v="0.05"/>
    <n v="3317.59"/>
    <n v="1296.9000000000001"/>
    <s v="Debit Card"/>
    <s v="2024-04"/>
    <s v="1-10%"/>
    <n v="0.39091629767391389"/>
    <s v="No"/>
  </r>
  <r>
    <s v="ORD-100336"/>
    <d v="2024-04-29T00:00:00"/>
    <s v="CUST-00392"/>
    <x v="1"/>
    <x v="0"/>
    <s v="Makeup"/>
    <s v="Matte Lipstick Set"/>
    <n v="2"/>
    <n v="994.89"/>
    <n v="0.3"/>
    <n v="1392.85"/>
    <n v="281.16000000000003"/>
    <s v="UPI"/>
    <s v="2024-04"/>
    <s v="21%+"/>
    <n v="0.20185949671536779"/>
    <s v="No"/>
  </r>
  <r>
    <s v="ORD-100554"/>
    <d v="2024-04-29T00:00:00"/>
    <s v="CUST-00356"/>
    <x v="2"/>
    <x v="4"/>
    <s v="Outdoor"/>
    <s v="TrailHike Backpack 60L"/>
    <n v="2"/>
    <n v="3471.71"/>
    <n v="0.1"/>
    <n v="6249.08"/>
    <n v="1563.94"/>
    <s v="Net Banking"/>
    <s v="2024-04"/>
    <s v="1-10%"/>
    <n v="0.25026723933763051"/>
    <s v="No"/>
  </r>
  <r>
    <s v="ORD-100935"/>
    <d v="2024-04-29T00:00:00"/>
    <s v="CUST-00488"/>
    <x v="1"/>
    <x v="3"/>
    <s v="Men"/>
    <s v="Oxford Casual Shirt"/>
    <n v="1"/>
    <n v="1335.56"/>
    <n v="0.1"/>
    <n v="1202"/>
    <n v="349.19"/>
    <s v="UPI"/>
    <s v="2024-04"/>
    <s v="1-10%"/>
    <n v="0.29050748752079869"/>
    <s v="No"/>
  </r>
  <r>
    <s v="ORD-101609"/>
    <d v="2024-04-29T00:00:00"/>
    <s v="CUST-00509"/>
    <x v="0"/>
    <x v="0"/>
    <s v="Skincare"/>
    <s v="Vitamin C Serum"/>
    <n v="1"/>
    <n v="938.41"/>
    <n v="0"/>
    <n v="938.41"/>
    <n v="494.34"/>
    <s v="Credit Card"/>
    <s v="2024-04"/>
    <s v="No discount"/>
    <n v="0.52678466768256949"/>
    <s v="No"/>
  </r>
  <r>
    <s v="ORD-100154"/>
    <d v="2024-04-30T00:00:00"/>
    <s v="CUST-00303"/>
    <x v="0"/>
    <x v="3"/>
    <s v="Men"/>
    <s v="SlimFit Denim Jeans"/>
    <n v="1"/>
    <n v="2036.2"/>
    <n v="0"/>
    <n v="2036.2"/>
    <n v="924.13"/>
    <s v="Debit Card"/>
    <s v="2024-04"/>
    <s v="No discount"/>
    <n v="0.45385030939986248"/>
    <s v="No"/>
  </r>
  <r>
    <s v="ORD-100675"/>
    <d v="2024-04-30T00:00:00"/>
    <s v="CUST-00185"/>
    <x v="2"/>
    <x v="4"/>
    <s v="Outdoor"/>
    <s v="TrailHike Backpack 60L"/>
    <n v="1"/>
    <n v="3573.79"/>
    <n v="0.1"/>
    <n v="3216.41"/>
    <n v="926.99"/>
    <s v="Debit Card"/>
    <s v="2024-04"/>
    <s v="1-10%"/>
    <n v="0.28820641647053702"/>
    <s v="No"/>
  </r>
  <r>
    <s v="ORD-100690"/>
    <d v="2024-04-30T00:00:00"/>
    <s v="CUST-00495"/>
    <x v="0"/>
    <x v="4"/>
    <s v="Outdoor"/>
    <s v="AllWeather Tent 4P"/>
    <n v="1"/>
    <n v="11804.57"/>
    <n v="0.3"/>
    <n v="8263.2000000000007"/>
    <n v="407.58"/>
    <s v="Net Banking"/>
    <s v="2024-04"/>
    <s v="21%+"/>
    <n v="4.9324716816729591E-2"/>
    <s v="No"/>
  </r>
  <r>
    <s v="ORD-101651"/>
    <d v="2024-04-30T00:00:00"/>
    <s v="CUST-00509"/>
    <x v="3"/>
    <x v="2"/>
    <s v="Furniture"/>
    <s v="Oakwood Study Desk"/>
    <n v="3"/>
    <n v="13363.07"/>
    <n v="0"/>
    <n v="40089.21"/>
    <n v="14035.58"/>
    <s v="Net Banking"/>
    <s v="2024-04"/>
    <s v="No discount"/>
    <n v="0.35010867013842378"/>
    <s v="No"/>
  </r>
  <r>
    <s v="ORD-100507"/>
    <d v="2024-05-01T00:00:00"/>
    <s v="CUST-00323"/>
    <x v="2"/>
    <x v="1"/>
    <s v="Audio"/>
    <s v="BassBoom Speaker"/>
    <n v="3"/>
    <n v="9144.8700000000008"/>
    <n v="0"/>
    <n v="27434.61"/>
    <n v="4916.83"/>
    <s v="UPI"/>
    <s v="2024-05"/>
    <s v="No discount"/>
    <n v="0.17921997068666184"/>
    <s v="No"/>
  </r>
  <r>
    <s v="ORD-101083"/>
    <d v="2024-05-01T00:00:00"/>
    <s v="CUST-00367"/>
    <x v="2"/>
    <x v="3"/>
    <s v="Men"/>
    <s v="SlimFit Denim Jeans"/>
    <n v="1"/>
    <n v="1936.17"/>
    <n v="0"/>
    <n v="1936.17"/>
    <n v="855.95"/>
    <s v="UPI"/>
    <s v="2024-05"/>
    <s v="No discount"/>
    <n v="0.44208411451473789"/>
    <s v="No"/>
  </r>
  <r>
    <s v="ORD-100445"/>
    <d v="2024-05-02T00:00:00"/>
    <s v="CUST-00134"/>
    <x v="1"/>
    <x v="0"/>
    <s v="Skincare"/>
    <s v="HydraBoost Moisturizer"/>
    <n v="1"/>
    <n v="1169.25"/>
    <n v="0.15"/>
    <n v="993.86"/>
    <n v="338.13"/>
    <s v="UPI"/>
    <s v="2024-05"/>
    <s v="11-15%"/>
    <n v="0.34021894431811323"/>
    <s v="No"/>
  </r>
  <r>
    <s v="ORD-100490"/>
    <d v="2024-05-02T00:00:00"/>
    <s v="CUST-00590"/>
    <x v="3"/>
    <x v="3"/>
    <s v="Men"/>
    <s v="SlimFit Denim Jeans"/>
    <n v="2"/>
    <n v="2093.08"/>
    <n v="0.05"/>
    <n v="3976.85"/>
    <n v="1473.07"/>
    <s v="Credit Card"/>
    <s v="2024-05"/>
    <s v="1-10%"/>
    <n v="0.37041125513911766"/>
    <s v="No"/>
  </r>
  <r>
    <s v="ORD-100573"/>
    <d v="2024-05-03T00:00:00"/>
    <s v="CUST-00297"/>
    <x v="1"/>
    <x v="4"/>
    <s v="Outdoor"/>
    <s v="TrailHike Backpack 60L"/>
    <n v="2"/>
    <n v="3453.28"/>
    <n v="0.25"/>
    <n v="5179.92"/>
    <n v="666.37"/>
    <s v="UPI"/>
    <s v="2024-05"/>
    <s v="21%+"/>
    <n v="0.12864484393581369"/>
    <s v="No"/>
  </r>
  <r>
    <s v="ORD-100582"/>
    <d v="2024-05-03T00:00:00"/>
    <s v="CUST-00246"/>
    <x v="2"/>
    <x v="3"/>
    <s v="Men"/>
    <s v="SlimFit Denim Jeans"/>
    <n v="1"/>
    <n v="1927.53"/>
    <n v="0"/>
    <n v="1927.53"/>
    <n v="870.17"/>
    <s v="Cash on Delivery"/>
    <s v="2024-05"/>
    <s v="No discount"/>
    <n v="0.4514430385000493"/>
    <s v="No"/>
  </r>
  <r>
    <s v="ORD-101056"/>
    <d v="2024-05-03T00:00:00"/>
    <s v="CUST-00063"/>
    <x v="0"/>
    <x v="2"/>
    <s v="Decor"/>
    <s v="LED Wall Lamp"/>
    <n v="2"/>
    <n v="1031.3800000000001"/>
    <n v="0.1"/>
    <n v="1856.48"/>
    <n v="420.8"/>
    <s v="Credit Card"/>
    <s v="2024-05"/>
    <s v="1-10%"/>
    <n v="0.22666551753856762"/>
    <s v="No"/>
  </r>
  <r>
    <s v="ORD-101614"/>
    <d v="2024-05-03T00:00:00"/>
    <s v="CUST-00497"/>
    <x v="2"/>
    <x v="3"/>
    <s v="Men"/>
    <s v="SlimFit Denim Jeans"/>
    <n v="2"/>
    <n v="2016.61"/>
    <n v="0.2"/>
    <n v="3226.58"/>
    <n v="738.98"/>
    <s v="Credit Card"/>
    <s v="2024-05"/>
    <s v="16-20%"/>
    <n v="0.22902887887484583"/>
    <s v="No"/>
  </r>
  <r>
    <s v="ORD-101684"/>
    <d v="2024-05-03T00:00:00"/>
    <s v="CUST-00139"/>
    <x v="0"/>
    <x v="0"/>
    <s v="Skincare"/>
    <s v="Vitamin C Serum"/>
    <n v="1"/>
    <n v="893.61"/>
    <n v="0.05"/>
    <n v="848.93"/>
    <n v="398.47"/>
    <s v="Credit Card"/>
    <s v="2024-05"/>
    <s v="1-10%"/>
    <n v="0.46937910075035638"/>
    <s v="No"/>
  </r>
  <r>
    <s v="ORD-101737"/>
    <d v="2024-05-03T00:00:00"/>
    <s v="CUST-00222"/>
    <x v="1"/>
    <x v="4"/>
    <s v="Fitness"/>
    <s v="Adjustable Dumbbell 24kg"/>
    <n v="1"/>
    <n v="10386.06"/>
    <n v="0.15"/>
    <n v="8828.15"/>
    <n v="1540.67"/>
    <s v="UPI"/>
    <s v="2024-05"/>
    <s v="11-15%"/>
    <n v="0.17451787747149744"/>
    <s v="No"/>
  </r>
  <r>
    <s v="ORD-101546"/>
    <d v="2024-05-04T00:00:00"/>
    <s v="CUST-00247"/>
    <x v="2"/>
    <x v="1"/>
    <s v="Audio"/>
    <s v="BassBoom Speaker"/>
    <n v="5"/>
    <n v="9301.49"/>
    <n v="0"/>
    <n v="46507.45"/>
    <n v="7695.74"/>
    <s v="UPI"/>
    <s v="2024-05"/>
    <s v="No discount"/>
    <n v="0.16547327363680442"/>
    <s v="No"/>
  </r>
  <r>
    <s v="ORD-101616"/>
    <d v="2024-05-04T00:00:00"/>
    <s v="CUST-00039"/>
    <x v="2"/>
    <x v="2"/>
    <s v="Appliances"/>
    <s v="ColdBrew Coffee Maker"/>
    <n v="1"/>
    <n v="6312.67"/>
    <n v="0.15"/>
    <n v="5365.77"/>
    <n v="800.15"/>
    <s v="Cash on Delivery"/>
    <s v="2024-05"/>
    <s v="11-15%"/>
    <n v="0.14912118857125817"/>
    <s v="No"/>
  </r>
  <r>
    <s v="ORD-100089"/>
    <d v="2024-05-05T00:00:00"/>
    <s v="CUST-00434"/>
    <x v="0"/>
    <x v="1"/>
    <s v="Laptop"/>
    <s v="ThinkPro 14"/>
    <n v="2"/>
    <n v="52964.67"/>
    <n v="0.05"/>
    <n v="100632.87"/>
    <n v="8785.1"/>
    <s v="Credit Card"/>
    <s v="2024-05"/>
    <s v="1-10%"/>
    <n v="8.7298513895112007E-2"/>
    <s v="No"/>
  </r>
  <r>
    <s v="ORD-100789"/>
    <d v="2024-05-05T00:00:00"/>
    <s v="CUST-00466"/>
    <x v="1"/>
    <x v="2"/>
    <s v="Decor"/>
    <s v="LED Wall Lamp"/>
    <n v="4"/>
    <n v="968.09"/>
    <n v="0"/>
    <n v="3872.36"/>
    <n v="1302.51"/>
    <s v="Debit Card"/>
    <s v="2024-05"/>
    <s v="No discount"/>
    <n v="0.33636077224225019"/>
    <s v="No"/>
  </r>
  <r>
    <s v="ORD-100820"/>
    <d v="2024-05-05T00:00:00"/>
    <s v="CUST-00079"/>
    <x v="2"/>
    <x v="3"/>
    <s v="Women"/>
    <s v="Floral Summer Dress"/>
    <n v="1"/>
    <n v="1869.24"/>
    <n v="0.1"/>
    <n v="1682.32"/>
    <n v="580.14"/>
    <s v="UPI"/>
    <s v="2024-05"/>
    <s v="1-10%"/>
    <n v="0.3448452137524371"/>
    <s v="No"/>
  </r>
  <r>
    <s v="ORD-101650"/>
    <d v="2024-05-05T00:00:00"/>
    <s v="CUST-00276"/>
    <x v="3"/>
    <x v="0"/>
    <s v="Makeup"/>
    <s v="Matte Lipstick Set"/>
    <n v="1"/>
    <n v="983.7"/>
    <n v="0.1"/>
    <n v="885.33"/>
    <n v="402.59"/>
    <s v="Credit Card"/>
    <s v="2024-05"/>
    <s v="1-10%"/>
    <n v="0.45473439282527417"/>
    <s v="No"/>
  </r>
  <r>
    <s v="ORD-100682"/>
    <d v="2024-05-06T00:00:00"/>
    <s v="CUST-00314"/>
    <x v="0"/>
    <x v="2"/>
    <s v="Decor"/>
    <s v="LED Wall Lamp"/>
    <n v="1"/>
    <n v="976.39"/>
    <n v="0.15"/>
    <n v="829.93"/>
    <n v="104.02"/>
    <s v="UPI"/>
    <s v="2024-05"/>
    <s v="11-15%"/>
    <n v="0.12533587170002289"/>
    <s v="No"/>
  </r>
  <r>
    <s v="ORD-100801"/>
    <d v="2024-05-06T00:00:00"/>
    <s v="CUST-00023"/>
    <x v="2"/>
    <x v="4"/>
    <s v="Outdoor"/>
    <s v="TrailHike Backpack 60L"/>
    <n v="4"/>
    <n v="3493.3"/>
    <n v="0"/>
    <n v="13973.2"/>
    <n v="4956.62"/>
    <s v="Debit Card"/>
    <s v="2024-05"/>
    <s v="No discount"/>
    <n v="0.35472332751266705"/>
    <s v="No"/>
  </r>
  <r>
    <s v="ORD-100654"/>
    <d v="2024-05-07T00:00:00"/>
    <s v="CUST-00351"/>
    <x v="2"/>
    <x v="3"/>
    <s v="Women"/>
    <s v="Knit Winter Sweater"/>
    <n v="1"/>
    <n v="2113.06"/>
    <n v="0.25"/>
    <n v="1584.8"/>
    <n v="227.28"/>
    <s v="UPI"/>
    <s v="2024-05"/>
    <s v="21%+"/>
    <n v="0.14341241797072185"/>
    <s v="No"/>
  </r>
  <r>
    <s v="ORD-100955"/>
    <d v="2024-05-07T00:00:00"/>
    <s v="CUST-00180"/>
    <x v="3"/>
    <x v="1"/>
    <s v="Laptop"/>
    <s v="ThinkPro 14"/>
    <n v="1"/>
    <n v="56318.5"/>
    <n v="0.15"/>
    <n v="47870.720000000001"/>
    <n v="-98.93"/>
    <s v="UPI"/>
    <s v="2024-05"/>
    <s v="11-15%"/>
    <n v="-2.0666077301532129E-3"/>
    <s v="Yes"/>
  </r>
  <r>
    <s v="ORD-101449"/>
    <d v="2024-05-07T00:00:00"/>
    <s v="CUST-00163"/>
    <x v="1"/>
    <x v="4"/>
    <s v="Outdoor"/>
    <s v="AllWeather Tent 4P"/>
    <n v="1"/>
    <n v="12205.52"/>
    <n v="0.3"/>
    <n v="8543.86"/>
    <n v="494.27"/>
    <s v="UPI"/>
    <s v="2024-05"/>
    <s v="21%+"/>
    <n v="5.7850901114952717E-2"/>
    <s v="No"/>
  </r>
  <r>
    <s v="ORD-100642"/>
    <d v="2024-05-08T00:00:00"/>
    <s v="CUST-00563"/>
    <x v="2"/>
    <x v="0"/>
    <s v="Makeup"/>
    <s v="Matte Lipstick Set"/>
    <n v="1"/>
    <n v="1035.95"/>
    <n v="0"/>
    <n v="1035.95"/>
    <n v="534.13"/>
    <s v="Credit Card"/>
    <s v="2024-05"/>
    <s v="No discount"/>
    <n v="0.5155943819682417"/>
    <s v="No"/>
  </r>
  <r>
    <s v="ORD-100746"/>
    <d v="2024-05-08T00:00:00"/>
    <s v="CUST-00593"/>
    <x v="2"/>
    <x v="3"/>
    <s v="Women"/>
    <s v="Knit Winter Sweater"/>
    <n v="1"/>
    <n v="2178.41"/>
    <n v="0.3"/>
    <n v="1524.89"/>
    <n v="116.89"/>
    <s v="Credit Card"/>
    <s v="2024-05"/>
    <s v="21%+"/>
    <n v="7.665470952003095E-2"/>
    <s v="No"/>
  </r>
  <r>
    <s v="ORD-101461"/>
    <d v="2024-05-08T00:00:00"/>
    <s v="CUST-00011"/>
    <x v="0"/>
    <x v="0"/>
    <s v="Makeup"/>
    <s v="Matte Lipstick Set"/>
    <n v="1"/>
    <n v="990.29"/>
    <n v="0.15"/>
    <n v="841.75"/>
    <n v="306.76"/>
    <s v="UPI"/>
    <s v="2024-05"/>
    <s v="11-15%"/>
    <n v="0.36443124443124442"/>
    <s v="No"/>
  </r>
  <r>
    <s v="ORD-100051"/>
    <d v="2024-05-09T00:00:00"/>
    <s v="CUST-00056"/>
    <x v="3"/>
    <x v="2"/>
    <s v="Appliances"/>
    <s v="ColdBrew Coffee Maker"/>
    <n v="5"/>
    <n v="6366.58"/>
    <n v="0.2"/>
    <n v="25466.32"/>
    <n v="2263.1999999999998"/>
    <s v="Debit Card"/>
    <s v="2024-05"/>
    <s v="16-20%"/>
    <n v="8.8870319700687025E-2"/>
    <s v="No"/>
  </r>
  <r>
    <s v="ORD-100760"/>
    <d v="2024-05-09T00:00:00"/>
    <s v="CUST-00494"/>
    <x v="2"/>
    <x v="1"/>
    <s v="Audio"/>
    <s v="SoundPods Pro"/>
    <n v="1"/>
    <n v="5198.25"/>
    <n v="0.05"/>
    <n v="4938.34"/>
    <n v="419.07"/>
    <s v="UPI"/>
    <s v="2024-05"/>
    <s v="1-10%"/>
    <n v="8.4860499682079399E-2"/>
    <s v="No"/>
  </r>
  <r>
    <s v="ORD-100969"/>
    <d v="2024-05-09T00:00:00"/>
    <s v="CUST-00469"/>
    <x v="3"/>
    <x v="0"/>
    <s v="Makeup"/>
    <s v="Matte Lipstick Set"/>
    <n v="2"/>
    <n v="1000.91"/>
    <n v="0.05"/>
    <n v="1901.73"/>
    <n v="870.14"/>
    <s v="Credit Card"/>
    <s v="2024-05"/>
    <s v="1-10%"/>
    <n v="0.45755180809052809"/>
    <s v="No"/>
  </r>
  <r>
    <s v="ORD-101362"/>
    <d v="2024-05-09T00:00:00"/>
    <s v="CUST-00090"/>
    <x v="2"/>
    <x v="0"/>
    <s v="Makeup"/>
    <s v="Matte Lipstick Set"/>
    <n v="1"/>
    <n v="1005.93"/>
    <n v="0.2"/>
    <n v="804.74"/>
    <n v="283.06"/>
    <s v="Credit Card"/>
    <s v="2024-05"/>
    <s v="16-20%"/>
    <n v="0.35174093496035985"/>
    <s v="No"/>
  </r>
  <r>
    <s v="ORD-101398"/>
    <d v="2024-05-09T00:00:00"/>
    <s v="CUST-00456"/>
    <x v="0"/>
    <x v="1"/>
    <s v="Audio"/>
    <s v="SoundPods Pro"/>
    <n v="1"/>
    <n v="4842.3"/>
    <n v="0.05"/>
    <n v="4600.1899999999996"/>
    <n v="473.67"/>
    <s v="Net Banking"/>
    <s v="2024-05"/>
    <s v="1-10%"/>
    <n v="0.10296748612557309"/>
    <s v="No"/>
  </r>
  <r>
    <s v="ORD-100593"/>
    <d v="2024-05-10T00:00:00"/>
    <s v="CUST-00584"/>
    <x v="3"/>
    <x v="0"/>
    <s v="Makeup"/>
    <s v="Matte Lipstick Set"/>
    <n v="2"/>
    <n v="1005.56"/>
    <n v="0.1"/>
    <n v="1810.01"/>
    <n v="813.76"/>
    <s v="UPI"/>
    <s v="2024-05"/>
    <s v="1-10%"/>
    <n v="0.44958867630565574"/>
    <s v="No"/>
  </r>
  <r>
    <s v="ORD-100602"/>
    <d v="2024-05-10T00:00:00"/>
    <s v="CUST-00447"/>
    <x v="2"/>
    <x v="0"/>
    <s v="Skincare"/>
    <s v="HydraBoost Moisturizer"/>
    <n v="1"/>
    <n v="1213.49"/>
    <n v="0.05"/>
    <n v="1152.82"/>
    <n v="538.79999999999995"/>
    <s v="UPI"/>
    <s v="2024-05"/>
    <s v="1-10%"/>
    <n v="0.46737565274717646"/>
    <s v="No"/>
  </r>
  <r>
    <s v="ORD-100705"/>
    <d v="2024-05-10T00:00:00"/>
    <s v="CUST-00564"/>
    <x v="3"/>
    <x v="1"/>
    <s v="Mobile"/>
    <s v="iPhone Zeta"/>
    <n v="2"/>
    <n v="69818.39"/>
    <n v="0.05"/>
    <n v="132654.94"/>
    <n v="19019.939999999999"/>
    <s v="UPI"/>
    <s v="2024-05"/>
    <s v="1-10%"/>
    <n v="0.14337905546525442"/>
    <s v="No"/>
  </r>
  <r>
    <s v="ORD-101097"/>
    <d v="2024-05-10T00:00:00"/>
    <s v="CUST-00522"/>
    <x v="0"/>
    <x v="4"/>
    <s v="Fitness"/>
    <s v="ProYoga Mat"/>
    <n v="2"/>
    <n v="1284.81"/>
    <n v="0.25"/>
    <n v="1927.21"/>
    <n v="194.68"/>
    <s v="Debit Card"/>
    <s v="2024-05"/>
    <s v="21%+"/>
    <n v="0.10101649534819765"/>
    <s v="No"/>
  </r>
  <r>
    <s v="ORD-101338"/>
    <d v="2024-05-10T00:00:00"/>
    <s v="CUST-00082"/>
    <x v="3"/>
    <x v="4"/>
    <s v="Fitness"/>
    <s v="ProYoga Mat"/>
    <n v="2"/>
    <n v="1236"/>
    <n v="0.3"/>
    <n v="1730.4"/>
    <n v="57.05"/>
    <s v="UPI"/>
    <s v="2024-05"/>
    <s v="21%+"/>
    <n v="3.2969255663430418E-2"/>
    <s v="No"/>
  </r>
  <r>
    <s v="ORD-100291"/>
    <d v="2024-05-11T00:00:00"/>
    <s v="CUST-00330"/>
    <x v="1"/>
    <x v="1"/>
    <s v="Audio"/>
    <s v="SoundPods Pro"/>
    <n v="2"/>
    <n v="5041.55"/>
    <n v="0.05"/>
    <n v="9578.94"/>
    <n v="1498.62"/>
    <s v="Net Banking"/>
    <s v="2024-05"/>
    <s v="1-10%"/>
    <n v="0.15644946100507987"/>
    <s v="No"/>
  </r>
  <r>
    <s v="ORD-100619"/>
    <d v="2024-05-11T00:00:00"/>
    <s v="CUST-00010"/>
    <x v="3"/>
    <x v="2"/>
    <s v="Furniture"/>
    <s v="ErgoComfort Chair"/>
    <n v="3"/>
    <n v="8737.66"/>
    <n v="0.1"/>
    <n v="23591.68"/>
    <n v="4977.79"/>
    <s v="UPI"/>
    <s v="2024-05"/>
    <s v="1-10%"/>
    <n v="0.21099769071130162"/>
    <s v="No"/>
  </r>
  <r>
    <s v="ORD-101051"/>
    <d v="2024-05-11T00:00:00"/>
    <s v="CUST-00485"/>
    <x v="3"/>
    <x v="2"/>
    <s v="Appliances"/>
    <s v="ColdBrew Coffee Maker"/>
    <n v="2"/>
    <n v="6518.26"/>
    <n v="0.1"/>
    <n v="11732.87"/>
    <n v="2373.42"/>
    <s v="Credit Card"/>
    <s v="2024-05"/>
    <s v="1-10%"/>
    <n v="0.20228810171765305"/>
    <s v="No"/>
  </r>
  <r>
    <s v="ORD-101811"/>
    <d v="2024-05-11T00:00:00"/>
    <s v="CUST-00226"/>
    <x v="0"/>
    <x v="1"/>
    <s v="Mobile"/>
    <s v="Pixel Aura 12"/>
    <n v="2"/>
    <n v="32266.04"/>
    <n v="0.25"/>
    <n v="48399.06"/>
    <n v="-3997.54"/>
    <s v="UPI"/>
    <s v="2024-05"/>
    <s v="21%+"/>
    <n v="-8.2595405778541978E-2"/>
    <s v="Yes"/>
  </r>
  <r>
    <s v="ORD-101932"/>
    <d v="2024-05-11T00:00:00"/>
    <s v="CUST-00041"/>
    <x v="2"/>
    <x v="0"/>
    <s v="Skincare"/>
    <s v="HydraBoost Moisturizer"/>
    <n v="1"/>
    <n v="1241.96"/>
    <n v="0.05"/>
    <n v="1179.8599999999999"/>
    <n v="589.79"/>
    <s v="Debit Card"/>
    <s v="2024-05"/>
    <s v="1-10%"/>
    <n v="0.49988134185411831"/>
    <s v="No"/>
  </r>
  <r>
    <s v="ORD-100129"/>
    <d v="2024-05-12T00:00:00"/>
    <s v="CUST-00057"/>
    <x v="3"/>
    <x v="0"/>
    <s v="Skincare"/>
    <s v="Vitamin C Serum"/>
    <n v="5"/>
    <n v="894.5"/>
    <n v="0.1"/>
    <n v="4025.25"/>
    <n v="1808.98"/>
    <s v="Net Banking"/>
    <s v="2024-05"/>
    <s v="1-10%"/>
    <n v="0.44940811129743496"/>
    <s v="No"/>
  </r>
  <r>
    <s v="ORD-100227"/>
    <d v="2024-05-13T00:00:00"/>
    <s v="CUST-00268"/>
    <x v="2"/>
    <x v="4"/>
    <s v="Fitness"/>
    <s v="ProYoga Mat"/>
    <n v="1"/>
    <n v="1285.28"/>
    <n v="0.1"/>
    <n v="1156.75"/>
    <n v="315.04000000000002"/>
    <s v="Credit Card"/>
    <s v="2024-05"/>
    <s v="1-10%"/>
    <n v="0.27234925437648588"/>
    <s v="No"/>
  </r>
  <r>
    <s v="ORD-100239"/>
    <d v="2024-05-13T00:00:00"/>
    <s v="CUST-00182"/>
    <x v="3"/>
    <x v="4"/>
    <s v="Fitness"/>
    <s v="ProYoga Mat"/>
    <n v="1"/>
    <n v="1236.6400000000001"/>
    <n v="0.1"/>
    <n v="1112.98"/>
    <n v="292.98"/>
    <s v="Credit Card"/>
    <s v="2024-05"/>
    <s v="1-10%"/>
    <n v="0.2632392316124279"/>
    <s v="No"/>
  </r>
  <r>
    <s v="ORD-100282"/>
    <d v="2024-05-13T00:00:00"/>
    <s v="CUST-00500"/>
    <x v="1"/>
    <x v="3"/>
    <s v="Men"/>
    <s v="Oxford Casual Shirt"/>
    <n v="4"/>
    <n v="1307.96"/>
    <n v="0.05"/>
    <n v="4970.25"/>
    <n v="1777.13"/>
    <s v="Debit Card"/>
    <s v="2024-05"/>
    <s v="1-10%"/>
    <n v="0.3575534429857653"/>
    <s v="No"/>
  </r>
  <r>
    <s v="ORD-101293"/>
    <d v="2024-05-13T00:00:00"/>
    <s v="CUST-00028"/>
    <x v="3"/>
    <x v="1"/>
    <s v="Mobile"/>
    <s v="Pixel Aura 12"/>
    <n v="1"/>
    <n v="33162.99"/>
    <n v="0.25"/>
    <n v="24872.240000000002"/>
    <n v="-2594.89"/>
    <s v="Debit Card"/>
    <s v="2024-05"/>
    <s v="21%+"/>
    <n v="-0.10432876170381114"/>
    <s v="Yes"/>
  </r>
  <r>
    <s v="ORD-101407"/>
    <d v="2024-05-13T00:00:00"/>
    <s v="CUST-00428"/>
    <x v="2"/>
    <x v="3"/>
    <s v="Footwear"/>
    <s v="UrbanLoafers"/>
    <n v="1"/>
    <n v="3368.55"/>
    <n v="0.2"/>
    <n v="2694.84"/>
    <n v="593.04"/>
    <s v="Debit Card"/>
    <s v="2024-05"/>
    <s v="16-20%"/>
    <n v="0.22006501313621585"/>
    <s v="No"/>
  </r>
  <r>
    <s v="ORD-101600"/>
    <d v="2024-05-13T00:00:00"/>
    <s v="CUST-00079"/>
    <x v="3"/>
    <x v="0"/>
    <s v="Makeup"/>
    <s v="HD Foundation Kit"/>
    <n v="2"/>
    <n v="1476.68"/>
    <n v="0.05"/>
    <n v="2805.69"/>
    <n v="1426.42"/>
    <s v="UPI"/>
    <s v="2024-05"/>
    <s v="1-10%"/>
    <n v="0.50840256763933289"/>
    <s v="No"/>
  </r>
  <r>
    <s v="ORD-101827"/>
    <d v="2024-05-13T00:00:00"/>
    <s v="CUST-00181"/>
    <x v="3"/>
    <x v="3"/>
    <s v="Footwear"/>
    <s v="RunFlex Sneakers"/>
    <n v="1"/>
    <n v="2932.38"/>
    <n v="0.2"/>
    <n v="2345.9"/>
    <n v="357.8"/>
    <s v="Net Banking"/>
    <s v="2024-05"/>
    <s v="16-20%"/>
    <n v="0.15252142035039856"/>
    <s v="No"/>
  </r>
  <r>
    <s v="ORD-100075"/>
    <d v="2024-05-14T00:00:00"/>
    <s v="CUST-00303"/>
    <x v="3"/>
    <x v="0"/>
    <s v="Makeup"/>
    <s v="Matte Lipstick Set"/>
    <n v="2"/>
    <n v="1013.62"/>
    <n v="0.25"/>
    <n v="1520.43"/>
    <n v="375.87"/>
    <s v="Credit Card"/>
    <s v="2024-05"/>
    <s v="21%+"/>
    <n v="0.24721295949172273"/>
    <s v="No"/>
  </r>
  <r>
    <s v="ORD-100544"/>
    <d v="2024-05-14T00:00:00"/>
    <s v="CUST-00099"/>
    <x v="3"/>
    <x v="2"/>
    <s v="Appliances"/>
    <s v="AirFryer Deluxe"/>
    <n v="1"/>
    <n v="7944.89"/>
    <n v="0.05"/>
    <n v="7547.65"/>
    <n v="2241.71"/>
    <s v="Credit Card"/>
    <s v="2024-05"/>
    <s v="1-10%"/>
    <n v="0.29700767788649451"/>
    <s v="No"/>
  </r>
  <r>
    <s v="ORD-100965"/>
    <d v="2024-05-14T00:00:00"/>
    <s v="CUST-00384"/>
    <x v="1"/>
    <x v="3"/>
    <s v="Footwear"/>
    <s v="UrbanLoafers"/>
    <n v="1"/>
    <n v="3557.91"/>
    <n v="0.3"/>
    <n v="2490.54"/>
    <n v="190.76"/>
    <s v="Net Banking"/>
    <s v="2024-05"/>
    <s v="21%+"/>
    <n v="7.6593831056718617E-2"/>
    <s v="No"/>
  </r>
  <r>
    <s v="ORD-101267"/>
    <d v="2024-05-14T00:00:00"/>
    <s v="CUST-00119"/>
    <x v="2"/>
    <x v="1"/>
    <s v="Mobile"/>
    <s v="Galaxy Nova X5"/>
    <n v="3"/>
    <n v="24322.959999999999"/>
    <n v="0.05"/>
    <n v="69320.44"/>
    <n v="9308.85"/>
    <s v="Cash on Delivery"/>
    <s v="2024-05"/>
    <s v="1-10%"/>
    <n v="0.13428723187561994"/>
    <s v="No"/>
  </r>
  <r>
    <s v="ORD-101900"/>
    <d v="2024-05-14T00:00:00"/>
    <s v="CUST-00309"/>
    <x v="2"/>
    <x v="2"/>
    <s v="Appliances"/>
    <s v="AirFryer Deluxe"/>
    <n v="2"/>
    <n v="7771.44"/>
    <n v="0.1"/>
    <n v="13988.59"/>
    <n v="3214.37"/>
    <s v="UPI"/>
    <s v="2024-05"/>
    <s v="1-10%"/>
    <n v="0.22978513202545789"/>
    <s v="No"/>
  </r>
  <r>
    <s v="ORD-100182"/>
    <d v="2024-05-15T00:00:00"/>
    <s v="CUST-00442"/>
    <x v="3"/>
    <x v="4"/>
    <s v="Fitness"/>
    <s v="Adjustable Dumbbell 24kg"/>
    <n v="1"/>
    <n v="9504.24"/>
    <n v="0"/>
    <n v="9504.24"/>
    <n v="3465.83"/>
    <s v="UPI"/>
    <s v="2024-05"/>
    <s v="No discount"/>
    <n v="0.3646614563605296"/>
    <s v="No"/>
  </r>
  <r>
    <s v="ORD-100204"/>
    <d v="2024-05-15T00:00:00"/>
    <s v="CUST-00330"/>
    <x v="2"/>
    <x v="2"/>
    <s v="Appliances"/>
    <s v="ColdBrew Coffee Maker"/>
    <n v="4"/>
    <n v="6759.06"/>
    <n v="0.05"/>
    <n v="25684.43"/>
    <n v="7646.63"/>
    <s v="Debit Card"/>
    <s v="2024-05"/>
    <s v="1-10%"/>
    <n v="0.29771460764361912"/>
    <s v="No"/>
  </r>
  <r>
    <s v="ORD-100469"/>
    <d v="2024-05-15T00:00:00"/>
    <s v="CUST-00245"/>
    <x v="1"/>
    <x v="4"/>
    <s v="Outdoor"/>
    <s v="TrailHike Backpack 60L"/>
    <n v="1"/>
    <n v="3519.46"/>
    <n v="0"/>
    <n v="3519.46"/>
    <n v="1200.1099999999999"/>
    <s v="Cash on Delivery"/>
    <s v="2024-05"/>
    <s v="No discount"/>
    <n v="0.34099265228188413"/>
    <s v="No"/>
  </r>
  <r>
    <s v="ORD-100921"/>
    <d v="2024-05-15T00:00:00"/>
    <s v="CUST-00032"/>
    <x v="1"/>
    <x v="0"/>
    <s v="Skincare"/>
    <s v="Vitamin C Serum"/>
    <n v="1"/>
    <n v="875.56"/>
    <n v="0.15"/>
    <n v="744.23"/>
    <n v="279.29000000000002"/>
    <s v="UPI"/>
    <s v="2024-05"/>
    <s v="11-15%"/>
    <n v="0.37527377289278852"/>
    <s v="No"/>
  </r>
  <r>
    <s v="ORD-101728"/>
    <d v="2024-05-15T00:00:00"/>
    <s v="CUST-00195"/>
    <x v="2"/>
    <x v="1"/>
    <s v="Laptop"/>
    <s v="AirBook Slim"/>
    <n v="2"/>
    <n v="76681.539999999994"/>
    <n v="0.15"/>
    <n v="130358.62"/>
    <n v="-2112.08"/>
    <s v="Debit Card"/>
    <s v="2024-05"/>
    <s v="11-15%"/>
    <n v="-1.6202073940334748E-2"/>
    <s v="Yes"/>
  </r>
  <r>
    <s v="ORD-101961"/>
    <d v="2024-05-15T00:00:00"/>
    <s v="CUST-00005"/>
    <x v="3"/>
    <x v="1"/>
    <s v="Mobile"/>
    <s v="iPhone Zeta"/>
    <n v="4"/>
    <n v="67462.990000000005"/>
    <n v="0"/>
    <n v="269851.96000000002"/>
    <n v="49849.1"/>
    <s v="UPI"/>
    <s v="2024-05"/>
    <s v="No discount"/>
    <n v="0.18472758174519094"/>
    <s v="No"/>
  </r>
  <r>
    <s v="ORD-100159"/>
    <d v="2024-05-16T00:00:00"/>
    <s v="CUST-00357"/>
    <x v="3"/>
    <x v="3"/>
    <s v="Men"/>
    <s v="Oxford Casual Shirt"/>
    <n v="1"/>
    <n v="1292.31"/>
    <n v="0.2"/>
    <n v="1033.8499999999999"/>
    <n v="230.93"/>
    <s v="UPI"/>
    <s v="2024-05"/>
    <s v="16-20%"/>
    <n v="0.22336896068094989"/>
    <s v="No"/>
  </r>
  <r>
    <s v="ORD-100637"/>
    <d v="2024-05-16T00:00:00"/>
    <s v="CUST-00326"/>
    <x v="3"/>
    <x v="1"/>
    <s v="Audio"/>
    <s v="SoundPods Pro"/>
    <n v="1"/>
    <n v="4911.1899999999996"/>
    <n v="0"/>
    <n v="4911.1899999999996"/>
    <n v="935.43"/>
    <s v="Net Banking"/>
    <s v="2024-05"/>
    <s v="No discount"/>
    <n v="0.19046911237398675"/>
    <s v="No"/>
  </r>
  <r>
    <s v="ORD-100689"/>
    <d v="2024-05-16T00:00:00"/>
    <s v="CUST-00053"/>
    <x v="2"/>
    <x v="0"/>
    <s v="Skincare"/>
    <s v="HydraBoost Moisturizer"/>
    <n v="5"/>
    <n v="1244.79"/>
    <n v="0.1"/>
    <n v="5601.56"/>
    <n v="2447.2199999999998"/>
    <s v="UPI"/>
    <s v="2024-05"/>
    <s v="1-10%"/>
    <n v="0.43688186862231226"/>
    <s v="No"/>
  </r>
  <r>
    <s v="ORD-101255"/>
    <d v="2024-05-16T00:00:00"/>
    <s v="CUST-00590"/>
    <x v="1"/>
    <x v="4"/>
    <s v="Outdoor"/>
    <s v="AllWeather Tent 4P"/>
    <n v="1"/>
    <n v="12377.24"/>
    <n v="0.05"/>
    <n v="11758.38"/>
    <n v="3598.45"/>
    <s v="Credit Card"/>
    <s v="2024-05"/>
    <s v="1-10%"/>
    <n v="0.30603280383862402"/>
    <s v="No"/>
  </r>
  <r>
    <s v="ORD-101206"/>
    <d v="2024-05-17T00:00:00"/>
    <s v="CUST-00064"/>
    <x v="0"/>
    <x v="3"/>
    <s v="Footwear"/>
    <s v="RunFlex Sneakers"/>
    <n v="1"/>
    <n v="2999.29"/>
    <n v="0.1"/>
    <n v="2699.36"/>
    <n v="753.87"/>
    <s v="UPI"/>
    <s v="2024-05"/>
    <s v="1-10%"/>
    <n v="0.27927731017722718"/>
    <s v="No"/>
  </r>
  <r>
    <s v="ORD-101576"/>
    <d v="2024-05-17T00:00:00"/>
    <s v="CUST-00354"/>
    <x v="1"/>
    <x v="2"/>
    <s v="Decor"/>
    <s v="Ceramic Vase Set"/>
    <n v="1"/>
    <n v="1485.36"/>
    <n v="0"/>
    <n v="1485.36"/>
    <n v="508.18"/>
    <s v="UPI"/>
    <s v="2024-05"/>
    <s v="No discount"/>
    <n v="0.34212581461733188"/>
    <s v="No"/>
  </r>
  <r>
    <s v="ORD-101665"/>
    <d v="2024-05-17T00:00:00"/>
    <s v="CUST-00001"/>
    <x v="0"/>
    <x v="0"/>
    <s v="Skincare"/>
    <s v="Vitamin C Serum"/>
    <n v="3"/>
    <n v="912.95"/>
    <n v="0.1"/>
    <n v="2464.9699999999998"/>
    <n v="1051.44"/>
    <s v="Credit Card"/>
    <s v="2024-05"/>
    <s v="1-10%"/>
    <n v="0.42655285865548065"/>
    <s v="No"/>
  </r>
  <r>
    <s v="ORD-101404"/>
    <d v="2024-05-18T00:00:00"/>
    <s v="CUST-00160"/>
    <x v="0"/>
    <x v="3"/>
    <s v="Men"/>
    <s v="SlimFit Denim Jeans"/>
    <n v="1"/>
    <n v="1957.93"/>
    <n v="0"/>
    <n v="1957.93"/>
    <n v="763.98"/>
    <s v="Cash on Delivery"/>
    <s v="2024-05"/>
    <s v="No discount"/>
    <n v="0.39019781095340489"/>
    <s v="No"/>
  </r>
  <r>
    <s v="ORD-100519"/>
    <d v="2024-05-19T00:00:00"/>
    <s v="CUST-00285"/>
    <x v="2"/>
    <x v="1"/>
    <s v="Mobile"/>
    <s v="Pixel Aura 12"/>
    <n v="1"/>
    <n v="32788.239999999998"/>
    <n v="0.1"/>
    <n v="29509.42"/>
    <n v="2264.96"/>
    <s v="UPI"/>
    <s v="2024-05"/>
    <s v="1-10%"/>
    <n v="7.6753795906527478E-2"/>
    <s v="No"/>
  </r>
  <r>
    <s v="ORD-100687"/>
    <d v="2024-05-19T00:00:00"/>
    <s v="CUST-00528"/>
    <x v="3"/>
    <x v="1"/>
    <s v="Audio"/>
    <s v="BassBoom Speaker"/>
    <n v="2"/>
    <n v="9335.8799999999992"/>
    <n v="0.05"/>
    <n v="17738.169999999998"/>
    <n v="2828.76"/>
    <s v="Credit Card"/>
    <s v="2024-05"/>
    <s v="1-10%"/>
    <n v="0.1594730459793767"/>
    <s v="No"/>
  </r>
  <r>
    <s v="ORD-101395"/>
    <d v="2024-05-19T00:00:00"/>
    <s v="CUST-00007"/>
    <x v="3"/>
    <x v="0"/>
    <s v="Makeup"/>
    <s v="HD Foundation Kit"/>
    <n v="1"/>
    <n v="1559.39"/>
    <n v="0"/>
    <n v="1559.39"/>
    <n v="806.32"/>
    <s v="UPI"/>
    <s v="2024-05"/>
    <s v="No discount"/>
    <n v="0.51707398405786875"/>
    <s v="No"/>
  </r>
  <r>
    <s v="ORD-101536"/>
    <d v="2024-05-19T00:00:00"/>
    <s v="CUST-00590"/>
    <x v="2"/>
    <x v="4"/>
    <s v="Outdoor"/>
    <s v="TrailHike Backpack 60L"/>
    <n v="2"/>
    <n v="3650.21"/>
    <n v="0.05"/>
    <n v="6935.4"/>
    <n v="2506.83"/>
    <s v="Debit Card"/>
    <s v="2024-05"/>
    <s v="1-10%"/>
    <n v="0.36145427805173458"/>
    <s v="No"/>
  </r>
  <r>
    <s v="ORD-101591"/>
    <d v="2024-05-19T00:00:00"/>
    <s v="CUST-00368"/>
    <x v="2"/>
    <x v="1"/>
    <s v="Mobile"/>
    <s v="Pixel Aura 12"/>
    <n v="1"/>
    <n v="33001.629999999997"/>
    <n v="0.1"/>
    <n v="29701.47"/>
    <n v="908.93"/>
    <s v="UPI"/>
    <s v="2024-05"/>
    <s v="1-10%"/>
    <n v="3.060218904990224E-2"/>
    <s v="No"/>
  </r>
  <r>
    <s v="ORD-100124"/>
    <d v="2024-05-20T00:00:00"/>
    <s v="CUST-00408"/>
    <x v="3"/>
    <x v="3"/>
    <s v="Footwear"/>
    <s v="UrbanLoafers"/>
    <n v="1"/>
    <n v="3335.38"/>
    <n v="0.25"/>
    <n v="2501.5300000000002"/>
    <n v="262.10000000000002"/>
    <s v="UPI"/>
    <s v="2024-05"/>
    <s v="21%+"/>
    <n v="0.10477587716317614"/>
    <s v="No"/>
  </r>
  <r>
    <s v="ORD-101063"/>
    <d v="2024-05-20T00:00:00"/>
    <s v="CUST-00331"/>
    <x v="2"/>
    <x v="3"/>
    <s v="Men"/>
    <s v="SlimFit Denim Jeans"/>
    <n v="2"/>
    <n v="1909.54"/>
    <n v="0.1"/>
    <n v="3437.17"/>
    <n v="1142.6199999999999"/>
    <s v="UPI"/>
    <s v="2024-05"/>
    <s v="1-10%"/>
    <n v="0.33243045877858818"/>
    <s v="No"/>
  </r>
  <r>
    <s v="ORD-101099"/>
    <d v="2024-05-20T00:00:00"/>
    <s v="CUST-00094"/>
    <x v="0"/>
    <x v="2"/>
    <s v="Decor"/>
    <s v="LED Wall Lamp"/>
    <n v="1"/>
    <n v="981.73"/>
    <n v="0.1"/>
    <n v="883.56"/>
    <n v="176.4"/>
    <s v="Credit Card"/>
    <s v="2024-05"/>
    <s v="1-10%"/>
    <n v="0.19964688306396852"/>
    <s v="No"/>
  </r>
  <r>
    <s v="ORD-101235"/>
    <d v="2024-05-20T00:00:00"/>
    <s v="CUST-00569"/>
    <x v="1"/>
    <x v="4"/>
    <s v="Outdoor"/>
    <s v="AllWeather Tent 4P"/>
    <n v="1"/>
    <n v="12530.47"/>
    <n v="0"/>
    <n v="12530.47"/>
    <n v="5147.95"/>
    <s v="Debit Card"/>
    <s v="2024-05"/>
    <s v="No discount"/>
    <n v="0.41083454970164729"/>
    <s v="No"/>
  </r>
  <r>
    <s v="ORD-101740"/>
    <d v="2024-05-20T00:00:00"/>
    <s v="CUST-00293"/>
    <x v="0"/>
    <x v="4"/>
    <s v="Fitness"/>
    <s v="ProYoga Mat"/>
    <n v="3"/>
    <n v="1353.2"/>
    <n v="0.05"/>
    <n v="3856.62"/>
    <n v="1381.83"/>
    <s v="Credit Card"/>
    <s v="2024-05"/>
    <s v="1-10%"/>
    <n v="0.35830079188512221"/>
    <s v="No"/>
  </r>
  <r>
    <s v="ORD-100292"/>
    <d v="2024-05-21T00:00:00"/>
    <s v="CUST-00525"/>
    <x v="0"/>
    <x v="0"/>
    <s v="Makeup"/>
    <s v="HD Foundation Kit"/>
    <n v="5"/>
    <n v="1538.33"/>
    <n v="0.25"/>
    <n v="5768.74"/>
    <n v="1409.81"/>
    <s v="Cash on Delivery"/>
    <s v="2024-05"/>
    <s v="21%+"/>
    <n v="0.24438785592694418"/>
    <s v="No"/>
  </r>
  <r>
    <s v="ORD-100772"/>
    <d v="2024-05-21T00:00:00"/>
    <s v="CUST-00123"/>
    <x v="2"/>
    <x v="1"/>
    <s v="Mobile"/>
    <s v="Pixel Aura 12"/>
    <n v="1"/>
    <n v="33371.07"/>
    <n v="0.05"/>
    <n v="31702.52"/>
    <n v="4676.08"/>
    <s v="UPI"/>
    <s v="2024-05"/>
    <s v="1-10%"/>
    <n v="0.14749868464715107"/>
    <s v="No"/>
  </r>
  <r>
    <s v="ORD-100818"/>
    <d v="2024-05-21T00:00:00"/>
    <s v="CUST-00121"/>
    <x v="3"/>
    <x v="0"/>
    <s v="Makeup"/>
    <s v="Matte Lipstick Set"/>
    <n v="2"/>
    <n v="1025.54"/>
    <n v="0"/>
    <n v="2051.08"/>
    <n v="1160.1600000000001"/>
    <s v="Credit Card"/>
    <s v="2024-05"/>
    <s v="No discount"/>
    <n v="0.56563371492091974"/>
    <s v="No"/>
  </r>
  <r>
    <s v="ORD-100899"/>
    <d v="2024-05-21T00:00:00"/>
    <s v="CUST-00046"/>
    <x v="1"/>
    <x v="3"/>
    <s v="Footwear"/>
    <s v="RunFlex Sneakers"/>
    <n v="2"/>
    <n v="2950.97"/>
    <n v="0.05"/>
    <n v="5606.84"/>
    <n v="2177.4699999999998"/>
    <s v="Debit Card"/>
    <s v="2024-05"/>
    <s v="1-10%"/>
    <n v="0.38835957509042524"/>
    <s v="No"/>
  </r>
  <r>
    <s v="ORD-100919"/>
    <d v="2024-05-21T00:00:00"/>
    <s v="CUST-00516"/>
    <x v="1"/>
    <x v="4"/>
    <s v="Fitness"/>
    <s v="ProYoga Mat"/>
    <n v="1"/>
    <n v="1360.6"/>
    <n v="0.1"/>
    <n v="1224.54"/>
    <n v="315.72000000000003"/>
    <s v="Credit Card"/>
    <s v="2024-05"/>
    <s v="1-10%"/>
    <n v="0.25782742907540795"/>
    <s v="No"/>
  </r>
  <r>
    <s v="ORD-101280"/>
    <d v="2024-05-21T00:00:00"/>
    <s v="CUST-00572"/>
    <x v="1"/>
    <x v="2"/>
    <s v="Furniture"/>
    <s v="ErgoComfort Chair"/>
    <n v="2"/>
    <n v="9195.8700000000008"/>
    <n v="0.25"/>
    <n v="13793.81"/>
    <n v="270.89999999999998"/>
    <s v="Debit Card"/>
    <s v="2024-05"/>
    <s v="21%+"/>
    <n v="1.9639243979727137E-2"/>
    <s v="No"/>
  </r>
  <r>
    <s v="ORD-101403"/>
    <d v="2024-05-21T00:00:00"/>
    <s v="CUST-00489"/>
    <x v="3"/>
    <x v="0"/>
    <s v="Skincare"/>
    <s v="HydraBoost Moisturizer"/>
    <n v="4"/>
    <n v="1172.1600000000001"/>
    <n v="0.15"/>
    <n v="3985.34"/>
    <n v="1651.59"/>
    <s v="UPI"/>
    <s v="2024-05"/>
    <s v="11-15%"/>
    <n v="0.41441633587096705"/>
    <s v="No"/>
  </r>
  <r>
    <s v="ORD-101891"/>
    <d v="2024-05-21T00:00:00"/>
    <s v="CUST-00530"/>
    <x v="3"/>
    <x v="4"/>
    <s v="Fitness"/>
    <s v="Adjustable Dumbbell 24kg"/>
    <n v="1"/>
    <n v="10182.94"/>
    <n v="0"/>
    <n v="10182.94"/>
    <n v="3562.48"/>
    <s v="UPI"/>
    <s v="2024-05"/>
    <s v="No discount"/>
    <n v="0.34984788283148088"/>
    <s v="No"/>
  </r>
  <r>
    <s v="ORD-100127"/>
    <d v="2024-05-22T00:00:00"/>
    <s v="CUST-00506"/>
    <x v="1"/>
    <x v="0"/>
    <s v="Makeup"/>
    <s v="HD Foundation Kit"/>
    <n v="3"/>
    <n v="1563.06"/>
    <n v="0.15"/>
    <n v="3985.8"/>
    <n v="1548.55"/>
    <s v="Credit Card"/>
    <s v="2024-05"/>
    <s v="11-15%"/>
    <n v="0.38851673440714535"/>
    <s v="No"/>
  </r>
  <r>
    <s v="ORD-100188"/>
    <d v="2024-05-22T00:00:00"/>
    <s v="CUST-00248"/>
    <x v="1"/>
    <x v="3"/>
    <s v="Footwear"/>
    <s v="RunFlex Sneakers"/>
    <n v="2"/>
    <n v="3134.86"/>
    <n v="0.1"/>
    <n v="5642.75"/>
    <n v="1703.71"/>
    <s v="Credit Card"/>
    <s v="2024-05"/>
    <s v="1-10%"/>
    <n v="0.30192902396880955"/>
    <s v="No"/>
  </r>
  <r>
    <s v="ORD-100657"/>
    <d v="2024-05-22T00:00:00"/>
    <s v="CUST-00126"/>
    <x v="0"/>
    <x v="4"/>
    <s v="Outdoor"/>
    <s v="TrailHike Backpack 60L"/>
    <n v="5"/>
    <n v="3606.16"/>
    <n v="0.2"/>
    <n v="14424.64"/>
    <n v="1590.27"/>
    <s v="UPI"/>
    <s v="2024-05"/>
    <s v="16-20%"/>
    <n v="0.11024677218980855"/>
    <s v="No"/>
  </r>
  <r>
    <s v="ORD-100724"/>
    <d v="2024-05-22T00:00:00"/>
    <s v="CUST-00148"/>
    <x v="0"/>
    <x v="1"/>
    <s v="Mobile"/>
    <s v="Pixel Aura 12"/>
    <n v="1"/>
    <n v="31405.66"/>
    <n v="0.4"/>
    <n v="18843.400000000001"/>
    <n v="-5188.1499999999996"/>
    <s v="Net Banking"/>
    <s v="2024-05"/>
    <s v="21%+"/>
    <n v="-0.27532982370485154"/>
    <s v="Yes"/>
  </r>
  <r>
    <s v="ORD-101247"/>
    <d v="2024-05-22T00:00:00"/>
    <s v="CUST-00408"/>
    <x v="1"/>
    <x v="0"/>
    <s v="Makeup"/>
    <s v="Matte Lipstick Set"/>
    <n v="2"/>
    <n v="964.07"/>
    <n v="0.05"/>
    <n v="1831.73"/>
    <n v="839.53"/>
    <s v="Cash on Delivery"/>
    <s v="2024-05"/>
    <s v="1-10%"/>
    <n v="0.45832628171182432"/>
    <s v="No"/>
  </r>
  <r>
    <s v="ORD-101310"/>
    <d v="2024-05-22T00:00:00"/>
    <s v="CUST-00479"/>
    <x v="0"/>
    <x v="0"/>
    <s v="Skincare"/>
    <s v="HydraBoost Moisturizer"/>
    <n v="3"/>
    <n v="1237.67"/>
    <n v="0"/>
    <n v="3713.01"/>
    <n v="1972.09"/>
    <s v="Debit Card"/>
    <s v="2024-05"/>
    <s v="No discount"/>
    <n v="0.53112973032660826"/>
    <s v="No"/>
  </r>
  <r>
    <s v="ORD-101592"/>
    <d v="2024-05-22T00:00:00"/>
    <s v="CUST-00340"/>
    <x v="2"/>
    <x v="3"/>
    <s v="Women"/>
    <s v="Knit Winter Sweater"/>
    <n v="1"/>
    <n v="2164.79"/>
    <n v="0.25"/>
    <n v="1623.59"/>
    <n v="209.21"/>
    <s v="UPI"/>
    <s v="2024-05"/>
    <s v="21%+"/>
    <n v="0.12885642311174619"/>
    <s v="No"/>
  </r>
  <r>
    <s v="ORD-101743"/>
    <d v="2024-05-22T00:00:00"/>
    <s v="CUST-00434"/>
    <x v="3"/>
    <x v="0"/>
    <s v="Makeup"/>
    <s v="Matte Lipstick Set"/>
    <n v="1"/>
    <n v="950.26"/>
    <n v="0.05"/>
    <n v="902.75"/>
    <n v="478.51"/>
    <s v="Debit Card"/>
    <s v="2024-05"/>
    <s v="1-10%"/>
    <n v="0.53005815563555803"/>
    <s v="No"/>
  </r>
  <r>
    <s v="ORD-100452"/>
    <d v="2024-05-23T00:00:00"/>
    <s v="CUST-00026"/>
    <x v="1"/>
    <x v="0"/>
    <s v="Skincare"/>
    <s v="HydraBoost Moisturizer"/>
    <n v="2"/>
    <n v="1185.82"/>
    <n v="0"/>
    <n v="2371.64"/>
    <n v="1229.79"/>
    <s v="Credit Card"/>
    <s v="2024-05"/>
    <s v="No discount"/>
    <n v="0.5185399133089339"/>
    <s v="No"/>
  </r>
  <r>
    <s v="ORD-101105"/>
    <d v="2024-05-23T00:00:00"/>
    <s v="CUST-00371"/>
    <x v="3"/>
    <x v="3"/>
    <s v="Women"/>
    <s v="Floral Summer Dress"/>
    <n v="5"/>
    <n v="1797.12"/>
    <n v="0.1"/>
    <n v="8087.04"/>
    <n v="2212.9899999999998"/>
    <s v="UPI"/>
    <s v="2024-05"/>
    <s v="1-10%"/>
    <n v="0.27364647633744854"/>
    <s v="No"/>
  </r>
  <r>
    <s v="ORD-101124"/>
    <d v="2024-05-23T00:00:00"/>
    <s v="CUST-00310"/>
    <x v="1"/>
    <x v="2"/>
    <s v="Furniture"/>
    <s v="ErgoComfort Chair"/>
    <n v="1"/>
    <n v="8743.0400000000009"/>
    <n v="0.15"/>
    <n v="7431.58"/>
    <n v="1334.01"/>
    <s v="Credit Card"/>
    <s v="2024-05"/>
    <s v="11-15%"/>
    <n v="0.1795055694751318"/>
    <s v="No"/>
  </r>
  <r>
    <s v="ORD-101657"/>
    <d v="2024-05-23T00:00:00"/>
    <s v="CUST-00130"/>
    <x v="3"/>
    <x v="1"/>
    <s v="Audio"/>
    <s v="SoundPods Pro"/>
    <n v="1"/>
    <n v="4773.7299999999996"/>
    <n v="0.1"/>
    <n v="4296.3599999999997"/>
    <n v="400.03"/>
    <s v="Credit Card"/>
    <s v="2024-05"/>
    <s v="1-10%"/>
    <n v="9.3109050452010539E-2"/>
    <s v="No"/>
  </r>
  <r>
    <s v="ORD-101174"/>
    <d v="2024-05-24T00:00:00"/>
    <s v="CUST-00182"/>
    <x v="3"/>
    <x v="1"/>
    <s v="Laptop"/>
    <s v="AirBook Slim"/>
    <n v="1"/>
    <n v="81635.12"/>
    <n v="0.15"/>
    <n v="69389.850000000006"/>
    <n v="1898.92"/>
    <s v="UPI"/>
    <s v="2024-05"/>
    <s v="11-15%"/>
    <n v="2.7365962024705343E-2"/>
    <s v="No"/>
  </r>
  <r>
    <s v="ORD-101753"/>
    <d v="2024-05-24T00:00:00"/>
    <s v="CUST-00245"/>
    <x v="1"/>
    <x v="2"/>
    <s v="Furniture"/>
    <s v="ErgoComfort Chair"/>
    <n v="1"/>
    <n v="9388.7000000000007"/>
    <n v="0"/>
    <n v="9388.7000000000007"/>
    <n v="2842.49"/>
    <s v="Net Banking"/>
    <s v="2024-05"/>
    <s v="No discount"/>
    <n v="0.30275650516045882"/>
    <s v="No"/>
  </r>
  <r>
    <s v="ORD-100211"/>
    <d v="2024-05-26T00:00:00"/>
    <s v="CUST-00577"/>
    <x v="0"/>
    <x v="1"/>
    <s v="Audio"/>
    <s v="SoundPods Pro"/>
    <n v="1"/>
    <n v="4898.6499999999996"/>
    <n v="0.05"/>
    <n v="4653.72"/>
    <n v="526.41999999999996"/>
    <s v="Net Banking"/>
    <s v="2024-05"/>
    <s v="1-10%"/>
    <n v="0.1131181076644061"/>
    <s v="No"/>
  </r>
  <r>
    <s v="ORD-100651"/>
    <d v="2024-05-26T00:00:00"/>
    <s v="CUST-00215"/>
    <x v="1"/>
    <x v="0"/>
    <s v="Makeup"/>
    <s v="HD Foundation Kit"/>
    <n v="2"/>
    <n v="1554.38"/>
    <n v="0.25"/>
    <n v="2331.5700000000002"/>
    <n v="539.16"/>
    <s v="Debit Card"/>
    <s v="2024-05"/>
    <s v="21%+"/>
    <n v="0.2312433253129865"/>
    <s v="No"/>
  </r>
  <r>
    <s v="ORD-101219"/>
    <d v="2024-05-26T00:00:00"/>
    <s v="CUST-00538"/>
    <x v="0"/>
    <x v="2"/>
    <s v="Furniture"/>
    <s v="ErgoComfort Chair"/>
    <n v="1"/>
    <n v="9063.83"/>
    <n v="0"/>
    <n v="9063.83"/>
    <n v="2980.47"/>
    <s v="Credit Card"/>
    <s v="2024-05"/>
    <s v="No discount"/>
    <n v="0.32883118946405654"/>
    <s v="No"/>
  </r>
  <r>
    <s v="ORD-100756"/>
    <d v="2024-05-27T00:00:00"/>
    <s v="CUST-00594"/>
    <x v="2"/>
    <x v="2"/>
    <s v="Furniture"/>
    <s v="Oakwood Study Desk"/>
    <n v="2"/>
    <n v="12840.55"/>
    <n v="0.15"/>
    <n v="21828.93"/>
    <n v="3019.78"/>
    <s v="UPI"/>
    <s v="2024-05"/>
    <s v="11-15%"/>
    <n v="0.13833843436210572"/>
    <s v="No"/>
  </r>
  <r>
    <s v="ORD-101022"/>
    <d v="2024-05-27T00:00:00"/>
    <s v="CUST-00421"/>
    <x v="0"/>
    <x v="4"/>
    <s v="Outdoor"/>
    <s v="TrailHike Backpack 60L"/>
    <n v="1"/>
    <n v="3385.06"/>
    <n v="0.1"/>
    <n v="3046.55"/>
    <n v="921.25"/>
    <s v="Net Banking"/>
    <s v="2024-05"/>
    <s v="1-10%"/>
    <n v="0.30239122942344615"/>
    <s v="No"/>
  </r>
  <r>
    <s v="ORD-101574"/>
    <d v="2024-05-27T00:00:00"/>
    <s v="CUST-00220"/>
    <x v="2"/>
    <x v="3"/>
    <s v="Women"/>
    <s v="Knit Winter Sweater"/>
    <n v="3"/>
    <n v="2118.02"/>
    <n v="0.25"/>
    <n v="4765.55"/>
    <n v="578.27"/>
    <s v="UPI"/>
    <s v="2024-05"/>
    <s v="21%+"/>
    <n v="0.12134381131244032"/>
    <s v="No"/>
  </r>
  <r>
    <s v="ORD-100523"/>
    <d v="2024-05-28T00:00:00"/>
    <s v="CUST-00377"/>
    <x v="3"/>
    <x v="0"/>
    <s v="Skincare"/>
    <s v="HydraBoost Moisturizer"/>
    <n v="1"/>
    <n v="1152.5899999999999"/>
    <n v="0.1"/>
    <n v="1037.33"/>
    <n v="455.03"/>
    <s v="UPI"/>
    <s v="2024-05"/>
    <s v="1-10%"/>
    <n v="0.4386550085315184"/>
    <s v="No"/>
  </r>
  <r>
    <s v="ORD-101176"/>
    <d v="2024-05-28T00:00:00"/>
    <s v="CUST-00380"/>
    <x v="0"/>
    <x v="3"/>
    <s v="Women"/>
    <s v="Floral Summer Dress"/>
    <n v="1"/>
    <n v="1796.46"/>
    <n v="0"/>
    <n v="1796.46"/>
    <n v="714.11"/>
    <s v="Credit Card"/>
    <s v="2024-05"/>
    <s v="No discount"/>
    <n v="0.39750954655266468"/>
    <s v="No"/>
  </r>
  <r>
    <s v="ORD-101618"/>
    <d v="2024-05-28T00:00:00"/>
    <s v="CUST-00005"/>
    <x v="2"/>
    <x v="3"/>
    <s v="Footwear"/>
    <s v="UrbanLoafers"/>
    <n v="2"/>
    <n v="3654.12"/>
    <n v="0.25"/>
    <n v="5481.18"/>
    <n v="546.23"/>
    <s v="UPI"/>
    <s v="2024-05"/>
    <s v="21%+"/>
    <n v="9.9655548622741813E-2"/>
    <s v="No"/>
  </r>
  <r>
    <s v="ORD-100070"/>
    <d v="2024-05-29T00:00:00"/>
    <s v="CUST-00422"/>
    <x v="2"/>
    <x v="1"/>
    <s v="Laptop"/>
    <s v="ThinkPro 14"/>
    <n v="2"/>
    <n v="52502"/>
    <n v="0.25"/>
    <n v="78753"/>
    <n v="-6600.17"/>
    <s v="UPI"/>
    <s v="2024-05"/>
    <s v="21%+"/>
    <n v="-8.3808489835307864E-2"/>
    <s v="Yes"/>
  </r>
  <r>
    <s v="ORD-100113"/>
    <d v="2024-05-29T00:00:00"/>
    <s v="CUST-00294"/>
    <x v="0"/>
    <x v="2"/>
    <s v="Furniture"/>
    <s v="ErgoComfort Chair"/>
    <n v="5"/>
    <n v="8574.42"/>
    <n v="0.05"/>
    <n v="40728.49"/>
    <n v="12502.26"/>
    <s v="Credit Card"/>
    <s v="2024-05"/>
    <s v="1-10%"/>
    <n v="0.30696595920938885"/>
    <s v="No"/>
  </r>
  <r>
    <s v="ORD-100146"/>
    <d v="2024-05-29T00:00:00"/>
    <s v="CUST-00295"/>
    <x v="1"/>
    <x v="2"/>
    <s v="Decor"/>
    <s v="LED Wall Lamp"/>
    <n v="2"/>
    <n v="1021.14"/>
    <n v="0.25"/>
    <n v="1531.71"/>
    <n v="39.090000000000003"/>
    <s v="Credit Card"/>
    <s v="2024-05"/>
    <s v="21%+"/>
    <n v="2.5520496699766929E-2"/>
    <s v="No"/>
  </r>
  <r>
    <s v="ORD-100359"/>
    <d v="2024-05-29T00:00:00"/>
    <s v="CUST-00402"/>
    <x v="1"/>
    <x v="4"/>
    <s v="Fitness"/>
    <s v="Adjustable Dumbbell 24kg"/>
    <n v="1"/>
    <n v="9997.4"/>
    <n v="0.15"/>
    <n v="8497.7900000000009"/>
    <n v="1675.86"/>
    <s v="UPI"/>
    <s v="2024-05"/>
    <s v="11-15%"/>
    <n v="0.19721127493148216"/>
    <s v="No"/>
  </r>
  <r>
    <s v="ORD-100741"/>
    <d v="2024-05-29T00:00:00"/>
    <s v="CUST-00328"/>
    <x v="3"/>
    <x v="2"/>
    <s v="Decor"/>
    <s v="LED Wall Lamp"/>
    <n v="1"/>
    <n v="960.47"/>
    <n v="0.15"/>
    <n v="816.4"/>
    <n v="125.62"/>
    <s v="Cash on Delivery"/>
    <s v="2024-05"/>
    <s v="11-15%"/>
    <n v="0.1538706516413523"/>
    <s v="No"/>
  </r>
  <r>
    <s v="ORD-101076"/>
    <d v="2024-05-29T00:00:00"/>
    <s v="CUST-00356"/>
    <x v="3"/>
    <x v="3"/>
    <s v="Footwear"/>
    <s v="RunFlex Sneakers"/>
    <n v="1"/>
    <n v="2959.2"/>
    <n v="0"/>
    <n v="2959.2"/>
    <n v="1318.79"/>
    <s v="UPI"/>
    <s v="2024-05"/>
    <s v="No discount"/>
    <n v="0.44565761016490946"/>
    <s v="No"/>
  </r>
  <r>
    <s v="ORD-101458"/>
    <d v="2024-05-29T00:00:00"/>
    <s v="CUST-00337"/>
    <x v="1"/>
    <x v="2"/>
    <s v="Furniture"/>
    <s v="ErgoComfort Chair"/>
    <n v="3"/>
    <n v="9022.24"/>
    <n v="0"/>
    <n v="27066.720000000001"/>
    <n v="9313.16"/>
    <s v="Credit Card"/>
    <s v="2024-05"/>
    <s v="No discount"/>
    <n v="0.34408158801657529"/>
    <s v="No"/>
  </r>
  <r>
    <s v="ORD-101982"/>
    <d v="2024-05-29T00:00:00"/>
    <s v="CUST-00435"/>
    <x v="1"/>
    <x v="2"/>
    <s v="Furniture"/>
    <s v="Oakwood Study Desk"/>
    <n v="1"/>
    <n v="12946.01"/>
    <n v="0.1"/>
    <n v="11651.41"/>
    <n v="2363.36"/>
    <s v="Credit Card"/>
    <s v="2024-05"/>
    <s v="1-10%"/>
    <n v="0.2028389697040959"/>
    <s v="No"/>
  </r>
  <r>
    <s v="ORD-100252"/>
    <d v="2024-05-30T00:00:00"/>
    <s v="CUST-00460"/>
    <x v="1"/>
    <x v="4"/>
    <s v="Fitness"/>
    <s v="Adjustable Dumbbell 24kg"/>
    <n v="1"/>
    <n v="10352.9"/>
    <n v="0.05"/>
    <n v="9835.25"/>
    <n v="2805.78"/>
    <s v="Credit Card"/>
    <s v="2024-05"/>
    <s v="1-10%"/>
    <n v="0.28527795429704383"/>
    <s v="No"/>
  </r>
  <r>
    <s v="ORD-101228"/>
    <d v="2024-05-30T00:00:00"/>
    <s v="CUST-00273"/>
    <x v="1"/>
    <x v="3"/>
    <s v="Footwear"/>
    <s v="UrbanLoafers"/>
    <n v="1"/>
    <n v="3621.11"/>
    <n v="0.1"/>
    <n v="3259"/>
    <n v="902.02"/>
    <s v="UPI"/>
    <s v="2024-05"/>
    <s v="1-10%"/>
    <n v="0.2767781528076097"/>
    <s v="No"/>
  </r>
  <r>
    <s v="ORD-101838"/>
    <d v="2024-05-30T00:00:00"/>
    <s v="CUST-00482"/>
    <x v="1"/>
    <x v="2"/>
    <s v="Decor"/>
    <s v="LED Wall Lamp"/>
    <n v="1"/>
    <n v="1015.86"/>
    <n v="0.05"/>
    <n v="965.07"/>
    <n v="226.4"/>
    <s v="UPI"/>
    <s v="2024-05"/>
    <s v="1-10%"/>
    <n v="0.23459438175469136"/>
    <s v="No"/>
  </r>
  <r>
    <s v="ORD-100024"/>
    <d v="2024-05-31T00:00:00"/>
    <s v="CUST-00043"/>
    <x v="0"/>
    <x v="2"/>
    <s v="Furniture"/>
    <s v="ErgoComfort Chair"/>
    <n v="2"/>
    <n v="8557.75"/>
    <n v="0.05"/>
    <n v="16259.72"/>
    <n v="3878.26"/>
    <s v="Net Banking"/>
    <s v="2024-05"/>
    <s v="1-10%"/>
    <n v="0.23851948250031368"/>
    <s v="No"/>
  </r>
  <r>
    <s v="ORD-100670"/>
    <d v="2024-05-31T00:00:00"/>
    <s v="CUST-00438"/>
    <x v="1"/>
    <x v="3"/>
    <s v="Women"/>
    <s v="Knit Winter Sweater"/>
    <n v="1"/>
    <n v="2137.02"/>
    <n v="0"/>
    <n v="2137.02"/>
    <n v="940.01"/>
    <s v="UPI"/>
    <s v="2024-05"/>
    <s v="No discount"/>
    <n v="0.439869537954722"/>
    <s v="No"/>
  </r>
  <r>
    <s v="ORD-100994"/>
    <d v="2024-05-31T00:00:00"/>
    <s v="CUST-00363"/>
    <x v="2"/>
    <x v="4"/>
    <s v="Outdoor"/>
    <s v="TrailHike Backpack 60L"/>
    <n v="4"/>
    <n v="3519.98"/>
    <n v="0"/>
    <n v="14079.92"/>
    <n v="5416.82"/>
    <s v="UPI"/>
    <s v="2024-05"/>
    <s v="No discount"/>
    <n v="0.38471951545179234"/>
    <s v="No"/>
  </r>
  <r>
    <s v="ORD-101143"/>
    <d v="2024-05-31T00:00:00"/>
    <s v="CUST-00460"/>
    <x v="2"/>
    <x v="2"/>
    <s v="Appliances"/>
    <s v="ColdBrew Coffee Maker"/>
    <n v="1"/>
    <n v="6631.08"/>
    <n v="0.05"/>
    <n v="6299.53"/>
    <n v="1483.19"/>
    <s v="Net Banking"/>
    <s v="2024-05"/>
    <s v="1-10%"/>
    <n v="0.23544454903778539"/>
    <s v="No"/>
  </r>
  <r>
    <s v="ORD-101146"/>
    <d v="2024-05-31T00:00:00"/>
    <s v="CUST-00144"/>
    <x v="3"/>
    <x v="4"/>
    <s v="Outdoor"/>
    <s v="TrailHike Backpack 60L"/>
    <n v="1"/>
    <n v="3657.96"/>
    <n v="0.15"/>
    <n v="3109.27"/>
    <n v="624.23"/>
    <s v="Cash on Delivery"/>
    <s v="2024-05"/>
    <s v="11-15%"/>
    <n v="0.20076416650853737"/>
    <s v="No"/>
  </r>
  <r>
    <s v="ORD-101428"/>
    <d v="2024-05-31T00:00:00"/>
    <s v="CUST-00456"/>
    <x v="3"/>
    <x v="3"/>
    <s v="Footwear"/>
    <s v="RunFlex Sneakers"/>
    <n v="3"/>
    <n v="3051.99"/>
    <n v="0.25"/>
    <n v="6866.98"/>
    <n v="1015.08"/>
    <s v="UPI"/>
    <s v="2024-05"/>
    <s v="21%+"/>
    <n v="0.14782043926150945"/>
    <s v="No"/>
  </r>
  <r>
    <s v="ORD-101477"/>
    <d v="2024-05-31T00:00:00"/>
    <s v="CUST-00066"/>
    <x v="2"/>
    <x v="2"/>
    <s v="Furniture"/>
    <s v="ErgoComfort Chair"/>
    <n v="1"/>
    <n v="9032.14"/>
    <n v="0.1"/>
    <n v="8128.93"/>
    <n v="2021.18"/>
    <s v="Credit Card"/>
    <s v="2024-05"/>
    <s v="1-10%"/>
    <n v="0.24864034995995782"/>
    <s v="No"/>
  </r>
  <r>
    <s v="ORD-100065"/>
    <d v="2024-06-01T00:00:00"/>
    <s v="CUST-00496"/>
    <x v="0"/>
    <x v="2"/>
    <s v="Appliances"/>
    <s v="ColdBrew Coffee Maker"/>
    <n v="3"/>
    <n v="6368.08"/>
    <n v="0"/>
    <n v="19104.240000000002"/>
    <n v="6437.27"/>
    <s v="Credit Card"/>
    <s v="2024-06"/>
    <s v="No discount"/>
    <n v="0.33695504244084035"/>
    <s v="No"/>
  </r>
  <r>
    <s v="ORD-101047"/>
    <d v="2024-06-01T00:00:00"/>
    <s v="CUST-00015"/>
    <x v="3"/>
    <x v="2"/>
    <s v="Decor"/>
    <s v="LED Wall Lamp"/>
    <n v="3"/>
    <n v="964.3"/>
    <n v="0.05"/>
    <n v="2748.25"/>
    <n v="801.19"/>
    <s v="Cash on Delivery"/>
    <s v="2024-06"/>
    <s v="1-10%"/>
    <n v="0.29152733557718552"/>
    <s v="No"/>
  </r>
  <r>
    <s v="ORD-101230"/>
    <d v="2024-06-01T00:00:00"/>
    <s v="CUST-00319"/>
    <x v="2"/>
    <x v="3"/>
    <s v="Footwear"/>
    <s v="UrbanLoafers"/>
    <n v="2"/>
    <n v="3586.62"/>
    <n v="0.4"/>
    <n v="4303.9399999999996"/>
    <n v="-257.57"/>
    <s v="UPI"/>
    <s v="2024-06"/>
    <s v="21%+"/>
    <n v="-5.9845165127766657E-2"/>
    <s v="Yes"/>
  </r>
  <r>
    <s v="ORD-101406"/>
    <d v="2024-06-01T00:00:00"/>
    <s v="CUST-00135"/>
    <x v="1"/>
    <x v="0"/>
    <s v="Skincare"/>
    <s v="Vitamin C Serum"/>
    <n v="2"/>
    <n v="920.11"/>
    <n v="0.15"/>
    <n v="1564.19"/>
    <n v="543.88"/>
    <s v="Cash on Delivery"/>
    <s v="2024-06"/>
    <s v="11-15%"/>
    <n v="0.34770711997903064"/>
    <s v="No"/>
  </r>
  <r>
    <s v="ORD-101598"/>
    <d v="2024-06-01T00:00:00"/>
    <s v="CUST-00359"/>
    <x v="0"/>
    <x v="2"/>
    <s v="Furniture"/>
    <s v="Oakwood Study Desk"/>
    <n v="1"/>
    <n v="13387.08"/>
    <n v="0.15"/>
    <n v="11379.02"/>
    <n v="2231.91"/>
    <s v="UPI"/>
    <s v="2024-06"/>
    <s v="11-15%"/>
    <n v="0.19614255006142883"/>
    <s v="No"/>
  </r>
  <r>
    <s v="ORD-100105"/>
    <d v="2024-06-02T00:00:00"/>
    <s v="CUST-00597"/>
    <x v="1"/>
    <x v="0"/>
    <s v="Skincare"/>
    <s v="HydraBoost Moisturizer"/>
    <n v="1"/>
    <n v="1220.3900000000001"/>
    <n v="0"/>
    <n v="1220.3900000000001"/>
    <n v="650.14"/>
    <s v="Credit Card"/>
    <s v="2024-06"/>
    <s v="No discount"/>
    <n v="0.53273133998148126"/>
    <s v="No"/>
  </r>
  <r>
    <s v="ORD-100324"/>
    <d v="2024-06-02T00:00:00"/>
    <s v="CUST-00182"/>
    <x v="0"/>
    <x v="4"/>
    <s v="Fitness"/>
    <s v="ProYoga Mat"/>
    <n v="1"/>
    <n v="1236.2"/>
    <n v="0"/>
    <n v="1236.2"/>
    <n v="472"/>
    <s v="Credit Card"/>
    <s v="2024-06"/>
    <s v="No discount"/>
    <n v="0.38181524025238633"/>
    <s v="No"/>
  </r>
  <r>
    <s v="ORD-100344"/>
    <d v="2024-06-02T00:00:00"/>
    <s v="CUST-00010"/>
    <x v="0"/>
    <x v="3"/>
    <s v="Footwear"/>
    <s v="RunFlex Sneakers"/>
    <n v="3"/>
    <n v="3090.2"/>
    <n v="0.15"/>
    <n v="7880.01"/>
    <n v="1985.19"/>
    <s v="UPI"/>
    <s v="2024-06"/>
    <s v="11-15%"/>
    <n v="0.25192734526986643"/>
    <s v="No"/>
  </r>
  <r>
    <s v="ORD-100733"/>
    <d v="2024-06-02T00:00:00"/>
    <s v="CUST-00392"/>
    <x v="2"/>
    <x v="4"/>
    <s v="Outdoor"/>
    <s v="TrailHike Backpack 60L"/>
    <n v="2"/>
    <n v="3466.56"/>
    <n v="0"/>
    <n v="6933.12"/>
    <n v="2768.51"/>
    <s v="Debit Card"/>
    <s v="2024-06"/>
    <s v="No discount"/>
    <n v="0.39931661358811044"/>
    <s v="No"/>
  </r>
  <r>
    <s v="ORD-100719"/>
    <d v="2024-06-03T00:00:00"/>
    <s v="CUST-00544"/>
    <x v="0"/>
    <x v="3"/>
    <s v="Men"/>
    <s v="Oxford Casual Shirt"/>
    <n v="1"/>
    <n v="1249.42"/>
    <n v="0.1"/>
    <n v="1124.48"/>
    <n v="381.05"/>
    <s v="Net Banking"/>
    <s v="2024-06"/>
    <s v="1-10%"/>
    <n v="0.33886774331246444"/>
    <s v="No"/>
  </r>
  <r>
    <s v="ORD-101714"/>
    <d v="2024-06-03T00:00:00"/>
    <s v="CUST-00188"/>
    <x v="2"/>
    <x v="4"/>
    <s v="Outdoor"/>
    <s v="AllWeather Tent 4P"/>
    <n v="1"/>
    <n v="12199.54"/>
    <n v="0.15"/>
    <n v="10369.61"/>
    <n v="2315.36"/>
    <s v="UPI"/>
    <s v="2024-06"/>
    <s v="11-15%"/>
    <n v="0.22328322858815328"/>
    <s v="No"/>
  </r>
  <r>
    <s v="ORD-101836"/>
    <d v="2024-06-03T00:00:00"/>
    <s v="CUST-00347"/>
    <x v="3"/>
    <x v="0"/>
    <s v="Makeup"/>
    <s v="Matte Lipstick Set"/>
    <n v="1"/>
    <n v="1040.04"/>
    <n v="0"/>
    <n v="1040.04"/>
    <n v="593.24"/>
    <s v="Net Banking"/>
    <s v="2024-06"/>
    <s v="No discount"/>
    <n v="0.5704011384177532"/>
    <s v="No"/>
  </r>
  <r>
    <s v="ORD-101849"/>
    <d v="2024-06-03T00:00:00"/>
    <s v="CUST-00428"/>
    <x v="2"/>
    <x v="2"/>
    <s v="Appliances"/>
    <s v="AirFryer Deluxe"/>
    <n v="3"/>
    <n v="7848.26"/>
    <n v="0"/>
    <n v="23544.78"/>
    <n v="8521.25"/>
    <s v="Net Banking"/>
    <s v="2024-06"/>
    <s v="No discount"/>
    <n v="0.36191673908186872"/>
    <s v="No"/>
  </r>
  <r>
    <s v="ORD-100449"/>
    <d v="2024-06-04T00:00:00"/>
    <s v="CUST-00401"/>
    <x v="2"/>
    <x v="0"/>
    <s v="Makeup"/>
    <s v="HD Foundation Kit"/>
    <n v="1"/>
    <n v="1521.91"/>
    <n v="0.05"/>
    <n v="1445.81"/>
    <n v="654.33000000000004"/>
    <s v="UPI"/>
    <s v="2024-06"/>
    <s v="1-10%"/>
    <n v="0.45256983974381149"/>
    <s v="No"/>
  </r>
  <r>
    <s v="ORD-100950"/>
    <d v="2024-06-04T00:00:00"/>
    <s v="CUST-00075"/>
    <x v="3"/>
    <x v="1"/>
    <s v="Audio"/>
    <s v="BassBoom Speaker"/>
    <n v="2"/>
    <n v="9225.69"/>
    <n v="0.4"/>
    <n v="11070.83"/>
    <n v="-2863.26"/>
    <s v="UPI"/>
    <s v="2024-06"/>
    <s v="21%+"/>
    <n v="-0.25863101501874747"/>
    <s v="Yes"/>
  </r>
  <r>
    <s v="ORD-100972"/>
    <d v="2024-06-04T00:00:00"/>
    <s v="CUST-00435"/>
    <x v="1"/>
    <x v="2"/>
    <s v="Appliances"/>
    <s v="AirFryer Deluxe"/>
    <n v="2"/>
    <n v="7732.44"/>
    <n v="0.4"/>
    <n v="9278.93"/>
    <n v="-1459.58"/>
    <s v="Credit Card"/>
    <s v="2024-06"/>
    <s v="21%+"/>
    <n v="-0.15730046460098307"/>
    <s v="Yes"/>
  </r>
  <r>
    <s v="ORD-101430"/>
    <d v="2024-06-04T00:00:00"/>
    <s v="CUST-00183"/>
    <x v="2"/>
    <x v="0"/>
    <s v="Skincare"/>
    <s v="Vitamin C Serum"/>
    <n v="4"/>
    <n v="912.4"/>
    <n v="0.05"/>
    <n v="3467.12"/>
    <n v="1751.46"/>
    <s v="UPI"/>
    <s v="2024-06"/>
    <s v="1-10%"/>
    <n v="0.50516278640485479"/>
    <s v="No"/>
  </r>
  <r>
    <s v="ORD-100391"/>
    <d v="2024-06-05T00:00:00"/>
    <s v="CUST-00320"/>
    <x v="1"/>
    <x v="4"/>
    <s v="Fitness"/>
    <s v="ProYoga Mat"/>
    <n v="2"/>
    <n v="1322.12"/>
    <n v="0.1"/>
    <n v="2379.8200000000002"/>
    <n v="701.61"/>
    <s v="UPI"/>
    <s v="2024-06"/>
    <s v="1-10%"/>
    <n v="0.29481641468682501"/>
    <s v="No"/>
  </r>
  <r>
    <s v="ORD-100506"/>
    <d v="2024-06-05T00:00:00"/>
    <s v="CUST-00099"/>
    <x v="3"/>
    <x v="1"/>
    <s v="Mobile"/>
    <s v="iPhone Zeta"/>
    <n v="1"/>
    <n v="71245.73"/>
    <n v="0"/>
    <n v="71245.73"/>
    <n v="15514.88"/>
    <s v="Credit Card"/>
    <s v="2024-06"/>
    <s v="No discount"/>
    <n v="0.21776575241772383"/>
    <s v="No"/>
  </r>
  <r>
    <s v="ORD-101073"/>
    <d v="2024-06-05T00:00:00"/>
    <s v="CUST-00408"/>
    <x v="2"/>
    <x v="1"/>
    <s v="Audio"/>
    <s v="SoundPods Pro"/>
    <n v="1"/>
    <n v="5096.4399999999996"/>
    <n v="0.2"/>
    <n v="4077.15"/>
    <n v="-277.85000000000002"/>
    <s v="Credit Card"/>
    <s v="2024-06"/>
    <s v="16-20%"/>
    <n v="-6.814809364384436E-2"/>
    <s v="Yes"/>
  </r>
  <r>
    <s v="ORD-101438"/>
    <d v="2024-06-05T00:00:00"/>
    <s v="CUST-00166"/>
    <x v="0"/>
    <x v="4"/>
    <s v="Outdoor"/>
    <s v="TrailHike Backpack 60L"/>
    <n v="1"/>
    <n v="3369.9"/>
    <n v="0.15"/>
    <n v="2864.41"/>
    <n v="527.87"/>
    <s v="UPI"/>
    <s v="2024-06"/>
    <s v="11-15%"/>
    <n v="0.1842857691461767"/>
    <s v="No"/>
  </r>
  <r>
    <s v="ORD-100063"/>
    <d v="2024-06-06T00:00:00"/>
    <s v="CUST-00299"/>
    <x v="3"/>
    <x v="3"/>
    <s v="Women"/>
    <s v="Floral Summer Dress"/>
    <n v="2"/>
    <n v="1887.56"/>
    <n v="0"/>
    <n v="3775.12"/>
    <n v="1710.26"/>
    <s v="UPI"/>
    <s v="2024-06"/>
    <s v="No discount"/>
    <n v="0.45303460552247349"/>
    <s v="No"/>
  </r>
  <r>
    <s v="ORD-100364"/>
    <d v="2024-06-06T00:00:00"/>
    <s v="CUST-00110"/>
    <x v="1"/>
    <x v="3"/>
    <s v="Men"/>
    <s v="Oxford Casual Shirt"/>
    <n v="1"/>
    <n v="1354.97"/>
    <n v="0.1"/>
    <n v="1219.47"/>
    <n v="420.42"/>
    <s v="UPI"/>
    <s v="2024-06"/>
    <s v="1-10%"/>
    <n v="0.34475632856896848"/>
    <s v="No"/>
  </r>
  <r>
    <s v="ORD-100631"/>
    <d v="2024-06-06T00:00:00"/>
    <s v="CUST-00183"/>
    <x v="2"/>
    <x v="3"/>
    <s v="Men"/>
    <s v="SlimFit Denim Jeans"/>
    <n v="2"/>
    <n v="1923.87"/>
    <n v="0"/>
    <n v="3847.74"/>
    <n v="1690.37"/>
    <s v="Credit Card"/>
    <s v="2024-06"/>
    <s v="No discount"/>
    <n v="0.43931502648307835"/>
    <s v="No"/>
  </r>
  <r>
    <s v="ORD-101187"/>
    <d v="2024-06-06T00:00:00"/>
    <s v="CUST-00446"/>
    <x v="1"/>
    <x v="3"/>
    <s v="Women"/>
    <s v="Floral Summer Dress"/>
    <n v="1"/>
    <n v="1869.68"/>
    <n v="0.1"/>
    <n v="1682.71"/>
    <n v="460.53"/>
    <s v="UPI"/>
    <s v="2024-06"/>
    <s v="1-10%"/>
    <n v="0.27368352241325006"/>
    <s v="No"/>
  </r>
  <r>
    <s v="ORD-101439"/>
    <d v="2024-06-06T00:00:00"/>
    <s v="CUST-00189"/>
    <x v="0"/>
    <x v="0"/>
    <s v="Skincare"/>
    <s v="Vitamin C Serum"/>
    <n v="2"/>
    <n v="943.69"/>
    <n v="0"/>
    <n v="1887.38"/>
    <n v="1014.82"/>
    <s v="Net Banking"/>
    <s v="2024-06"/>
    <s v="No discount"/>
    <n v="0.53768716421706275"/>
    <s v="No"/>
  </r>
  <r>
    <s v="ORD-101487"/>
    <d v="2024-06-06T00:00:00"/>
    <s v="CUST-00083"/>
    <x v="2"/>
    <x v="4"/>
    <s v="Fitness"/>
    <s v="Adjustable Dumbbell 24kg"/>
    <n v="1"/>
    <n v="9973.17"/>
    <n v="0.25"/>
    <n v="7479.88"/>
    <n v="868.29"/>
    <s v="UPI"/>
    <s v="2024-06"/>
    <s v="21%+"/>
    <n v="0.116083413102884"/>
    <s v="No"/>
  </r>
  <r>
    <s v="ORD-101489"/>
    <d v="2024-06-06T00:00:00"/>
    <s v="CUST-00177"/>
    <x v="3"/>
    <x v="4"/>
    <s v="Fitness"/>
    <s v="ProYoga Mat"/>
    <n v="1"/>
    <n v="1332.44"/>
    <n v="0.05"/>
    <n v="1265.82"/>
    <n v="428.59"/>
    <s v="Credit Card"/>
    <s v="2024-06"/>
    <s v="1-10%"/>
    <n v="0.33858684489105878"/>
    <s v="No"/>
  </r>
  <r>
    <s v="ORD-101770"/>
    <d v="2024-06-06T00:00:00"/>
    <s v="CUST-00123"/>
    <x v="1"/>
    <x v="0"/>
    <s v="Makeup"/>
    <s v="HD Foundation Kit"/>
    <n v="1"/>
    <n v="1460.24"/>
    <n v="0.1"/>
    <n v="1314.22"/>
    <n v="519.51"/>
    <s v="Net Banking"/>
    <s v="2024-06"/>
    <s v="1-10%"/>
    <n v="0.39529911278172603"/>
    <s v="No"/>
  </r>
  <r>
    <s v="ORD-101825"/>
    <d v="2024-06-06T00:00:00"/>
    <s v="CUST-00419"/>
    <x v="2"/>
    <x v="2"/>
    <s v="Appliances"/>
    <s v="AirFryer Deluxe"/>
    <n v="2"/>
    <n v="7709.52"/>
    <n v="0.25"/>
    <n v="11564.28"/>
    <n v="295.64"/>
    <s v="UPI"/>
    <s v="2024-06"/>
    <s v="21%+"/>
    <n v="2.556492924764879E-2"/>
    <s v="No"/>
  </r>
  <r>
    <s v="ORD-100299"/>
    <d v="2024-06-07T00:00:00"/>
    <s v="CUST-00331"/>
    <x v="0"/>
    <x v="0"/>
    <s v="Skincare"/>
    <s v="HydraBoost Moisturizer"/>
    <n v="1"/>
    <n v="1170.73"/>
    <n v="0"/>
    <n v="1170.73"/>
    <n v="612.14"/>
    <s v="UPI"/>
    <s v="2024-06"/>
    <s v="No discount"/>
    <n v="0.52287034585258774"/>
    <s v="No"/>
  </r>
  <r>
    <s v="ORD-100363"/>
    <d v="2024-06-07T00:00:00"/>
    <s v="CUST-00092"/>
    <x v="1"/>
    <x v="1"/>
    <s v="Mobile"/>
    <s v="Pixel Aura 12"/>
    <n v="2"/>
    <n v="32151.22"/>
    <n v="0.05"/>
    <n v="61087.32"/>
    <n v="9774.39"/>
    <s v="Credit Card"/>
    <s v="2024-06"/>
    <s v="1-10%"/>
    <n v="0.16000685575991874"/>
    <s v="No"/>
  </r>
  <r>
    <s v="ORD-100799"/>
    <d v="2024-06-07T00:00:00"/>
    <s v="CUST-00319"/>
    <x v="0"/>
    <x v="0"/>
    <s v="Skincare"/>
    <s v="Vitamin C Serum"/>
    <n v="1"/>
    <n v="941.01"/>
    <n v="0.1"/>
    <n v="846.91"/>
    <n v="343.77"/>
    <s v="Credit Card"/>
    <s v="2024-06"/>
    <s v="1-10%"/>
    <n v="0.4059108996233366"/>
    <s v="No"/>
  </r>
  <r>
    <s v="ORD-100940"/>
    <d v="2024-06-07T00:00:00"/>
    <s v="CUST-00197"/>
    <x v="3"/>
    <x v="3"/>
    <s v="Men"/>
    <s v="Oxford Casual Shirt"/>
    <n v="1"/>
    <n v="1302.95"/>
    <n v="0.05"/>
    <n v="1237.8"/>
    <n v="409.38"/>
    <s v="Credit Card"/>
    <s v="2024-06"/>
    <s v="1-10%"/>
    <n v="0.33073194377120702"/>
    <s v="No"/>
  </r>
  <r>
    <s v="ORD-100022"/>
    <d v="2024-06-08T00:00:00"/>
    <s v="CUST-00216"/>
    <x v="0"/>
    <x v="0"/>
    <s v="Makeup"/>
    <s v="Matte Lipstick Set"/>
    <n v="2"/>
    <n v="1042.1300000000001"/>
    <n v="0.1"/>
    <n v="1875.83"/>
    <n v="756.5"/>
    <s v="UPI"/>
    <s v="2024-06"/>
    <s v="1-10%"/>
    <n v="0.40328814444805766"/>
    <s v="No"/>
  </r>
  <r>
    <s v="ORD-100228"/>
    <d v="2024-06-08T00:00:00"/>
    <s v="CUST-00461"/>
    <x v="1"/>
    <x v="2"/>
    <s v="Decor"/>
    <s v="LED Wall Lamp"/>
    <n v="1"/>
    <n v="956.51"/>
    <n v="0"/>
    <n v="956.51"/>
    <n v="292.89999999999998"/>
    <s v="Credit Card"/>
    <s v="2024-06"/>
    <s v="No discount"/>
    <n v="0.30621739448620505"/>
    <s v="No"/>
  </r>
  <r>
    <s v="ORD-100481"/>
    <d v="2024-06-08T00:00:00"/>
    <s v="CUST-00560"/>
    <x v="0"/>
    <x v="2"/>
    <s v="Decor"/>
    <s v="Ceramic Vase Set"/>
    <n v="1"/>
    <n v="1448.42"/>
    <n v="0.1"/>
    <n v="1303.58"/>
    <n v="259.58"/>
    <s v="UPI"/>
    <s v="2024-06"/>
    <s v="1-10%"/>
    <n v="0.1991285536752635"/>
    <s v="No"/>
  </r>
  <r>
    <s v="ORD-101696"/>
    <d v="2024-06-08T00:00:00"/>
    <s v="CUST-00306"/>
    <x v="3"/>
    <x v="0"/>
    <s v="Skincare"/>
    <s v="Vitamin C Serum"/>
    <n v="1"/>
    <n v="894.39"/>
    <n v="0"/>
    <n v="894.39"/>
    <n v="459.46"/>
    <s v="Cash on Delivery"/>
    <s v="2024-06"/>
    <s v="No discount"/>
    <n v="0.51371325708024462"/>
    <s v="No"/>
  </r>
  <r>
    <s v="ORD-101864"/>
    <d v="2024-06-08T00:00:00"/>
    <s v="CUST-00367"/>
    <x v="3"/>
    <x v="3"/>
    <s v="Men"/>
    <s v="SlimFit Denim Jeans"/>
    <n v="2"/>
    <n v="2010.21"/>
    <n v="0"/>
    <n v="4020.42"/>
    <n v="1619.07"/>
    <s v="Credit Card"/>
    <s v="2024-06"/>
    <s v="No discount"/>
    <n v="0.4027116569910606"/>
    <s v="No"/>
  </r>
  <r>
    <s v="ORD-100307"/>
    <d v="2024-06-09T00:00:00"/>
    <s v="CUST-00140"/>
    <x v="0"/>
    <x v="1"/>
    <s v="Laptop"/>
    <s v="AirBook Slim"/>
    <n v="2"/>
    <n v="82369.820000000007"/>
    <n v="0"/>
    <n v="164739.64000000001"/>
    <n v="28090.26"/>
    <s v="UPI"/>
    <s v="2024-06"/>
    <s v="No discount"/>
    <n v="0.17051305927340862"/>
    <s v="No"/>
  </r>
  <r>
    <s v="ORD-100728"/>
    <d v="2024-06-09T00:00:00"/>
    <s v="CUST-00095"/>
    <x v="1"/>
    <x v="4"/>
    <s v="Outdoor"/>
    <s v="AllWeather Tent 4P"/>
    <n v="2"/>
    <n v="12501.94"/>
    <n v="0.2"/>
    <n v="20003.099999999999"/>
    <n v="3003.46"/>
    <s v="Credit Card"/>
    <s v="2024-06"/>
    <s v="16-20%"/>
    <n v="0.1501497267923472"/>
    <s v="No"/>
  </r>
  <r>
    <s v="ORD-101491"/>
    <d v="2024-06-09T00:00:00"/>
    <s v="CUST-00086"/>
    <x v="0"/>
    <x v="1"/>
    <s v="Mobile"/>
    <s v="iPhone Zeta"/>
    <n v="1"/>
    <n v="66804.31"/>
    <n v="0.2"/>
    <n v="53443.45"/>
    <n v="-2356.23"/>
    <s v="UPI"/>
    <s v="2024-06"/>
    <s v="16-20%"/>
    <n v="-4.408828397118824E-2"/>
    <s v="Yes"/>
  </r>
  <r>
    <s v="ORD-101619"/>
    <d v="2024-06-09T00:00:00"/>
    <s v="CUST-00217"/>
    <x v="3"/>
    <x v="4"/>
    <s v="Fitness"/>
    <s v="ProYoga Mat"/>
    <n v="1"/>
    <n v="1356.29"/>
    <n v="0"/>
    <n v="1356.29"/>
    <n v="549.39"/>
    <s v="UPI"/>
    <s v="2024-06"/>
    <s v="No discount"/>
    <n v="0.40506823761879834"/>
    <s v="No"/>
  </r>
  <r>
    <s v="ORD-101975"/>
    <d v="2024-06-09T00:00:00"/>
    <s v="CUST-00600"/>
    <x v="2"/>
    <x v="2"/>
    <s v="Furniture"/>
    <s v="ErgoComfort Chair"/>
    <n v="3"/>
    <n v="9372.77"/>
    <n v="0.05"/>
    <n v="26712.39"/>
    <n v="6391.33"/>
    <s v="Credit Card"/>
    <s v="2024-06"/>
    <s v="1-10%"/>
    <n v="0.23926462589083194"/>
    <s v="No"/>
  </r>
  <r>
    <s v="ORD-100148"/>
    <d v="2024-06-10T00:00:00"/>
    <s v="CUST-00488"/>
    <x v="2"/>
    <x v="3"/>
    <s v="Men"/>
    <s v="SlimFit Denim Jeans"/>
    <n v="2"/>
    <n v="1981.67"/>
    <n v="0"/>
    <n v="3963.34"/>
    <n v="1733.52"/>
    <s v="Debit Card"/>
    <s v="2024-06"/>
    <s v="No discount"/>
    <n v="0.4373886671342857"/>
    <s v="No"/>
  </r>
  <r>
    <s v="ORD-100361"/>
    <d v="2024-06-11T00:00:00"/>
    <s v="CUST-00044"/>
    <x v="2"/>
    <x v="3"/>
    <s v="Footwear"/>
    <s v="RunFlex Sneakers"/>
    <n v="1"/>
    <n v="2877.23"/>
    <n v="0.15"/>
    <n v="2445.65"/>
    <n v="637.78"/>
    <s v="UPI"/>
    <s v="2024-06"/>
    <s v="11-15%"/>
    <n v="0.26078138736123319"/>
    <s v="No"/>
  </r>
  <r>
    <s v="ORD-101186"/>
    <d v="2024-06-11T00:00:00"/>
    <s v="CUST-00008"/>
    <x v="3"/>
    <x v="1"/>
    <s v="Audio"/>
    <s v="SoundPods Pro"/>
    <n v="1"/>
    <n v="5129.5200000000004"/>
    <n v="0.15"/>
    <n v="4360.09"/>
    <n v="149.46"/>
    <s v="Credit Card"/>
    <s v="2024-06"/>
    <s v="11-15%"/>
    <n v="3.4279108917476472E-2"/>
    <s v="No"/>
  </r>
  <r>
    <s v="ORD-100001"/>
    <d v="2024-06-12T00:00:00"/>
    <s v="CUST-00349"/>
    <x v="3"/>
    <x v="3"/>
    <s v="Men"/>
    <s v="SlimFit Denim Jeans"/>
    <n v="2"/>
    <n v="2039.24"/>
    <n v="0.15"/>
    <n v="3466.71"/>
    <n v="835.69"/>
    <s v="UPI"/>
    <s v="2024-06"/>
    <s v="11-15%"/>
    <n v="0.24106140980930046"/>
    <s v="No"/>
  </r>
  <r>
    <s v="ORD-100401"/>
    <d v="2024-06-12T00:00:00"/>
    <s v="CUST-00390"/>
    <x v="1"/>
    <x v="1"/>
    <s v="Mobile"/>
    <s v="Galaxy Nova X5"/>
    <n v="2"/>
    <n v="23962.31"/>
    <n v="0.1"/>
    <n v="43132.160000000003"/>
    <n v="3518.82"/>
    <s v="Cash on Delivery"/>
    <s v="2024-06"/>
    <s v="1-10%"/>
    <n v="8.1582281063596163E-2"/>
    <s v="No"/>
  </r>
  <r>
    <s v="ORD-101380"/>
    <d v="2024-06-12T00:00:00"/>
    <s v="CUST-00188"/>
    <x v="2"/>
    <x v="4"/>
    <s v="Outdoor"/>
    <s v="AllWeather Tent 4P"/>
    <n v="2"/>
    <n v="11937.79"/>
    <n v="0.05"/>
    <n v="22681.8"/>
    <n v="7016.5"/>
    <s v="Cash on Delivery"/>
    <s v="2024-06"/>
    <s v="1-10%"/>
    <n v="0.30934493735065122"/>
    <s v="No"/>
  </r>
  <r>
    <s v="ORD-101834"/>
    <d v="2024-06-12T00:00:00"/>
    <s v="CUST-00453"/>
    <x v="0"/>
    <x v="4"/>
    <s v="Outdoor"/>
    <s v="TrailHike Backpack 60L"/>
    <n v="1"/>
    <n v="3453.33"/>
    <n v="0.15"/>
    <n v="2935.33"/>
    <n v="550.19000000000005"/>
    <s v="Credit Card"/>
    <s v="2024-06"/>
    <s v="11-15%"/>
    <n v="0.18743718764159398"/>
    <s v="No"/>
  </r>
  <r>
    <s v="ORD-100060"/>
    <d v="2024-06-13T00:00:00"/>
    <s v="CUST-00508"/>
    <x v="3"/>
    <x v="2"/>
    <s v="Furniture"/>
    <s v="ErgoComfort Chair"/>
    <n v="2"/>
    <n v="8631.16"/>
    <n v="0.05"/>
    <n v="16399.2"/>
    <n v="4269.32"/>
    <s v="Credit Card"/>
    <s v="2024-06"/>
    <s v="1-10%"/>
    <n v="0.26033708961412749"/>
    <s v="No"/>
  </r>
  <r>
    <s v="ORD-100366"/>
    <d v="2024-06-13T00:00:00"/>
    <s v="CUST-00159"/>
    <x v="1"/>
    <x v="3"/>
    <s v="Footwear"/>
    <s v="RunFlex Sneakers"/>
    <n v="1"/>
    <n v="2989.52"/>
    <n v="0.05"/>
    <n v="2840.04"/>
    <n v="1113.05"/>
    <s v="Net Banking"/>
    <s v="2024-06"/>
    <s v="1-10%"/>
    <n v="0.39191349417613836"/>
    <s v="No"/>
  </r>
  <r>
    <s v="ORD-100479"/>
    <d v="2024-06-13T00:00:00"/>
    <s v="CUST-00293"/>
    <x v="3"/>
    <x v="3"/>
    <s v="Women"/>
    <s v="Knit Winter Sweater"/>
    <n v="5"/>
    <n v="2099.46"/>
    <n v="0.15"/>
    <n v="8922.7000000000007"/>
    <n v="2103.52"/>
    <s v="UPI"/>
    <s v="2024-06"/>
    <s v="11-15%"/>
    <n v="0.23574926871910967"/>
    <s v="No"/>
  </r>
  <r>
    <s v="ORD-101108"/>
    <d v="2024-06-13T00:00:00"/>
    <s v="CUST-00277"/>
    <x v="3"/>
    <x v="1"/>
    <s v="Audio"/>
    <s v="BassBoom Speaker"/>
    <n v="2"/>
    <n v="9418.7099999999991"/>
    <n v="0"/>
    <n v="18837.419999999998"/>
    <n v="3214.83"/>
    <s v="UPI"/>
    <s v="2024-06"/>
    <s v="No discount"/>
    <n v="0.17066190592979294"/>
    <s v="No"/>
  </r>
  <r>
    <s v="ORD-100329"/>
    <d v="2024-06-14T00:00:00"/>
    <s v="CUST-00521"/>
    <x v="2"/>
    <x v="0"/>
    <s v="Makeup"/>
    <s v="HD Foundation Kit"/>
    <n v="5"/>
    <n v="1540.1"/>
    <n v="0.1"/>
    <n v="6930.45"/>
    <n v="2958.27"/>
    <s v="Net Banking"/>
    <s v="2024-06"/>
    <s v="1-10%"/>
    <n v="0.42685107027682184"/>
    <s v="No"/>
  </r>
  <r>
    <s v="ORD-100556"/>
    <d v="2024-06-14T00:00:00"/>
    <s v="CUST-00290"/>
    <x v="1"/>
    <x v="3"/>
    <s v="Women"/>
    <s v="Knit Winter Sweater"/>
    <n v="4"/>
    <n v="2237.0700000000002"/>
    <n v="0.2"/>
    <n v="7158.62"/>
    <n v="1494.48"/>
    <s v="Debit Card"/>
    <s v="2024-06"/>
    <s v="16-20%"/>
    <n v="0.20876649410081832"/>
    <s v="No"/>
  </r>
  <r>
    <s v="ORD-100649"/>
    <d v="2024-06-14T00:00:00"/>
    <s v="CUST-00095"/>
    <x v="1"/>
    <x v="2"/>
    <s v="Appliances"/>
    <s v="AirFryer Deluxe"/>
    <n v="2"/>
    <n v="7808.09"/>
    <n v="0.1"/>
    <n v="14054.56"/>
    <n v="2971.66"/>
    <s v="UPI"/>
    <s v="2024-06"/>
    <s v="1-10%"/>
    <n v="0.21143742671417676"/>
    <s v="No"/>
  </r>
  <r>
    <s v="ORD-101943"/>
    <d v="2024-06-14T00:00:00"/>
    <s v="CUST-00412"/>
    <x v="1"/>
    <x v="4"/>
    <s v="Fitness"/>
    <s v="Adjustable Dumbbell 24kg"/>
    <n v="1"/>
    <n v="10165.75"/>
    <n v="0.25"/>
    <n v="7624.31"/>
    <n v="415.27"/>
    <s v="UPI"/>
    <s v="2024-06"/>
    <s v="21%+"/>
    <n v="5.4466568122230073E-2"/>
    <s v="No"/>
  </r>
  <r>
    <s v="ORD-100647"/>
    <d v="2024-06-15T00:00:00"/>
    <s v="CUST-00447"/>
    <x v="2"/>
    <x v="4"/>
    <s v="Outdoor"/>
    <s v="AllWeather Tent 4P"/>
    <n v="1"/>
    <n v="12104.96"/>
    <n v="0.1"/>
    <n v="10894.46"/>
    <n v="2807.54"/>
    <s v="Net Banking"/>
    <s v="2024-06"/>
    <s v="1-10%"/>
    <n v="0.25770345661923583"/>
    <s v="No"/>
  </r>
  <r>
    <s v="ORD-100004"/>
    <d v="2024-06-16T00:00:00"/>
    <s v="CUST-00277"/>
    <x v="2"/>
    <x v="2"/>
    <s v="Furniture"/>
    <s v="ErgoComfort Chair"/>
    <n v="1"/>
    <n v="9180.6200000000008"/>
    <n v="0.1"/>
    <n v="8262.56"/>
    <n v="1897.78"/>
    <s v="Credit Card"/>
    <s v="2024-06"/>
    <s v="1-10%"/>
    <n v="0.22968426250459906"/>
    <s v="No"/>
  </r>
  <r>
    <s v="ORD-101238"/>
    <d v="2024-06-16T00:00:00"/>
    <s v="CUST-00116"/>
    <x v="1"/>
    <x v="1"/>
    <s v="Laptop"/>
    <s v="ThinkPro 14"/>
    <n v="1"/>
    <n v="57727.56"/>
    <n v="0"/>
    <n v="57727.56"/>
    <n v="12273.52"/>
    <s v="UPI"/>
    <s v="2024-06"/>
    <s v="No discount"/>
    <n v="0.21261109944712717"/>
    <s v="No"/>
  </r>
  <r>
    <s v="ORD-101469"/>
    <d v="2024-06-16T00:00:00"/>
    <s v="CUST-00573"/>
    <x v="2"/>
    <x v="1"/>
    <s v="Laptop"/>
    <s v="AirBook Slim"/>
    <n v="1"/>
    <n v="76690.960000000006"/>
    <n v="0"/>
    <n v="76690.960000000006"/>
    <n v="12691.05"/>
    <s v="Credit Card"/>
    <s v="2024-06"/>
    <s v="No discount"/>
    <n v="0.16548299825690013"/>
    <s v="No"/>
  </r>
  <r>
    <s v="ORD-101766"/>
    <d v="2024-06-16T00:00:00"/>
    <s v="CUST-00198"/>
    <x v="3"/>
    <x v="0"/>
    <s v="Makeup"/>
    <s v="Matte Lipstick Set"/>
    <n v="1"/>
    <n v="956.37"/>
    <n v="0"/>
    <n v="956.37"/>
    <n v="540.16"/>
    <s v="Credit Card"/>
    <s v="2024-06"/>
    <s v="No discount"/>
    <n v="0.56480232545981157"/>
    <s v="No"/>
  </r>
  <r>
    <s v="ORD-100076"/>
    <d v="2024-06-17T00:00:00"/>
    <s v="CUST-00494"/>
    <x v="3"/>
    <x v="2"/>
    <s v="Appliances"/>
    <s v="ColdBrew Coffee Maker"/>
    <n v="1"/>
    <n v="6524.61"/>
    <n v="0"/>
    <n v="6524.61"/>
    <n v="2399.2199999999998"/>
    <s v="Net Banking"/>
    <s v="2024-06"/>
    <s v="No discount"/>
    <n v="0.36771853030296064"/>
    <s v="No"/>
  </r>
  <r>
    <s v="ORD-100875"/>
    <d v="2024-06-17T00:00:00"/>
    <s v="CUST-00001"/>
    <x v="0"/>
    <x v="0"/>
    <s v="Makeup"/>
    <s v="Matte Lipstick Set"/>
    <n v="1"/>
    <n v="1047.8599999999999"/>
    <n v="0.15"/>
    <n v="890.68"/>
    <n v="307.11"/>
    <s v="UPI"/>
    <s v="2024-06"/>
    <s v="11-15%"/>
    <n v="0.34480397000044916"/>
    <s v="No"/>
  </r>
  <r>
    <s v="ORD-101193"/>
    <d v="2024-06-17T00:00:00"/>
    <s v="CUST-00346"/>
    <x v="1"/>
    <x v="1"/>
    <s v="Audio"/>
    <s v="SoundPods Pro"/>
    <n v="2"/>
    <n v="5109.4399999999996"/>
    <n v="0"/>
    <n v="10218.879999999999"/>
    <n v="1877.6"/>
    <s v="UPI"/>
    <s v="2024-06"/>
    <s v="No discount"/>
    <n v="0.18373833531659048"/>
    <s v="No"/>
  </r>
  <r>
    <s v="ORD-101256"/>
    <d v="2024-06-17T00:00:00"/>
    <s v="CUST-00336"/>
    <x v="0"/>
    <x v="2"/>
    <s v="Decor"/>
    <s v="Ceramic Vase Set"/>
    <n v="3"/>
    <n v="1568.03"/>
    <n v="0"/>
    <n v="4704.09"/>
    <n v="1711.83"/>
    <s v="UPI"/>
    <s v="2024-06"/>
    <s v="No discount"/>
    <n v="0.36390247635568196"/>
    <s v="No"/>
  </r>
  <r>
    <s v="ORD-101339"/>
    <d v="2024-06-17T00:00:00"/>
    <s v="CUST-00436"/>
    <x v="3"/>
    <x v="3"/>
    <s v="Footwear"/>
    <s v="UrbanLoafers"/>
    <n v="1"/>
    <n v="3328.82"/>
    <n v="0.15"/>
    <n v="2829.5"/>
    <n v="768.64"/>
    <s v="Cash on Delivery"/>
    <s v="2024-06"/>
    <s v="11-15%"/>
    <n v="0.27165223537727512"/>
    <s v="No"/>
  </r>
  <r>
    <s v="ORD-100011"/>
    <d v="2024-06-18T00:00:00"/>
    <s v="CUST-00434"/>
    <x v="2"/>
    <x v="1"/>
    <s v="Mobile"/>
    <s v="iPhone Zeta"/>
    <n v="1"/>
    <n v="71823.19"/>
    <n v="0"/>
    <n v="71823.19"/>
    <n v="14455.62"/>
    <s v="Credit Card"/>
    <s v="2024-06"/>
    <s v="No discount"/>
    <n v="0.20126674963893973"/>
    <s v="No"/>
  </r>
  <r>
    <s v="ORD-100577"/>
    <d v="2024-06-18T00:00:00"/>
    <s v="CUST-00586"/>
    <x v="2"/>
    <x v="4"/>
    <s v="Fitness"/>
    <s v="Adjustable Dumbbell 24kg"/>
    <n v="1"/>
    <n v="10169.43"/>
    <n v="0"/>
    <n v="10169.43"/>
    <n v="3818.09"/>
    <s v="UPI"/>
    <s v="2024-06"/>
    <s v="No discount"/>
    <n v="0.37544778812578483"/>
    <s v="No"/>
  </r>
  <r>
    <s v="ORD-101222"/>
    <d v="2024-06-18T00:00:00"/>
    <s v="CUST-00587"/>
    <x v="0"/>
    <x v="0"/>
    <s v="Skincare"/>
    <s v="HydraBoost Moisturizer"/>
    <n v="1"/>
    <n v="1140.94"/>
    <n v="0"/>
    <n v="1140.94"/>
    <n v="672.73"/>
    <s v="Credit Card"/>
    <s v="2024-06"/>
    <s v="No discount"/>
    <n v="0.58962785071958213"/>
    <s v="No"/>
  </r>
  <r>
    <s v="ORD-100281"/>
    <d v="2024-06-19T00:00:00"/>
    <s v="CUST-00061"/>
    <x v="3"/>
    <x v="3"/>
    <s v="Men"/>
    <s v="Oxford Casual Shirt"/>
    <n v="1"/>
    <n v="1342.61"/>
    <n v="0.05"/>
    <n v="1275.48"/>
    <n v="481.74"/>
    <s v="Credit Card"/>
    <s v="2024-06"/>
    <s v="1-10%"/>
    <n v="0.37769310377269733"/>
    <s v="No"/>
  </r>
  <r>
    <s v="ORD-100706"/>
    <d v="2024-06-19T00:00:00"/>
    <s v="CUST-00133"/>
    <x v="2"/>
    <x v="2"/>
    <s v="Appliances"/>
    <s v="ColdBrew Coffee Maker"/>
    <n v="4"/>
    <n v="6640.24"/>
    <n v="0.05"/>
    <n v="25232.91"/>
    <n v="7705.32"/>
    <s v="UPI"/>
    <s v="2024-06"/>
    <s v="1-10%"/>
    <n v="0.30536787076876981"/>
    <s v="No"/>
  </r>
  <r>
    <s v="ORD-101344"/>
    <d v="2024-06-19T00:00:00"/>
    <s v="CUST-00032"/>
    <x v="1"/>
    <x v="0"/>
    <s v="Makeup"/>
    <s v="Matte Lipstick Set"/>
    <n v="1"/>
    <n v="988.82"/>
    <n v="0.25"/>
    <n v="741.62"/>
    <n v="177.25"/>
    <s v="Credit Card"/>
    <s v="2024-06"/>
    <s v="21%+"/>
    <n v="0.23900380248644859"/>
    <s v="No"/>
  </r>
  <r>
    <s v="ORD-100492"/>
    <d v="2024-06-20T00:00:00"/>
    <s v="CUST-00324"/>
    <x v="2"/>
    <x v="1"/>
    <s v="Laptop"/>
    <s v="AirBook Slim"/>
    <n v="1"/>
    <n v="79108.539999999994"/>
    <n v="0.25"/>
    <n v="59331.4"/>
    <n v="-5113.45"/>
    <s v="UPI"/>
    <s v="2024-06"/>
    <s v="21%+"/>
    <n v="-8.6184549833646262E-2"/>
    <s v="Yes"/>
  </r>
  <r>
    <s v="ORD-101997"/>
    <d v="2024-06-20T00:00:00"/>
    <s v="CUST-00060"/>
    <x v="1"/>
    <x v="4"/>
    <s v="Fitness"/>
    <s v="ProYoga Mat"/>
    <n v="2"/>
    <n v="1257.58"/>
    <n v="0.1"/>
    <n v="2263.64"/>
    <n v="681.73"/>
    <s v="Debit Card"/>
    <s v="2024-06"/>
    <s v="1-10%"/>
    <n v="0.30116537965400864"/>
    <s v="No"/>
  </r>
  <r>
    <s v="ORD-100203"/>
    <d v="2024-06-21T00:00:00"/>
    <s v="CUST-00300"/>
    <x v="1"/>
    <x v="0"/>
    <s v="Makeup"/>
    <s v="Matte Lipstick Set"/>
    <n v="2"/>
    <n v="1030.32"/>
    <n v="0.15"/>
    <n v="1751.54"/>
    <n v="704.01"/>
    <s v="Credit Card"/>
    <s v="2024-06"/>
    <s v="11-15%"/>
    <n v="0.40193772337485872"/>
    <s v="No"/>
  </r>
  <r>
    <s v="ORD-100271"/>
    <d v="2024-06-21T00:00:00"/>
    <s v="CUST-00163"/>
    <x v="2"/>
    <x v="1"/>
    <s v="Laptop"/>
    <s v="AirBook Slim"/>
    <n v="2"/>
    <n v="80061.53"/>
    <n v="0"/>
    <n v="160123.06"/>
    <n v="22477.61"/>
    <s v="Debit Card"/>
    <s v="2024-06"/>
    <s v="No discount"/>
    <n v="0.14037709496683365"/>
    <s v="No"/>
  </r>
  <r>
    <s v="ORD-100312"/>
    <d v="2024-06-21T00:00:00"/>
    <s v="CUST-00253"/>
    <x v="3"/>
    <x v="3"/>
    <s v="Women"/>
    <s v="Knit Winter Sweater"/>
    <n v="1"/>
    <n v="2156.27"/>
    <n v="0.1"/>
    <n v="1940.64"/>
    <n v="604.96"/>
    <s v="UPI"/>
    <s v="2024-06"/>
    <s v="1-10%"/>
    <n v="0.31173221205375545"/>
    <s v="No"/>
  </r>
  <r>
    <s v="ORD-100457"/>
    <d v="2024-06-21T00:00:00"/>
    <s v="CUST-00567"/>
    <x v="3"/>
    <x v="0"/>
    <s v="Skincare"/>
    <s v="HydraBoost Moisturizer"/>
    <n v="3"/>
    <n v="1230.68"/>
    <n v="0.15"/>
    <n v="3138.23"/>
    <n v="1208.05"/>
    <s v="UPI"/>
    <s v="2024-06"/>
    <s v="11-15%"/>
    <n v="0.38494629138081021"/>
    <s v="No"/>
  </r>
  <r>
    <s v="ORD-100503"/>
    <d v="2024-06-21T00:00:00"/>
    <s v="CUST-00204"/>
    <x v="1"/>
    <x v="1"/>
    <s v="Laptop"/>
    <s v="AirBook Slim"/>
    <n v="1"/>
    <n v="75990.86"/>
    <n v="0.1"/>
    <n v="68391.77"/>
    <n v="3869.94"/>
    <s v="Cash on Delivery"/>
    <s v="2024-06"/>
    <s v="1-10%"/>
    <n v="5.6584878560680618E-2"/>
    <s v="No"/>
  </r>
  <r>
    <s v="ORD-100986"/>
    <d v="2024-06-21T00:00:00"/>
    <s v="CUST-00115"/>
    <x v="3"/>
    <x v="0"/>
    <s v="Makeup"/>
    <s v="Matte Lipstick Set"/>
    <n v="2"/>
    <n v="1034.56"/>
    <n v="0"/>
    <n v="2069.12"/>
    <n v="1135.6099999999999"/>
    <s v="Credit Card"/>
    <s v="2024-06"/>
    <s v="No discount"/>
    <n v="0.54883718682338378"/>
    <s v="No"/>
  </r>
  <r>
    <s v="ORD-101399"/>
    <d v="2024-06-21T00:00:00"/>
    <s v="CUST-00176"/>
    <x v="2"/>
    <x v="1"/>
    <s v="Mobile"/>
    <s v="Pixel Aura 12"/>
    <n v="3"/>
    <n v="33830.36"/>
    <n v="0"/>
    <n v="101491.08"/>
    <n v="14258.43"/>
    <s v="Debit Card"/>
    <s v="2024-06"/>
    <s v="No discount"/>
    <n v="0.14048948932260846"/>
    <s v="No"/>
  </r>
  <r>
    <s v="ORD-101674"/>
    <d v="2024-06-21T00:00:00"/>
    <s v="CUST-00225"/>
    <x v="2"/>
    <x v="4"/>
    <s v="Fitness"/>
    <s v="ProYoga Mat"/>
    <n v="3"/>
    <n v="1314"/>
    <n v="0.05"/>
    <n v="3744.9"/>
    <n v="1114.49"/>
    <s v="UPI"/>
    <s v="2024-06"/>
    <s v="1-10%"/>
    <n v="0.29760207215145934"/>
    <s v="No"/>
  </r>
  <r>
    <s v="ORD-100332"/>
    <d v="2024-06-22T00:00:00"/>
    <s v="CUST-00369"/>
    <x v="3"/>
    <x v="1"/>
    <s v="Mobile"/>
    <s v="iPhone Zeta"/>
    <n v="4"/>
    <n v="67862.259999999995"/>
    <n v="0.05"/>
    <n v="257876.59"/>
    <n v="37448"/>
    <s v="Credit Card"/>
    <s v="2024-06"/>
    <s v="1-10%"/>
    <n v="0.14521674883323066"/>
    <s v="No"/>
  </r>
  <r>
    <s v="ORD-100535"/>
    <d v="2024-06-22T00:00:00"/>
    <s v="CUST-00348"/>
    <x v="2"/>
    <x v="0"/>
    <s v="Makeup"/>
    <s v="HD Foundation Kit"/>
    <n v="5"/>
    <n v="1443.87"/>
    <n v="0.1"/>
    <n v="6497.41"/>
    <n v="3030.25"/>
    <s v="UPI"/>
    <s v="2024-06"/>
    <s v="1-10%"/>
    <n v="0.46637814144405232"/>
    <s v="No"/>
  </r>
  <r>
    <s v="ORD-100581"/>
    <d v="2024-06-22T00:00:00"/>
    <s v="CUST-00334"/>
    <x v="2"/>
    <x v="1"/>
    <s v="Mobile"/>
    <s v="Galaxy Nova X5"/>
    <n v="1"/>
    <n v="24205.7"/>
    <n v="0"/>
    <n v="24205.7"/>
    <n v="4876.59"/>
    <s v="Cash on Delivery"/>
    <s v="2024-06"/>
    <s v="No discount"/>
    <n v="0.20146453108152212"/>
    <s v="No"/>
  </r>
  <r>
    <s v="ORD-100142"/>
    <d v="2024-06-23T00:00:00"/>
    <s v="CUST-00390"/>
    <x v="1"/>
    <x v="0"/>
    <s v="Makeup"/>
    <s v="HD Foundation Kit"/>
    <n v="5"/>
    <n v="1540.4"/>
    <n v="0.15"/>
    <n v="6546.7"/>
    <n v="2512.04"/>
    <s v="Credit Card"/>
    <s v="2024-06"/>
    <s v="11-15%"/>
    <n v="0.38371087723585928"/>
    <s v="No"/>
  </r>
  <r>
    <s v="ORD-100466"/>
    <d v="2024-06-23T00:00:00"/>
    <s v="CUST-00567"/>
    <x v="3"/>
    <x v="0"/>
    <s v="Skincare"/>
    <s v="HydraBoost Moisturizer"/>
    <n v="1"/>
    <n v="1194.03"/>
    <n v="0.2"/>
    <n v="955.22"/>
    <n v="280.54000000000002"/>
    <s v="Net Banking"/>
    <s v="2024-06"/>
    <s v="16-20%"/>
    <n v="0.29369150562174162"/>
    <s v="No"/>
  </r>
  <r>
    <s v="ORD-100683"/>
    <d v="2024-06-23T00:00:00"/>
    <s v="CUST-00399"/>
    <x v="1"/>
    <x v="0"/>
    <s v="Makeup"/>
    <s v="Matte Lipstick Set"/>
    <n v="1"/>
    <n v="1035.5"/>
    <n v="0.15"/>
    <n v="880.17"/>
    <n v="335.89"/>
    <s v="Net Banking"/>
    <s v="2024-06"/>
    <s v="11-15%"/>
    <n v="0.38161945987706919"/>
    <s v="No"/>
  </r>
  <r>
    <s v="ORD-100913"/>
    <d v="2024-06-23T00:00:00"/>
    <s v="CUST-00262"/>
    <x v="1"/>
    <x v="0"/>
    <s v="Skincare"/>
    <s v="HydraBoost Moisturizer"/>
    <n v="1"/>
    <n v="1192.33"/>
    <n v="0.05"/>
    <n v="1132.71"/>
    <n v="554.41"/>
    <s v="UPI"/>
    <s v="2024-06"/>
    <s v="1-10%"/>
    <n v="0.48945449408939617"/>
    <s v="No"/>
  </r>
  <r>
    <s v="ORD-101538"/>
    <d v="2024-06-23T00:00:00"/>
    <s v="CUST-00400"/>
    <x v="1"/>
    <x v="0"/>
    <s v="Makeup"/>
    <s v="HD Foundation Kit"/>
    <n v="1"/>
    <n v="1559.85"/>
    <n v="0"/>
    <n v="1559.85"/>
    <n v="899.43"/>
    <s v="UPI"/>
    <s v="2024-06"/>
    <s v="No discount"/>
    <n v="0.57661313587844987"/>
    <s v="No"/>
  </r>
  <r>
    <s v="ORD-101539"/>
    <d v="2024-06-23T00:00:00"/>
    <s v="CUST-00380"/>
    <x v="3"/>
    <x v="2"/>
    <s v="Appliances"/>
    <s v="ColdBrew Coffee Maker"/>
    <n v="2"/>
    <n v="6719.56"/>
    <n v="0.25"/>
    <n v="10079.34"/>
    <n v="521.16"/>
    <s v="UPI"/>
    <s v="2024-06"/>
    <s v="21%+"/>
    <n v="5.1705766448993683E-2"/>
    <s v="No"/>
  </r>
  <r>
    <s v="ORD-100176"/>
    <d v="2024-06-24T00:00:00"/>
    <s v="CUST-00445"/>
    <x v="3"/>
    <x v="3"/>
    <s v="Women"/>
    <s v="Floral Summer Dress"/>
    <n v="2"/>
    <n v="1845.7"/>
    <n v="0.2"/>
    <n v="2953.12"/>
    <n v="465.06"/>
    <s v="Credit Card"/>
    <s v="2024-06"/>
    <s v="16-20%"/>
    <n v="0.15748090155496561"/>
    <s v="No"/>
  </r>
  <r>
    <s v="ORD-100562"/>
    <d v="2024-06-24T00:00:00"/>
    <s v="CUST-00382"/>
    <x v="3"/>
    <x v="1"/>
    <s v="Mobile"/>
    <s v="Pixel Aura 12"/>
    <n v="5"/>
    <n v="31370.79"/>
    <n v="0.15"/>
    <n v="133325.85999999999"/>
    <n v="4571.09"/>
    <s v="UPI"/>
    <s v="2024-06"/>
    <s v="11-15%"/>
    <n v="3.4285096679668899E-2"/>
    <s v="No"/>
  </r>
  <r>
    <s v="ORD-101237"/>
    <d v="2024-06-24T00:00:00"/>
    <s v="CUST-00411"/>
    <x v="2"/>
    <x v="0"/>
    <s v="Makeup"/>
    <s v="Matte Lipstick Set"/>
    <n v="5"/>
    <n v="994.39"/>
    <n v="0"/>
    <n v="4971.95"/>
    <n v="2571.17"/>
    <s v="Cash on Delivery"/>
    <s v="2024-06"/>
    <s v="No discount"/>
    <n v="0.51713512806846407"/>
    <s v="No"/>
  </r>
  <r>
    <s v="ORD-101257"/>
    <d v="2024-06-24T00:00:00"/>
    <s v="CUST-00227"/>
    <x v="3"/>
    <x v="3"/>
    <s v="Footwear"/>
    <s v="UrbanLoafers"/>
    <n v="2"/>
    <n v="3386.3"/>
    <n v="0.25"/>
    <n v="5079.45"/>
    <n v="853.87"/>
    <s v="Cash on Delivery"/>
    <s v="2024-06"/>
    <s v="21%+"/>
    <n v="0.1681028457805471"/>
    <s v="No"/>
  </r>
  <r>
    <s v="ORD-101500"/>
    <d v="2024-06-24T00:00:00"/>
    <s v="CUST-00579"/>
    <x v="0"/>
    <x v="2"/>
    <s v="Furniture"/>
    <s v="ErgoComfort Chair"/>
    <n v="1"/>
    <n v="8760.48"/>
    <n v="0.1"/>
    <n v="7884.43"/>
    <n v="1827.47"/>
    <s v="Credit Card"/>
    <s v="2024-06"/>
    <s v="1-10%"/>
    <n v="0.23178213263355751"/>
    <s v="No"/>
  </r>
  <r>
    <s v="ORD-101788"/>
    <d v="2024-06-24T00:00:00"/>
    <s v="CUST-00587"/>
    <x v="1"/>
    <x v="0"/>
    <s v="Skincare"/>
    <s v="HydraBoost Moisturizer"/>
    <n v="4"/>
    <n v="1194.22"/>
    <n v="0"/>
    <n v="4776.88"/>
    <n v="2491.4"/>
    <s v="UPI"/>
    <s v="2024-06"/>
    <s v="No discount"/>
    <n v="0.52155381755455443"/>
    <s v="No"/>
  </r>
  <r>
    <s v="ORD-101026"/>
    <d v="2024-06-25T00:00:00"/>
    <s v="CUST-00577"/>
    <x v="2"/>
    <x v="2"/>
    <s v="Appliances"/>
    <s v="AirFryer Deluxe"/>
    <n v="2"/>
    <n v="7944.43"/>
    <n v="0.25"/>
    <n v="11916.65"/>
    <n v="928.97"/>
    <s v="UPI"/>
    <s v="2024-06"/>
    <s v="21%+"/>
    <n v="7.7955633504382532E-2"/>
    <s v="No"/>
  </r>
  <r>
    <s v="ORD-100198"/>
    <d v="2024-06-26T00:00:00"/>
    <s v="CUST-00502"/>
    <x v="3"/>
    <x v="1"/>
    <s v="Mobile"/>
    <s v="Pixel Aura 12"/>
    <n v="2"/>
    <n v="32729.200000000001"/>
    <n v="0.05"/>
    <n v="62185.48"/>
    <n v="5816.17"/>
    <s v="UPI"/>
    <s v="2024-06"/>
    <s v="1-10%"/>
    <n v="9.352938981897381E-2"/>
    <s v="No"/>
  </r>
  <r>
    <s v="ORD-100237"/>
    <d v="2024-06-26T00:00:00"/>
    <s v="CUST-00326"/>
    <x v="3"/>
    <x v="2"/>
    <s v="Appliances"/>
    <s v="AirFryer Deluxe"/>
    <n v="2"/>
    <n v="8059.55"/>
    <n v="0.25"/>
    <n v="12089.33"/>
    <n v="980.6"/>
    <s v="Cash on Delivery"/>
    <s v="2024-06"/>
    <s v="21%+"/>
    <n v="8.1112849099164303E-2"/>
    <s v="No"/>
  </r>
  <r>
    <s v="ORD-100431"/>
    <d v="2024-06-26T00:00:00"/>
    <s v="CUST-00193"/>
    <x v="3"/>
    <x v="1"/>
    <s v="Mobile"/>
    <s v="Pixel Aura 12"/>
    <n v="2"/>
    <n v="32398.84"/>
    <n v="0.05"/>
    <n v="61557.8"/>
    <n v="6963.61"/>
    <s v="Credit Card"/>
    <s v="2024-06"/>
    <s v="1-10%"/>
    <n v="0.11312311356156327"/>
    <s v="No"/>
  </r>
  <r>
    <s v="ORD-100727"/>
    <d v="2024-06-26T00:00:00"/>
    <s v="CUST-00012"/>
    <x v="2"/>
    <x v="4"/>
    <s v="Fitness"/>
    <s v="Adjustable Dumbbell 24kg"/>
    <n v="1"/>
    <n v="9942.98"/>
    <n v="0.15"/>
    <n v="8451.5300000000007"/>
    <n v="1851.63"/>
    <s v="UPI"/>
    <s v="2024-06"/>
    <s v="11-15%"/>
    <n v="0.21908814143711255"/>
    <s v="No"/>
  </r>
  <r>
    <s v="ORD-101669"/>
    <d v="2024-06-26T00:00:00"/>
    <s v="CUST-00434"/>
    <x v="1"/>
    <x v="3"/>
    <s v="Women"/>
    <s v="Knit Winter Sweater"/>
    <n v="1"/>
    <n v="2295.62"/>
    <n v="0.1"/>
    <n v="2066.06"/>
    <n v="549.21"/>
    <s v="UPI"/>
    <s v="2024-06"/>
    <s v="1-10%"/>
    <n v="0.26582480663678693"/>
    <s v="No"/>
  </r>
  <r>
    <s v="ORD-101984"/>
    <d v="2024-06-26T00:00:00"/>
    <s v="CUST-00564"/>
    <x v="3"/>
    <x v="2"/>
    <s v="Decor"/>
    <s v="Ceramic Vase Set"/>
    <n v="1"/>
    <n v="1446.37"/>
    <n v="0.05"/>
    <n v="1374.05"/>
    <n v="330.3"/>
    <s v="Credit Card"/>
    <s v="2024-06"/>
    <s v="1-10%"/>
    <n v="0.24038426549252212"/>
    <s v="No"/>
  </r>
  <r>
    <s v="ORD-101708"/>
    <d v="2024-06-27T00:00:00"/>
    <s v="CUST-00052"/>
    <x v="0"/>
    <x v="4"/>
    <s v="Outdoor"/>
    <s v="AllWeather Tent 4P"/>
    <n v="1"/>
    <n v="11846.41"/>
    <n v="0"/>
    <n v="11846.41"/>
    <n v="4321.96"/>
    <s v="Cash on Delivery"/>
    <s v="2024-06"/>
    <s v="No discount"/>
    <n v="0.36483289030178762"/>
    <s v="No"/>
  </r>
  <r>
    <s v="ORD-100059"/>
    <d v="2024-06-28T00:00:00"/>
    <s v="CUST-00453"/>
    <x v="1"/>
    <x v="1"/>
    <s v="Mobile"/>
    <s v="iPhone Zeta"/>
    <n v="3"/>
    <n v="73154.460000000006"/>
    <n v="0.1"/>
    <n v="197517.04"/>
    <n v="20732.53"/>
    <s v="UPI"/>
    <s v="2024-06"/>
    <s v="1-10%"/>
    <n v="0.10496577915505416"/>
    <s v="No"/>
  </r>
  <r>
    <s v="ORD-100149"/>
    <d v="2024-06-28T00:00:00"/>
    <s v="CUST-00181"/>
    <x v="1"/>
    <x v="4"/>
    <s v="Fitness"/>
    <s v="Adjustable Dumbbell 24kg"/>
    <n v="1"/>
    <n v="10406.9"/>
    <n v="0.1"/>
    <n v="9366.2099999999991"/>
    <n v="2174.4299999999998"/>
    <s v="Credit Card"/>
    <s v="2024-06"/>
    <s v="1-10%"/>
    <n v="0.232156870281576"/>
    <s v="No"/>
  </r>
  <r>
    <s v="ORD-100218"/>
    <d v="2024-06-28T00:00:00"/>
    <s v="CUST-00141"/>
    <x v="3"/>
    <x v="3"/>
    <s v="Men"/>
    <s v="SlimFit Denim Jeans"/>
    <n v="1"/>
    <n v="1989.68"/>
    <n v="0.05"/>
    <n v="1890.2"/>
    <n v="701.65"/>
    <s v="Debit Card"/>
    <s v="2024-06"/>
    <s v="1-10%"/>
    <n v="0.37120410538567344"/>
    <s v="No"/>
  </r>
  <r>
    <s v="ORD-100331"/>
    <d v="2024-06-28T00:00:00"/>
    <s v="CUST-00450"/>
    <x v="1"/>
    <x v="3"/>
    <s v="Women"/>
    <s v="Floral Summer Dress"/>
    <n v="2"/>
    <n v="1876.48"/>
    <n v="0.15"/>
    <n v="3190.02"/>
    <n v="764.17"/>
    <s v="UPI"/>
    <s v="2024-06"/>
    <s v="11-15%"/>
    <n v="0.23955022225565983"/>
    <s v="No"/>
  </r>
  <r>
    <s v="ORD-100411"/>
    <d v="2024-06-28T00:00:00"/>
    <s v="CUST-00347"/>
    <x v="3"/>
    <x v="2"/>
    <s v="Decor"/>
    <s v="LED Wall Lamp"/>
    <n v="2"/>
    <n v="982.34"/>
    <n v="0"/>
    <n v="1964.68"/>
    <n v="632.01"/>
    <s v="Cash on Delivery"/>
    <s v="2024-06"/>
    <s v="No discount"/>
    <n v="0.32168597430624835"/>
    <s v="No"/>
  </r>
  <r>
    <s v="ORD-100487"/>
    <d v="2024-06-28T00:00:00"/>
    <s v="CUST-00582"/>
    <x v="1"/>
    <x v="4"/>
    <s v="Outdoor"/>
    <s v="TrailHike Backpack 60L"/>
    <n v="4"/>
    <n v="3455.53"/>
    <n v="0.1"/>
    <n v="12439.91"/>
    <n v="2805.57"/>
    <s v="UPI"/>
    <s v="2024-06"/>
    <s v="1-10%"/>
    <n v="0.2255297666944536"/>
    <s v="No"/>
  </r>
  <r>
    <s v="ORD-101341"/>
    <d v="2024-06-28T00:00:00"/>
    <s v="CUST-00127"/>
    <x v="0"/>
    <x v="0"/>
    <s v="Makeup"/>
    <s v="Matte Lipstick Set"/>
    <n v="1"/>
    <n v="1030.8699999999999"/>
    <n v="0.05"/>
    <n v="979.33"/>
    <n v="456.37"/>
    <s v="Cash on Delivery"/>
    <s v="2024-06"/>
    <s v="1-10%"/>
    <n v="0.46600226685591167"/>
    <s v="No"/>
  </r>
  <r>
    <s v="ORD-101117"/>
    <d v="2024-06-29T00:00:00"/>
    <s v="CUST-00482"/>
    <x v="1"/>
    <x v="3"/>
    <s v="Footwear"/>
    <s v="RunFlex Sneakers"/>
    <n v="1"/>
    <n v="2864.69"/>
    <n v="0"/>
    <n v="2864.69"/>
    <n v="1238.6099999999999"/>
    <s v="Cash on Delivery"/>
    <s v="2024-06"/>
    <s v="No discount"/>
    <n v="0.43237139097075072"/>
    <s v="No"/>
  </r>
  <r>
    <s v="ORD-101634"/>
    <d v="2024-06-29T00:00:00"/>
    <s v="CUST-00151"/>
    <x v="1"/>
    <x v="2"/>
    <s v="Furniture"/>
    <s v="Oakwood Study Desk"/>
    <n v="1"/>
    <n v="13323.43"/>
    <n v="0.2"/>
    <n v="10658.74"/>
    <n v="750.58"/>
    <s v="UPI"/>
    <s v="2024-06"/>
    <s v="16-20%"/>
    <n v="7.0419205271917695E-2"/>
    <s v="No"/>
  </r>
  <r>
    <s v="ORD-100622"/>
    <d v="2024-06-30T00:00:00"/>
    <s v="CUST-00501"/>
    <x v="2"/>
    <x v="3"/>
    <s v="Women"/>
    <s v="Floral Summer Dress"/>
    <n v="1"/>
    <n v="1824.01"/>
    <n v="0.3"/>
    <n v="1276.81"/>
    <n v="75.81"/>
    <s v="Credit Card"/>
    <s v="2024-06"/>
    <s v="21%+"/>
    <n v="5.9374534973880219E-2"/>
    <s v="No"/>
  </r>
  <r>
    <s v="ORD-101001"/>
    <d v="2024-06-30T00:00:00"/>
    <s v="CUST-00456"/>
    <x v="3"/>
    <x v="3"/>
    <s v="Footwear"/>
    <s v="RunFlex Sneakers"/>
    <n v="5"/>
    <n v="3053.94"/>
    <n v="0"/>
    <n v="15269.7"/>
    <n v="5991.43"/>
    <s v="UPI"/>
    <s v="2024-06"/>
    <s v="No discount"/>
    <n v="0.3923737859944858"/>
    <s v="No"/>
  </r>
  <r>
    <s v="ORD-101382"/>
    <d v="2024-06-30T00:00:00"/>
    <s v="CUST-00025"/>
    <x v="3"/>
    <x v="4"/>
    <s v="Fitness"/>
    <s v="ProYoga Mat"/>
    <n v="1"/>
    <n v="1325.52"/>
    <n v="0.15"/>
    <n v="1126.69"/>
    <n v="228.85"/>
    <s v="Credit Card"/>
    <s v="2024-06"/>
    <s v="11-15%"/>
    <n v="0.20311709520808738"/>
    <s v="No"/>
  </r>
  <r>
    <s v="ORD-101553"/>
    <d v="2024-06-30T00:00:00"/>
    <s v="CUST-00387"/>
    <x v="3"/>
    <x v="1"/>
    <s v="Mobile"/>
    <s v="iPhone Zeta"/>
    <n v="2"/>
    <n v="71050.080000000002"/>
    <n v="0.4"/>
    <n v="85260.1"/>
    <n v="-24487.66"/>
    <s v="UPI"/>
    <s v="2024-06"/>
    <s v="21%+"/>
    <n v="-0.28721125121833069"/>
    <s v="Yes"/>
  </r>
  <r>
    <s v="ORD-100447"/>
    <d v="2024-07-01T00:00:00"/>
    <s v="CUST-00504"/>
    <x v="2"/>
    <x v="2"/>
    <s v="Furniture"/>
    <s v="Oakwood Study Desk"/>
    <n v="1"/>
    <n v="12854.18"/>
    <n v="0"/>
    <n v="12854.18"/>
    <n v="4751.8900000000003"/>
    <s v="Debit Card"/>
    <s v="2024-07"/>
    <s v="No discount"/>
    <n v="0.36967663437107617"/>
    <s v="No"/>
  </r>
  <r>
    <s v="ORD-101008"/>
    <d v="2024-07-01T00:00:00"/>
    <s v="CUST-00046"/>
    <x v="1"/>
    <x v="4"/>
    <s v="Fitness"/>
    <s v="Adjustable Dumbbell 24kg"/>
    <n v="5"/>
    <n v="10324.36"/>
    <n v="0"/>
    <n v="51621.8"/>
    <n v="21159.59"/>
    <s v="Credit Card"/>
    <s v="2024-07"/>
    <s v="No discount"/>
    <n v="0.40989640035798824"/>
    <s v="No"/>
  </r>
  <r>
    <s v="ORD-100174"/>
    <d v="2024-07-02T00:00:00"/>
    <s v="CUST-00099"/>
    <x v="2"/>
    <x v="1"/>
    <s v="Audio"/>
    <s v="BassBoom Speaker"/>
    <n v="1"/>
    <n v="8796.2900000000009"/>
    <n v="0.1"/>
    <n v="7916.66"/>
    <n v="816.99"/>
    <s v="Debit Card"/>
    <s v="2024-07"/>
    <s v="1-10%"/>
    <n v="0.1031988237463779"/>
    <s v="No"/>
  </r>
  <r>
    <s v="ORD-100316"/>
    <d v="2024-07-02T00:00:00"/>
    <s v="CUST-00580"/>
    <x v="3"/>
    <x v="1"/>
    <s v="Audio"/>
    <s v="SoundPods Pro"/>
    <n v="3"/>
    <n v="5056.01"/>
    <n v="0.15"/>
    <n v="12892.83"/>
    <n v="-247.96"/>
    <s v="Credit Card"/>
    <s v="2024-07"/>
    <s v="11-15%"/>
    <n v="-1.9232395059889877E-2"/>
    <s v="Yes"/>
  </r>
  <r>
    <s v="ORD-100372"/>
    <d v="2024-07-02T00:00:00"/>
    <s v="CUST-00572"/>
    <x v="2"/>
    <x v="0"/>
    <s v="Skincare"/>
    <s v="Vitamin C Serum"/>
    <n v="2"/>
    <n v="871.08"/>
    <n v="0.1"/>
    <n v="1567.94"/>
    <n v="685.34"/>
    <s v="Credit Card"/>
    <s v="2024-07"/>
    <s v="1-10%"/>
    <n v="0.43709580723752184"/>
    <s v="No"/>
  </r>
  <r>
    <s v="ORD-101118"/>
    <d v="2024-07-02T00:00:00"/>
    <s v="CUST-00474"/>
    <x v="1"/>
    <x v="4"/>
    <s v="Fitness"/>
    <s v="ProYoga Mat"/>
    <n v="1"/>
    <n v="1312.33"/>
    <n v="0.3"/>
    <n v="918.63"/>
    <n v="1.07"/>
    <s v="UPI"/>
    <s v="2024-07"/>
    <s v="21%+"/>
    <n v="1.1647779846075134E-3"/>
    <s v="No"/>
  </r>
  <r>
    <s v="ORD-101899"/>
    <d v="2024-07-02T00:00:00"/>
    <s v="CUST-00237"/>
    <x v="0"/>
    <x v="2"/>
    <s v="Furniture"/>
    <s v="ErgoComfort Chair"/>
    <n v="2"/>
    <n v="8925.93"/>
    <n v="0.3"/>
    <n v="12496.3"/>
    <n v="-304.33"/>
    <s v="Net Banking"/>
    <s v="2024-07"/>
    <s v="21%+"/>
    <n v="-2.4353608668165778E-2"/>
    <s v="Yes"/>
  </r>
  <r>
    <s v="ORD-100121"/>
    <d v="2024-07-03T00:00:00"/>
    <s v="CUST-00329"/>
    <x v="2"/>
    <x v="4"/>
    <s v="Outdoor"/>
    <s v="AllWeather Tent 4P"/>
    <n v="4"/>
    <n v="12360.35"/>
    <n v="0.05"/>
    <n v="46969.33"/>
    <n v="16000.88"/>
    <s v="Credit Card"/>
    <s v="2024-07"/>
    <s v="1-10%"/>
    <n v="0.3406665583690463"/>
    <s v="No"/>
  </r>
  <r>
    <s v="ORD-100433"/>
    <d v="2024-07-03T00:00:00"/>
    <s v="CUST-00435"/>
    <x v="1"/>
    <x v="4"/>
    <s v="Fitness"/>
    <s v="ProYoga Mat"/>
    <n v="1"/>
    <n v="1345.78"/>
    <n v="0.15"/>
    <n v="1143.9100000000001"/>
    <n v="273.38"/>
    <s v="Cash on Delivery"/>
    <s v="2024-07"/>
    <s v="11-15%"/>
    <n v="0.23898733291954785"/>
    <s v="No"/>
  </r>
  <r>
    <s v="ORD-100758"/>
    <d v="2024-07-03T00:00:00"/>
    <s v="CUST-00183"/>
    <x v="0"/>
    <x v="1"/>
    <s v="Laptop"/>
    <s v="ThinkPro 14"/>
    <n v="1"/>
    <n v="53405.66"/>
    <n v="0.1"/>
    <n v="48065.09"/>
    <n v="2816.26"/>
    <s v="Credit Card"/>
    <s v="2024-07"/>
    <s v="1-10%"/>
    <n v="5.8592629286661077E-2"/>
    <s v="No"/>
  </r>
  <r>
    <s v="ORD-101329"/>
    <d v="2024-07-03T00:00:00"/>
    <s v="CUST-00490"/>
    <x v="2"/>
    <x v="4"/>
    <s v="Outdoor"/>
    <s v="TrailHike Backpack 60L"/>
    <n v="1"/>
    <n v="3666.57"/>
    <n v="0.1"/>
    <n v="3299.91"/>
    <n v="954.62"/>
    <s v="UPI"/>
    <s v="2024-07"/>
    <s v="1-10%"/>
    <n v="0.2892866775154474"/>
    <s v="No"/>
  </r>
  <r>
    <s v="ORD-101495"/>
    <d v="2024-07-03T00:00:00"/>
    <s v="CUST-00145"/>
    <x v="2"/>
    <x v="4"/>
    <s v="Outdoor"/>
    <s v="AllWeather Tent 4P"/>
    <n v="2"/>
    <n v="11541.54"/>
    <n v="0.15"/>
    <n v="19620.62"/>
    <n v="3969.79"/>
    <s v="UPI"/>
    <s v="2024-07"/>
    <s v="11-15%"/>
    <n v="0.20232744938743016"/>
    <s v="No"/>
  </r>
  <r>
    <s v="ORD-100910"/>
    <d v="2024-07-04T00:00:00"/>
    <s v="CUST-00280"/>
    <x v="2"/>
    <x v="1"/>
    <s v="Laptop"/>
    <s v="AirBook Slim"/>
    <n v="1"/>
    <n v="77219.839999999997"/>
    <n v="0.25"/>
    <n v="57914.879999999997"/>
    <n v="-5350.81"/>
    <s v="Credit Card"/>
    <s v="2024-07"/>
    <s v="21%+"/>
    <n v="-9.2390936491623582E-2"/>
    <s v="Yes"/>
  </r>
  <r>
    <s v="ORD-100040"/>
    <d v="2024-07-05T00:00:00"/>
    <s v="CUST-00389"/>
    <x v="1"/>
    <x v="4"/>
    <s v="Fitness"/>
    <s v="Adjustable Dumbbell 24kg"/>
    <n v="4"/>
    <n v="10033.120000000001"/>
    <n v="0.4"/>
    <n v="24079.49"/>
    <n v="-1142.47"/>
    <s v="Credit Card"/>
    <s v="2024-07"/>
    <s v="21%+"/>
    <n v="-4.7445772314945206E-2"/>
    <s v="Yes"/>
  </r>
  <r>
    <s v="ORD-100047"/>
    <d v="2024-07-05T00:00:00"/>
    <s v="CUST-00364"/>
    <x v="1"/>
    <x v="2"/>
    <s v="Furniture"/>
    <s v="Oakwood Study Desk"/>
    <n v="1"/>
    <n v="13324.59"/>
    <n v="0.05"/>
    <n v="12658.36"/>
    <n v="3520.14"/>
    <s v="UPI"/>
    <s v="2024-07"/>
    <s v="1-10%"/>
    <n v="0.27808815675964338"/>
    <s v="No"/>
  </r>
  <r>
    <s v="ORD-101268"/>
    <d v="2024-07-05T00:00:00"/>
    <s v="CUST-00291"/>
    <x v="1"/>
    <x v="2"/>
    <s v="Decor"/>
    <s v="Ceramic Vase Set"/>
    <n v="1"/>
    <n v="1496.08"/>
    <n v="0.05"/>
    <n v="1421.28"/>
    <n v="389.78"/>
    <s v="Credit Card"/>
    <s v="2024-07"/>
    <s v="1-10%"/>
    <n v="0.27424575030958009"/>
    <s v="No"/>
  </r>
  <r>
    <s v="ORD-101383"/>
    <d v="2024-07-05T00:00:00"/>
    <s v="CUST-00322"/>
    <x v="1"/>
    <x v="4"/>
    <s v="Outdoor"/>
    <s v="TrailHike Backpack 60L"/>
    <n v="1"/>
    <n v="3417.84"/>
    <n v="0.25"/>
    <n v="2563.38"/>
    <n v="327.45"/>
    <s v="Cash on Delivery"/>
    <s v="2024-07"/>
    <s v="21%+"/>
    <n v="0.12774149755401071"/>
    <s v="No"/>
  </r>
  <r>
    <s v="ORD-101532"/>
    <d v="2024-07-05T00:00:00"/>
    <s v="CUST-00039"/>
    <x v="2"/>
    <x v="0"/>
    <s v="Skincare"/>
    <s v="Vitamin C Serum"/>
    <n v="1"/>
    <n v="891.92"/>
    <n v="0.1"/>
    <n v="802.73"/>
    <n v="373.2"/>
    <s v="UPI"/>
    <s v="2024-07"/>
    <s v="1-10%"/>
    <n v="0.46491348274014921"/>
    <s v="No"/>
  </r>
  <r>
    <s v="ORD-101606"/>
    <d v="2024-07-05T00:00:00"/>
    <s v="CUST-00380"/>
    <x v="0"/>
    <x v="0"/>
    <s v="Skincare"/>
    <s v="HydraBoost Moisturizer"/>
    <n v="1"/>
    <n v="1141.24"/>
    <n v="0.2"/>
    <n v="912.99"/>
    <n v="317.48"/>
    <s v="Cash on Delivery"/>
    <s v="2024-07"/>
    <s v="16-20%"/>
    <n v="0.34773655790315339"/>
    <s v="No"/>
  </r>
  <r>
    <s v="ORD-100939"/>
    <d v="2024-07-06T00:00:00"/>
    <s v="CUST-00112"/>
    <x v="0"/>
    <x v="4"/>
    <s v="Outdoor"/>
    <s v="TrailHike Backpack 60L"/>
    <n v="1"/>
    <n v="3559.52"/>
    <n v="0.15"/>
    <n v="3025.59"/>
    <n v="529.67999999999995"/>
    <s v="UPI"/>
    <s v="2024-07"/>
    <s v="11-15%"/>
    <n v="0.17506668120928479"/>
    <s v="No"/>
  </r>
  <r>
    <s v="ORD-101465"/>
    <d v="2024-07-06T00:00:00"/>
    <s v="CUST-00418"/>
    <x v="0"/>
    <x v="4"/>
    <s v="Outdoor"/>
    <s v="TrailHike Backpack 60L"/>
    <n v="1"/>
    <n v="3513.71"/>
    <n v="0"/>
    <n v="3513.71"/>
    <n v="1298.94"/>
    <s v="UPI"/>
    <s v="2024-07"/>
    <s v="No discount"/>
    <n v="0.36967763418153465"/>
    <s v="No"/>
  </r>
  <r>
    <s v="ORD-101599"/>
    <d v="2024-07-06T00:00:00"/>
    <s v="CUST-00004"/>
    <x v="1"/>
    <x v="0"/>
    <s v="Makeup"/>
    <s v="Matte Lipstick Set"/>
    <n v="1"/>
    <n v="965.94"/>
    <n v="0.05"/>
    <n v="917.64"/>
    <n v="484.25"/>
    <s v="Debit Card"/>
    <s v="2024-07"/>
    <s v="1-10%"/>
    <n v="0.52771239265943071"/>
    <s v="No"/>
  </r>
  <r>
    <s v="ORD-101639"/>
    <d v="2024-07-06T00:00:00"/>
    <s v="CUST-00287"/>
    <x v="2"/>
    <x v="4"/>
    <s v="Fitness"/>
    <s v="Adjustable Dumbbell 24kg"/>
    <n v="2"/>
    <n v="9790.23"/>
    <n v="0.25"/>
    <n v="14685.34"/>
    <n v="1003.93"/>
    <s v="Debit Card"/>
    <s v="2024-07"/>
    <s v="21%+"/>
    <n v="6.8362734536619507E-2"/>
    <s v="No"/>
  </r>
  <r>
    <s v="ORD-100300"/>
    <d v="2024-07-07T00:00:00"/>
    <s v="CUST-00518"/>
    <x v="3"/>
    <x v="0"/>
    <s v="Skincare"/>
    <s v="HydraBoost Moisturizer"/>
    <n v="1"/>
    <n v="1181.98"/>
    <n v="0.1"/>
    <n v="1063.78"/>
    <n v="486.92"/>
    <s v="UPI"/>
    <s v="2024-07"/>
    <s v="1-10%"/>
    <n v="0.4577262215871703"/>
    <s v="No"/>
  </r>
  <r>
    <s v="ORD-100393"/>
    <d v="2024-07-07T00:00:00"/>
    <s v="CUST-00150"/>
    <x v="3"/>
    <x v="3"/>
    <s v="Women"/>
    <s v="Floral Summer Dress"/>
    <n v="2"/>
    <n v="1737.48"/>
    <n v="0.1"/>
    <n v="3127.46"/>
    <n v="845.74"/>
    <s v="Debit Card"/>
    <s v="2024-07"/>
    <s v="1-10%"/>
    <n v="0.27042392228837459"/>
    <s v="No"/>
  </r>
  <r>
    <s v="ORD-100527"/>
    <d v="2024-07-07T00:00:00"/>
    <s v="CUST-00140"/>
    <x v="1"/>
    <x v="3"/>
    <s v="Footwear"/>
    <s v="UrbanLoafers"/>
    <n v="1"/>
    <n v="3534.73"/>
    <n v="0.05"/>
    <n v="3357.99"/>
    <n v="1301.47"/>
    <s v="Credit Card"/>
    <s v="2024-07"/>
    <s v="1-10%"/>
    <n v="0.3875741142766953"/>
    <s v="No"/>
  </r>
  <r>
    <s v="ORD-101392"/>
    <d v="2024-07-07T00:00:00"/>
    <s v="CUST-00471"/>
    <x v="2"/>
    <x v="3"/>
    <s v="Footwear"/>
    <s v="UrbanLoafers"/>
    <n v="3"/>
    <n v="3398.41"/>
    <n v="0"/>
    <n v="10195.23"/>
    <n v="4183.7"/>
    <s v="Net Banking"/>
    <s v="2024-07"/>
    <s v="No discount"/>
    <n v="0.41035856964482409"/>
    <s v="No"/>
  </r>
  <r>
    <s v="ORD-101949"/>
    <d v="2024-07-07T00:00:00"/>
    <s v="CUST-00186"/>
    <x v="2"/>
    <x v="1"/>
    <s v="Audio"/>
    <s v="BassBoom Speaker"/>
    <n v="1"/>
    <n v="9428.25"/>
    <n v="0"/>
    <n v="9428.25"/>
    <n v="1716.38"/>
    <s v="Net Banking"/>
    <s v="2024-07"/>
    <s v="No discount"/>
    <n v="0.18204650916129717"/>
    <s v="No"/>
  </r>
  <r>
    <s v="ORD-100050"/>
    <d v="2024-07-08T00:00:00"/>
    <s v="CUST-00496"/>
    <x v="2"/>
    <x v="4"/>
    <s v="Outdoor"/>
    <s v="AllWeather Tent 4P"/>
    <n v="2"/>
    <n v="11700.71"/>
    <n v="0"/>
    <n v="23401.42"/>
    <n v="8182.36"/>
    <s v="UPI"/>
    <s v="2024-07"/>
    <s v="No discount"/>
    <n v="0.34965228605785464"/>
    <s v="No"/>
  </r>
  <r>
    <s v="ORD-100674"/>
    <d v="2024-07-08T00:00:00"/>
    <s v="CUST-00021"/>
    <x v="2"/>
    <x v="0"/>
    <s v="Skincare"/>
    <s v="HydraBoost Moisturizer"/>
    <n v="1"/>
    <n v="1191.05"/>
    <n v="0.1"/>
    <n v="1071.94"/>
    <n v="472.42"/>
    <s v="UPI"/>
    <s v="2024-07"/>
    <s v="1-10%"/>
    <n v="0.44071496538985389"/>
    <s v="No"/>
  </r>
  <r>
    <s v="ORD-101447"/>
    <d v="2024-07-08T00:00:00"/>
    <s v="CUST-00399"/>
    <x v="3"/>
    <x v="4"/>
    <s v="Outdoor"/>
    <s v="TrailHike Backpack 60L"/>
    <n v="2"/>
    <n v="3399.5"/>
    <n v="0.1"/>
    <n v="6119.1"/>
    <n v="1457.56"/>
    <s v="Credit Card"/>
    <s v="2024-07"/>
    <s v="1-10%"/>
    <n v="0.23819842787338005"/>
    <s v="No"/>
  </r>
  <r>
    <s v="ORD-100653"/>
    <d v="2024-07-09T00:00:00"/>
    <s v="CUST-00188"/>
    <x v="3"/>
    <x v="3"/>
    <s v="Women"/>
    <s v="Floral Summer Dress"/>
    <n v="2"/>
    <n v="1741.79"/>
    <n v="0"/>
    <n v="3483.58"/>
    <n v="1588.09"/>
    <s v="Debit Card"/>
    <s v="2024-07"/>
    <s v="No discount"/>
    <n v="0.45587872246367239"/>
    <s v="No"/>
  </r>
  <r>
    <s v="ORD-100890"/>
    <d v="2024-07-09T00:00:00"/>
    <s v="CUST-00479"/>
    <x v="0"/>
    <x v="0"/>
    <s v="Makeup"/>
    <s v="Matte Lipstick Set"/>
    <n v="1"/>
    <n v="970.85"/>
    <n v="0"/>
    <n v="970.85"/>
    <n v="515.39"/>
    <s v="Credit Card"/>
    <s v="2024-07"/>
    <s v="No discount"/>
    <n v="0.53086470618530146"/>
    <s v="No"/>
  </r>
  <r>
    <s v="ORD-101116"/>
    <d v="2024-07-09T00:00:00"/>
    <s v="CUST-00320"/>
    <x v="3"/>
    <x v="1"/>
    <s v="Laptop"/>
    <s v="ThinkPro 14"/>
    <n v="1"/>
    <n v="53068.7"/>
    <n v="0"/>
    <n v="53068.7"/>
    <n v="8030.92"/>
    <s v="Net Banking"/>
    <s v="2024-07"/>
    <s v="No discount"/>
    <n v="0.15133063368803082"/>
    <s v="No"/>
  </r>
  <r>
    <s v="ORD-101432"/>
    <d v="2024-07-09T00:00:00"/>
    <s v="CUST-00497"/>
    <x v="1"/>
    <x v="1"/>
    <s v="Mobile"/>
    <s v="Galaxy Nova X5"/>
    <n v="1"/>
    <n v="24626.68"/>
    <n v="0.1"/>
    <n v="22164.01"/>
    <n v="827.47"/>
    <s v="UPI"/>
    <s v="2024-07"/>
    <s v="1-10%"/>
    <n v="3.7333948143860256E-2"/>
    <s v="No"/>
  </r>
  <r>
    <s v="ORD-100233"/>
    <d v="2024-07-10T00:00:00"/>
    <s v="CUST-00457"/>
    <x v="3"/>
    <x v="1"/>
    <s v="Mobile"/>
    <s v="iPhone Zeta"/>
    <n v="1"/>
    <n v="69971.89"/>
    <n v="0.15"/>
    <n v="59476.11"/>
    <n v="-111.91"/>
    <s v="UPI"/>
    <s v="2024-07"/>
    <s v="11-15%"/>
    <n v="-1.8815958205740085E-3"/>
    <s v="Yes"/>
  </r>
  <r>
    <s v="ORD-100320"/>
    <d v="2024-07-10T00:00:00"/>
    <s v="CUST-00122"/>
    <x v="1"/>
    <x v="4"/>
    <s v="Outdoor"/>
    <s v="TrailHike Backpack 60L"/>
    <n v="1"/>
    <n v="3382"/>
    <n v="0"/>
    <n v="3382"/>
    <n v="1170.74"/>
    <s v="UPI"/>
    <s v="2024-07"/>
    <s v="No discount"/>
    <n v="0.34616794795978711"/>
    <s v="No"/>
  </r>
  <r>
    <s v="ORD-101435"/>
    <d v="2024-07-10T00:00:00"/>
    <s v="CUST-00510"/>
    <x v="0"/>
    <x v="4"/>
    <s v="Fitness"/>
    <s v="Adjustable Dumbbell 24kg"/>
    <n v="5"/>
    <n v="9590.68"/>
    <n v="0.05"/>
    <n v="45555.73"/>
    <n v="13047.91"/>
    <s v="UPI"/>
    <s v="2024-07"/>
    <s v="1-10%"/>
    <n v="0.28641643981997433"/>
    <s v="No"/>
  </r>
  <r>
    <s v="ORD-101504"/>
    <d v="2024-07-10T00:00:00"/>
    <s v="CUST-00065"/>
    <x v="1"/>
    <x v="3"/>
    <s v="Men"/>
    <s v="SlimFit Denim Jeans"/>
    <n v="2"/>
    <n v="2033.59"/>
    <n v="0"/>
    <n v="4067.18"/>
    <n v="1821.82"/>
    <s v="UPI"/>
    <s v="2024-07"/>
    <s v="No discount"/>
    <n v="0.44793198235632553"/>
    <s v="No"/>
  </r>
  <r>
    <s v="ORD-100713"/>
    <d v="2024-07-11T00:00:00"/>
    <s v="CUST-00074"/>
    <x v="0"/>
    <x v="3"/>
    <s v="Footwear"/>
    <s v="UrbanLoafers"/>
    <n v="4"/>
    <n v="3422.74"/>
    <n v="0"/>
    <n v="13690.96"/>
    <n v="5542.28"/>
    <s v="Debit Card"/>
    <s v="2024-07"/>
    <s v="No discount"/>
    <n v="0.40481310295260525"/>
    <s v="No"/>
  </r>
  <r>
    <s v="ORD-100871"/>
    <d v="2024-07-11T00:00:00"/>
    <s v="CUST-00097"/>
    <x v="0"/>
    <x v="3"/>
    <s v="Footwear"/>
    <s v="UrbanLoafers"/>
    <n v="1"/>
    <n v="3376.66"/>
    <n v="0.05"/>
    <n v="3207.83"/>
    <n v="1051.73"/>
    <s v="UPI"/>
    <s v="2024-07"/>
    <s v="1-10%"/>
    <n v="0.32786338428158601"/>
    <s v="No"/>
  </r>
  <r>
    <s v="ORD-101908"/>
    <d v="2024-07-11T00:00:00"/>
    <s v="CUST-00379"/>
    <x v="0"/>
    <x v="4"/>
    <s v="Fitness"/>
    <s v="ProYoga Mat"/>
    <n v="2"/>
    <n v="1288.52"/>
    <n v="0.05"/>
    <n v="2448.19"/>
    <n v="802.91"/>
    <s v="UPI"/>
    <s v="2024-07"/>
    <s v="1-10%"/>
    <n v="0.32796065664838103"/>
    <s v="No"/>
  </r>
  <r>
    <s v="ORD-100779"/>
    <d v="2024-07-12T00:00:00"/>
    <s v="CUST-00283"/>
    <x v="0"/>
    <x v="4"/>
    <s v="Outdoor"/>
    <s v="TrailHike Backpack 60L"/>
    <n v="1"/>
    <n v="3341.24"/>
    <n v="0.05"/>
    <n v="3174.18"/>
    <n v="993.84"/>
    <s v="UPI"/>
    <s v="2024-07"/>
    <s v="1-10%"/>
    <n v="0.31310133640814325"/>
    <s v="No"/>
  </r>
  <r>
    <s v="ORD-101000"/>
    <d v="2024-07-12T00:00:00"/>
    <s v="CUST-00511"/>
    <x v="0"/>
    <x v="1"/>
    <s v="Mobile"/>
    <s v="Pixel Aura 12"/>
    <n v="1"/>
    <n v="34335.94"/>
    <n v="0"/>
    <n v="34335.94"/>
    <n v="6354.52"/>
    <s v="Cash on Delivery"/>
    <s v="2024-07"/>
    <s v="No discount"/>
    <n v="0.18506905592216202"/>
    <s v="No"/>
  </r>
  <r>
    <s v="ORD-101157"/>
    <d v="2024-07-12T00:00:00"/>
    <s v="CUST-00257"/>
    <x v="3"/>
    <x v="4"/>
    <s v="Fitness"/>
    <s v="Adjustable Dumbbell 24kg"/>
    <n v="2"/>
    <n v="9582.31"/>
    <n v="0"/>
    <n v="19164.62"/>
    <n v="7725.64"/>
    <s v="UPI"/>
    <s v="2024-07"/>
    <s v="No discount"/>
    <n v="0.40311991576143963"/>
    <s v="No"/>
  </r>
  <r>
    <s v="ORD-100338"/>
    <d v="2024-07-13T00:00:00"/>
    <s v="CUST-00205"/>
    <x v="0"/>
    <x v="1"/>
    <s v="Audio"/>
    <s v="SoundPods Pro"/>
    <n v="1"/>
    <n v="5196.12"/>
    <n v="0.05"/>
    <n v="4936.3100000000004"/>
    <n v="513.5"/>
    <s v="Credit Card"/>
    <s v="2024-07"/>
    <s v="1-10%"/>
    <n v="0.10402507135897056"/>
    <s v="No"/>
  </r>
  <r>
    <s v="ORD-101224"/>
    <d v="2024-07-13T00:00:00"/>
    <s v="CUST-00229"/>
    <x v="3"/>
    <x v="2"/>
    <s v="Furniture"/>
    <s v="ErgoComfort Chair"/>
    <n v="2"/>
    <n v="9060.8799999999992"/>
    <n v="0.1"/>
    <n v="16309.58"/>
    <n v="3045.89"/>
    <s v="UPI"/>
    <s v="2024-07"/>
    <s v="1-10%"/>
    <n v="0.18675465585257253"/>
    <s v="No"/>
  </r>
  <r>
    <s v="ORD-100704"/>
    <d v="2024-07-14T00:00:00"/>
    <s v="CUST-00457"/>
    <x v="2"/>
    <x v="2"/>
    <s v="Furniture"/>
    <s v="ErgoComfort Chair"/>
    <n v="1"/>
    <n v="9115.59"/>
    <n v="0"/>
    <n v="9115.59"/>
    <n v="3082.41"/>
    <s v="Cash on Delivery"/>
    <s v="2024-07"/>
    <s v="No discount"/>
    <n v="0.33814706453449528"/>
    <s v="No"/>
  </r>
  <r>
    <s v="ORD-100956"/>
    <d v="2024-07-14T00:00:00"/>
    <s v="CUST-00093"/>
    <x v="1"/>
    <x v="0"/>
    <s v="Skincare"/>
    <s v="Vitamin C Serum"/>
    <n v="2"/>
    <n v="898.02"/>
    <n v="0"/>
    <n v="1796.04"/>
    <n v="1002.89"/>
    <s v="UPI"/>
    <s v="2024-07"/>
    <s v="No discount"/>
    <n v="0.55838956816106544"/>
    <s v="No"/>
  </r>
  <r>
    <s v="ORD-101796"/>
    <d v="2024-07-14T00:00:00"/>
    <s v="CUST-00457"/>
    <x v="3"/>
    <x v="4"/>
    <s v="Outdoor"/>
    <s v="AllWeather Tent 4P"/>
    <n v="4"/>
    <n v="11778.44"/>
    <n v="0"/>
    <n v="47113.760000000002"/>
    <n v="17604.43"/>
    <s v="Credit Card"/>
    <s v="2024-07"/>
    <s v="No discount"/>
    <n v="0.3736579292334129"/>
    <s v="No"/>
  </r>
  <r>
    <s v="ORD-100107"/>
    <d v="2024-07-15T00:00:00"/>
    <s v="CUST-00141"/>
    <x v="3"/>
    <x v="1"/>
    <s v="Audio"/>
    <s v="BassBoom Speaker"/>
    <n v="1"/>
    <n v="8827"/>
    <n v="0"/>
    <n v="8827"/>
    <n v="1907.46"/>
    <s v="Debit Card"/>
    <s v="2024-07"/>
    <s v="No discount"/>
    <n v="0.21609380310411239"/>
    <s v="No"/>
  </r>
  <r>
    <s v="ORD-100990"/>
    <d v="2024-07-15T00:00:00"/>
    <s v="CUST-00532"/>
    <x v="0"/>
    <x v="4"/>
    <s v="Fitness"/>
    <s v="ProYoga Mat"/>
    <n v="1"/>
    <n v="1236.75"/>
    <n v="0"/>
    <n v="1236.75"/>
    <n v="481.07"/>
    <s v="UPI"/>
    <s v="2024-07"/>
    <s v="No discount"/>
    <n v="0.38897917930058623"/>
    <s v="No"/>
  </r>
  <r>
    <s v="ORD-100303"/>
    <d v="2024-07-16T00:00:00"/>
    <s v="CUST-00085"/>
    <x v="3"/>
    <x v="4"/>
    <s v="Outdoor"/>
    <s v="AllWeather Tent 4P"/>
    <n v="1"/>
    <n v="12323.57"/>
    <n v="0.05"/>
    <n v="11707.39"/>
    <n v="3789.04"/>
    <s v="Credit Card"/>
    <s v="2024-07"/>
    <s v="1-10%"/>
    <n v="0.32364515062708255"/>
    <s v="No"/>
  </r>
  <r>
    <s v="ORD-100759"/>
    <d v="2024-07-16T00:00:00"/>
    <s v="CUST-00549"/>
    <x v="3"/>
    <x v="0"/>
    <s v="Skincare"/>
    <s v="Vitamin C Serum"/>
    <n v="5"/>
    <n v="897.55"/>
    <n v="0.4"/>
    <n v="2692.65"/>
    <n v="266.89999999999998"/>
    <s v="UPI"/>
    <s v="2024-07"/>
    <s v="21%+"/>
    <n v="9.9121683100291527E-2"/>
    <s v="No"/>
  </r>
  <r>
    <s v="ORD-100761"/>
    <d v="2024-07-16T00:00:00"/>
    <s v="CUST-00203"/>
    <x v="3"/>
    <x v="3"/>
    <s v="Men"/>
    <s v="Oxford Casual Shirt"/>
    <n v="2"/>
    <n v="1294.72"/>
    <n v="0.1"/>
    <n v="2330.5"/>
    <n v="768.41"/>
    <s v="Cash on Delivery"/>
    <s v="2024-07"/>
    <s v="1-10%"/>
    <n v="0.3297189444325252"/>
    <s v="No"/>
  </r>
  <r>
    <s v="ORD-101184"/>
    <d v="2024-07-16T00:00:00"/>
    <s v="CUST-00161"/>
    <x v="3"/>
    <x v="0"/>
    <s v="Skincare"/>
    <s v="HydraBoost Moisturizer"/>
    <n v="1"/>
    <n v="1251.1199999999999"/>
    <n v="0.1"/>
    <n v="1126.01"/>
    <n v="512.63"/>
    <s v="UPI"/>
    <s v="2024-07"/>
    <s v="1-10%"/>
    <n v="0.45526238665731211"/>
    <s v="No"/>
  </r>
  <r>
    <s v="ORD-101562"/>
    <d v="2024-07-16T00:00:00"/>
    <s v="CUST-00430"/>
    <x v="2"/>
    <x v="4"/>
    <s v="Fitness"/>
    <s v="Adjustable Dumbbell 24kg"/>
    <n v="1"/>
    <n v="10104.030000000001"/>
    <n v="0.15"/>
    <n v="8588.43"/>
    <n v="1866.4"/>
    <s v="Cash on Delivery"/>
    <s v="2024-07"/>
    <s v="11-15%"/>
    <n v="0.21731562113215105"/>
    <s v="No"/>
  </r>
  <r>
    <s v="ORD-100409"/>
    <d v="2024-07-17T00:00:00"/>
    <s v="CUST-00025"/>
    <x v="1"/>
    <x v="3"/>
    <s v="Footwear"/>
    <s v="UrbanLoafers"/>
    <n v="1"/>
    <n v="3496.38"/>
    <n v="0.1"/>
    <n v="3146.74"/>
    <n v="879.18"/>
    <s v="Debit Card"/>
    <s v="2024-07"/>
    <s v="1-10%"/>
    <n v="0.27939391243000694"/>
    <s v="No"/>
  </r>
  <r>
    <s v="ORD-100334"/>
    <d v="2024-07-18T00:00:00"/>
    <s v="CUST-00414"/>
    <x v="0"/>
    <x v="1"/>
    <s v="Audio"/>
    <s v="BassBoom Speaker"/>
    <n v="2"/>
    <n v="9073.6299999999992"/>
    <n v="0.1"/>
    <n v="16332.53"/>
    <n v="862.33"/>
    <s v="UPI"/>
    <s v="2024-07"/>
    <s v="1-10%"/>
    <n v="5.2798311100607197E-2"/>
    <s v="No"/>
  </r>
  <r>
    <s v="ORD-100629"/>
    <d v="2024-07-18T00:00:00"/>
    <s v="CUST-00011"/>
    <x v="3"/>
    <x v="2"/>
    <s v="Furniture"/>
    <s v="Oakwood Study Desk"/>
    <n v="1"/>
    <n v="13251.81"/>
    <n v="0"/>
    <n v="13251.81"/>
    <n v="4637.8500000000004"/>
    <s v="Debit Card"/>
    <s v="2024-07"/>
    <s v="No discount"/>
    <n v="0.34997860669599101"/>
    <s v="No"/>
  </r>
  <r>
    <s v="ORD-100936"/>
    <d v="2024-07-18T00:00:00"/>
    <s v="CUST-00468"/>
    <x v="0"/>
    <x v="3"/>
    <s v="Men"/>
    <s v="SlimFit Denim Jeans"/>
    <n v="2"/>
    <n v="1900.97"/>
    <n v="0"/>
    <n v="3801.94"/>
    <n v="1575.45"/>
    <s v="Debit Card"/>
    <s v="2024-07"/>
    <s v="No discount"/>
    <n v="0.41438055308605609"/>
    <s v="No"/>
  </r>
  <r>
    <s v="ORD-101944"/>
    <d v="2024-07-18T00:00:00"/>
    <s v="CUST-00407"/>
    <x v="3"/>
    <x v="3"/>
    <s v="Footwear"/>
    <s v="RunFlex Sneakers"/>
    <n v="1"/>
    <n v="2982.16"/>
    <n v="0.05"/>
    <n v="2833.05"/>
    <n v="1101.96"/>
    <s v="Credit Card"/>
    <s v="2024-07"/>
    <s v="1-10%"/>
    <n v="0.38896595541907131"/>
    <s v="No"/>
  </r>
  <r>
    <s v="ORD-101950"/>
    <d v="2024-07-19T00:00:00"/>
    <s v="CUST-00105"/>
    <x v="2"/>
    <x v="0"/>
    <s v="Makeup"/>
    <s v="HD Foundation Kit"/>
    <n v="1"/>
    <n v="1431.51"/>
    <n v="0.05"/>
    <n v="1359.93"/>
    <n v="640.71"/>
    <s v="UPI"/>
    <s v="2024-07"/>
    <s v="1-10%"/>
    <n v="0.47113454368974872"/>
    <s v="No"/>
  </r>
  <r>
    <s v="ORD-100029"/>
    <d v="2024-07-20T00:00:00"/>
    <s v="CUST-00072"/>
    <x v="1"/>
    <x v="3"/>
    <s v="Women"/>
    <s v="Floral Summer Dress"/>
    <n v="2"/>
    <n v="1875.56"/>
    <n v="0"/>
    <n v="3751.12"/>
    <n v="1587.01"/>
    <s v="Debit Card"/>
    <s v="2024-07"/>
    <s v="No discount"/>
    <n v="0.42307630787604772"/>
    <s v="No"/>
  </r>
  <r>
    <s v="ORD-100931"/>
    <d v="2024-07-20T00:00:00"/>
    <s v="CUST-00471"/>
    <x v="1"/>
    <x v="4"/>
    <s v="Fitness"/>
    <s v="ProYoga Mat"/>
    <n v="1"/>
    <n v="1263.19"/>
    <n v="0.05"/>
    <n v="1200.03"/>
    <n v="365.73"/>
    <s v="Debit Card"/>
    <s v="2024-07"/>
    <s v="1-10%"/>
    <n v="0.30476738081547966"/>
    <s v="No"/>
  </r>
  <r>
    <s v="ORD-101675"/>
    <d v="2024-07-20T00:00:00"/>
    <s v="CUST-00399"/>
    <x v="3"/>
    <x v="4"/>
    <s v="Outdoor"/>
    <s v="AllWeather Tent 4P"/>
    <n v="3"/>
    <n v="11994.45"/>
    <n v="0"/>
    <n v="35983.35"/>
    <n v="12864.84"/>
    <s v="Debit Card"/>
    <s v="2024-07"/>
    <s v="No discount"/>
    <n v="0.35752202060119476"/>
    <s v="No"/>
  </r>
  <r>
    <s v="ORD-101744"/>
    <d v="2024-07-20T00:00:00"/>
    <s v="CUST-00065"/>
    <x v="0"/>
    <x v="1"/>
    <s v="Laptop"/>
    <s v="ThinkPro 14"/>
    <n v="1"/>
    <n v="53097.48"/>
    <n v="0.2"/>
    <n v="42477.98"/>
    <n v="-2390.3200000000002"/>
    <s v="UPI"/>
    <s v="2024-07"/>
    <s v="16-20%"/>
    <n v="-5.6271979034784612E-2"/>
    <s v="Yes"/>
  </r>
  <r>
    <s v="ORD-101841"/>
    <d v="2024-07-20T00:00:00"/>
    <s v="CUST-00305"/>
    <x v="2"/>
    <x v="4"/>
    <s v="Fitness"/>
    <s v="ProYoga Mat"/>
    <n v="1"/>
    <n v="1261.07"/>
    <n v="0"/>
    <n v="1261.07"/>
    <n v="442.06"/>
    <s v="UPI"/>
    <s v="2024-07"/>
    <s v="No discount"/>
    <n v="0.35054358600236307"/>
    <s v="No"/>
  </r>
  <r>
    <s v="ORD-100056"/>
    <d v="2024-07-21T00:00:00"/>
    <s v="CUST-00558"/>
    <x v="2"/>
    <x v="2"/>
    <s v="Furniture"/>
    <s v="Oakwood Study Desk"/>
    <n v="1"/>
    <n v="13466.45"/>
    <n v="0"/>
    <n v="13466.45"/>
    <n v="3981.95"/>
    <s v="UPI"/>
    <s v="2024-07"/>
    <s v="No discount"/>
    <n v="0.29569411389044625"/>
    <s v="No"/>
  </r>
  <r>
    <s v="ORD-101823"/>
    <d v="2024-07-21T00:00:00"/>
    <s v="CUST-00074"/>
    <x v="3"/>
    <x v="2"/>
    <s v="Decor"/>
    <s v="Ceramic Vase Set"/>
    <n v="1"/>
    <n v="1549.64"/>
    <n v="0.1"/>
    <n v="1394.68"/>
    <n v="260"/>
    <s v="Credit Card"/>
    <s v="2024-07"/>
    <s v="1-10%"/>
    <n v="0.18642269194367167"/>
    <s v="No"/>
  </r>
  <r>
    <s v="ORD-100694"/>
    <d v="2024-07-22T00:00:00"/>
    <s v="CUST-00292"/>
    <x v="1"/>
    <x v="0"/>
    <s v="Makeup"/>
    <s v="Matte Lipstick Set"/>
    <n v="5"/>
    <n v="992.94"/>
    <n v="0.1"/>
    <n v="4468.2299999999996"/>
    <n v="1814.95"/>
    <s v="UPI"/>
    <s v="2024-07"/>
    <s v="1-10%"/>
    <n v="0.40618992307916113"/>
    <s v="No"/>
  </r>
  <r>
    <s v="ORD-100884"/>
    <d v="2024-07-22T00:00:00"/>
    <s v="CUST-00420"/>
    <x v="2"/>
    <x v="4"/>
    <s v="Fitness"/>
    <s v="ProYoga Mat"/>
    <n v="1"/>
    <n v="1253.21"/>
    <n v="0.15"/>
    <n v="1065.23"/>
    <n v="201.15"/>
    <s v="UPI"/>
    <s v="2024-07"/>
    <s v="11-15%"/>
    <n v="0.18883245871783558"/>
    <s v="No"/>
  </r>
  <r>
    <s v="ORD-101470"/>
    <d v="2024-07-22T00:00:00"/>
    <s v="CUST-00533"/>
    <x v="1"/>
    <x v="0"/>
    <s v="Makeup"/>
    <s v="HD Foundation Kit"/>
    <n v="1"/>
    <n v="1536.72"/>
    <n v="0"/>
    <n v="1536.72"/>
    <n v="873.45"/>
    <s v="Debit Card"/>
    <s v="2024-07"/>
    <s v="No discount"/>
    <n v="0.56838591285335005"/>
    <s v="No"/>
  </r>
  <r>
    <s v="ORD-100740"/>
    <d v="2024-07-23T00:00:00"/>
    <s v="CUST-00067"/>
    <x v="2"/>
    <x v="1"/>
    <s v="Laptop"/>
    <s v="AirBook Slim"/>
    <n v="1"/>
    <n v="81513.460000000006"/>
    <n v="0.1"/>
    <n v="73362.11"/>
    <n v="2474.4699999999998"/>
    <s v="UPI"/>
    <s v="2024-07"/>
    <s v="1-10%"/>
    <n v="3.3729536950341255E-2"/>
    <s v="No"/>
  </r>
  <r>
    <s v="ORD-101064"/>
    <d v="2024-07-23T00:00:00"/>
    <s v="CUST-00214"/>
    <x v="3"/>
    <x v="4"/>
    <s v="Outdoor"/>
    <s v="TrailHike Backpack 60L"/>
    <n v="1"/>
    <n v="3332.28"/>
    <n v="0"/>
    <n v="3332.28"/>
    <n v="1323.51"/>
    <s v="UPI"/>
    <s v="2024-07"/>
    <s v="No discount"/>
    <n v="0.39717850840865709"/>
    <s v="No"/>
  </r>
  <r>
    <s v="ORD-101372"/>
    <d v="2024-07-23T00:00:00"/>
    <s v="CUST-00474"/>
    <x v="2"/>
    <x v="1"/>
    <s v="Audio"/>
    <s v="SoundPods Pro"/>
    <n v="2"/>
    <n v="5157.4399999999996"/>
    <n v="0"/>
    <n v="10314.879999999999"/>
    <n v="2099.2399999999998"/>
    <s v="Credit Card"/>
    <s v="2024-07"/>
    <s v="No discount"/>
    <n v="0.20351569771049202"/>
    <s v="No"/>
  </r>
  <r>
    <s v="ORD-101768"/>
    <d v="2024-07-23T00:00:00"/>
    <s v="CUST-00262"/>
    <x v="3"/>
    <x v="3"/>
    <s v="Women"/>
    <s v="Knit Winter Sweater"/>
    <n v="1"/>
    <n v="2302.91"/>
    <n v="0.1"/>
    <n v="2072.62"/>
    <n v="597.35"/>
    <s v="UPI"/>
    <s v="2024-07"/>
    <s v="1-10%"/>
    <n v="0.2882100915749149"/>
    <s v="No"/>
  </r>
  <r>
    <s v="ORD-100186"/>
    <d v="2024-07-24T00:00:00"/>
    <s v="CUST-00182"/>
    <x v="3"/>
    <x v="2"/>
    <s v="Decor"/>
    <s v="LED Wall Lamp"/>
    <n v="1"/>
    <n v="1014.09"/>
    <n v="0.2"/>
    <n v="811.27"/>
    <n v="87.25"/>
    <s v="Credit Card"/>
    <s v="2024-07"/>
    <s v="16-20%"/>
    <n v="0.10754742564127849"/>
    <s v="No"/>
  </r>
  <r>
    <s v="ORD-100333"/>
    <d v="2024-07-24T00:00:00"/>
    <s v="CUST-00071"/>
    <x v="1"/>
    <x v="3"/>
    <s v="Footwear"/>
    <s v="RunFlex Sneakers"/>
    <n v="5"/>
    <n v="2931.8"/>
    <n v="0"/>
    <n v="14659"/>
    <n v="6038.84"/>
    <s v="UPI"/>
    <s v="2024-07"/>
    <s v="No discount"/>
    <n v="0.41195443072515181"/>
    <s v="No"/>
  </r>
  <r>
    <s v="ORD-101303"/>
    <d v="2024-07-24T00:00:00"/>
    <s v="CUST-00161"/>
    <x v="2"/>
    <x v="0"/>
    <s v="Makeup"/>
    <s v="HD Foundation Kit"/>
    <n v="1"/>
    <n v="1462.09"/>
    <n v="0.05"/>
    <n v="1388.99"/>
    <n v="631.82000000000005"/>
    <s v="UPI"/>
    <s v="2024-07"/>
    <s v="1-10%"/>
    <n v="0.45487728493365687"/>
    <s v="No"/>
  </r>
  <r>
    <s v="ORD-100277"/>
    <d v="2024-07-25T00:00:00"/>
    <s v="CUST-00420"/>
    <x v="1"/>
    <x v="4"/>
    <s v="Fitness"/>
    <s v="ProYoga Mat"/>
    <n v="1"/>
    <n v="1298.71"/>
    <n v="0.15"/>
    <n v="1103.9000000000001"/>
    <n v="238.69"/>
    <s v="Debit Card"/>
    <s v="2024-07"/>
    <s v="11-15%"/>
    <n v="0.2162242956789564"/>
    <s v="No"/>
  </r>
  <r>
    <s v="ORD-100625"/>
    <d v="2024-07-25T00:00:00"/>
    <s v="CUST-00147"/>
    <x v="1"/>
    <x v="2"/>
    <s v="Decor"/>
    <s v="LED Wall Lamp"/>
    <n v="1"/>
    <n v="980.05"/>
    <n v="0.1"/>
    <n v="882.04"/>
    <n v="168.68"/>
    <s v="Credit Card"/>
    <s v="2024-07"/>
    <s v="1-10%"/>
    <n v="0.19123849258537029"/>
    <s v="No"/>
  </r>
  <r>
    <s v="ORD-101608"/>
    <d v="2024-07-25T00:00:00"/>
    <s v="CUST-00458"/>
    <x v="2"/>
    <x v="4"/>
    <s v="Fitness"/>
    <s v="ProYoga Mat"/>
    <n v="2"/>
    <n v="1299.68"/>
    <n v="0.1"/>
    <n v="2339.42"/>
    <n v="536.26"/>
    <s v="UPI"/>
    <s v="2024-07"/>
    <s v="1-10%"/>
    <n v="0.22922775730736678"/>
    <s v="No"/>
  </r>
  <r>
    <s v="ORD-100297"/>
    <d v="2024-07-26T00:00:00"/>
    <s v="CUST-00454"/>
    <x v="2"/>
    <x v="1"/>
    <s v="Laptop"/>
    <s v="AirBook Slim"/>
    <n v="1"/>
    <n v="80461.66"/>
    <n v="0.15"/>
    <n v="68392.41"/>
    <n v="3061.7"/>
    <s v="Debit Card"/>
    <s v="2024-07"/>
    <s v="11-15%"/>
    <n v="4.4766663435313943E-2"/>
    <s v="No"/>
  </r>
  <r>
    <s v="ORD-100465"/>
    <d v="2024-07-26T00:00:00"/>
    <s v="CUST-00033"/>
    <x v="3"/>
    <x v="1"/>
    <s v="Laptop"/>
    <s v="ThinkPro 14"/>
    <n v="1"/>
    <n v="53228.37"/>
    <n v="0.1"/>
    <n v="47905.53"/>
    <n v="2629"/>
    <s v="UPI"/>
    <s v="2024-07"/>
    <s v="1-10%"/>
    <n v="5.4878841753759955E-2"/>
    <s v="No"/>
  </r>
  <r>
    <s v="ORD-100873"/>
    <d v="2024-07-26T00:00:00"/>
    <s v="CUST-00157"/>
    <x v="2"/>
    <x v="2"/>
    <s v="Decor"/>
    <s v="LED Wall Lamp"/>
    <n v="2"/>
    <n v="1011.44"/>
    <n v="0.05"/>
    <n v="1921.74"/>
    <n v="508.8"/>
    <s v="Credit Card"/>
    <s v="2024-07"/>
    <s v="1-10%"/>
    <n v="0.26476006119454243"/>
    <s v="No"/>
  </r>
  <r>
    <s v="ORD-101790"/>
    <d v="2024-07-26T00:00:00"/>
    <s v="CUST-00080"/>
    <x v="3"/>
    <x v="2"/>
    <s v="Decor"/>
    <s v="LED Wall Lamp"/>
    <n v="2"/>
    <n v="956.1"/>
    <n v="0.15"/>
    <n v="1625.37"/>
    <n v="293.83999999999997"/>
    <s v="UPI"/>
    <s v="2024-07"/>
    <s v="11-15%"/>
    <n v="0.18078345238314969"/>
    <s v="No"/>
  </r>
  <r>
    <s v="ORD-101918"/>
    <d v="2024-07-26T00:00:00"/>
    <s v="CUST-00528"/>
    <x v="2"/>
    <x v="2"/>
    <s v="Appliances"/>
    <s v="ColdBrew Coffee Maker"/>
    <n v="4"/>
    <n v="6489.17"/>
    <n v="0.05"/>
    <n v="24658.85"/>
    <n v="7447.48"/>
    <s v="Net Banking"/>
    <s v="2024-07"/>
    <s v="1-10%"/>
    <n v="0.30202057273554933"/>
    <s v="No"/>
  </r>
  <r>
    <s v="ORD-100143"/>
    <d v="2024-07-27T00:00:00"/>
    <s v="CUST-00483"/>
    <x v="3"/>
    <x v="3"/>
    <s v="Footwear"/>
    <s v="RunFlex Sneakers"/>
    <n v="1"/>
    <n v="2882.01"/>
    <n v="0.25"/>
    <n v="2161.5100000000002"/>
    <n v="203.21"/>
    <s v="UPI"/>
    <s v="2024-07"/>
    <s v="21%+"/>
    <n v="9.401298166559488E-2"/>
    <s v="No"/>
  </r>
  <r>
    <s v="ORD-100754"/>
    <d v="2024-07-27T00:00:00"/>
    <s v="CUST-00027"/>
    <x v="3"/>
    <x v="3"/>
    <s v="Women"/>
    <s v="Knit Winter Sweater"/>
    <n v="1"/>
    <n v="2110.9499999999998"/>
    <n v="0.05"/>
    <n v="2005.4"/>
    <n v="775.28"/>
    <s v="Credit Card"/>
    <s v="2024-07"/>
    <s v="1-10%"/>
    <n v="0.38659619028622716"/>
    <s v="No"/>
  </r>
  <r>
    <s v="ORD-101217"/>
    <d v="2024-07-27T00:00:00"/>
    <s v="CUST-00408"/>
    <x v="0"/>
    <x v="1"/>
    <s v="Audio"/>
    <s v="SoundPods Pro"/>
    <n v="1"/>
    <n v="5218.38"/>
    <n v="0.2"/>
    <n v="4174.7"/>
    <n v="-60.5"/>
    <s v="UPI"/>
    <s v="2024-07"/>
    <s v="16-20%"/>
    <n v="-1.4492059309650994E-2"/>
    <s v="Yes"/>
  </r>
  <r>
    <s v="ORD-101520"/>
    <d v="2024-07-27T00:00:00"/>
    <s v="CUST-00126"/>
    <x v="2"/>
    <x v="1"/>
    <s v="Audio"/>
    <s v="SoundPods Pro"/>
    <n v="1"/>
    <n v="5188.0600000000004"/>
    <n v="0"/>
    <n v="5188.0600000000004"/>
    <n v="1059.8800000000001"/>
    <s v="Credit Card"/>
    <s v="2024-07"/>
    <s v="No discount"/>
    <n v="0.20429216315925414"/>
    <s v="No"/>
  </r>
  <r>
    <s v="ORD-100639"/>
    <d v="2024-07-28T00:00:00"/>
    <s v="CUST-00244"/>
    <x v="2"/>
    <x v="2"/>
    <s v="Furniture"/>
    <s v="ErgoComfort Chair"/>
    <n v="2"/>
    <n v="8602.9699999999993"/>
    <n v="0.1"/>
    <n v="15485.35"/>
    <n v="3173.91"/>
    <s v="UPI"/>
    <s v="2024-07"/>
    <s v="1-10%"/>
    <n v="0.20496210934851325"/>
    <s v="No"/>
  </r>
  <r>
    <s v="ORD-100815"/>
    <d v="2024-07-28T00:00:00"/>
    <s v="CUST-00338"/>
    <x v="0"/>
    <x v="0"/>
    <s v="Makeup"/>
    <s v="HD Foundation Kit"/>
    <n v="2"/>
    <n v="1487.22"/>
    <n v="0"/>
    <n v="2974.44"/>
    <n v="1564.68"/>
    <s v="UPI"/>
    <s v="2024-07"/>
    <s v="No discount"/>
    <n v="0.52604187679025294"/>
    <s v="No"/>
  </r>
  <r>
    <s v="ORD-101106"/>
    <d v="2024-07-28T00:00:00"/>
    <s v="CUST-00581"/>
    <x v="0"/>
    <x v="1"/>
    <s v="Mobile"/>
    <s v="Galaxy Nova X5"/>
    <n v="1"/>
    <n v="24420.06"/>
    <n v="0.1"/>
    <n v="21978.05"/>
    <n v="1927.69"/>
    <s v="Credit Card"/>
    <s v="2024-07"/>
    <s v="1-10%"/>
    <n v="8.7709783170026465E-2"/>
    <s v="No"/>
  </r>
  <r>
    <s v="ORD-101125"/>
    <d v="2024-07-28T00:00:00"/>
    <s v="CUST-00426"/>
    <x v="3"/>
    <x v="4"/>
    <s v="Fitness"/>
    <s v="ProYoga Mat"/>
    <n v="1"/>
    <n v="1291.08"/>
    <n v="0"/>
    <n v="1291.08"/>
    <n v="489.24"/>
    <s v="Credit Card"/>
    <s v="2024-07"/>
    <s v="No discount"/>
    <n v="0.37893856306348178"/>
    <s v="No"/>
  </r>
  <r>
    <s v="ORD-100082"/>
    <d v="2024-07-29T00:00:00"/>
    <s v="CUST-00568"/>
    <x v="2"/>
    <x v="3"/>
    <s v="Men"/>
    <s v="Oxford Casual Shirt"/>
    <n v="1"/>
    <n v="1317.12"/>
    <n v="0"/>
    <n v="1317.12"/>
    <n v="602.83000000000004"/>
    <s v="UPI"/>
    <s v="2024-07"/>
    <s v="No discount"/>
    <n v="0.45768798590864923"/>
    <s v="No"/>
  </r>
  <r>
    <s v="ORD-100480"/>
    <d v="2024-07-29T00:00:00"/>
    <s v="CUST-00036"/>
    <x v="3"/>
    <x v="3"/>
    <s v="Men"/>
    <s v="SlimFit Denim Jeans"/>
    <n v="1"/>
    <n v="2097.71"/>
    <n v="0"/>
    <n v="2097.71"/>
    <n v="893.54"/>
    <s v="UPI"/>
    <s v="2024-07"/>
    <s v="No discount"/>
    <n v="0.42595973704658885"/>
    <s v="No"/>
  </r>
  <r>
    <s v="ORD-101102"/>
    <d v="2024-07-29T00:00:00"/>
    <s v="CUST-00346"/>
    <x v="0"/>
    <x v="0"/>
    <s v="Makeup"/>
    <s v="Matte Lipstick Set"/>
    <n v="3"/>
    <n v="966.37"/>
    <n v="0.1"/>
    <n v="2609.1999999999998"/>
    <n v="1181.8800000000001"/>
    <s v="Credit Card"/>
    <s v="2024-07"/>
    <s v="1-10%"/>
    <n v="0.45296642649087848"/>
    <s v="No"/>
  </r>
  <r>
    <s v="ORD-101192"/>
    <d v="2024-07-29T00:00:00"/>
    <s v="CUST-00226"/>
    <x v="3"/>
    <x v="1"/>
    <s v="Laptop"/>
    <s v="ThinkPro 14"/>
    <n v="1"/>
    <n v="52998.03"/>
    <n v="0.05"/>
    <n v="50348.13"/>
    <n v="4871.93"/>
    <s v="Net Banking"/>
    <s v="2024-07"/>
    <s v="1-10%"/>
    <n v="9.6764864951290164E-2"/>
    <s v="No"/>
  </r>
  <r>
    <s v="ORD-100317"/>
    <d v="2024-07-30T00:00:00"/>
    <s v="CUST-00370"/>
    <x v="2"/>
    <x v="3"/>
    <s v="Footwear"/>
    <s v="UrbanLoafers"/>
    <n v="4"/>
    <n v="3590.49"/>
    <n v="0"/>
    <n v="14361.96"/>
    <n v="5723.82"/>
    <s v="UPI"/>
    <s v="2024-07"/>
    <s v="No discount"/>
    <n v="0.3985403106539776"/>
    <s v="No"/>
  </r>
  <r>
    <s v="ORD-100624"/>
    <d v="2024-07-30T00:00:00"/>
    <s v="CUST-00211"/>
    <x v="1"/>
    <x v="3"/>
    <s v="Women"/>
    <s v="Knit Winter Sweater"/>
    <n v="1"/>
    <n v="2117.4499999999998"/>
    <n v="0.4"/>
    <n v="1270.47"/>
    <n v="-59.11"/>
    <s v="UPI"/>
    <s v="2024-07"/>
    <s v="21%+"/>
    <n v="-4.6526088770297604E-2"/>
    <s v="Yes"/>
  </r>
  <r>
    <s v="ORD-101629"/>
    <d v="2024-07-30T00:00:00"/>
    <s v="CUST-00070"/>
    <x v="3"/>
    <x v="4"/>
    <s v="Fitness"/>
    <s v="Adjustable Dumbbell 24kg"/>
    <n v="5"/>
    <n v="9927.6200000000008"/>
    <n v="0.05"/>
    <n v="47156.19"/>
    <n v="13835.09"/>
    <s v="Net Banking"/>
    <s v="2024-07"/>
    <s v="1-10%"/>
    <n v="0.29338863042158408"/>
    <s v="No"/>
  </r>
  <r>
    <s v="ORD-100145"/>
    <d v="2024-07-31T00:00:00"/>
    <s v="CUST-00501"/>
    <x v="0"/>
    <x v="0"/>
    <s v="Makeup"/>
    <s v="Matte Lipstick Set"/>
    <n v="4"/>
    <n v="978.87"/>
    <n v="0"/>
    <n v="3915.48"/>
    <n v="2291.8000000000002"/>
    <s v="Debit Card"/>
    <s v="2024-07"/>
    <s v="No discount"/>
    <n v="0.58531776436094685"/>
    <s v="No"/>
  </r>
  <r>
    <s v="ORD-100757"/>
    <d v="2024-07-31T00:00:00"/>
    <s v="CUST-00503"/>
    <x v="2"/>
    <x v="1"/>
    <s v="Mobile"/>
    <s v="Pixel Aura 12"/>
    <n v="4"/>
    <n v="31817.09"/>
    <n v="0"/>
    <n v="127268.36"/>
    <n v="20485.060000000001"/>
    <s v="UPI"/>
    <s v="2024-07"/>
    <s v="No discount"/>
    <n v="0.16095956606968143"/>
    <s v="No"/>
  </r>
  <r>
    <s v="ORD-101805"/>
    <d v="2024-07-31T00:00:00"/>
    <s v="CUST-00394"/>
    <x v="1"/>
    <x v="1"/>
    <s v="Laptop"/>
    <s v="AirBook Slim"/>
    <n v="1"/>
    <n v="80886.02"/>
    <n v="0.05"/>
    <n v="76841.72"/>
    <n v="9643.91"/>
    <s v="Debit Card"/>
    <s v="2024-07"/>
    <s v="1-10%"/>
    <n v="0.12550356759322931"/>
    <s v="No"/>
  </r>
  <r>
    <s v="ORD-101893"/>
    <d v="2024-07-31T00:00:00"/>
    <s v="CUST-00448"/>
    <x v="2"/>
    <x v="4"/>
    <s v="Outdoor"/>
    <s v="TrailHike Backpack 60L"/>
    <n v="2"/>
    <n v="3641.71"/>
    <n v="0.1"/>
    <n v="6555.08"/>
    <n v="1552.77"/>
    <s v="Credit Card"/>
    <s v="2024-07"/>
    <s v="1-10%"/>
    <n v="0.23688040420559323"/>
    <s v="No"/>
  </r>
  <r>
    <s v="ORD-100461"/>
    <d v="2024-08-01T00:00:00"/>
    <s v="CUST-00199"/>
    <x v="3"/>
    <x v="3"/>
    <s v="Men"/>
    <s v="SlimFit Denim Jeans"/>
    <n v="2"/>
    <n v="2096.31"/>
    <n v="0.2"/>
    <n v="3354.1"/>
    <n v="639.29999999999995"/>
    <s v="Credit Card"/>
    <s v="2024-08"/>
    <s v="16-20%"/>
    <n v="0.19060254613756297"/>
    <s v="No"/>
  </r>
  <r>
    <s v="ORD-100543"/>
    <d v="2024-08-01T00:00:00"/>
    <s v="CUST-00413"/>
    <x v="3"/>
    <x v="1"/>
    <s v="Audio"/>
    <s v="BassBoom Speaker"/>
    <n v="1"/>
    <n v="8765.1"/>
    <n v="0"/>
    <n v="8765.1"/>
    <n v="1767.66"/>
    <s v="UPI"/>
    <s v="2024-08"/>
    <s v="No discount"/>
    <n v="0.20167026046479788"/>
    <s v="No"/>
  </r>
  <r>
    <s v="ORD-101575"/>
    <d v="2024-08-01T00:00:00"/>
    <s v="CUST-00431"/>
    <x v="1"/>
    <x v="0"/>
    <s v="Makeup"/>
    <s v="Matte Lipstick Set"/>
    <n v="1"/>
    <n v="1042.6099999999999"/>
    <n v="0.15"/>
    <n v="886.22"/>
    <n v="350.88"/>
    <s v="UPI"/>
    <s v="2024-08"/>
    <s v="11-15%"/>
    <n v="0.39592877615039151"/>
    <s v="No"/>
  </r>
  <r>
    <s v="ORD-101929"/>
    <d v="2024-08-01T00:00:00"/>
    <s v="CUST-00480"/>
    <x v="2"/>
    <x v="1"/>
    <s v="Mobile"/>
    <s v="Pixel Aura 12"/>
    <n v="2"/>
    <n v="32731.9"/>
    <n v="0.25"/>
    <n v="49097.85"/>
    <n v="-7121.23"/>
    <s v="UPI"/>
    <s v="2024-08"/>
    <s v="21%+"/>
    <n v="-0.14504158532400094"/>
    <s v="Yes"/>
  </r>
  <r>
    <s v="ORD-100407"/>
    <d v="2024-08-02T00:00:00"/>
    <s v="CUST-00112"/>
    <x v="3"/>
    <x v="1"/>
    <s v="Laptop"/>
    <s v="ThinkPro 14"/>
    <n v="1"/>
    <n v="56069.39"/>
    <n v="0"/>
    <n v="56069.39"/>
    <n v="9080.6299999999992"/>
    <s v="Credit Card"/>
    <s v="2024-08"/>
    <s v="No discount"/>
    <n v="0.16195342949156391"/>
    <s v="No"/>
  </r>
  <r>
    <s v="ORD-100551"/>
    <d v="2024-08-02T00:00:00"/>
    <s v="CUST-00149"/>
    <x v="0"/>
    <x v="4"/>
    <s v="Outdoor"/>
    <s v="TrailHike Backpack 60L"/>
    <n v="1"/>
    <n v="3363.21"/>
    <n v="0"/>
    <n v="3363.21"/>
    <n v="1147.77"/>
    <s v="Net Banking"/>
    <s v="2024-08"/>
    <s v="No discount"/>
    <n v="0.34127217747330674"/>
    <s v="No"/>
  </r>
  <r>
    <s v="ORD-101082"/>
    <d v="2024-08-02T00:00:00"/>
    <s v="CUST-00099"/>
    <x v="1"/>
    <x v="1"/>
    <s v="Audio"/>
    <s v="SoundPods Pro"/>
    <n v="1"/>
    <n v="5096.45"/>
    <n v="0.25"/>
    <n v="3822.34"/>
    <n v="-470.05"/>
    <s v="UPI"/>
    <s v="2024-08"/>
    <s v="21%+"/>
    <n v="-0.12297440834671955"/>
    <s v="Yes"/>
  </r>
  <r>
    <s v="ORD-101486"/>
    <d v="2024-08-02T00:00:00"/>
    <s v="CUST-00325"/>
    <x v="2"/>
    <x v="0"/>
    <s v="Makeup"/>
    <s v="Matte Lipstick Set"/>
    <n v="3"/>
    <n v="974.76"/>
    <n v="0.05"/>
    <n v="2778.07"/>
    <n v="1413.09"/>
    <s v="Credit Card"/>
    <s v="2024-08"/>
    <s v="1-10%"/>
    <n v="0.50865888908486823"/>
    <s v="No"/>
  </r>
  <r>
    <s v="ORD-101602"/>
    <d v="2024-08-02T00:00:00"/>
    <s v="CUST-00315"/>
    <x v="2"/>
    <x v="1"/>
    <s v="Audio"/>
    <s v="BassBoom Speaker"/>
    <n v="1"/>
    <n v="8820.2199999999993"/>
    <n v="0.05"/>
    <n v="8379.2099999999991"/>
    <n v="788.87"/>
    <s v="Net Banking"/>
    <s v="2024-08"/>
    <s v="1-10%"/>
    <n v="9.4146106852555325E-2"/>
    <s v="No"/>
  </r>
  <r>
    <s v="ORD-100587"/>
    <d v="2024-08-03T00:00:00"/>
    <s v="CUST-00326"/>
    <x v="1"/>
    <x v="0"/>
    <s v="Makeup"/>
    <s v="Matte Lipstick Set"/>
    <n v="1"/>
    <n v="956.04"/>
    <n v="0.1"/>
    <n v="860.44"/>
    <n v="346.05"/>
    <s v="Debit Card"/>
    <s v="2024-08"/>
    <s v="1-10%"/>
    <n v="0.40217795546464596"/>
    <s v="No"/>
  </r>
  <r>
    <s v="ORD-100709"/>
    <d v="2024-08-03T00:00:00"/>
    <s v="CUST-00002"/>
    <x v="3"/>
    <x v="2"/>
    <s v="Decor"/>
    <s v="Ceramic Vase Set"/>
    <n v="1"/>
    <n v="1441.9"/>
    <n v="0"/>
    <n v="1441.9"/>
    <n v="443.98"/>
    <s v="UPI"/>
    <s v="2024-08"/>
    <s v="No discount"/>
    <n v="0.30791317012275471"/>
    <s v="No"/>
  </r>
  <r>
    <s v="ORD-101131"/>
    <d v="2024-08-03T00:00:00"/>
    <s v="CUST-00068"/>
    <x v="0"/>
    <x v="1"/>
    <s v="Laptop"/>
    <s v="ThinkPro 14"/>
    <n v="4"/>
    <n v="55380.11"/>
    <n v="0"/>
    <n v="221520.44"/>
    <n v="38413.22"/>
    <s v="UPI"/>
    <s v="2024-08"/>
    <s v="No discount"/>
    <n v="0.17340711313141127"/>
    <s v="No"/>
  </r>
  <r>
    <s v="ORD-100549"/>
    <d v="2024-08-04T00:00:00"/>
    <s v="CUST-00266"/>
    <x v="0"/>
    <x v="2"/>
    <s v="Decor"/>
    <s v="LED Wall Lamp"/>
    <n v="2"/>
    <n v="1029.75"/>
    <n v="0.05"/>
    <n v="1956.52"/>
    <n v="508.32"/>
    <s v="Debit Card"/>
    <s v="2024-08"/>
    <s v="1-10%"/>
    <n v="0.2598082309406497"/>
    <s v="No"/>
  </r>
  <r>
    <s v="ORD-101813"/>
    <d v="2024-08-04T00:00:00"/>
    <s v="CUST-00359"/>
    <x v="3"/>
    <x v="1"/>
    <s v="Laptop"/>
    <s v="AirBook Slim"/>
    <n v="2"/>
    <n v="80070.740000000005"/>
    <n v="0.05"/>
    <n v="152134.41"/>
    <n v="15911.17"/>
    <s v="UPI"/>
    <s v="2024-08"/>
    <s v="1-10%"/>
    <n v="0.10458626684127542"/>
    <s v="No"/>
  </r>
  <r>
    <s v="ORD-100778"/>
    <d v="2024-08-05T00:00:00"/>
    <s v="CUST-00515"/>
    <x v="3"/>
    <x v="3"/>
    <s v="Women"/>
    <s v="Floral Summer Dress"/>
    <n v="1"/>
    <n v="1772.37"/>
    <n v="0.1"/>
    <n v="1595.13"/>
    <n v="437.81"/>
    <s v="UPI"/>
    <s v="2024-08"/>
    <s v="1-10%"/>
    <n v="0.2744666578899525"/>
    <s v="No"/>
  </r>
  <r>
    <s v="ORD-101065"/>
    <d v="2024-08-05T00:00:00"/>
    <s v="CUST-00008"/>
    <x v="0"/>
    <x v="3"/>
    <s v="Footwear"/>
    <s v="UrbanLoafers"/>
    <n v="1"/>
    <n v="3527.55"/>
    <n v="0.15"/>
    <n v="2998.42"/>
    <n v="710.47"/>
    <s v="UPI"/>
    <s v="2024-08"/>
    <s v="11-15%"/>
    <n v="0.23694812601303353"/>
    <s v="No"/>
  </r>
  <r>
    <s v="ORD-101353"/>
    <d v="2024-08-05T00:00:00"/>
    <s v="CUST-00125"/>
    <x v="2"/>
    <x v="3"/>
    <s v="Footwear"/>
    <s v="RunFlex Sneakers"/>
    <n v="1"/>
    <n v="3042.81"/>
    <n v="0"/>
    <n v="3042.81"/>
    <n v="1290.08"/>
    <s v="Net Banking"/>
    <s v="2024-08"/>
    <s v="No discount"/>
    <n v="0.42397652170197941"/>
    <s v="No"/>
  </r>
  <r>
    <s v="ORD-101776"/>
    <d v="2024-08-05T00:00:00"/>
    <s v="CUST-00422"/>
    <x v="0"/>
    <x v="1"/>
    <s v="Laptop"/>
    <s v="ThinkPro 14"/>
    <n v="4"/>
    <n v="52499.75"/>
    <n v="0.05"/>
    <n v="199499.05"/>
    <n v="26389.11"/>
    <s v="UPI"/>
    <s v="2024-08"/>
    <s v="1-10%"/>
    <n v="0.13227687049136325"/>
    <s v="No"/>
  </r>
  <r>
    <s v="ORD-101094"/>
    <d v="2024-08-06T00:00:00"/>
    <s v="CUST-00487"/>
    <x v="0"/>
    <x v="0"/>
    <s v="Skincare"/>
    <s v="Vitamin C Serum"/>
    <n v="1"/>
    <n v="901.74"/>
    <n v="0"/>
    <n v="901.74"/>
    <n v="481.77"/>
    <s v="UPI"/>
    <s v="2024-08"/>
    <s v="No discount"/>
    <n v="0.53426708363829922"/>
    <s v="No"/>
  </r>
  <r>
    <s v="ORD-101212"/>
    <d v="2024-08-06T00:00:00"/>
    <s v="CUST-00355"/>
    <x v="1"/>
    <x v="0"/>
    <s v="Skincare"/>
    <s v="Vitamin C Serum"/>
    <n v="2"/>
    <n v="911.3"/>
    <n v="0.05"/>
    <n v="1731.47"/>
    <n v="852.38"/>
    <s v="Debit Card"/>
    <s v="2024-08"/>
    <s v="1-10%"/>
    <n v="0.4922869007259727"/>
    <s v="No"/>
  </r>
  <r>
    <s v="ORD-101786"/>
    <d v="2024-08-06T00:00:00"/>
    <s v="CUST-00089"/>
    <x v="3"/>
    <x v="4"/>
    <s v="Outdoor"/>
    <s v="TrailHike Backpack 60L"/>
    <n v="1"/>
    <n v="3391.4"/>
    <n v="0.4"/>
    <n v="2034.84"/>
    <n v="-243.78"/>
    <s v="Debit Card"/>
    <s v="2024-08"/>
    <s v="21%+"/>
    <n v="-0.119803031196556"/>
    <s v="Yes"/>
  </r>
  <r>
    <s v="ORD-100037"/>
    <d v="2024-08-07T00:00:00"/>
    <s v="CUST-00418"/>
    <x v="2"/>
    <x v="2"/>
    <s v="Decor"/>
    <s v="Ceramic Vase Set"/>
    <n v="2"/>
    <n v="1474.39"/>
    <n v="0"/>
    <n v="2948.78"/>
    <n v="1065.81"/>
    <s v="UPI"/>
    <s v="2024-08"/>
    <s v="No discount"/>
    <n v="0.36144100271976881"/>
    <s v="No"/>
  </r>
  <r>
    <s v="ORD-100195"/>
    <d v="2024-08-07T00:00:00"/>
    <s v="CUST-00065"/>
    <x v="3"/>
    <x v="3"/>
    <s v="Men"/>
    <s v="Oxford Casual Shirt"/>
    <n v="1"/>
    <n v="1348.76"/>
    <n v="0.15"/>
    <n v="1146.45"/>
    <n v="279.12"/>
    <s v="UPI"/>
    <s v="2024-08"/>
    <s v="11-15%"/>
    <n v="0.24346460813816564"/>
    <s v="No"/>
  </r>
  <r>
    <s v="ORD-100851"/>
    <d v="2024-08-07T00:00:00"/>
    <s v="CUST-00069"/>
    <x v="2"/>
    <x v="3"/>
    <s v="Footwear"/>
    <s v="RunFlex Sneakers"/>
    <n v="1"/>
    <n v="3093.13"/>
    <n v="0"/>
    <n v="3093.13"/>
    <n v="1356.91"/>
    <s v="UPI"/>
    <s v="2024-08"/>
    <s v="No discount"/>
    <n v="0.43868508598086731"/>
    <s v="No"/>
  </r>
  <r>
    <s v="ORD-100967"/>
    <d v="2024-08-07T00:00:00"/>
    <s v="CUST-00270"/>
    <x v="1"/>
    <x v="1"/>
    <s v="Audio"/>
    <s v="BassBoom Speaker"/>
    <n v="1"/>
    <n v="9114.83"/>
    <n v="0.05"/>
    <n v="8659.09"/>
    <n v="1280.33"/>
    <s v="Credit Card"/>
    <s v="2024-08"/>
    <s v="1-10%"/>
    <n v="0.14785964806925439"/>
    <s v="No"/>
  </r>
  <r>
    <s v="ORD-101288"/>
    <d v="2024-08-07T00:00:00"/>
    <s v="CUST-00586"/>
    <x v="2"/>
    <x v="4"/>
    <s v="Fitness"/>
    <s v="Adjustable Dumbbell 24kg"/>
    <n v="2"/>
    <n v="10258.93"/>
    <n v="0.25"/>
    <n v="15388.4"/>
    <n v="1955.75"/>
    <s v="Credit Card"/>
    <s v="2024-08"/>
    <s v="21%+"/>
    <n v="0.12709248524862884"/>
    <s v="No"/>
  </r>
  <r>
    <s v="ORD-101561"/>
    <d v="2024-08-07T00:00:00"/>
    <s v="CUST-00487"/>
    <x v="2"/>
    <x v="3"/>
    <s v="Women"/>
    <s v="Floral Summer Dress"/>
    <n v="2"/>
    <n v="1871.17"/>
    <n v="0.15"/>
    <n v="3180.99"/>
    <n v="789.14"/>
    <s v="Credit Card"/>
    <s v="2024-08"/>
    <s v="11-15%"/>
    <n v="0.24808000025149404"/>
    <s v="No"/>
  </r>
  <r>
    <s v="ORD-101829"/>
    <d v="2024-08-07T00:00:00"/>
    <s v="CUST-00261"/>
    <x v="0"/>
    <x v="3"/>
    <s v="Footwear"/>
    <s v="RunFlex Sneakers"/>
    <n v="1"/>
    <n v="2958.1"/>
    <n v="0.1"/>
    <n v="2662.29"/>
    <n v="815.62"/>
    <s v="UPI"/>
    <s v="2024-08"/>
    <s v="1-10%"/>
    <n v="0.30636031386513113"/>
    <s v="No"/>
  </r>
  <r>
    <s v="ORD-100764"/>
    <d v="2024-08-08T00:00:00"/>
    <s v="CUST-00381"/>
    <x v="2"/>
    <x v="2"/>
    <s v="Appliances"/>
    <s v="ColdBrew Coffee Maker"/>
    <n v="1"/>
    <n v="6699.85"/>
    <n v="0"/>
    <n v="6699.85"/>
    <n v="2173.1"/>
    <s v="UPI"/>
    <s v="2024-08"/>
    <s v="No discount"/>
    <n v="0.32435054516145878"/>
    <s v="No"/>
  </r>
  <r>
    <s v="ORD-100995"/>
    <d v="2024-08-08T00:00:00"/>
    <s v="CUST-00318"/>
    <x v="3"/>
    <x v="1"/>
    <s v="Audio"/>
    <s v="BassBoom Speaker"/>
    <n v="2"/>
    <n v="9203.9599999999991"/>
    <n v="0.25"/>
    <n v="13805.94"/>
    <n v="-1248.21"/>
    <s v="Debit Card"/>
    <s v="2024-08"/>
    <s v="21%+"/>
    <n v="-9.0411083924745436E-2"/>
    <s v="Yes"/>
  </r>
  <r>
    <s v="ORD-101214"/>
    <d v="2024-08-08T00:00:00"/>
    <s v="CUST-00518"/>
    <x v="2"/>
    <x v="0"/>
    <s v="Makeup"/>
    <s v="HD Foundation Kit"/>
    <n v="3"/>
    <n v="1537.45"/>
    <n v="0.1"/>
    <n v="4151.12"/>
    <n v="1774.95"/>
    <s v="Debit Card"/>
    <s v="2024-08"/>
    <s v="1-10%"/>
    <n v="0.42758339917901678"/>
    <s v="No"/>
  </r>
  <r>
    <s v="ORD-101564"/>
    <d v="2024-08-08T00:00:00"/>
    <s v="CUST-00381"/>
    <x v="0"/>
    <x v="1"/>
    <s v="Laptop"/>
    <s v="AirBook Slim"/>
    <n v="1"/>
    <n v="80501.100000000006"/>
    <n v="0"/>
    <n v="80501.100000000006"/>
    <n v="15710.38"/>
    <s v="UPI"/>
    <s v="2024-08"/>
    <s v="No discount"/>
    <n v="0.19515733325383128"/>
    <s v="No"/>
  </r>
  <r>
    <s v="ORD-101843"/>
    <d v="2024-08-08T00:00:00"/>
    <s v="CUST-00587"/>
    <x v="1"/>
    <x v="3"/>
    <s v="Men"/>
    <s v="SlimFit Denim Jeans"/>
    <n v="1"/>
    <n v="2016.01"/>
    <n v="0.15"/>
    <n v="1713.61"/>
    <n v="466.14"/>
    <s v="UPI"/>
    <s v="2024-08"/>
    <s v="11-15%"/>
    <n v="0.27202222209254151"/>
    <s v="No"/>
  </r>
  <r>
    <s v="ORD-101971"/>
    <d v="2024-08-08T00:00:00"/>
    <s v="CUST-00235"/>
    <x v="0"/>
    <x v="0"/>
    <s v="Skincare"/>
    <s v="Vitamin C Serum"/>
    <n v="4"/>
    <n v="891.7"/>
    <n v="0.15"/>
    <n v="3031.78"/>
    <n v="1078.42"/>
    <s v="Cash on Delivery"/>
    <s v="2024-08"/>
    <s v="11-15%"/>
    <n v="0.3557052292712532"/>
    <s v="No"/>
  </r>
  <r>
    <s v="ORD-100322"/>
    <d v="2024-08-09T00:00:00"/>
    <s v="CUST-00483"/>
    <x v="2"/>
    <x v="0"/>
    <s v="Skincare"/>
    <s v="Vitamin C Serum"/>
    <n v="2"/>
    <n v="905.5"/>
    <n v="0"/>
    <n v="1811"/>
    <n v="931.71"/>
    <s v="UPI"/>
    <s v="2024-08"/>
    <s v="No discount"/>
    <n v="0.51447266703478745"/>
    <s v="No"/>
  </r>
  <r>
    <s v="ORD-101402"/>
    <d v="2024-08-09T00:00:00"/>
    <s v="CUST-00385"/>
    <x v="1"/>
    <x v="4"/>
    <s v="Fitness"/>
    <s v="ProYoga Mat"/>
    <n v="2"/>
    <n v="1353.19"/>
    <n v="0.15"/>
    <n v="2300.42"/>
    <n v="473.43"/>
    <s v="Credit Card"/>
    <s v="2024-08"/>
    <s v="11-15%"/>
    <n v="0.20580154928230496"/>
    <s v="No"/>
  </r>
  <r>
    <s v="ORD-101956"/>
    <d v="2024-08-09T00:00:00"/>
    <s v="CUST-00402"/>
    <x v="1"/>
    <x v="3"/>
    <s v="Footwear"/>
    <s v="UrbanLoafers"/>
    <n v="1"/>
    <n v="3520.54"/>
    <n v="0.15"/>
    <n v="2992.46"/>
    <n v="825.89"/>
    <s v="Net Banking"/>
    <s v="2024-08"/>
    <s v="11-15%"/>
    <n v="0.27599032234348997"/>
    <s v="No"/>
  </r>
  <r>
    <s v="ORD-101988"/>
    <d v="2024-08-09T00:00:00"/>
    <s v="CUST-00542"/>
    <x v="1"/>
    <x v="3"/>
    <s v="Women"/>
    <s v="Knit Winter Sweater"/>
    <n v="3"/>
    <n v="2232.91"/>
    <n v="0"/>
    <n v="6698.73"/>
    <n v="2831.22"/>
    <s v="UPI"/>
    <s v="2024-08"/>
    <s v="No discount"/>
    <n v="0.42265026355742058"/>
    <s v="No"/>
  </r>
  <r>
    <s v="ORD-100212"/>
    <d v="2024-08-10T00:00:00"/>
    <s v="CUST-00103"/>
    <x v="3"/>
    <x v="1"/>
    <s v="Audio"/>
    <s v="SoundPods Pro"/>
    <n v="1"/>
    <n v="5063.03"/>
    <n v="0.15"/>
    <n v="4303.58"/>
    <n v="-87.75"/>
    <s v="Credit Card"/>
    <s v="2024-08"/>
    <s v="11-15%"/>
    <n v="-2.0390000882985794E-2"/>
    <s v="Yes"/>
  </r>
  <r>
    <s v="ORD-100636"/>
    <d v="2024-08-11T00:00:00"/>
    <s v="CUST-00512"/>
    <x v="1"/>
    <x v="2"/>
    <s v="Furniture"/>
    <s v="ErgoComfort Chair"/>
    <n v="1"/>
    <n v="9141.15"/>
    <n v="0"/>
    <n v="9141.15"/>
    <n v="2854.57"/>
    <s v="UPI"/>
    <s v="2024-08"/>
    <s v="No discount"/>
    <n v="0.31227690170273986"/>
    <s v="No"/>
  </r>
  <r>
    <s v="ORD-100829"/>
    <d v="2024-08-11T00:00:00"/>
    <s v="CUST-00594"/>
    <x v="3"/>
    <x v="2"/>
    <s v="Decor"/>
    <s v="Ceramic Vase Set"/>
    <n v="1"/>
    <n v="1425.38"/>
    <n v="0"/>
    <n v="1425.38"/>
    <n v="417.58"/>
    <s v="Credit Card"/>
    <s v="2024-08"/>
    <s v="No discount"/>
    <n v="0.29296047369824185"/>
    <s v="No"/>
  </r>
  <r>
    <s v="ORD-101181"/>
    <d v="2024-08-11T00:00:00"/>
    <s v="CUST-00038"/>
    <x v="1"/>
    <x v="3"/>
    <s v="Women"/>
    <s v="Floral Summer Dress"/>
    <n v="1"/>
    <n v="1888.22"/>
    <n v="0.05"/>
    <n v="1793.81"/>
    <n v="588.91999999999996"/>
    <s v="Cash on Delivery"/>
    <s v="2024-08"/>
    <s v="1-10%"/>
    <n v="0.328306788344362"/>
    <s v="No"/>
  </r>
  <r>
    <s v="ORD-101218"/>
    <d v="2024-08-11T00:00:00"/>
    <s v="CUST-00349"/>
    <x v="2"/>
    <x v="0"/>
    <s v="Skincare"/>
    <s v="Vitamin C Serum"/>
    <n v="1"/>
    <n v="860.58"/>
    <n v="0.1"/>
    <n v="774.52"/>
    <n v="364.2"/>
    <s v="Cash on Delivery"/>
    <s v="2024-08"/>
    <s v="1-10%"/>
    <n v="0.47022672106595054"/>
    <s v="No"/>
  </r>
  <r>
    <s v="ORD-101390"/>
    <d v="2024-08-11T00:00:00"/>
    <s v="CUST-00584"/>
    <x v="2"/>
    <x v="4"/>
    <s v="Outdoor"/>
    <s v="AllWeather Tent 4P"/>
    <n v="1"/>
    <n v="11688.99"/>
    <n v="0.1"/>
    <n v="10520.09"/>
    <n v="2770.13"/>
    <s v="Credit Card"/>
    <s v="2024-08"/>
    <s v="1-10%"/>
    <n v="0.26331808948402535"/>
    <s v="No"/>
  </r>
  <r>
    <s v="ORD-100853"/>
    <d v="2024-08-12T00:00:00"/>
    <s v="CUST-00295"/>
    <x v="3"/>
    <x v="2"/>
    <s v="Furniture"/>
    <s v="ErgoComfort Chair"/>
    <n v="2"/>
    <n v="9116.01"/>
    <n v="0.05"/>
    <n v="17320.419999999998"/>
    <n v="4855.3900000000003"/>
    <s v="UPI"/>
    <s v="2024-08"/>
    <s v="1-10%"/>
    <n v="0.28032749783203875"/>
    <s v="No"/>
  </r>
  <r>
    <s v="ORD-100989"/>
    <d v="2024-08-12T00:00:00"/>
    <s v="CUST-00232"/>
    <x v="2"/>
    <x v="2"/>
    <s v="Furniture"/>
    <s v="ErgoComfort Chair"/>
    <n v="3"/>
    <n v="8688.5499999999993"/>
    <n v="0"/>
    <n v="26065.65"/>
    <n v="9629.02"/>
    <s v="UPI"/>
    <s v="2024-08"/>
    <s v="No discount"/>
    <n v="0.36941415234225888"/>
    <s v="No"/>
  </r>
  <r>
    <s v="ORD-100711"/>
    <d v="2024-08-13T00:00:00"/>
    <s v="CUST-00209"/>
    <x v="1"/>
    <x v="1"/>
    <s v="Laptop"/>
    <s v="ThinkPro 14"/>
    <n v="2"/>
    <n v="53656.95"/>
    <n v="0"/>
    <n v="107313.9"/>
    <n v="15158.2"/>
    <s v="Net Banking"/>
    <s v="2024-08"/>
    <s v="No discount"/>
    <n v="0.14125104017280149"/>
    <s v="No"/>
  </r>
  <r>
    <s v="ORD-101226"/>
    <d v="2024-08-13T00:00:00"/>
    <s v="CUST-00371"/>
    <x v="0"/>
    <x v="4"/>
    <s v="Outdoor"/>
    <s v="TrailHike Backpack 60L"/>
    <n v="2"/>
    <n v="3399.6"/>
    <n v="0"/>
    <n v="6799.2"/>
    <n v="2617.23"/>
    <s v="UPI"/>
    <s v="2024-08"/>
    <s v="No discount"/>
    <n v="0.38493205082950938"/>
    <s v="No"/>
  </r>
  <r>
    <s v="ORD-101482"/>
    <d v="2024-08-13T00:00:00"/>
    <s v="CUST-00187"/>
    <x v="3"/>
    <x v="0"/>
    <s v="Makeup"/>
    <s v="Matte Lipstick Set"/>
    <n v="1"/>
    <n v="963.25"/>
    <n v="0"/>
    <n v="963.25"/>
    <n v="529.19000000000005"/>
    <s v="UPI"/>
    <s v="2024-08"/>
    <s v="No discount"/>
    <n v="0.5493797041266546"/>
    <s v="No"/>
  </r>
  <r>
    <s v="ORD-101678"/>
    <d v="2024-08-13T00:00:00"/>
    <s v="CUST-00080"/>
    <x v="1"/>
    <x v="2"/>
    <s v="Decor"/>
    <s v="LED Wall Lamp"/>
    <n v="1"/>
    <n v="976.87"/>
    <n v="0.05"/>
    <n v="928.03"/>
    <n v="239.62"/>
    <s v="UPI"/>
    <s v="2024-08"/>
    <s v="1-10%"/>
    <n v="0.258202859821342"/>
    <s v="No"/>
  </r>
  <r>
    <s v="ORD-101939"/>
    <d v="2024-08-13T00:00:00"/>
    <s v="CUST-00091"/>
    <x v="0"/>
    <x v="0"/>
    <s v="Makeup"/>
    <s v="HD Foundation Kit"/>
    <n v="4"/>
    <n v="1539.34"/>
    <n v="0.4"/>
    <n v="3694.42"/>
    <n v="435"/>
    <s v="Net Banking"/>
    <s v="2024-08"/>
    <s v="21%+"/>
    <n v="0.11774513996784339"/>
    <s v="No"/>
  </r>
  <r>
    <s v="ORD-101996"/>
    <d v="2024-08-13T00:00:00"/>
    <s v="CUST-00234"/>
    <x v="2"/>
    <x v="0"/>
    <s v="Makeup"/>
    <s v="HD Foundation Kit"/>
    <n v="4"/>
    <n v="1506.68"/>
    <n v="0"/>
    <n v="6026.72"/>
    <n v="3449.41"/>
    <s v="UPI"/>
    <s v="2024-08"/>
    <s v="No discount"/>
    <n v="0.57235278891337238"/>
    <s v="No"/>
  </r>
  <r>
    <s v="ORD-101393"/>
    <d v="2024-08-14T00:00:00"/>
    <s v="CUST-00098"/>
    <x v="1"/>
    <x v="0"/>
    <s v="Makeup"/>
    <s v="Matte Lipstick Set"/>
    <n v="2"/>
    <n v="1015.13"/>
    <n v="0.1"/>
    <n v="1827.23"/>
    <n v="805.47"/>
    <s v="UPI"/>
    <s v="2024-08"/>
    <s v="1-10%"/>
    <n v="0.44081478522134598"/>
    <s v="No"/>
  </r>
  <r>
    <s v="ORD-101456"/>
    <d v="2024-08-14T00:00:00"/>
    <s v="CUST-00264"/>
    <x v="0"/>
    <x v="2"/>
    <s v="Decor"/>
    <s v="LED Wall Lamp"/>
    <n v="1"/>
    <n v="1024.3499999999999"/>
    <n v="0.3"/>
    <n v="717.04"/>
    <n v="10.74"/>
    <s v="UPI"/>
    <s v="2024-08"/>
    <s v="21%+"/>
    <n v="1.4978243891554168E-2"/>
    <s v="No"/>
  </r>
  <r>
    <s v="ORD-100231"/>
    <d v="2024-08-15T00:00:00"/>
    <s v="CUST-00411"/>
    <x v="1"/>
    <x v="1"/>
    <s v="Laptop"/>
    <s v="AirBook Slim"/>
    <n v="2"/>
    <n v="75797.37"/>
    <n v="0.1"/>
    <n v="136435.26999999999"/>
    <n v="4523.18"/>
    <s v="UPI"/>
    <s v="2024-08"/>
    <s v="1-10%"/>
    <n v="3.3152571178992063E-2"/>
    <s v="No"/>
  </r>
  <r>
    <s v="ORD-100641"/>
    <d v="2024-08-15T00:00:00"/>
    <s v="CUST-00391"/>
    <x v="0"/>
    <x v="2"/>
    <s v="Decor"/>
    <s v="Ceramic Vase Set"/>
    <n v="1"/>
    <n v="1561.61"/>
    <n v="0"/>
    <n v="1561.61"/>
    <n v="576.34"/>
    <s v="Credit Card"/>
    <s v="2024-08"/>
    <s v="No discount"/>
    <n v="0.36906782103085922"/>
    <s v="No"/>
  </r>
  <r>
    <s v="ORD-100665"/>
    <d v="2024-08-15T00:00:00"/>
    <s v="CUST-00010"/>
    <x v="3"/>
    <x v="3"/>
    <s v="Women"/>
    <s v="Knit Winter Sweater"/>
    <n v="1"/>
    <n v="2238.4299999999998"/>
    <n v="0.05"/>
    <n v="2126.5100000000002"/>
    <n v="821.31"/>
    <s v="Credit Card"/>
    <s v="2024-08"/>
    <s v="1-10%"/>
    <n v="0.38622437703090973"/>
    <s v="No"/>
  </r>
  <r>
    <s v="ORD-101269"/>
    <d v="2024-08-15T00:00:00"/>
    <s v="CUST-00452"/>
    <x v="0"/>
    <x v="2"/>
    <s v="Decor"/>
    <s v="LED Wall Lamp"/>
    <n v="1"/>
    <n v="1020.65"/>
    <n v="0.1"/>
    <n v="918.59"/>
    <n v="171.34"/>
    <s v="Credit Card"/>
    <s v="2024-08"/>
    <s v="1-10%"/>
    <n v="0.18652500027215624"/>
    <s v="No"/>
  </r>
  <r>
    <s v="ORD-101590"/>
    <d v="2024-08-15T00:00:00"/>
    <s v="CUST-00296"/>
    <x v="0"/>
    <x v="4"/>
    <s v="Outdoor"/>
    <s v="AllWeather Tent 4P"/>
    <n v="1"/>
    <n v="11469.32"/>
    <n v="0"/>
    <n v="11469.32"/>
    <n v="4026.14"/>
    <s v="Debit Card"/>
    <s v="2024-08"/>
    <s v="No discount"/>
    <n v="0.35103563245249064"/>
    <s v="No"/>
  </r>
  <r>
    <s v="ORD-101642"/>
    <d v="2024-08-15T00:00:00"/>
    <s v="CUST-00049"/>
    <x v="0"/>
    <x v="0"/>
    <s v="Skincare"/>
    <s v="Vitamin C Serum"/>
    <n v="1"/>
    <n v="922.2"/>
    <n v="0"/>
    <n v="922.2"/>
    <n v="483.62"/>
    <s v="UPI"/>
    <s v="2024-08"/>
    <s v="No discount"/>
    <n v="0.52441986553892861"/>
    <s v="No"/>
  </r>
  <r>
    <s v="ORD-101667"/>
    <d v="2024-08-15T00:00:00"/>
    <s v="CUST-00006"/>
    <x v="2"/>
    <x v="0"/>
    <s v="Skincare"/>
    <s v="Vitamin C Serum"/>
    <n v="1"/>
    <n v="909.71"/>
    <n v="0"/>
    <n v="909.71"/>
    <n v="473.74"/>
    <s v="Credit Card"/>
    <s v="2024-08"/>
    <s v="No discount"/>
    <n v="0.52075936287388291"/>
    <s v="No"/>
  </r>
  <r>
    <s v="ORD-101861"/>
    <d v="2024-08-15T00:00:00"/>
    <s v="CUST-00388"/>
    <x v="1"/>
    <x v="2"/>
    <s v="Decor"/>
    <s v="Ceramic Vase Set"/>
    <n v="1"/>
    <n v="1436.49"/>
    <n v="0.1"/>
    <n v="1292.8399999999999"/>
    <n v="315.08999999999997"/>
    <s v="UPI"/>
    <s v="2024-08"/>
    <s v="1-10%"/>
    <n v="0.24371925373596112"/>
    <s v="No"/>
  </r>
  <r>
    <s v="ORD-101919"/>
    <d v="2024-08-15T00:00:00"/>
    <s v="CUST-00072"/>
    <x v="1"/>
    <x v="2"/>
    <s v="Furniture"/>
    <s v="Oakwood Study Desk"/>
    <n v="4"/>
    <n v="12971.69"/>
    <n v="0.05"/>
    <n v="49292.42"/>
    <n v="12975.73"/>
    <s v="Debit Card"/>
    <s v="2024-08"/>
    <s v="1-10%"/>
    <n v="0.26323986527746052"/>
    <s v="No"/>
  </r>
  <r>
    <s v="ORD-100285"/>
    <d v="2024-08-16T00:00:00"/>
    <s v="CUST-00388"/>
    <x v="0"/>
    <x v="0"/>
    <s v="Makeup"/>
    <s v="HD Foundation Kit"/>
    <n v="3"/>
    <n v="1497.75"/>
    <n v="0"/>
    <n v="4493.25"/>
    <n v="2378.15"/>
    <s v="UPI"/>
    <s v="2024-08"/>
    <s v="No discount"/>
    <n v="0.52927168530573643"/>
    <s v="No"/>
  </r>
  <r>
    <s v="ORD-100663"/>
    <d v="2024-08-16T00:00:00"/>
    <s v="CUST-00298"/>
    <x v="3"/>
    <x v="3"/>
    <s v="Footwear"/>
    <s v="RunFlex Sneakers"/>
    <n v="2"/>
    <n v="3064.21"/>
    <n v="0.05"/>
    <n v="5822"/>
    <n v="2220.4"/>
    <s v="Credit Card"/>
    <s v="2024-08"/>
    <s v="1-10%"/>
    <n v="0.38138096873926486"/>
    <s v="No"/>
  </r>
  <r>
    <s v="ORD-101524"/>
    <d v="2024-08-16T00:00:00"/>
    <s v="CUST-00335"/>
    <x v="1"/>
    <x v="4"/>
    <s v="Fitness"/>
    <s v="Adjustable Dumbbell 24kg"/>
    <n v="1"/>
    <n v="9887.81"/>
    <n v="0.05"/>
    <n v="9393.42"/>
    <n v="3060.33"/>
    <s v="UPI"/>
    <s v="2024-08"/>
    <s v="1-10%"/>
    <n v="0.32579507783107747"/>
    <s v="No"/>
  </r>
  <r>
    <s v="ORD-101703"/>
    <d v="2024-08-16T00:00:00"/>
    <s v="CUST-00255"/>
    <x v="2"/>
    <x v="3"/>
    <s v="Women"/>
    <s v="Floral Summer Dress"/>
    <n v="2"/>
    <n v="1782.42"/>
    <n v="0.05"/>
    <n v="3386.6"/>
    <n v="1097.21"/>
    <s v="Net Banking"/>
    <s v="2024-08"/>
    <s v="1-10%"/>
    <n v="0.32398570838008622"/>
    <s v="No"/>
  </r>
  <r>
    <s v="ORD-100222"/>
    <d v="2024-08-17T00:00:00"/>
    <s v="CUST-00427"/>
    <x v="1"/>
    <x v="2"/>
    <s v="Decor"/>
    <s v="Ceramic Vase Set"/>
    <n v="1"/>
    <n v="1429.35"/>
    <n v="0.3"/>
    <n v="1000.54"/>
    <n v="9.25"/>
    <s v="Credit Card"/>
    <s v="2024-08"/>
    <s v="21%+"/>
    <n v="9.2450076958442446E-3"/>
    <s v="No"/>
  </r>
  <r>
    <s v="ORD-100529"/>
    <d v="2024-08-17T00:00:00"/>
    <s v="CUST-00024"/>
    <x v="0"/>
    <x v="2"/>
    <s v="Furniture"/>
    <s v="ErgoComfort Chair"/>
    <n v="3"/>
    <n v="8922.06"/>
    <n v="0"/>
    <n v="26766.18"/>
    <n v="8151.67"/>
    <s v="Cash on Delivery"/>
    <s v="2024-08"/>
    <s v="No discount"/>
    <n v="0.30455111637148075"/>
    <s v="No"/>
  </r>
  <r>
    <s v="ORD-100595"/>
    <d v="2024-08-17T00:00:00"/>
    <s v="CUST-00431"/>
    <x v="3"/>
    <x v="1"/>
    <s v="Laptop"/>
    <s v="AirBook Slim"/>
    <n v="3"/>
    <n v="76010.61"/>
    <n v="0.05"/>
    <n v="216630.24"/>
    <n v="26854.27"/>
    <s v="Credit Card"/>
    <s v="2024-08"/>
    <s v="1-10%"/>
    <n v="0.1239636257615742"/>
    <s v="No"/>
  </r>
  <r>
    <s v="ORD-100717"/>
    <d v="2024-08-17T00:00:00"/>
    <s v="CUST-00438"/>
    <x v="0"/>
    <x v="0"/>
    <s v="Skincare"/>
    <s v="Vitamin C Serum"/>
    <n v="3"/>
    <n v="880.73"/>
    <n v="0"/>
    <n v="2642.19"/>
    <n v="1455.64"/>
    <s v="UPI"/>
    <s v="2024-08"/>
    <s v="No discount"/>
    <n v="0.55092177322599811"/>
    <s v="No"/>
  </r>
  <r>
    <s v="ORD-100835"/>
    <d v="2024-08-17T00:00:00"/>
    <s v="CUST-00589"/>
    <x v="1"/>
    <x v="0"/>
    <s v="Makeup"/>
    <s v="Matte Lipstick Set"/>
    <n v="1"/>
    <n v="1014.69"/>
    <n v="0.1"/>
    <n v="913.22"/>
    <n v="371.69"/>
    <s v="Credit Card"/>
    <s v="2024-08"/>
    <s v="1-10%"/>
    <n v="0.40701035894965065"/>
    <s v="No"/>
  </r>
  <r>
    <s v="ORD-101307"/>
    <d v="2024-08-17T00:00:00"/>
    <s v="CUST-00204"/>
    <x v="2"/>
    <x v="3"/>
    <s v="Footwear"/>
    <s v="RunFlex Sneakers"/>
    <n v="1"/>
    <n v="2925.68"/>
    <n v="0"/>
    <n v="2925.68"/>
    <n v="1254.26"/>
    <s v="Credit Card"/>
    <s v="2024-08"/>
    <s v="No discount"/>
    <n v="0.42870717234967598"/>
    <s v="No"/>
  </r>
  <r>
    <s v="ORD-101837"/>
    <d v="2024-08-17T00:00:00"/>
    <s v="CUST-00218"/>
    <x v="2"/>
    <x v="4"/>
    <s v="Fitness"/>
    <s v="ProYoga Mat"/>
    <n v="2"/>
    <n v="1324.7"/>
    <n v="0.2"/>
    <n v="2119.52"/>
    <n v="304.08"/>
    <s v="Credit Card"/>
    <s v="2024-08"/>
    <s v="16-20%"/>
    <n v="0.14346644523288291"/>
    <s v="No"/>
  </r>
  <r>
    <s v="ORD-100473"/>
    <d v="2024-08-18T00:00:00"/>
    <s v="CUST-00274"/>
    <x v="0"/>
    <x v="3"/>
    <s v="Women"/>
    <s v="Floral Summer Dress"/>
    <n v="1"/>
    <n v="1841.7"/>
    <n v="0.1"/>
    <n v="1657.53"/>
    <n v="539"/>
    <s v="Debit Card"/>
    <s v="2024-08"/>
    <s v="1-10%"/>
    <n v="0.32518265129439589"/>
    <s v="No"/>
  </r>
  <r>
    <s v="ORD-101434"/>
    <d v="2024-08-18T00:00:00"/>
    <s v="CUST-00434"/>
    <x v="0"/>
    <x v="4"/>
    <s v="Fitness"/>
    <s v="ProYoga Mat"/>
    <n v="4"/>
    <n v="1256.69"/>
    <n v="0.1"/>
    <n v="4524.08"/>
    <n v="1121.9100000000001"/>
    <s v="Credit Card"/>
    <s v="2024-08"/>
    <s v="1-10%"/>
    <n v="0.24798633092253014"/>
    <s v="No"/>
  </r>
  <r>
    <s v="ORD-101676"/>
    <d v="2024-08-18T00:00:00"/>
    <s v="CUST-00141"/>
    <x v="1"/>
    <x v="0"/>
    <s v="Makeup"/>
    <s v="HD Foundation Kit"/>
    <n v="2"/>
    <n v="1448.86"/>
    <n v="0.4"/>
    <n v="1738.63"/>
    <n v="208.52"/>
    <s v="UPI"/>
    <s v="2024-08"/>
    <s v="21%+"/>
    <n v="0.1199335108677522"/>
    <s v="No"/>
  </r>
  <r>
    <s v="ORD-100514"/>
    <d v="2024-08-19T00:00:00"/>
    <s v="CUST-00095"/>
    <x v="0"/>
    <x v="3"/>
    <s v="Women"/>
    <s v="Floral Summer Dress"/>
    <n v="3"/>
    <n v="1760.75"/>
    <n v="0.1"/>
    <n v="4754.03"/>
    <n v="1277.9000000000001"/>
    <s v="UPI"/>
    <s v="2024-08"/>
    <s v="1-10%"/>
    <n v="0.26880352038165517"/>
    <s v="No"/>
  </r>
  <r>
    <s v="ORD-101185"/>
    <d v="2024-08-19T00:00:00"/>
    <s v="CUST-00033"/>
    <x v="3"/>
    <x v="3"/>
    <s v="Footwear"/>
    <s v="RunFlex Sneakers"/>
    <n v="2"/>
    <n v="2911.75"/>
    <n v="0"/>
    <n v="5823.5"/>
    <n v="2274.7199999999998"/>
    <s v="Credit Card"/>
    <s v="2024-08"/>
    <s v="No discount"/>
    <n v="0.39061045762857383"/>
    <s v="No"/>
  </r>
  <r>
    <s v="ORD-101209"/>
    <d v="2024-08-19T00:00:00"/>
    <s v="CUST-00417"/>
    <x v="2"/>
    <x v="0"/>
    <s v="Skincare"/>
    <s v="Vitamin C Serum"/>
    <n v="1"/>
    <n v="915.07"/>
    <n v="0"/>
    <n v="915.07"/>
    <n v="502.75"/>
    <s v="Credit Card"/>
    <s v="2024-08"/>
    <s v="No discount"/>
    <n v="0.54941152043013097"/>
    <s v="No"/>
  </r>
  <r>
    <s v="ORD-101732"/>
    <d v="2024-08-19T00:00:00"/>
    <s v="CUST-00482"/>
    <x v="2"/>
    <x v="1"/>
    <s v="Audio"/>
    <s v="BassBoom Speaker"/>
    <n v="1"/>
    <n v="9267.82"/>
    <n v="0.4"/>
    <n v="5560.69"/>
    <n v="-1480.37"/>
    <s v="UPI"/>
    <s v="2024-08"/>
    <s v="21%+"/>
    <n v="-0.26622055895940971"/>
    <s v="Yes"/>
  </r>
  <r>
    <s v="ORD-100830"/>
    <d v="2024-08-20T00:00:00"/>
    <s v="CUST-00151"/>
    <x v="2"/>
    <x v="1"/>
    <s v="Laptop"/>
    <s v="AirBook Slim"/>
    <n v="4"/>
    <n v="77087.28"/>
    <n v="0.05"/>
    <n v="292931.65999999997"/>
    <n v="42603.65"/>
    <s v="Credit Card"/>
    <s v="2024-08"/>
    <s v="1-10%"/>
    <n v="0.14543887130534133"/>
    <s v="No"/>
  </r>
  <r>
    <s v="ORD-101501"/>
    <d v="2024-08-20T00:00:00"/>
    <s v="CUST-00570"/>
    <x v="1"/>
    <x v="0"/>
    <s v="Skincare"/>
    <s v="Vitamin C Serum"/>
    <n v="1"/>
    <n v="892.9"/>
    <n v="0.1"/>
    <n v="803.61"/>
    <n v="370.31"/>
    <s v="Cash on Delivery"/>
    <s v="2024-08"/>
    <s v="1-10%"/>
    <n v="0.4608081034332574"/>
    <s v="No"/>
  </r>
  <r>
    <s v="ORD-101677"/>
    <d v="2024-08-20T00:00:00"/>
    <s v="CUST-00346"/>
    <x v="2"/>
    <x v="4"/>
    <s v="Fitness"/>
    <s v="Adjustable Dumbbell 24kg"/>
    <n v="2"/>
    <n v="10014.719999999999"/>
    <n v="0"/>
    <n v="20029.439999999999"/>
    <n v="7986.05"/>
    <s v="Credit Card"/>
    <s v="2024-08"/>
    <s v="No discount"/>
    <n v="0.39871559065056239"/>
    <s v="No"/>
  </r>
  <r>
    <s v="ORD-101782"/>
    <d v="2024-08-20T00:00:00"/>
    <s v="CUST-00451"/>
    <x v="0"/>
    <x v="0"/>
    <s v="Skincare"/>
    <s v="HydraBoost Moisturizer"/>
    <n v="1"/>
    <n v="1243.48"/>
    <n v="0.1"/>
    <n v="1119.1300000000001"/>
    <n v="484.01"/>
    <s v="UPI"/>
    <s v="2024-08"/>
    <s v="1-10%"/>
    <n v="0.43248773600922141"/>
    <s v="No"/>
  </r>
  <r>
    <s v="ORD-101804"/>
    <d v="2024-08-20T00:00:00"/>
    <s v="CUST-00308"/>
    <x v="1"/>
    <x v="0"/>
    <s v="Skincare"/>
    <s v="Vitamin C Serum"/>
    <n v="1"/>
    <n v="883.85"/>
    <n v="0.2"/>
    <n v="707.08"/>
    <n v="218.82"/>
    <s v="UPI"/>
    <s v="2024-08"/>
    <s v="16-20%"/>
    <n v="0.30946993268088474"/>
    <s v="No"/>
  </r>
  <r>
    <s v="ORD-101886"/>
    <d v="2024-08-20T00:00:00"/>
    <s v="CUST-00353"/>
    <x v="1"/>
    <x v="0"/>
    <s v="Makeup"/>
    <s v="HD Foundation Kit"/>
    <n v="5"/>
    <n v="1533.04"/>
    <n v="0.05"/>
    <n v="7281.94"/>
    <n v="3632.59"/>
    <s v="Net Banking"/>
    <s v="2024-08"/>
    <s v="1-10%"/>
    <n v="0.4988492077660624"/>
    <s v="No"/>
  </r>
  <r>
    <s v="ORD-100831"/>
    <d v="2024-08-21T00:00:00"/>
    <s v="CUST-00266"/>
    <x v="1"/>
    <x v="0"/>
    <s v="Skincare"/>
    <s v="Vitamin C Serum"/>
    <n v="1"/>
    <n v="915.58"/>
    <n v="0"/>
    <n v="915.58"/>
    <n v="529.98"/>
    <s v="UPI"/>
    <s v="2024-08"/>
    <s v="No discount"/>
    <n v="0.57884619585399422"/>
    <s v="No"/>
  </r>
  <r>
    <s v="ORD-101865"/>
    <d v="2024-08-21T00:00:00"/>
    <s v="CUST-00105"/>
    <x v="3"/>
    <x v="0"/>
    <s v="Makeup"/>
    <s v="Matte Lipstick Set"/>
    <n v="1"/>
    <n v="1021.61"/>
    <n v="0"/>
    <n v="1021.61"/>
    <n v="566.32000000000005"/>
    <s v="Debit Card"/>
    <s v="2024-08"/>
    <s v="No discount"/>
    <n v="0.55434069752645343"/>
    <s v="No"/>
  </r>
  <r>
    <s v="ORD-100699"/>
    <d v="2024-08-22T00:00:00"/>
    <s v="CUST-00411"/>
    <x v="1"/>
    <x v="3"/>
    <s v="Women"/>
    <s v="Floral Summer Dress"/>
    <n v="2"/>
    <n v="1741.65"/>
    <n v="0.05"/>
    <n v="3309.14"/>
    <n v="1329.96"/>
    <s v="Credit Card"/>
    <s v="2024-08"/>
    <s v="1-10%"/>
    <n v="0.40190502668367012"/>
    <s v="No"/>
  </r>
  <r>
    <s v="ORD-100858"/>
    <d v="2024-08-22T00:00:00"/>
    <s v="CUST-00166"/>
    <x v="2"/>
    <x v="2"/>
    <s v="Appliances"/>
    <s v="AirFryer Deluxe"/>
    <n v="2"/>
    <n v="7888.69"/>
    <n v="0.05"/>
    <n v="14988.51"/>
    <n v="3722.77"/>
    <s v="Credit Card"/>
    <s v="2024-08"/>
    <s v="1-10%"/>
    <n v="0.24837492185680898"/>
    <s v="No"/>
  </r>
  <r>
    <s v="ORD-101301"/>
    <d v="2024-08-22T00:00:00"/>
    <s v="CUST-00049"/>
    <x v="2"/>
    <x v="1"/>
    <s v="Laptop"/>
    <s v="ThinkPro 14"/>
    <n v="1"/>
    <n v="52482.52"/>
    <n v="0"/>
    <n v="52482.52"/>
    <n v="9249.36"/>
    <s v="Credit Card"/>
    <s v="2024-08"/>
    <s v="No discount"/>
    <n v="0.17623696423113833"/>
    <s v="No"/>
  </r>
  <r>
    <s v="ORD-101821"/>
    <d v="2024-08-22T00:00:00"/>
    <s v="CUST-00548"/>
    <x v="2"/>
    <x v="1"/>
    <s v="Audio"/>
    <s v="BassBoom Speaker"/>
    <n v="5"/>
    <n v="8734.5499999999993"/>
    <n v="0"/>
    <n v="43672.75"/>
    <n v="6408.74"/>
    <s v="UPI"/>
    <s v="2024-08"/>
    <s v="No discount"/>
    <n v="0.14674459474157225"/>
    <s v="No"/>
  </r>
  <r>
    <s v="ORD-100838"/>
    <d v="2024-08-23T00:00:00"/>
    <s v="CUST-00129"/>
    <x v="2"/>
    <x v="2"/>
    <s v="Furniture"/>
    <s v="ErgoComfort Chair"/>
    <n v="2"/>
    <n v="8875.08"/>
    <n v="0"/>
    <n v="17750.16"/>
    <n v="5835.05"/>
    <s v="Debit Card"/>
    <s v="2024-08"/>
    <s v="No discount"/>
    <n v="0.32873224804734158"/>
    <s v="No"/>
  </r>
  <r>
    <s v="ORD-101068"/>
    <d v="2024-08-23T00:00:00"/>
    <s v="CUST-00259"/>
    <x v="3"/>
    <x v="3"/>
    <s v="Men"/>
    <s v="Oxford Casual Shirt"/>
    <n v="3"/>
    <n v="1349.23"/>
    <n v="0.1"/>
    <n v="3642.92"/>
    <n v="1203.73"/>
    <s v="UPI"/>
    <s v="2024-08"/>
    <s v="1-10%"/>
    <n v="0.33042998473751828"/>
    <s v="No"/>
  </r>
  <r>
    <s v="ORD-101248"/>
    <d v="2024-08-23T00:00:00"/>
    <s v="CUST-00556"/>
    <x v="0"/>
    <x v="4"/>
    <s v="Fitness"/>
    <s v="Adjustable Dumbbell 24kg"/>
    <n v="1"/>
    <n v="10040.85"/>
    <n v="0.1"/>
    <n v="9036.77"/>
    <n v="2599.59"/>
    <s v="Cash on Delivery"/>
    <s v="2024-08"/>
    <s v="1-10%"/>
    <n v="0.28766804953539815"/>
    <s v="No"/>
  </r>
  <r>
    <s v="ORD-100505"/>
    <d v="2024-08-24T00:00:00"/>
    <s v="CUST-00138"/>
    <x v="2"/>
    <x v="2"/>
    <s v="Decor"/>
    <s v="LED Wall Lamp"/>
    <n v="5"/>
    <n v="963.77"/>
    <n v="0.05"/>
    <n v="4577.91"/>
    <n v="1230.8699999999999"/>
    <s v="Credit Card"/>
    <s v="2024-08"/>
    <s v="1-10%"/>
    <n v="0.26887160298039936"/>
    <s v="No"/>
  </r>
  <r>
    <s v="ORD-101294"/>
    <d v="2024-08-24T00:00:00"/>
    <s v="CUST-00285"/>
    <x v="3"/>
    <x v="2"/>
    <s v="Furniture"/>
    <s v="Oakwood Study Desk"/>
    <n v="1"/>
    <n v="13558.2"/>
    <n v="0.4"/>
    <n v="8134.92"/>
    <n v="-1108"/>
    <s v="UPI"/>
    <s v="2024-08"/>
    <s v="21%+"/>
    <n v="-0.13620293745974146"/>
    <s v="Yes"/>
  </r>
  <r>
    <s v="ORD-101579"/>
    <d v="2024-08-24T00:00:00"/>
    <s v="CUST-00571"/>
    <x v="3"/>
    <x v="3"/>
    <s v="Women"/>
    <s v="Knit Winter Sweater"/>
    <n v="5"/>
    <n v="2199.04"/>
    <n v="0.25"/>
    <n v="8246.4"/>
    <n v="940.41"/>
    <s v="UPI"/>
    <s v="2024-08"/>
    <s v="21%+"/>
    <n v="0.11403885331781141"/>
    <s v="No"/>
  </r>
  <r>
    <s v="ORD-101707"/>
    <d v="2024-08-24T00:00:00"/>
    <s v="CUST-00391"/>
    <x v="3"/>
    <x v="2"/>
    <s v="Appliances"/>
    <s v="ColdBrew Coffee Maker"/>
    <n v="5"/>
    <n v="6414.15"/>
    <n v="0"/>
    <n v="32070.75"/>
    <n v="11709.85"/>
    <s v="UPI"/>
    <s v="2024-08"/>
    <s v="No discount"/>
    <n v="0.36512554274533648"/>
    <s v="No"/>
  </r>
  <r>
    <s v="ORD-101795"/>
    <d v="2024-08-24T00:00:00"/>
    <s v="CUST-00524"/>
    <x v="1"/>
    <x v="4"/>
    <s v="Fitness"/>
    <s v="ProYoga Mat"/>
    <n v="1"/>
    <n v="1262.56"/>
    <n v="0.1"/>
    <n v="1136.3"/>
    <n v="326.51"/>
    <s v="UPI"/>
    <s v="2024-08"/>
    <s v="1-10%"/>
    <n v="0.28734489131391361"/>
    <s v="No"/>
  </r>
  <r>
    <s v="ORD-101936"/>
    <d v="2024-08-24T00:00:00"/>
    <s v="CUST-00286"/>
    <x v="2"/>
    <x v="0"/>
    <s v="Skincare"/>
    <s v="Vitamin C Serum"/>
    <n v="3"/>
    <n v="928.12"/>
    <n v="0.05"/>
    <n v="2645.14"/>
    <n v="1401.59"/>
    <s v="Credit Card"/>
    <s v="2024-08"/>
    <s v="1-10%"/>
    <n v="0.52987365508063844"/>
    <s v="No"/>
  </r>
  <r>
    <s v="ORD-100071"/>
    <d v="2024-08-25T00:00:00"/>
    <s v="CUST-00261"/>
    <x v="3"/>
    <x v="0"/>
    <s v="Skincare"/>
    <s v="Vitamin C Serum"/>
    <n v="1"/>
    <n v="888.44"/>
    <n v="0.1"/>
    <n v="799.6"/>
    <n v="359.54"/>
    <s v="Credit Card"/>
    <s v="2024-08"/>
    <s v="1-10%"/>
    <n v="0.44964982491245625"/>
    <s v="No"/>
  </r>
  <r>
    <s v="ORD-100358"/>
    <d v="2024-08-26T00:00:00"/>
    <s v="CUST-00016"/>
    <x v="2"/>
    <x v="3"/>
    <s v="Women"/>
    <s v="Floral Summer Dress"/>
    <n v="1"/>
    <n v="1713.03"/>
    <n v="0.3"/>
    <n v="1199.1199999999999"/>
    <n v="135.24"/>
    <s v="UPI"/>
    <s v="2024-08"/>
    <s v="21%+"/>
    <n v="0.1127827073187004"/>
    <s v="No"/>
  </r>
  <r>
    <s v="ORD-100765"/>
    <d v="2024-08-26T00:00:00"/>
    <s v="CUST-00395"/>
    <x v="3"/>
    <x v="3"/>
    <s v="Women"/>
    <s v="Floral Summer Dress"/>
    <n v="1"/>
    <n v="1838"/>
    <n v="0.1"/>
    <n v="1654.2"/>
    <n v="466.65"/>
    <s v="UPI"/>
    <s v="2024-08"/>
    <s v="1-10%"/>
    <n v="0.28210010881392816"/>
    <s v="No"/>
  </r>
  <r>
    <s v="ORD-101636"/>
    <d v="2024-08-26T00:00:00"/>
    <s v="CUST-00180"/>
    <x v="3"/>
    <x v="1"/>
    <s v="Laptop"/>
    <s v="ThinkPro 14"/>
    <n v="2"/>
    <n v="52876.15"/>
    <n v="0.1"/>
    <n v="95177.07"/>
    <n v="4421.58"/>
    <s v="Credit Card"/>
    <s v="2024-08"/>
    <s v="1-10%"/>
    <n v="4.6456357607982675E-2"/>
    <s v="No"/>
  </r>
  <r>
    <s v="ORD-101690"/>
    <d v="2024-08-26T00:00:00"/>
    <s v="CUST-00469"/>
    <x v="2"/>
    <x v="0"/>
    <s v="Skincare"/>
    <s v="Vitamin C Serum"/>
    <n v="2"/>
    <n v="902.28"/>
    <n v="0.1"/>
    <n v="1624.1"/>
    <n v="662.27"/>
    <s v="UPI"/>
    <s v="2024-08"/>
    <s v="1-10%"/>
    <n v="0.40777661474047167"/>
    <s v="No"/>
  </r>
  <r>
    <s v="ORD-100209"/>
    <d v="2024-08-27T00:00:00"/>
    <s v="CUST-00094"/>
    <x v="3"/>
    <x v="1"/>
    <s v="Audio"/>
    <s v="BassBoom Speaker"/>
    <n v="1"/>
    <n v="9362.3799999999992"/>
    <n v="0.05"/>
    <n v="8894.26"/>
    <n v="851.55"/>
    <s v="UPI"/>
    <s v="2024-08"/>
    <s v="1-10%"/>
    <n v="9.5741523184615693E-2"/>
    <s v="No"/>
  </r>
  <r>
    <s v="ORD-100569"/>
    <d v="2024-08-27T00:00:00"/>
    <s v="CUST-00292"/>
    <x v="1"/>
    <x v="4"/>
    <s v="Outdoor"/>
    <s v="TrailHike Backpack 60L"/>
    <n v="3"/>
    <n v="3521.95"/>
    <n v="0.4"/>
    <n v="6339.51"/>
    <n v="-307.17"/>
    <s v="Credit Card"/>
    <s v="2024-08"/>
    <s v="21%+"/>
    <n v="-4.8453271625094052E-2"/>
    <s v="Yes"/>
  </r>
  <r>
    <s v="ORD-101803"/>
    <d v="2024-08-27T00:00:00"/>
    <s v="CUST-00403"/>
    <x v="1"/>
    <x v="1"/>
    <s v="Laptop"/>
    <s v="AirBook Slim"/>
    <n v="1"/>
    <n v="76314.350000000006"/>
    <n v="0.15"/>
    <n v="64867.199999999997"/>
    <n v="2614.21"/>
    <s v="Credit Card"/>
    <s v="2024-08"/>
    <s v="11-15%"/>
    <n v="4.0300953332346706E-2"/>
    <s v="No"/>
  </r>
  <r>
    <s v="ORD-100311"/>
    <d v="2024-08-28T00:00:00"/>
    <s v="CUST-00072"/>
    <x v="3"/>
    <x v="2"/>
    <s v="Appliances"/>
    <s v="AirFryer Deluxe"/>
    <n v="1"/>
    <n v="8063.47"/>
    <n v="0"/>
    <n v="8063.47"/>
    <n v="2952.22"/>
    <s v="Credit Card"/>
    <s v="2024-08"/>
    <s v="No discount"/>
    <n v="0.36612277344617139"/>
    <s v="No"/>
  </r>
  <r>
    <s v="ORD-100991"/>
    <d v="2024-08-28T00:00:00"/>
    <s v="CUST-00366"/>
    <x v="2"/>
    <x v="0"/>
    <s v="Makeup"/>
    <s v="HD Foundation Kit"/>
    <n v="2"/>
    <n v="1571.24"/>
    <n v="0.15"/>
    <n v="2671.11"/>
    <n v="1073.18"/>
    <s v="UPI"/>
    <s v="2024-08"/>
    <s v="11-15%"/>
    <n v="0.40177304566266459"/>
    <s v="No"/>
  </r>
  <r>
    <s v="ORD-101061"/>
    <d v="2024-08-28T00:00:00"/>
    <s v="CUST-00369"/>
    <x v="2"/>
    <x v="1"/>
    <s v="Audio"/>
    <s v="SoundPods Pro"/>
    <n v="2"/>
    <n v="4997.34"/>
    <n v="0.15"/>
    <n v="8495.48"/>
    <n v="353.89"/>
    <s v="UPI"/>
    <s v="2024-08"/>
    <s v="11-15%"/>
    <n v="4.1656268980681491E-2"/>
    <s v="No"/>
  </r>
  <r>
    <s v="ORD-101433"/>
    <d v="2024-08-28T00:00:00"/>
    <s v="CUST-00155"/>
    <x v="1"/>
    <x v="3"/>
    <s v="Women"/>
    <s v="Floral Summer Dress"/>
    <n v="2"/>
    <n v="1772.42"/>
    <n v="0.3"/>
    <n v="2481.39"/>
    <n v="264.17"/>
    <s v="UPI"/>
    <s v="2024-08"/>
    <s v="21%+"/>
    <n v="0.10646049190171639"/>
    <s v="No"/>
  </r>
  <r>
    <s v="ORD-101935"/>
    <d v="2024-08-28T00:00:00"/>
    <s v="CUST-00455"/>
    <x v="3"/>
    <x v="4"/>
    <s v="Fitness"/>
    <s v="ProYoga Mat"/>
    <n v="1"/>
    <n v="1327.89"/>
    <n v="0"/>
    <n v="1327.89"/>
    <n v="514.09"/>
    <s v="Credit Card"/>
    <s v="2024-08"/>
    <s v="No discount"/>
    <n v="0.38714803183998675"/>
    <s v="No"/>
  </r>
  <r>
    <s v="ORD-100362"/>
    <d v="2024-08-29T00:00:00"/>
    <s v="CUST-00333"/>
    <x v="1"/>
    <x v="0"/>
    <s v="Skincare"/>
    <s v="HydraBoost Moisturizer"/>
    <n v="1"/>
    <n v="1182.27"/>
    <n v="0"/>
    <n v="1182.27"/>
    <n v="607.88"/>
    <s v="Cash on Delivery"/>
    <s v="2024-08"/>
    <s v="No discount"/>
    <n v="0.5141634313650858"/>
    <s v="No"/>
  </r>
  <r>
    <s v="ORD-100525"/>
    <d v="2024-08-29T00:00:00"/>
    <s v="CUST-00165"/>
    <x v="0"/>
    <x v="1"/>
    <s v="Audio"/>
    <s v="SoundPods Pro"/>
    <n v="3"/>
    <n v="5203.8500000000004"/>
    <n v="0.05"/>
    <n v="14830.97"/>
    <n v="1689.81"/>
    <s v="UPI"/>
    <s v="2024-08"/>
    <s v="1-10%"/>
    <n v="0.11393792853737821"/>
    <s v="No"/>
  </r>
  <r>
    <s v="ORD-101260"/>
    <d v="2024-08-29T00:00:00"/>
    <s v="CUST-00039"/>
    <x v="0"/>
    <x v="0"/>
    <s v="Skincare"/>
    <s v="Vitamin C Serum"/>
    <n v="4"/>
    <n v="868.87"/>
    <n v="0.1"/>
    <n v="3127.93"/>
    <n v="1285.3699999999999"/>
    <s v="UPI"/>
    <s v="2024-08"/>
    <s v="1-10%"/>
    <n v="0.41093310911689201"/>
    <s v="No"/>
  </r>
  <r>
    <s v="ORD-101276"/>
    <d v="2024-08-29T00:00:00"/>
    <s v="CUST-00148"/>
    <x v="1"/>
    <x v="3"/>
    <s v="Footwear"/>
    <s v="RunFlex Sneakers"/>
    <n v="2"/>
    <n v="3135.56"/>
    <n v="0.2"/>
    <n v="5016.8999999999996"/>
    <n v="1046.6500000000001"/>
    <s v="Credit Card"/>
    <s v="2024-08"/>
    <s v="16-20%"/>
    <n v="0.20862484801371367"/>
    <s v="No"/>
  </r>
  <r>
    <s v="ORD-101523"/>
    <d v="2024-08-29T00:00:00"/>
    <s v="CUST-00302"/>
    <x v="2"/>
    <x v="4"/>
    <s v="Fitness"/>
    <s v="Adjustable Dumbbell 24kg"/>
    <n v="4"/>
    <n v="9683.27"/>
    <n v="0.15"/>
    <n v="32923.120000000003"/>
    <n v="7766.85"/>
    <s v="UPI"/>
    <s v="2024-08"/>
    <s v="11-15%"/>
    <n v="0.23590868666153147"/>
    <s v="No"/>
  </r>
  <r>
    <s v="ORD-100202"/>
    <d v="2024-08-30T00:00:00"/>
    <s v="CUST-00360"/>
    <x v="0"/>
    <x v="1"/>
    <s v="Audio"/>
    <s v="SoundPods Pro"/>
    <n v="1"/>
    <n v="4973.87"/>
    <n v="0.4"/>
    <n v="2984.32"/>
    <n v="-871.76"/>
    <s v="Credit Card"/>
    <s v="2024-08"/>
    <s v="21%+"/>
    <n v="-0.29211344627921937"/>
    <s v="Yes"/>
  </r>
  <r>
    <s v="ORD-101182"/>
    <d v="2024-08-30T00:00:00"/>
    <s v="CUST-00096"/>
    <x v="2"/>
    <x v="2"/>
    <s v="Furniture"/>
    <s v="ErgoComfort Chair"/>
    <n v="1"/>
    <n v="9078.75"/>
    <n v="0"/>
    <n v="9078.75"/>
    <n v="2959.55"/>
    <s v="UPI"/>
    <s v="2024-08"/>
    <s v="No discount"/>
    <n v="0.3259865069530497"/>
    <s v="No"/>
  </r>
  <r>
    <s v="ORD-100440"/>
    <d v="2024-08-31T00:00:00"/>
    <s v="CUST-00172"/>
    <x v="0"/>
    <x v="4"/>
    <s v="Outdoor"/>
    <s v="TrailHike Backpack 60L"/>
    <n v="1"/>
    <n v="3493.72"/>
    <n v="0.15"/>
    <n v="2969.66"/>
    <n v="687.33"/>
    <s v="UPI"/>
    <s v="2024-08"/>
    <s v="11-15%"/>
    <n v="0.23145073846837688"/>
    <s v="No"/>
  </r>
  <r>
    <s v="ORD-100521"/>
    <d v="2024-08-31T00:00:00"/>
    <s v="CUST-00321"/>
    <x v="2"/>
    <x v="3"/>
    <s v="Men"/>
    <s v="SlimFit Denim Jeans"/>
    <n v="1"/>
    <n v="2088.89"/>
    <n v="0.2"/>
    <n v="1671.11"/>
    <n v="375.21"/>
    <s v="Net Banking"/>
    <s v="2024-08"/>
    <s v="16-20%"/>
    <n v="0.22452740992513959"/>
    <s v="No"/>
  </r>
  <r>
    <s v="ORD-100966"/>
    <d v="2024-08-31T00:00:00"/>
    <s v="CUST-00331"/>
    <x v="0"/>
    <x v="3"/>
    <s v="Footwear"/>
    <s v="RunFlex Sneakers"/>
    <n v="2"/>
    <n v="3038.55"/>
    <n v="0.15"/>
    <n v="5165.53"/>
    <n v="1400.04"/>
    <s v="UPI"/>
    <s v="2024-08"/>
    <s v="11-15%"/>
    <n v="0.27103511159551874"/>
    <s v="No"/>
  </r>
  <r>
    <s v="ORD-100042"/>
    <d v="2024-09-01T00:00:00"/>
    <s v="CUST-00118"/>
    <x v="0"/>
    <x v="1"/>
    <s v="Laptop"/>
    <s v="ThinkPro 14"/>
    <n v="2"/>
    <n v="55833.64"/>
    <n v="0.15"/>
    <n v="94917.19"/>
    <n v="2642.37"/>
    <s v="UPI"/>
    <s v="2024-09"/>
    <s v="11-15%"/>
    <n v="2.7838687597051701E-2"/>
    <s v="No"/>
  </r>
  <r>
    <s v="ORD-100367"/>
    <d v="2024-09-01T00:00:00"/>
    <s v="CUST-00065"/>
    <x v="1"/>
    <x v="4"/>
    <s v="Outdoor"/>
    <s v="AllWeather Tent 4P"/>
    <n v="1"/>
    <n v="12330.07"/>
    <n v="0.05"/>
    <n v="11713.57"/>
    <n v="3783.21"/>
    <s v="Net Banking"/>
    <s v="2024-09"/>
    <s v="1-10%"/>
    <n v="0.32297668430717535"/>
    <s v="No"/>
  </r>
  <r>
    <s v="ORD-100518"/>
    <d v="2024-09-01T00:00:00"/>
    <s v="CUST-00197"/>
    <x v="1"/>
    <x v="2"/>
    <s v="Furniture"/>
    <s v="Oakwood Study Desk"/>
    <n v="3"/>
    <n v="12722.18"/>
    <n v="0"/>
    <n v="38166.54"/>
    <n v="11558.61"/>
    <s v="UPI"/>
    <s v="2024-09"/>
    <s v="No discount"/>
    <n v="0.30284668193658637"/>
    <s v="No"/>
  </r>
  <r>
    <s v="ORD-100981"/>
    <d v="2024-09-01T00:00:00"/>
    <s v="CUST-00432"/>
    <x v="1"/>
    <x v="4"/>
    <s v="Outdoor"/>
    <s v="TrailHike Backpack 60L"/>
    <n v="2"/>
    <n v="3601.73"/>
    <n v="0.1"/>
    <n v="6483.11"/>
    <n v="1953.53"/>
    <s v="UPI"/>
    <s v="2024-09"/>
    <s v="1-10%"/>
    <n v="0.30132606110339022"/>
    <s v="No"/>
  </r>
  <r>
    <s v="ORD-101953"/>
    <d v="2024-09-01T00:00:00"/>
    <s v="CUST-00296"/>
    <x v="0"/>
    <x v="3"/>
    <s v="Women"/>
    <s v="Floral Summer Dress"/>
    <n v="4"/>
    <n v="1785.23"/>
    <n v="0.1"/>
    <n v="6426.83"/>
    <n v="1836.56"/>
    <s v="Credit Card"/>
    <s v="2024-09"/>
    <s v="1-10%"/>
    <n v="0.28576452154483623"/>
    <s v="No"/>
  </r>
  <r>
    <s v="ORD-100010"/>
    <d v="2024-09-02T00:00:00"/>
    <s v="CUST-00581"/>
    <x v="0"/>
    <x v="2"/>
    <s v="Furniture"/>
    <s v="Oakwood Study Desk"/>
    <n v="2"/>
    <n v="12494.47"/>
    <n v="0.05"/>
    <n v="23739.49"/>
    <n v="6208.79"/>
    <s v="Debit Card"/>
    <s v="2024-09"/>
    <s v="1-10%"/>
    <n v="0.26153847449966278"/>
    <s v="No"/>
  </r>
  <r>
    <s v="ORD-100356"/>
    <d v="2024-09-02T00:00:00"/>
    <s v="CUST-00279"/>
    <x v="2"/>
    <x v="4"/>
    <s v="Outdoor"/>
    <s v="AllWeather Tent 4P"/>
    <n v="1"/>
    <n v="12174.17"/>
    <n v="0.15"/>
    <n v="10348.040000000001"/>
    <n v="2419.1"/>
    <s v="UPI"/>
    <s v="2024-09"/>
    <s v="11-15%"/>
    <n v="0.23377373879497951"/>
    <s v="No"/>
  </r>
  <r>
    <s v="ORD-100777"/>
    <d v="2024-09-03T00:00:00"/>
    <s v="CUST-00472"/>
    <x v="2"/>
    <x v="3"/>
    <s v="Men"/>
    <s v="Oxford Casual Shirt"/>
    <n v="1"/>
    <n v="1357.65"/>
    <n v="0.1"/>
    <n v="1221.8900000000001"/>
    <n v="380.23"/>
    <s v="Credit Card"/>
    <s v="2024-09"/>
    <s v="1-10%"/>
    <n v="0.31118185761402417"/>
    <s v="No"/>
  </r>
  <r>
    <s v="ORD-100837"/>
    <d v="2024-09-03T00:00:00"/>
    <s v="CUST-00420"/>
    <x v="1"/>
    <x v="2"/>
    <s v="Furniture"/>
    <s v="ErgoComfort Chair"/>
    <n v="1"/>
    <n v="8874.7800000000007"/>
    <n v="0.15"/>
    <n v="7543.56"/>
    <n v="1161.45"/>
    <s v="UPI"/>
    <s v="2024-09"/>
    <s v="11-15%"/>
    <n v="0.153965766826273"/>
    <s v="No"/>
  </r>
  <r>
    <s v="ORD-100876"/>
    <d v="2024-09-03T00:00:00"/>
    <s v="CUST-00387"/>
    <x v="3"/>
    <x v="2"/>
    <s v="Furniture"/>
    <s v="Oakwood Study Desk"/>
    <n v="1"/>
    <n v="12902.03"/>
    <n v="0.15"/>
    <n v="10966.73"/>
    <n v="1702.42"/>
    <s v="Debit Card"/>
    <s v="2024-09"/>
    <s v="11-15%"/>
    <n v="0.1552349697676518"/>
    <s v="No"/>
  </r>
  <r>
    <s v="ORD-101397"/>
    <d v="2024-09-03T00:00:00"/>
    <s v="CUST-00184"/>
    <x v="2"/>
    <x v="3"/>
    <s v="Men"/>
    <s v="SlimFit Denim Jeans"/>
    <n v="2"/>
    <n v="1983.71"/>
    <n v="0.1"/>
    <n v="3570.68"/>
    <n v="994.07"/>
    <s v="Cash on Delivery"/>
    <s v="2024-09"/>
    <s v="1-10%"/>
    <n v="0.27839795221078339"/>
    <s v="No"/>
  </r>
  <r>
    <s v="ORD-101731"/>
    <d v="2024-09-03T00:00:00"/>
    <s v="CUST-00123"/>
    <x v="3"/>
    <x v="4"/>
    <s v="Outdoor"/>
    <s v="TrailHike Backpack 60L"/>
    <n v="1"/>
    <n v="3517.74"/>
    <n v="0.1"/>
    <n v="3165.97"/>
    <n v="854.4"/>
    <s v="Debit Card"/>
    <s v="2024-09"/>
    <s v="1-10%"/>
    <n v="0.26986989769328201"/>
    <s v="No"/>
  </r>
  <r>
    <s v="ORD-100115"/>
    <d v="2024-09-04T00:00:00"/>
    <s v="CUST-00299"/>
    <x v="2"/>
    <x v="3"/>
    <s v="Women"/>
    <s v="Floral Summer Dress"/>
    <n v="1"/>
    <n v="1851.87"/>
    <n v="0.05"/>
    <n v="1759.28"/>
    <n v="631.70000000000005"/>
    <s v="Net Banking"/>
    <s v="2024-09"/>
    <s v="1-10%"/>
    <n v="0.35906734573234506"/>
    <s v="No"/>
  </r>
  <r>
    <s v="ORD-101015"/>
    <d v="2024-09-04T00:00:00"/>
    <s v="CUST-00380"/>
    <x v="1"/>
    <x v="1"/>
    <s v="Laptop"/>
    <s v="AirBook Slim"/>
    <n v="1"/>
    <n v="81630.42"/>
    <n v="0"/>
    <n v="81630.42"/>
    <n v="12632.98"/>
    <s v="Debit Card"/>
    <s v="2024-09"/>
    <s v="No discount"/>
    <n v="0.15475823841161174"/>
    <s v="No"/>
  </r>
  <r>
    <s v="ORD-101377"/>
    <d v="2024-09-04T00:00:00"/>
    <s v="CUST-00156"/>
    <x v="2"/>
    <x v="1"/>
    <s v="Laptop"/>
    <s v="AirBook Slim"/>
    <n v="1"/>
    <n v="81295.25"/>
    <n v="0.2"/>
    <n v="65036.2"/>
    <n v="-3980.51"/>
    <s v="Debit Card"/>
    <s v="2024-09"/>
    <s v="16-20%"/>
    <n v="-6.1204529169908456E-2"/>
    <s v="Yes"/>
  </r>
  <r>
    <s v="ORD-100774"/>
    <d v="2024-09-05T00:00:00"/>
    <s v="CUST-00211"/>
    <x v="1"/>
    <x v="4"/>
    <s v="Outdoor"/>
    <s v="AllWeather Tent 4P"/>
    <n v="3"/>
    <n v="11509.2"/>
    <n v="0.05"/>
    <n v="32801.22"/>
    <n v="11276.93"/>
    <s v="UPI"/>
    <s v="2024-09"/>
    <s v="1-10%"/>
    <n v="0.34379605392726248"/>
    <s v="No"/>
  </r>
  <r>
    <s v="ORD-101594"/>
    <d v="2024-09-05T00:00:00"/>
    <s v="CUST-00470"/>
    <x v="2"/>
    <x v="1"/>
    <s v="Mobile"/>
    <s v="Galaxy Nova X5"/>
    <n v="1"/>
    <n v="23887.5"/>
    <n v="0"/>
    <n v="23887.5"/>
    <n v="4159.24"/>
    <s v="UPI"/>
    <s v="2024-09"/>
    <s v="No discount"/>
    <n v="0.17411784406070119"/>
    <s v="No"/>
  </r>
  <r>
    <s v="ORD-101972"/>
    <d v="2024-09-05T00:00:00"/>
    <s v="CUST-00376"/>
    <x v="2"/>
    <x v="0"/>
    <s v="Skincare"/>
    <s v="HydraBoost Moisturizer"/>
    <n v="1"/>
    <n v="1149.9000000000001"/>
    <n v="0.2"/>
    <n v="919.92"/>
    <n v="279.05"/>
    <s v="UPI"/>
    <s v="2024-09"/>
    <s v="16-20%"/>
    <n v="0.30334159492129753"/>
    <s v="No"/>
  </r>
  <r>
    <s v="ORD-101355"/>
    <d v="2024-09-06T00:00:00"/>
    <s v="CUST-00088"/>
    <x v="3"/>
    <x v="0"/>
    <s v="Makeup"/>
    <s v="HD Foundation Kit"/>
    <n v="1"/>
    <n v="1546.64"/>
    <n v="0.1"/>
    <n v="1391.98"/>
    <n v="570.91999999999996"/>
    <s v="UPI"/>
    <s v="2024-09"/>
    <s v="1-10%"/>
    <n v="0.41014957111452749"/>
    <s v="No"/>
  </r>
  <r>
    <s v="ORD-100821"/>
    <d v="2024-09-07T00:00:00"/>
    <s v="CUST-00274"/>
    <x v="2"/>
    <x v="2"/>
    <s v="Appliances"/>
    <s v="AirFryer Deluxe"/>
    <n v="1"/>
    <n v="7884.58"/>
    <n v="0.15"/>
    <n v="6701.89"/>
    <n v="1278.0999999999999"/>
    <s v="Debit Card"/>
    <s v="2024-09"/>
    <s v="11-15%"/>
    <n v="0.19070739746549106"/>
    <s v="No"/>
  </r>
  <r>
    <s v="ORD-100933"/>
    <d v="2024-09-07T00:00:00"/>
    <s v="CUST-00468"/>
    <x v="2"/>
    <x v="0"/>
    <s v="Skincare"/>
    <s v="Vitamin C Serum"/>
    <n v="1"/>
    <n v="876.05"/>
    <n v="0.1"/>
    <n v="788.44"/>
    <n v="361.72"/>
    <s v="Cash on Delivery"/>
    <s v="2024-09"/>
    <s v="1-10%"/>
    <n v="0.45877936177768758"/>
    <s v="No"/>
  </r>
  <r>
    <s v="ORD-101394"/>
    <d v="2024-09-07T00:00:00"/>
    <s v="CUST-00554"/>
    <x v="0"/>
    <x v="1"/>
    <s v="Mobile"/>
    <s v="iPhone Zeta"/>
    <n v="3"/>
    <n v="71001.039999999994"/>
    <n v="0.1"/>
    <n v="191702.81"/>
    <n v="18477.8"/>
    <s v="UPI"/>
    <s v="2024-09"/>
    <s v="1-10%"/>
    <n v="9.6387736830774673E-2"/>
    <s v="No"/>
  </r>
  <r>
    <s v="ORD-101440"/>
    <d v="2024-09-07T00:00:00"/>
    <s v="CUST-00118"/>
    <x v="0"/>
    <x v="3"/>
    <s v="Footwear"/>
    <s v="UrbanLoafers"/>
    <n v="1"/>
    <n v="3611.34"/>
    <n v="0.05"/>
    <n v="3430.77"/>
    <n v="1276.02"/>
    <s v="UPI"/>
    <s v="2024-09"/>
    <s v="1-10%"/>
    <n v="0.37193399732421584"/>
    <s v="No"/>
  </r>
  <r>
    <s v="ORD-101647"/>
    <d v="2024-09-07T00:00:00"/>
    <s v="CUST-00042"/>
    <x v="2"/>
    <x v="0"/>
    <s v="Skincare"/>
    <s v="Vitamin C Serum"/>
    <n v="1"/>
    <n v="940.09"/>
    <n v="0"/>
    <n v="940.09"/>
    <n v="498.04"/>
    <s v="Cash on Delivery"/>
    <s v="2024-09"/>
    <s v="No discount"/>
    <n v="0.52977906370666639"/>
    <s v="No"/>
  </r>
  <r>
    <s v="ORD-101761"/>
    <d v="2024-09-07T00:00:00"/>
    <s v="CUST-00196"/>
    <x v="0"/>
    <x v="0"/>
    <s v="Skincare"/>
    <s v="HydraBoost Moisturizer"/>
    <n v="1"/>
    <n v="1207.29"/>
    <n v="0"/>
    <n v="1207.29"/>
    <n v="615.95000000000005"/>
    <s v="Debit Card"/>
    <s v="2024-09"/>
    <s v="No discount"/>
    <n v="0.5101922487554772"/>
    <s v="No"/>
  </r>
  <r>
    <s v="ORD-100224"/>
    <d v="2024-09-08T00:00:00"/>
    <s v="CUST-00420"/>
    <x v="1"/>
    <x v="2"/>
    <s v="Furniture"/>
    <s v="ErgoComfort Chair"/>
    <n v="1"/>
    <n v="9056.42"/>
    <n v="0"/>
    <n v="9056.42"/>
    <n v="2846.55"/>
    <s v="Credit Card"/>
    <s v="2024-09"/>
    <s v="No discount"/>
    <n v="0.31431294043341629"/>
    <s v="No"/>
  </r>
  <r>
    <s v="ORD-101197"/>
    <d v="2024-09-08T00:00:00"/>
    <s v="CUST-00350"/>
    <x v="3"/>
    <x v="3"/>
    <s v="Men"/>
    <s v="Oxford Casual Shirt"/>
    <n v="1"/>
    <n v="1274.8499999999999"/>
    <n v="0.15"/>
    <n v="1083.6199999999999"/>
    <n v="265.5"/>
    <s v="Credit Card"/>
    <s v="2024-09"/>
    <s v="11-15%"/>
    <n v="0.24501208910872818"/>
    <s v="No"/>
  </r>
  <r>
    <s v="ORD-101543"/>
    <d v="2024-09-08T00:00:00"/>
    <s v="CUST-00504"/>
    <x v="2"/>
    <x v="3"/>
    <s v="Footwear"/>
    <s v="RunFlex Sneakers"/>
    <n v="1"/>
    <n v="3074.57"/>
    <n v="0.05"/>
    <n v="2920.84"/>
    <n v="1140.3399999999999"/>
    <s v="UPI"/>
    <s v="2024-09"/>
    <s v="1-10%"/>
    <n v="0.39041508607113018"/>
    <s v="No"/>
  </r>
  <r>
    <s v="ORD-101746"/>
    <d v="2024-09-08T00:00:00"/>
    <s v="CUST-00315"/>
    <x v="2"/>
    <x v="2"/>
    <s v="Decor"/>
    <s v="Ceramic Vase Set"/>
    <n v="1"/>
    <n v="1433.32"/>
    <n v="0.05"/>
    <n v="1361.65"/>
    <n v="330.63"/>
    <s v="UPI"/>
    <s v="2024-09"/>
    <s v="1-10%"/>
    <n v="0.24281570153857451"/>
    <s v="No"/>
  </r>
  <r>
    <s v="ORD-100019"/>
    <d v="2024-09-09T00:00:00"/>
    <s v="CUST-00041"/>
    <x v="1"/>
    <x v="0"/>
    <s v="Skincare"/>
    <s v="Vitamin C Serum"/>
    <n v="5"/>
    <n v="870.76"/>
    <n v="0"/>
    <n v="4353.8"/>
    <n v="2427.69"/>
    <s v="UPI"/>
    <s v="2024-09"/>
    <s v="No discount"/>
    <n v="0.55760255409067938"/>
    <s v="No"/>
  </r>
  <r>
    <s v="ORD-100467"/>
    <d v="2024-09-09T00:00:00"/>
    <s v="CUST-00445"/>
    <x v="0"/>
    <x v="3"/>
    <s v="Men"/>
    <s v="Oxford Casual Shirt"/>
    <n v="3"/>
    <n v="1363.39"/>
    <n v="0.05"/>
    <n v="3885.66"/>
    <n v="1437.02"/>
    <s v="UPI"/>
    <s v="2024-09"/>
    <s v="1-10%"/>
    <n v="0.36982649022302516"/>
    <s v="No"/>
  </r>
  <r>
    <s v="ORD-100648"/>
    <d v="2024-09-09T00:00:00"/>
    <s v="CUST-00036"/>
    <x v="1"/>
    <x v="2"/>
    <s v="Appliances"/>
    <s v="ColdBrew Coffee Maker"/>
    <n v="1"/>
    <n v="6621.5"/>
    <n v="0.05"/>
    <n v="6290.42"/>
    <n v="1813"/>
    <s v="Net Banking"/>
    <s v="2024-09"/>
    <s v="1-10%"/>
    <n v="0.2882160491668283"/>
    <s v="No"/>
  </r>
  <r>
    <s v="ORD-101649"/>
    <d v="2024-09-09T00:00:00"/>
    <s v="CUST-00168"/>
    <x v="2"/>
    <x v="3"/>
    <s v="Women"/>
    <s v="Knit Winter Sweater"/>
    <n v="2"/>
    <n v="2131.63"/>
    <n v="0"/>
    <n v="4263.26"/>
    <n v="1884.62"/>
    <s v="UPI"/>
    <s v="2024-09"/>
    <s v="No discount"/>
    <n v="0.44206077039636332"/>
    <s v="No"/>
  </r>
  <r>
    <s v="ORD-101711"/>
    <d v="2024-09-09T00:00:00"/>
    <s v="CUST-00205"/>
    <x v="0"/>
    <x v="2"/>
    <s v="Decor"/>
    <s v="Ceramic Vase Set"/>
    <n v="1"/>
    <n v="1502.78"/>
    <n v="0"/>
    <n v="1502.78"/>
    <n v="441.68"/>
    <s v="Debit Card"/>
    <s v="2024-09"/>
    <s v="No discount"/>
    <n v="0.29390862268595536"/>
    <s v="No"/>
  </r>
  <r>
    <s v="ORD-100012"/>
    <d v="2024-09-10T00:00:00"/>
    <s v="CUST-00347"/>
    <x v="0"/>
    <x v="3"/>
    <s v="Footwear"/>
    <s v="RunFlex Sneakers"/>
    <n v="2"/>
    <n v="3050.49"/>
    <n v="0.05"/>
    <n v="5795.93"/>
    <n v="2042.33"/>
    <s v="Credit Card"/>
    <s v="2024-09"/>
    <s v="1-10%"/>
    <n v="0.35237313080040644"/>
    <s v="No"/>
  </r>
  <r>
    <s v="ORD-100597"/>
    <d v="2024-09-10T00:00:00"/>
    <s v="CUST-00245"/>
    <x v="0"/>
    <x v="2"/>
    <s v="Furniture"/>
    <s v="Oakwood Study Desk"/>
    <n v="1"/>
    <n v="12380.28"/>
    <n v="0.05"/>
    <n v="11761.27"/>
    <n v="3484.6"/>
    <s v="Debit Card"/>
    <s v="2024-09"/>
    <s v="1-10%"/>
    <n v="0.29627752785200917"/>
    <s v="No"/>
  </r>
  <r>
    <s v="ORD-100698"/>
    <d v="2024-09-10T00:00:00"/>
    <s v="CUST-00440"/>
    <x v="2"/>
    <x v="2"/>
    <s v="Decor"/>
    <s v="Ceramic Vase Set"/>
    <n v="2"/>
    <n v="1446.91"/>
    <n v="0"/>
    <n v="2893.82"/>
    <n v="957.56"/>
    <s v="Debit Card"/>
    <s v="2024-09"/>
    <s v="No discount"/>
    <n v="0.33089825904859316"/>
    <s v="No"/>
  </r>
  <r>
    <s v="ORD-100360"/>
    <d v="2024-09-11T00:00:00"/>
    <s v="CUST-00454"/>
    <x v="2"/>
    <x v="1"/>
    <s v="Audio"/>
    <s v="BassBoom Speaker"/>
    <n v="1"/>
    <n v="8774.1"/>
    <n v="0.2"/>
    <n v="7019.28"/>
    <n v="-417.46"/>
    <s v="Cash on Delivery"/>
    <s v="2024-09"/>
    <s v="16-20%"/>
    <n v="-5.9473336296600218E-2"/>
    <s v="Yes"/>
  </r>
  <r>
    <s v="ORD-101135"/>
    <d v="2024-09-11T00:00:00"/>
    <s v="CUST-00157"/>
    <x v="0"/>
    <x v="1"/>
    <s v="Audio"/>
    <s v="BassBoom Speaker"/>
    <n v="3"/>
    <n v="9290.6299999999992"/>
    <n v="0"/>
    <n v="27871.89"/>
    <n v="5139.6099999999997"/>
    <s v="UPI"/>
    <s v="2024-09"/>
    <s v="No discount"/>
    <n v="0.18440120135376539"/>
    <s v="No"/>
  </r>
  <r>
    <s v="ORD-101170"/>
    <d v="2024-09-11T00:00:00"/>
    <s v="CUST-00042"/>
    <x v="1"/>
    <x v="4"/>
    <s v="Outdoor"/>
    <s v="AllWeather Tent 4P"/>
    <n v="1"/>
    <n v="12107.88"/>
    <n v="0"/>
    <n v="12107.88"/>
    <n v="4840.04"/>
    <s v="Credit Card"/>
    <s v="2024-09"/>
    <s v="No discount"/>
    <n v="0.3997429773007331"/>
    <s v="No"/>
  </r>
  <r>
    <s v="ORD-101318"/>
    <d v="2024-09-11T00:00:00"/>
    <s v="CUST-00291"/>
    <x v="3"/>
    <x v="3"/>
    <s v="Footwear"/>
    <s v="RunFlex Sneakers"/>
    <n v="1"/>
    <n v="3086.01"/>
    <n v="0.15"/>
    <n v="2623.11"/>
    <n v="633.16999999999996"/>
    <s v="UPI"/>
    <s v="2024-09"/>
    <s v="11-15%"/>
    <n v="0.24138141366545815"/>
    <s v="No"/>
  </r>
  <r>
    <s v="ORD-101323"/>
    <d v="2024-09-11T00:00:00"/>
    <s v="CUST-00168"/>
    <x v="2"/>
    <x v="0"/>
    <s v="Makeup"/>
    <s v="Matte Lipstick Set"/>
    <n v="1"/>
    <n v="955.38"/>
    <n v="0.1"/>
    <n v="859.84"/>
    <n v="360.27"/>
    <s v="Debit Card"/>
    <s v="2024-09"/>
    <s v="1-10%"/>
    <n v="0.41899655749906956"/>
    <s v="No"/>
  </r>
  <r>
    <s v="ORD-101725"/>
    <d v="2024-09-11T00:00:00"/>
    <s v="CUST-00560"/>
    <x v="3"/>
    <x v="1"/>
    <s v="Audio"/>
    <s v="SoundPods Pro"/>
    <n v="4"/>
    <n v="5107.3900000000003"/>
    <n v="0.15"/>
    <n v="17365.13"/>
    <n v="-121.3"/>
    <s v="Credit Card"/>
    <s v="2024-09"/>
    <s v="11-15%"/>
    <n v="-6.9852629954397115E-3"/>
    <s v="Yes"/>
  </r>
  <r>
    <s v="ORD-100596"/>
    <d v="2024-09-12T00:00:00"/>
    <s v="CUST-00338"/>
    <x v="2"/>
    <x v="0"/>
    <s v="Makeup"/>
    <s v="HD Foundation Kit"/>
    <n v="1"/>
    <n v="1436.31"/>
    <n v="0"/>
    <n v="1436.31"/>
    <n v="798.22"/>
    <s v="Debit Card"/>
    <s v="2024-09"/>
    <s v="No discount"/>
    <n v="0.55574353725866987"/>
    <s v="No"/>
  </r>
  <r>
    <s v="ORD-101053"/>
    <d v="2024-09-12T00:00:00"/>
    <s v="CUST-00482"/>
    <x v="1"/>
    <x v="3"/>
    <s v="Men"/>
    <s v="Oxford Casual Shirt"/>
    <n v="3"/>
    <n v="1352.44"/>
    <n v="0.1"/>
    <n v="3651.59"/>
    <n v="1174.53"/>
    <s v="Debit Card"/>
    <s v="2024-09"/>
    <s v="1-10%"/>
    <n v="0.32164892553654706"/>
    <s v="No"/>
  </r>
  <r>
    <s v="ORD-100130"/>
    <d v="2024-09-13T00:00:00"/>
    <s v="CUST-00565"/>
    <x v="0"/>
    <x v="1"/>
    <s v="Audio"/>
    <s v="SoundPods Pro"/>
    <n v="1"/>
    <n v="5216.33"/>
    <n v="0"/>
    <n v="5216.33"/>
    <n v="824.38"/>
    <s v="Credit Card"/>
    <s v="2024-09"/>
    <s v="No discount"/>
    <n v="0.15803831429376591"/>
    <s v="No"/>
  </r>
  <r>
    <s v="ORD-100335"/>
    <d v="2024-09-13T00:00:00"/>
    <s v="CUST-00387"/>
    <x v="3"/>
    <x v="0"/>
    <s v="Skincare"/>
    <s v="HydraBoost Moisturizer"/>
    <n v="1"/>
    <n v="1206.03"/>
    <n v="0.05"/>
    <n v="1145.73"/>
    <n v="564.55999999999995"/>
    <s v="UPI"/>
    <s v="2024-09"/>
    <s v="1-10%"/>
    <n v="0.4927513463032302"/>
    <s v="No"/>
  </r>
  <r>
    <s v="ORD-100345"/>
    <d v="2024-09-13T00:00:00"/>
    <s v="CUST-00582"/>
    <x v="3"/>
    <x v="3"/>
    <s v="Women"/>
    <s v="Knit Winter Sweater"/>
    <n v="1"/>
    <n v="2227.73"/>
    <n v="0.2"/>
    <n v="1782.18"/>
    <n v="343.46"/>
    <s v="Credit Card"/>
    <s v="2024-09"/>
    <s v="16-20%"/>
    <n v="0.1927190295031927"/>
    <s v="No"/>
  </r>
  <r>
    <s v="ORD-101589"/>
    <d v="2024-09-13T00:00:00"/>
    <s v="CUST-00280"/>
    <x v="3"/>
    <x v="1"/>
    <s v="Mobile"/>
    <s v="Pixel Aura 12"/>
    <n v="1"/>
    <n v="32265.54"/>
    <n v="0.15"/>
    <n v="27425.71"/>
    <n v="10.68"/>
    <s v="UPI"/>
    <s v="2024-09"/>
    <s v="11-15%"/>
    <n v="3.8941562497379282E-4"/>
    <s v="No"/>
  </r>
  <r>
    <s v="ORD-101995"/>
    <d v="2024-09-13T00:00:00"/>
    <s v="CUST-00387"/>
    <x v="2"/>
    <x v="3"/>
    <s v="Men"/>
    <s v="Oxford Casual Shirt"/>
    <n v="5"/>
    <n v="1260.97"/>
    <n v="0.15"/>
    <n v="5359.12"/>
    <n v="1507.77"/>
    <s v="UPI"/>
    <s v="2024-09"/>
    <s v="11-15%"/>
    <n v="0.28134656436131306"/>
    <s v="No"/>
  </r>
  <r>
    <s v="ORD-100813"/>
    <d v="2024-09-14T00:00:00"/>
    <s v="CUST-00367"/>
    <x v="2"/>
    <x v="0"/>
    <s v="Makeup"/>
    <s v="Matte Lipstick Set"/>
    <n v="1"/>
    <n v="1009.14"/>
    <n v="0"/>
    <n v="1009.14"/>
    <n v="541.38"/>
    <s v="Cash on Delivery"/>
    <s v="2024-09"/>
    <s v="No discount"/>
    <n v="0.53647660384089424"/>
    <s v="No"/>
  </r>
  <r>
    <s v="ORD-101122"/>
    <d v="2024-09-14T00:00:00"/>
    <s v="CUST-00418"/>
    <x v="1"/>
    <x v="4"/>
    <s v="Outdoor"/>
    <s v="AllWeather Tent 4P"/>
    <n v="5"/>
    <n v="11823.74"/>
    <n v="0.25"/>
    <n v="44339.02"/>
    <n v="4475.6400000000003"/>
    <s v="Debit Card"/>
    <s v="2024-09"/>
    <s v="21%+"/>
    <n v="0.10094133790056706"/>
    <s v="No"/>
  </r>
  <r>
    <s v="ORD-101203"/>
    <d v="2024-09-14T00:00:00"/>
    <s v="CUST-00042"/>
    <x v="3"/>
    <x v="1"/>
    <s v="Mobile"/>
    <s v="Pixel Aura 12"/>
    <n v="2"/>
    <n v="33732.400000000001"/>
    <n v="0"/>
    <n v="67464.800000000003"/>
    <n v="14005.91"/>
    <s v="UPI"/>
    <s v="2024-09"/>
    <s v="No discount"/>
    <n v="0.20760322419987903"/>
    <s v="No"/>
  </r>
  <r>
    <s v="ORD-101298"/>
    <d v="2024-09-14T00:00:00"/>
    <s v="CUST-00003"/>
    <x v="0"/>
    <x v="4"/>
    <s v="Outdoor"/>
    <s v="AllWeather Tent 4P"/>
    <n v="1"/>
    <n v="12533.88"/>
    <n v="0.2"/>
    <n v="10027.1"/>
    <n v="1304.55"/>
    <s v="UPI"/>
    <s v="2024-09"/>
    <s v="16-20%"/>
    <n v="0.13010242243520059"/>
    <s v="No"/>
  </r>
  <r>
    <s v="ORD-101337"/>
    <d v="2024-09-14T00:00:00"/>
    <s v="CUST-00530"/>
    <x v="2"/>
    <x v="2"/>
    <s v="Appliances"/>
    <s v="AirFryer Deluxe"/>
    <n v="1"/>
    <n v="7740.53"/>
    <n v="0"/>
    <n v="7740.53"/>
    <n v="2683.88"/>
    <s v="UPI"/>
    <s v="2024-09"/>
    <s v="No discount"/>
    <n v="0.34673077941691333"/>
    <s v="No"/>
  </r>
  <r>
    <s v="ORD-101481"/>
    <d v="2024-09-14T00:00:00"/>
    <s v="CUST-00183"/>
    <x v="1"/>
    <x v="4"/>
    <s v="Outdoor"/>
    <s v="TrailHike Backpack 60L"/>
    <n v="3"/>
    <n v="3533.38"/>
    <n v="0.25"/>
    <n v="7950.1"/>
    <n v="641.59"/>
    <s v="Credit Card"/>
    <s v="2024-09"/>
    <s v="21%+"/>
    <n v="8.0702129532961853E-2"/>
    <s v="No"/>
  </r>
  <r>
    <s v="ORD-101654"/>
    <d v="2024-09-14T00:00:00"/>
    <s v="CUST-00146"/>
    <x v="3"/>
    <x v="4"/>
    <s v="Fitness"/>
    <s v="Adjustable Dumbbell 24kg"/>
    <n v="3"/>
    <n v="9817.52"/>
    <n v="0"/>
    <n v="29452.560000000001"/>
    <n v="11587.3"/>
    <s v="Net Banking"/>
    <s v="2024-09"/>
    <s v="No discount"/>
    <n v="0.39342250724555011"/>
    <s v="No"/>
  </r>
  <r>
    <s v="ORD-100809"/>
    <d v="2024-09-15T00:00:00"/>
    <s v="CUST-00293"/>
    <x v="1"/>
    <x v="0"/>
    <s v="Skincare"/>
    <s v="Vitamin C Serum"/>
    <n v="1"/>
    <n v="888"/>
    <n v="0.1"/>
    <n v="799.2"/>
    <n v="378.91"/>
    <s v="UPI"/>
    <s v="2024-09"/>
    <s v="1-10%"/>
    <n v="0.47411161161161164"/>
    <s v="No"/>
  </r>
  <r>
    <s v="ORD-100865"/>
    <d v="2024-09-15T00:00:00"/>
    <s v="CUST-00346"/>
    <x v="0"/>
    <x v="3"/>
    <s v="Women"/>
    <s v="Floral Summer Dress"/>
    <n v="1"/>
    <n v="1859.82"/>
    <n v="0.05"/>
    <n v="1766.83"/>
    <n v="643.78"/>
    <s v="Debit Card"/>
    <s v="2024-09"/>
    <s v="1-10%"/>
    <n v="0.36437008653916902"/>
    <s v="No"/>
  </r>
  <r>
    <s v="ORD-101515"/>
    <d v="2024-09-15T00:00:00"/>
    <s v="CUST-00107"/>
    <x v="3"/>
    <x v="4"/>
    <s v="Fitness"/>
    <s v="Adjustable Dumbbell 24kg"/>
    <n v="1"/>
    <n v="10400.69"/>
    <n v="0.1"/>
    <n v="9360.6200000000008"/>
    <n v="2119.6799999999998"/>
    <s v="UPI"/>
    <s v="2024-09"/>
    <s v="1-10%"/>
    <n v="0.2264465387976437"/>
    <s v="No"/>
  </r>
  <r>
    <s v="ORD-100880"/>
    <d v="2024-09-16T00:00:00"/>
    <s v="CUST-00059"/>
    <x v="2"/>
    <x v="2"/>
    <s v="Appliances"/>
    <s v="AirFryer Deluxe"/>
    <n v="2"/>
    <n v="7818.98"/>
    <n v="0"/>
    <n v="15637.96"/>
    <n v="5133.92"/>
    <s v="Credit Card"/>
    <s v="2024-09"/>
    <s v="No discount"/>
    <n v="0.32829857602909845"/>
    <s v="No"/>
  </r>
  <r>
    <s v="ORD-101278"/>
    <d v="2024-09-16T00:00:00"/>
    <s v="CUST-00511"/>
    <x v="1"/>
    <x v="4"/>
    <s v="Outdoor"/>
    <s v="AllWeather Tent 4P"/>
    <n v="1"/>
    <n v="11746.83"/>
    <n v="0.15"/>
    <n v="9984.81"/>
    <n v="2424.83"/>
    <s v="UPI"/>
    <s v="2024-09"/>
    <s v="11-15%"/>
    <n v="0.24285189202398444"/>
    <s v="No"/>
  </r>
  <r>
    <s v="ORD-101351"/>
    <d v="2024-09-16T00:00:00"/>
    <s v="CUST-00038"/>
    <x v="3"/>
    <x v="0"/>
    <s v="Skincare"/>
    <s v="HydraBoost Moisturizer"/>
    <n v="5"/>
    <n v="1208.45"/>
    <n v="0.05"/>
    <n v="5740.14"/>
    <n v="2658.42"/>
    <s v="UPI"/>
    <s v="2024-09"/>
    <s v="1-10%"/>
    <n v="0.46312807701554315"/>
    <s v="No"/>
  </r>
  <r>
    <s v="ORD-101907"/>
    <d v="2024-09-16T00:00:00"/>
    <s v="CUST-00293"/>
    <x v="2"/>
    <x v="3"/>
    <s v="Footwear"/>
    <s v="UrbanLoafers"/>
    <n v="1"/>
    <n v="3354.07"/>
    <n v="0.15"/>
    <n v="2850.96"/>
    <n v="638.75"/>
    <s v="UPI"/>
    <s v="2024-09"/>
    <s v="11-15%"/>
    <n v="0.22404733844038499"/>
    <s v="No"/>
  </r>
  <r>
    <s v="ORD-101103"/>
    <d v="2024-09-17T00:00:00"/>
    <s v="CUST-00259"/>
    <x v="3"/>
    <x v="3"/>
    <s v="Footwear"/>
    <s v="UrbanLoafers"/>
    <n v="1"/>
    <n v="3574.94"/>
    <n v="0.05"/>
    <n v="3396.19"/>
    <n v="1348.62"/>
    <s v="UPI"/>
    <s v="2024-09"/>
    <s v="1-10%"/>
    <n v="0.39709792443885644"/>
    <s v="No"/>
  </r>
  <r>
    <s v="ORD-100095"/>
    <d v="2024-09-18T00:00:00"/>
    <s v="CUST-00123"/>
    <x v="0"/>
    <x v="0"/>
    <s v="Makeup"/>
    <s v="Matte Lipstick Set"/>
    <n v="1"/>
    <n v="954.52"/>
    <n v="0.4"/>
    <n v="572.71"/>
    <n v="38"/>
    <s v="Debit Card"/>
    <s v="2024-09"/>
    <s v="21%+"/>
    <n v="6.6351207417366553E-2"/>
    <s v="No"/>
  </r>
  <r>
    <s v="ORD-101414"/>
    <d v="2024-09-18T00:00:00"/>
    <s v="CUST-00421"/>
    <x v="0"/>
    <x v="0"/>
    <s v="Makeup"/>
    <s v="Matte Lipstick Set"/>
    <n v="1"/>
    <n v="965.93"/>
    <n v="0"/>
    <n v="965.93"/>
    <n v="503.03"/>
    <s v="UPI"/>
    <s v="2024-09"/>
    <s v="No discount"/>
    <n v="0.52077272680214926"/>
    <s v="No"/>
  </r>
  <r>
    <s v="ORD-101511"/>
    <d v="2024-09-18T00:00:00"/>
    <s v="CUST-00585"/>
    <x v="3"/>
    <x v="1"/>
    <s v="Laptop"/>
    <s v="AirBook Slim"/>
    <n v="1"/>
    <n v="79419.64"/>
    <n v="0.1"/>
    <n v="71477.679999999993"/>
    <n v="5190.93"/>
    <s v="Credit Card"/>
    <s v="2024-09"/>
    <s v="1-10%"/>
    <n v="7.2623090173044233E-2"/>
    <s v="No"/>
  </r>
  <r>
    <s v="ORD-100533"/>
    <d v="2024-09-19T00:00:00"/>
    <s v="CUST-00571"/>
    <x v="2"/>
    <x v="3"/>
    <s v="Footwear"/>
    <s v="UrbanLoafers"/>
    <n v="4"/>
    <n v="3563.48"/>
    <n v="0.05"/>
    <n v="13541.22"/>
    <n v="4863.37"/>
    <s v="UPI"/>
    <s v="2024-09"/>
    <s v="1-10%"/>
    <n v="0.35915301575485814"/>
    <s v="No"/>
  </r>
  <r>
    <s v="ORD-101828"/>
    <d v="2024-09-19T00:00:00"/>
    <s v="CUST-00215"/>
    <x v="1"/>
    <x v="1"/>
    <s v="Laptop"/>
    <s v="AirBook Slim"/>
    <n v="1"/>
    <n v="82639.91"/>
    <n v="0"/>
    <n v="82639.91"/>
    <n v="16456.32"/>
    <s v="Net Banking"/>
    <s v="2024-09"/>
    <s v="No discount"/>
    <n v="0.19913284029471956"/>
    <s v="No"/>
  </r>
  <r>
    <s v="ORD-100151"/>
    <d v="2024-09-20T00:00:00"/>
    <s v="CUST-00015"/>
    <x v="2"/>
    <x v="0"/>
    <s v="Makeup"/>
    <s v="Matte Lipstick Set"/>
    <n v="3"/>
    <n v="968.31"/>
    <n v="0.05"/>
    <n v="2759.68"/>
    <n v="1273.6199999999999"/>
    <s v="Credit Card"/>
    <s v="2024-09"/>
    <s v="1-10%"/>
    <n v="0.46151003014842301"/>
    <s v="No"/>
  </r>
  <r>
    <s v="ORD-100253"/>
    <d v="2024-09-21T00:00:00"/>
    <s v="CUST-00069"/>
    <x v="3"/>
    <x v="3"/>
    <s v="Men"/>
    <s v="SlimFit Denim Jeans"/>
    <n v="3"/>
    <n v="1983.68"/>
    <n v="0"/>
    <n v="5951.04"/>
    <n v="2731.9"/>
    <s v="Cash on Delivery"/>
    <s v="2024-09"/>
    <s v="No discount"/>
    <n v="0.45906261762649891"/>
    <s v="No"/>
  </r>
  <r>
    <s v="ORD-100567"/>
    <d v="2024-09-21T00:00:00"/>
    <s v="CUST-00312"/>
    <x v="2"/>
    <x v="0"/>
    <s v="Makeup"/>
    <s v="Matte Lipstick Set"/>
    <n v="1"/>
    <n v="1001.13"/>
    <n v="0.1"/>
    <n v="901.02"/>
    <n v="410.47"/>
    <s v="UPI"/>
    <s v="2024-09"/>
    <s v="1-10%"/>
    <n v="0.45556147477303505"/>
    <s v="No"/>
  </r>
  <r>
    <s v="ORD-101154"/>
    <d v="2024-09-21T00:00:00"/>
    <s v="CUST-00300"/>
    <x v="2"/>
    <x v="1"/>
    <s v="Audio"/>
    <s v="BassBoom Speaker"/>
    <n v="1"/>
    <n v="9400.8799999999992"/>
    <n v="0.1"/>
    <n v="8460.7900000000009"/>
    <n v="225.52"/>
    <s v="Debit Card"/>
    <s v="2024-09"/>
    <s v="1-10%"/>
    <n v="2.6654721367626425E-2"/>
    <s v="No"/>
  </r>
  <r>
    <s v="ORD-101322"/>
    <d v="2024-09-21T00:00:00"/>
    <s v="CUST-00155"/>
    <x v="2"/>
    <x v="3"/>
    <s v="Men"/>
    <s v="SlimFit Denim Jeans"/>
    <n v="1"/>
    <n v="2038.32"/>
    <n v="0.05"/>
    <n v="1936.4"/>
    <n v="659.8"/>
    <s v="Credit Card"/>
    <s v="2024-09"/>
    <s v="1-10%"/>
    <n v="0.34073538525098118"/>
    <s v="No"/>
  </r>
  <r>
    <s v="ORD-101457"/>
    <d v="2024-09-21T00:00:00"/>
    <s v="CUST-00462"/>
    <x v="2"/>
    <x v="1"/>
    <s v="Laptop"/>
    <s v="ThinkPro 14"/>
    <n v="1"/>
    <n v="55488.98"/>
    <n v="0.25"/>
    <n v="41616.74"/>
    <n v="-3631.54"/>
    <s v="Debit Card"/>
    <s v="2024-09"/>
    <s v="21%+"/>
    <n v="-8.7261520244017191E-2"/>
    <s v="Yes"/>
  </r>
  <r>
    <s v="ORD-101596"/>
    <d v="2024-09-21T00:00:00"/>
    <s v="CUST-00048"/>
    <x v="3"/>
    <x v="3"/>
    <s v="Men"/>
    <s v="Oxford Casual Shirt"/>
    <n v="4"/>
    <n v="1235.55"/>
    <n v="0.15"/>
    <n v="4200.87"/>
    <n v="1118.8399999999999"/>
    <s v="UPI"/>
    <s v="2024-09"/>
    <s v="11-15%"/>
    <n v="0.26633530673408123"/>
    <s v="No"/>
  </r>
  <r>
    <s v="ORD-100342"/>
    <d v="2024-09-22T00:00:00"/>
    <s v="CUST-00270"/>
    <x v="2"/>
    <x v="4"/>
    <s v="Fitness"/>
    <s v="Adjustable Dumbbell 24kg"/>
    <n v="1"/>
    <n v="10173.09"/>
    <n v="0"/>
    <n v="10173.09"/>
    <n v="3767.65"/>
    <s v="UPI"/>
    <s v="2024-09"/>
    <s v="No discount"/>
    <n v="0.37035453338169622"/>
    <s v="No"/>
  </r>
  <r>
    <s v="ORD-100408"/>
    <d v="2024-09-22T00:00:00"/>
    <s v="CUST-00363"/>
    <x v="3"/>
    <x v="0"/>
    <s v="Skincare"/>
    <s v="HydraBoost Moisturizer"/>
    <n v="2"/>
    <n v="1233.55"/>
    <n v="0.1"/>
    <n v="2220.39"/>
    <n v="1002.6"/>
    <s v="Debit Card"/>
    <s v="2024-09"/>
    <s v="1-10%"/>
    <n v="0.45154229662356615"/>
    <s v="No"/>
  </r>
  <r>
    <s v="ORD-100743"/>
    <d v="2024-09-22T00:00:00"/>
    <s v="CUST-00056"/>
    <x v="3"/>
    <x v="1"/>
    <s v="Mobile"/>
    <s v="Galaxy Nova X5"/>
    <n v="1"/>
    <n v="25933.4"/>
    <n v="0"/>
    <n v="25933.4"/>
    <n v="4567.2299999999996"/>
    <s v="UPI"/>
    <s v="2024-09"/>
    <s v="No discount"/>
    <n v="0.1761138146174431"/>
    <s v="No"/>
  </r>
  <r>
    <s v="ORD-100947"/>
    <d v="2024-09-22T00:00:00"/>
    <s v="CUST-00024"/>
    <x v="3"/>
    <x v="2"/>
    <s v="Decor"/>
    <s v="LED Wall Lamp"/>
    <n v="2"/>
    <n v="981.14"/>
    <n v="0"/>
    <n v="1962.28"/>
    <n v="604.79999999999995"/>
    <s v="UPI"/>
    <s v="2024-09"/>
    <s v="No discount"/>
    <n v="0.30821289520353873"/>
    <s v="No"/>
  </r>
  <r>
    <s v="ORD-101311"/>
    <d v="2024-09-22T00:00:00"/>
    <s v="CUST-00559"/>
    <x v="2"/>
    <x v="1"/>
    <s v="Audio"/>
    <s v="BassBoom Speaker"/>
    <n v="3"/>
    <n v="8703.41"/>
    <n v="0.1"/>
    <n v="23499.21"/>
    <n v="754.84"/>
    <s v="UPI"/>
    <s v="2024-09"/>
    <s v="1-10%"/>
    <n v="3.2121930907464555E-2"/>
    <s v="No"/>
  </r>
  <r>
    <s v="ORD-101556"/>
    <d v="2024-09-22T00:00:00"/>
    <s v="CUST-00465"/>
    <x v="0"/>
    <x v="1"/>
    <s v="Laptop"/>
    <s v="ThinkPro 14"/>
    <n v="1"/>
    <n v="52987.8"/>
    <n v="0"/>
    <n v="52987.8"/>
    <n v="11052.05"/>
    <s v="UPI"/>
    <s v="2024-09"/>
    <s v="No discount"/>
    <n v="0.20857725740642183"/>
    <s v="No"/>
  </r>
  <r>
    <s v="ORD-101965"/>
    <d v="2024-09-22T00:00:00"/>
    <s v="CUST-00442"/>
    <x v="2"/>
    <x v="0"/>
    <s v="Makeup"/>
    <s v="HD Foundation Kit"/>
    <n v="1"/>
    <n v="1531.22"/>
    <n v="0"/>
    <n v="1531.22"/>
    <n v="823.81"/>
    <s v="Cash on Delivery"/>
    <s v="2024-09"/>
    <s v="No discount"/>
    <n v="0.53800890792962475"/>
    <s v="No"/>
  </r>
  <r>
    <s v="ORD-100314"/>
    <d v="2024-09-23T00:00:00"/>
    <s v="CUST-00553"/>
    <x v="2"/>
    <x v="3"/>
    <s v="Footwear"/>
    <s v="RunFlex Sneakers"/>
    <n v="3"/>
    <n v="2891.04"/>
    <n v="0.2"/>
    <n v="6938.5"/>
    <n v="1339.75"/>
    <s v="Net Banking"/>
    <s v="2024-09"/>
    <s v="16-20%"/>
    <n v="0.19308928442746992"/>
    <s v="No"/>
  </r>
  <r>
    <s v="ORD-100530"/>
    <d v="2024-09-23T00:00:00"/>
    <s v="CUST-00377"/>
    <x v="3"/>
    <x v="0"/>
    <s v="Skincare"/>
    <s v="Vitamin C Serum"/>
    <n v="5"/>
    <n v="917.09"/>
    <n v="0"/>
    <n v="4585.45"/>
    <n v="2400.4899999999998"/>
    <s v="Credit Card"/>
    <s v="2024-09"/>
    <s v="No discount"/>
    <n v="0.5235015102116477"/>
    <s v="No"/>
  </r>
  <r>
    <s v="ORD-101114"/>
    <d v="2024-09-23T00:00:00"/>
    <s v="CUST-00173"/>
    <x v="2"/>
    <x v="2"/>
    <s v="Decor"/>
    <s v="Ceramic Vase Set"/>
    <n v="1"/>
    <n v="1560.34"/>
    <n v="0.15"/>
    <n v="1326.29"/>
    <n v="165.33"/>
    <s v="UPI"/>
    <s v="2024-09"/>
    <s v="11-15%"/>
    <n v="0.12465599529514662"/>
    <s v="No"/>
  </r>
  <r>
    <s v="ORD-101313"/>
    <d v="2024-09-23T00:00:00"/>
    <s v="CUST-00142"/>
    <x v="0"/>
    <x v="1"/>
    <s v="Audio"/>
    <s v="BassBoom Speaker"/>
    <n v="4"/>
    <n v="9282.76"/>
    <n v="0.05"/>
    <n v="35274.49"/>
    <n v="5312.76"/>
    <s v="Net Banking"/>
    <s v="2024-09"/>
    <s v="1-10%"/>
    <n v="0.15061195781994299"/>
    <s v="No"/>
  </r>
  <r>
    <s v="ORD-101476"/>
    <d v="2024-09-23T00:00:00"/>
    <s v="CUST-00188"/>
    <x v="1"/>
    <x v="2"/>
    <s v="Appliances"/>
    <s v="ColdBrew Coffee Maker"/>
    <n v="2"/>
    <n v="6714.57"/>
    <n v="0.3"/>
    <n v="9400.4"/>
    <n v="-158.84"/>
    <s v="Credit Card"/>
    <s v="2024-09"/>
    <s v="21%+"/>
    <n v="-1.6897153312624997E-2"/>
    <s v="Yes"/>
  </r>
  <r>
    <s v="ORD-101483"/>
    <d v="2024-09-23T00:00:00"/>
    <s v="CUST-00392"/>
    <x v="1"/>
    <x v="3"/>
    <s v="Men"/>
    <s v="Oxford Casual Shirt"/>
    <n v="3"/>
    <n v="1248.73"/>
    <n v="0"/>
    <n v="3746.19"/>
    <n v="1476.34"/>
    <s v="Credit Card"/>
    <s v="2024-09"/>
    <s v="No discount"/>
    <n v="0.39409106318686449"/>
    <s v="No"/>
  </r>
  <r>
    <s v="ORD-101200"/>
    <d v="2024-09-24T00:00:00"/>
    <s v="CUST-00265"/>
    <x v="3"/>
    <x v="0"/>
    <s v="Skincare"/>
    <s v="Vitamin C Serum"/>
    <n v="1"/>
    <n v="858.27"/>
    <n v="0"/>
    <n v="858.27"/>
    <n v="446.12"/>
    <s v="Debit Card"/>
    <s v="2024-09"/>
    <s v="No discount"/>
    <n v="0.51978980973353373"/>
    <s v="No"/>
  </r>
  <r>
    <s v="ORD-101348"/>
    <d v="2024-09-24T00:00:00"/>
    <s v="CUST-00055"/>
    <x v="0"/>
    <x v="2"/>
    <s v="Appliances"/>
    <s v="AirFryer Deluxe"/>
    <n v="3"/>
    <n v="7736.83"/>
    <n v="0.05"/>
    <n v="22049.97"/>
    <n v="5574.85"/>
    <s v="Cash on Delivery"/>
    <s v="2024-09"/>
    <s v="1-10%"/>
    <n v="0.25282800838277786"/>
    <s v="No"/>
  </r>
  <r>
    <s v="ORD-101715"/>
    <d v="2024-09-24T00:00:00"/>
    <s v="CUST-00411"/>
    <x v="0"/>
    <x v="3"/>
    <s v="Women"/>
    <s v="Floral Summer Dress"/>
    <n v="1"/>
    <n v="1887.75"/>
    <n v="0.25"/>
    <n v="1415.81"/>
    <n v="179.45"/>
    <s v="UPI"/>
    <s v="2024-09"/>
    <s v="21%+"/>
    <n v="0.12674723303268093"/>
    <s v="No"/>
  </r>
  <r>
    <s v="ORD-101369"/>
    <d v="2024-09-25T00:00:00"/>
    <s v="CUST-00247"/>
    <x v="0"/>
    <x v="0"/>
    <s v="Makeup"/>
    <s v="HD Foundation Kit"/>
    <n v="1"/>
    <n v="1502.02"/>
    <n v="0"/>
    <n v="1502.02"/>
    <n v="879.62"/>
    <s v="UPI"/>
    <s v="2024-09"/>
    <s v="No discount"/>
    <n v="0.5856246920813305"/>
    <s v="No"/>
  </r>
  <r>
    <s v="ORD-101437"/>
    <d v="2024-09-25T00:00:00"/>
    <s v="CUST-00265"/>
    <x v="1"/>
    <x v="3"/>
    <s v="Footwear"/>
    <s v="RunFlex Sneakers"/>
    <n v="2"/>
    <n v="2996.9"/>
    <n v="0.3"/>
    <n v="4195.66"/>
    <n v="413.27"/>
    <s v="Net Banking"/>
    <s v="2024-09"/>
    <s v="21%+"/>
    <n v="9.8499401762773914E-2"/>
    <s v="No"/>
  </r>
  <r>
    <s v="ORD-101738"/>
    <d v="2024-09-25T00:00:00"/>
    <s v="CUST-00205"/>
    <x v="2"/>
    <x v="0"/>
    <s v="Skincare"/>
    <s v="Vitamin C Serum"/>
    <n v="5"/>
    <n v="920.65"/>
    <n v="0"/>
    <n v="4603.25"/>
    <n v="2583.0100000000002"/>
    <s v="UPI"/>
    <s v="2024-09"/>
    <s v="No discount"/>
    <n v="0.56112746429153315"/>
    <s v="No"/>
  </r>
  <r>
    <s v="ORD-100318"/>
    <d v="2024-09-26T00:00:00"/>
    <s v="CUST-00584"/>
    <x v="0"/>
    <x v="4"/>
    <s v="Outdoor"/>
    <s v="AllWeather Tent 4P"/>
    <n v="3"/>
    <n v="12177.21"/>
    <n v="0"/>
    <n v="36531.629999999997"/>
    <n v="12722.43"/>
    <s v="Credit Card"/>
    <s v="2024-09"/>
    <s v="No discount"/>
    <n v="0.34825793428872465"/>
    <s v="No"/>
  </r>
  <r>
    <s v="ORD-101236"/>
    <d v="2024-09-26T00:00:00"/>
    <s v="CUST-00537"/>
    <x v="0"/>
    <x v="1"/>
    <s v="Audio"/>
    <s v="BassBoom Speaker"/>
    <n v="2"/>
    <n v="9379.5"/>
    <n v="0.2"/>
    <n v="15007.2"/>
    <n v="-242.41"/>
    <s v="Credit Card"/>
    <s v="2024-09"/>
    <s v="16-20%"/>
    <n v="-1.6152913268297882E-2"/>
    <s v="Yes"/>
  </r>
  <r>
    <s v="ORD-100323"/>
    <d v="2024-09-27T00:00:00"/>
    <s v="CUST-00351"/>
    <x v="2"/>
    <x v="4"/>
    <s v="Fitness"/>
    <s v="ProYoga Mat"/>
    <n v="3"/>
    <n v="1337.27"/>
    <n v="0.1"/>
    <n v="3610.63"/>
    <n v="1049.3800000000001"/>
    <s v="Credit Card"/>
    <s v="2024-09"/>
    <s v="1-10%"/>
    <n v="0.29063626015404515"/>
    <s v="No"/>
  </r>
  <r>
    <s v="ORD-100571"/>
    <d v="2024-09-27T00:00:00"/>
    <s v="CUST-00434"/>
    <x v="3"/>
    <x v="4"/>
    <s v="Fitness"/>
    <s v="ProYoga Mat"/>
    <n v="1"/>
    <n v="1295.92"/>
    <n v="0.2"/>
    <n v="1036.74"/>
    <n v="151.05000000000001"/>
    <s v="Credit Card"/>
    <s v="2024-09"/>
    <s v="16-20%"/>
    <n v="0.14569708895190694"/>
    <s v="No"/>
  </r>
  <r>
    <s v="ORD-101749"/>
    <d v="2024-09-27T00:00:00"/>
    <s v="CUST-00573"/>
    <x v="3"/>
    <x v="0"/>
    <s v="Skincare"/>
    <s v="HydraBoost Moisturizer"/>
    <n v="1"/>
    <n v="1205.44"/>
    <n v="0.2"/>
    <n v="964.35"/>
    <n v="285.05"/>
    <s v="Credit Card"/>
    <s v="2024-09"/>
    <s v="16-20%"/>
    <n v="0.29558770156063668"/>
    <s v="No"/>
  </r>
  <r>
    <s v="ORD-100020"/>
    <d v="2024-09-28T00:00:00"/>
    <s v="CUST-00308"/>
    <x v="1"/>
    <x v="0"/>
    <s v="Skincare"/>
    <s v="HydraBoost Moisturizer"/>
    <n v="2"/>
    <n v="1176.98"/>
    <n v="0.1"/>
    <n v="2118.56"/>
    <n v="881.03"/>
    <s v="UPI"/>
    <s v="2024-09"/>
    <s v="1-10%"/>
    <n v="0.41586266143040557"/>
    <s v="No"/>
  </r>
  <r>
    <s v="ORD-100247"/>
    <d v="2024-09-28T00:00:00"/>
    <s v="CUST-00305"/>
    <x v="3"/>
    <x v="0"/>
    <s v="Makeup"/>
    <s v="Matte Lipstick Set"/>
    <n v="1"/>
    <n v="1046.3900000000001"/>
    <n v="0.05"/>
    <n v="994.07"/>
    <n v="482.36"/>
    <s v="Net Banking"/>
    <s v="2024-09"/>
    <s v="1-10%"/>
    <n v="0.48523745812669128"/>
    <s v="No"/>
  </r>
  <r>
    <s v="ORD-100249"/>
    <d v="2024-09-28T00:00:00"/>
    <s v="CUST-00558"/>
    <x v="3"/>
    <x v="3"/>
    <s v="Men"/>
    <s v="Oxford Casual Shirt"/>
    <n v="5"/>
    <n v="1249.05"/>
    <n v="0.05"/>
    <n v="5932.99"/>
    <n v="2285.92"/>
    <s v="Net Banking"/>
    <s v="2024-09"/>
    <s v="1-10%"/>
    <n v="0.38528971058437655"/>
    <s v="No"/>
  </r>
  <r>
    <s v="ORD-100531"/>
    <d v="2024-09-29T00:00:00"/>
    <s v="CUST-00507"/>
    <x v="0"/>
    <x v="3"/>
    <s v="Footwear"/>
    <s v="RunFlex Sneakers"/>
    <n v="1"/>
    <n v="3080.98"/>
    <n v="0.1"/>
    <n v="2772.88"/>
    <n v="940.74"/>
    <s v="Credit Card"/>
    <s v="2024-09"/>
    <s v="1-10%"/>
    <n v="0.33926459132742853"/>
    <s v="No"/>
  </r>
  <r>
    <s v="ORD-100695"/>
    <d v="2024-09-29T00:00:00"/>
    <s v="CUST-00501"/>
    <x v="0"/>
    <x v="1"/>
    <s v="Mobile"/>
    <s v="Pixel Aura 12"/>
    <n v="1"/>
    <n v="31453.35"/>
    <n v="0.05"/>
    <n v="29880.68"/>
    <n v="4057.69"/>
    <s v="Cash on Delivery"/>
    <s v="2024-09"/>
    <s v="1-10%"/>
    <n v="0.13579644104484906"/>
    <s v="No"/>
  </r>
  <r>
    <s v="ORD-100780"/>
    <d v="2024-09-29T00:00:00"/>
    <s v="CUST-00545"/>
    <x v="2"/>
    <x v="0"/>
    <s v="Makeup"/>
    <s v="HD Foundation Kit"/>
    <n v="1"/>
    <n v="1461.37"/>
    <n v="0"/>
    <n v="1461.37"/>
    <n v="758.29"/>
    <s v="Net Banking"/>
    <s v="2024-09"/>
    <s v="No discount"/>
    <n v="0.51888980887797065"/>
    <s v="No"/>
  </r>
  <r>
    <s v="ORD-101054"/>
    <d v="2024-09-29T00:00:00"/>
    <s v="CUST-00399"/>
    <x v="3"/>
    <x v="1"/>
    <s v="Laptop"/>
    <s v="ThinkPro 14"/>
    <n v="1"/>
    <n v="54018.12"/>
    <n v="0"/>
    <n v="54018.12"/>
    <n v="9849.6"/>
    <s v="Net Banking"/>
    <s v="2024-09"/>
    <s v="No discount"/>
    <n v="0.18233881519756703"/>
    <s v="No"/>
  </r>
  <r>
    <s v="ORD-101320"/>
    <d v="2024-09-29T00:00:00"/>
    <s v="CUST-00320"/>
    <x v="0"/>
    <x v="0"/>
    <s v="Makeup"/>
    <s v="HD Foundation Kit"/>
    <n v="3"/>
    <n v="1506.02"/>
    <n v="0.05"/>
    <n v="4292.16"/>
    <n v="2189.5500000000002"/>
    <s v="Credit Card"/>
    <s v="2024-09"/>
    <s v="1-10%"/>
    <n v="0.51012776783717295"/>
    <s v="No"/>
  </r>
  <r>
    <s v="ORD-101423"/>
    <d v="2024-09-29T00:00:00"/>
    <s v="CUST-00126"/>
    <x v="1"/>
    <x v="1"/>
    <s v="Mobile"/>
    <s v="Galaxy Nova X5"/>
    <n v="1"/>
    <n v="24090.81"/>
    <n v="0.4"/>
    <n v="14454.49"/>
    <n v="-4199.96"/>
    <s v="Cash on Delivery"/>
    <s v="2024-09"/>
    <s v="21%+"/>
    <n v="-0.29056438518411926"/>
    <s v="Yes"/>
  </r>
  <r>
    <s v="ORD-101661"/>
    <d v="2024-09-29T00:00:00"/>
    <s v="CUST-00129"/>
    <x v="2"/>
    <x v="0"/>
    <s v="Skincare"/>
    <s v="Vitamin C Serum"/>
    <n v="5"/>
    <n v="893.36"/>
    <n v="0.05"/>
    <n v="4243.46"/>
    <n v="2189.62"/>
    <s v="Debit Card"/>
    <s v="2024-09"/>
    <s v="1-10%"/>
    <n v="0.51599873687981035"/>
    <s v="No"/>
  </r>
  <r>
    <s v="ORD-100091"/>
    <d v="2024-09-30T00:00:00"/>
    <s v="CUST-00280"/>
    <x v="1"/>
    <x v="0"/>
    <s v="Skincare"/>
    <s v="HydraBoost Moisturizer"/>
    <n v="3"/>
    <n v="1237.18"/>
    <n v="0.3"/>
    <n v="2598.08"/>
    <n v="556.21"/>
    <s v="UPI"/>
    <s v="2024-09"/>
    <s v="21%+"/>
    <n v="0.21408501662766352"/>
    <s v="No"/>
  </r>
  <r>
    <s v="ORD-101346"/>
    <d v="2024-09-30T00:00:00"/>
    <s v="CUST-00235"/>
    <x v="1"/>
    <x v="3"/>
    <s v="Men"/>
    <s v="Oxford Casual Shirt"/>
    <n v="1"/>
    <n v="1238.3599999999999"/>
    <n v="0.1"/>
    <n v="1114.52"/>
    <n v="349.64"/>
    <s v="UPI"/>
    <s v="2024-09"/>
    <s v="1-10%"/>
    <n v="0.31371352689947241"/>
    <s v="No"/>
  </r>
  <r>
    <s v="ORD-100166"/>
    <d v="2024-10-01T00:00:00"/>
    <s v="CUST-00041"/>
    <x v="1"/>
    <x v="2"/>
    <s v="Furniture"/>
    <s v="ErgoComfort Chair"/>
    <n v="2"/>
    <n v="9311.39"/>
    <n v="0.25"/>
    <n v="13967.08"/>
    <n v="138.22999999999999"/>
    <s v="UPI"/>
    <s v="2024-10"/>
    <s v="21%+"/>
    <n v="9.8968431483173278E-3"/>
    <s v="No"/>
  </r>
  <r>
    <s v="ORD-100781"/>
    <d v="2024-10-01T00:00:00"/>
    <s v="CUST-00176"/>
    <x v="2"/>
    <x v="1"/>
    <s v="Laptop"/>
    <s v="ThinkPro 14"/>
    <n v="3"/>
    <n v="54474.09"/>
    <n v="0.1"/>
    <n v="147080.04"/>
    <n v="8299.85"/>
    <s v="Debit Card"/>
    <s v="2024-10"/>
    <s v="1-10%"/>
    <n v="5.6430838610052048E-2"/>
    <s v="No"/>
  </r>
  <r>
    <s v="ORD-101254"/>
    <d v="2024-10-01T00:00:00"/>
    <s v="CUST-00537"/>
    <x v="1"/>
    <x v="4"/>
    <s v="Fitness"/>
    <s v="ProYoga Mat"/>
    <n v="2"/>
    <n v="1350.93"/>
    <n v="0"/>
    <n v="2701.86"/>
    <n v="956.65"/>
    <s v="Net Banking"/>
    <s v="2024-10"/>
    <s v="No discount"/>
    <n v="0.35407089930640373"/>
    <s v="No"/>
  </r>
  <r>
    <s v="ORD-101652"/>
    <d v="2024-10-01T00:00:00"/>
    <s v="CUST-00580"/>
    <x v="0"/>
    <x v="4"/>
    <s v="Fitness"/>
    <s v="ProYoga Mat"/>
    <n v="1"/>
    <n v="1282.33"/>
    <n v="0.05"/>
    <n v="1218.21"/>
    <n v="359.74"/>
    <s v="UPI"/>
    <s v="2024-10"/>
    <s v="1-10%"/>
    <n v="0.29530212360758817"/>
    <s v="No"/>
  </r>
  <r>
    <s v="ORD-100219"/>
    <d v="2024-10-02T00:00:00"/>
    <s v="CUST-00121"/>
    <x v="2"/>
    <x v="1"/>
    <s v="Mobile"/>
    <s v="Pixel Aura 12"/>
    <n v="4"/>
    <n v="33932.83"/>
    <n v="0.1"/>
    <n v="122158.19"/>
    <n v="10097.75"/>
    <s v="UPI"/>
    <s v="2024-10"/>
    <s v="1-10%"/>
    <n v="8.266126077997718E-2"/>
    <s v="No"/>
  </r>
  <r>
    <s v="ORD-100250"/>
    <d v="2024-10-02T00:00:00"/>
    <s v="CUST-00155"/>
    <x v="3"/>
    <x v="4"/>
    <s v="Fitness"/>
    <s v="Adjustable Dumbbell 24kg"/>
    <n v="3"/>
    <n v="9944.7800000000007"/>
    <n v="0.05"/>
    <n v="28342.62"/>
    <n v="8603.7900000000009"/>
    <s v="UPI"/>
    <s v="2024-10"/>
    <s v="1-10%"/>
    <n v="0.30356367901062081"/>
    <s v="No"/>
  </r>
  <r>
    <s v="ORD-100541"/>
    <d v="2024-10-02T00:00:00"/>
    <s v="CUST-00006"/>
    <x v="1"/>
    <x v="4"/>
    <s v="Outdoor"/>
    <s v="TrailHike Backpack 60L"/>
    <n v="3"/>
    <n v="3352.41"/>
    <n v="0"/>
    <n v="10057.23"/>
    <n v="4087.82"/>
    <s v="Credit Card"/>
    <s v="2024-10"/>
    <s v="No discount"/>
    <n v="0.40645585315240879"/>
    <s v="No"/>
  </r>
  <r>
    <s v="ORD-100836"/>
    <d v="2024-10-02T00:00:00"/>
    <s v="CUST-00590"/>
    <x v="3"/>
    <x v="0"/>
    <s v="Makeup"/>
    <s v="Matte Lipstick Set"/>
    <n v="3"/>
    <n v="954.19"/>
    <n v="0.1"/>
    <n v="2576.31"/>
    <n v="1114.99"/>
    <s v="Credit Card"/>
    <s v="2024-10"/>
    <s v="1-10%"/>
    <n v="0.43278565079512948"/>
    <s v="No"/>
  </r>
  <r>
    <s v="ORD-100941"/>
    <d v="2024-10-02T00:00:00"/>
    <s v="CUST-00270"/>
    <x v="1"/>
    <x v="4"/>
    <s v="Fitness"/>
    <s v="ProYoga Mat"/>
    <n v="2"/>
    <n v="1358.33"/>
    <n v="0"/>
    <n v="2716.66"/>
    <n v="1136.9000000000001"/>
    <s v="Debit Card"/>
    <s v="2024-10"/>
    <s v="No discount"/>
    <n v="0.41849182451981481"/>
    <s v="No"/>
  </r>
  <r>
    <s v="ORD-101876"/>
    <d v="2024-10-02T00:00:00"/>
    <s v="CUST-00511"/>
    <x v="1"/>
    <x v="1"/>
    <s v="Audio"/>
    <s v="BassBoom Speaker"/>
    <n v="1"/>
    <n v="9103.36"/>
    <n v="0.15"/>
    <n v="7737.86"/>
    <n v="-151.97999999999999"/>
    <s v="UPI"/>
    <s v="2024-10"/>
    <s v="11-15%"/>
    <n v="-1.9641089396809971E-2"/>
    <s v="Yes"/>
  </r>
  <r>
    <s v="ORD-101306"/>
    <d v="2024-10-03T00:00:00"/>
    <s v="CUST-00323"/>
    <x v="1"/>
    <x v="4"/>
    <s v="Fitness"/>
    <s v="Adjustable Dumbbell 24kg"/>
    <n v="1"/>
    <n v="9761.7199999999993"/>
    <n v="0.15"/>
    <n v="8297.4599999999991"/>
    <n v="1546.45"/>
    <s v="Credit Card"/>
    <s v="2024-10"/>
    <s v="11-15%"/>
    <n v="0.18637631275113109"/>
    <s v="No"/>
  </r>
  <r>
    <s v="ORD-101316"/>
    <d v="2024-10-03T00:00:00"/>
    <s v="CUST-00434"/>
    <x v="3"/>
    <x v="0"/>
    <s v="Makeup"/>
    <s v="Matte Lipstick Set"/>
    <n v="2"/>
    <n v="1042.3699999999999"/>
    <n v="0.1"/>
    <n v="1876.27"/>
    <n v="817.81"/>
    <s v="Debit Card"/>
    <s v="2024-10"/>
    <s v="1-10%"/>
    <n v="0.43587010398290221"/>
    <s v="No"/>
  </r>
  <r>
    <s v="ORD-101903"/>
    <d v="2024-10-03T00:00:00"/>
    <s v="CUST-00405"/>
    <x v="0"/>
    <x v="4"/>
    <s v="Fitness"/>
    <s v="ProYoga Mat"/>
    <n v="1"/>
    <n v="1348.47"/>
    <n v="0.1"/>
    <n v="1213.6199999999999"/>
    <n v="340.39"/>
    <s v="Credit Card"/>
    <s v="2024-10"/>
    <s v="1-10%"/>
    <n v="0.28047494273331025"/>
    <s v="No"/>
  </r>
  <r>
    <s v="ORD-100177"/>
    <d v="2024-10-04T00:00:00"/>
    <s v="CUST-00077"/>
    <x v="1"/>
    <x v="2"/>
    <s v="Appliances"/>
    <s v="AirFryer Deluxe"/>
    <n v="4"/>
    <n v="7782.84"/>
    <n v="0.25"/>
    <n v="23348.52"/>
    <n v="1741.84"/>
    <s v="Credit Card"/>
    <s v="2024-10"/>
    <s v="21%+"/>
    <n v="7.4601730645025885E-2"/>
    <s v="No"/>
  </r>
  <r>
    <s v="ORD-100387"/>
    <d v="2024-10-04T00:00:00"/>
    <s v="CUST-00369"/>
    <x v="2"/>
    <x v="1"/>
    <s v="Laptop"/>
    <s v="ThinkPro 14"/>
    <n v="3"/>
    <n v="52541.01"/>
    <n v="0.1"/>
    <n v="141860.73000000001"/>
    <n v="10977.27"/>
    <s v="UPI"/>
    <s v="2024-10"/>
    <s v="1-10%"/>
    <n v="7.738061125161276E-2"/>
    <s v="No"/>
  </r>
  <r>
    <s v="ORD-100792"/>
    <d v="2024-10-04T00:00:00"/>
    <s v="CUST-00202"/>
    <x v="3"/>
    <x v="2"/>
    <s v="Appliances"/>
    <s v="AirFryer Deluxe"/>
    <n v="1"/>
    <n v="8301.94"/>
    <n v="0"/>
    <n v="8301.94"/>
    <n v="2929.1"/>
    <s v="Cash on Delivery"/>
    <s v="2024-10"/>
    <s v="No discount"/>
    <n v="0.35282114782809798"/>
    <s v="No"/>
  </r>
  <r>
    <s v="ORD-100816"/>
    <d v="2024-10-04T00:00:00"/>
    <s v="CUST-00107"/>
    <x v="1"/>
    <x v="1"/>
    <s v="Mobile"/>
    <s v="Pixel Aura 12"/>
    <n v="1"/>
    <n v="34333.230000000003"/>
    <n v="0.25"/>
    <n v="25749.919999999998"/>
    <n v="-2349.75"/>
    <s v="UPI"/>
    <s v="2024-10"/>
    <s v="21%+"/>
    <n v="-9.1252710688033215E-2"/>
    <s v="Yes"/>
  </r>
  <r>
    <s v="ORD-100932"/>
    <d v="2024-10-04T00:00:00"/>
    <s v="CUST-00548"/>
    <x v="0"/>
    <x v="0"/>
    <s v="Skincare"/>
    <s v="Vitamin C Serum"/>
    <n v="2"/>
    <n v="857"/>
    <n v="0.05"/>
    <n v="1628.3"/>
    <n v="818.4"/>
    <s v="Credit Card"/>
    <s v="2024-10"/>
    <s v="1-10%"/>
    <n v="0.50261008413682984"/>
    <s v="No"/>
  </r>
  <r>
    <s v="ORD-101560"/>
    <d v="2024-10-04T00:00:00"/>
    <s v="CUST-00036"/>
    <x v="1"/>
    <x v="1"/>
    <s v="Audio"/>
    <s v="BassBoom Speaker"/>
    <n v="3"/>
    <n v="9435.56"/>
    <n v="0.3"/>
    <n v="19814.68"/>
    <n v="-2811.57"/>
    <s v="Debit Card"/>
    <s v="2024-10"/>
    <s v="21%+"/>
    <n v="-0.14189328316177705"/>
    <s v="Yes"/>
  </r>
  <r>
    <s v="ORD-101656"/>
    <d v="2024-10-04T00:00:00"/>
    <s v="CUST-00143"/>
    <x v="3"/>
    <x v="1"/>
    <s v="Mobile"/>
    <s v="Galaxy Nova X5"/>
    <n v="2"/>
    <n v="25476.69"/>
    <n v="0"/>
    <n v="50953.38"/>
    <n v="10639.31"/>
    <s v="UPI"/>
    <s v="2024-10"/>
    <s v="No discount"/>
    <n v="0.20880479371535313"/>
    <s v="No"/>
  </r>
  <r>
    <s v="ORD-100147"/>
    <d v="2024-10-05T00:00:00"/>
    <s v="CUST-00246"/>
    <x v="2"/>
    <x v="1"/>
    <s v="Laptop"/>
    <s v="AirBook Slim"/>
    <n v="2"/>
    <n v="76739.520000000004"/>
    <n v="0.15"/>
    <n v="130457.18"/>
    <n v="4401.12"/>
    <s v="Credit Card"/>
    <s v="2024-10"/>
    <s v="11-15%"/>
    <n v="3.373612705716926E-2"/>
    <s v="No"/>
  </r>
  <r>
    <s v="ORD-100352"/>
    <d v="2024-10-05T00:00:00"/>
    <s v="CUST-00139"/>
    <x v="3"/>
    <x v="3"/>
    <s v="Footwear"/>
    <s v="RunFlex Sneakers"/>
    <n v="1"/>
    <n v="3107.07"/>
    <n v="0.1"/>
    <n v="2796.36"/>
    <n v="813.79"/>
    <s v="Cash on Delivery"/>
    <s v="2024-10"/>
    <s v="1-10%"/>
    <n v="0.29101760860547282"/>
    <s v="No"/>
  </r>
  <r>
    <s v="ORD-100357"/>
    <d v="2024-10-05T00:00:00"/>
    <s v="CUST-00504"/>
    <x v="1"/>
    <x v="2"/>
    <s v="Appliances"/>
    <s v="ColdBrew Coffee Maker"/>
    <n v="1"/>
    <n v="6292.6"/>
    <n v="0.2"/>
    <n v="5034.08"/>
    <n v="418.67"/>
    <s v="Credit Card"/>
    <s v="2024-10"/>
    <s v="16-20%"/>
    <n v="8.3167132822680609E-2"/>
    <s v="No"/>
  </r>
  <r>
    <s v="ORD-100414"/>
    <d v="2024-10-05T00:00:00"/>
    <s v="CUST-00509"/>
    <x v="0"/>
    <x v="0"/>
    <s v="Skincare"/>
    <s v="HydraBoost Moisturizer"/>
    <n v="1"/>
    <n v="1232.8499999999999"/>
    <n v="0"/>
    <n v="1232.8499999999999"/>
    <n v="659.16"/>
    <s v="Debit Card"/>
    <s v="2024-10"/>
    <s v="No discount"/>
    <n v="0.53466358437766148"/>
    <s v="No"/>
  </r>
  <r>
    <s v="ORD-101734"/>
    <d v="2024-10-05T00:00:00"/>
    <s v="CUST-00498"/>
    <x v="1"/>
    <x v="3"/>
    <s v="Men"/>
    <s v="Oxford Casual Shirt"/>
    <n v="2"/>
    <n v="1330.94"/>
    <n v="0"/>
    <n v="2661.88"/>
    <n v="1186.75"/>
    <s v="Debit Card"/>
    <s v="2024-10"/>
    <s v="No discount"/>
    <n v="0.44583151757404538"/>
    <s v="No"/>
  </r>
  <r>
    <s v="ORD-100504"/>
    <d v="2024-10-06T00:00:00"/>
    <s v="CUST-00410"/>
    <x v="1"/>
    <x v="2"/>
    <s v="Furniture"/>
    <s v="ErgoComfort Chair"/>
    <n v="1"/>
    <n v="9201.66"/>
    <n v="0.2"/>
    <n v="7361.33"/>
    <n v="605.70000000000005"/>
    <s v="Credit Card"/>
    <s v="2024-10"/>
    <s v="16-20%"/>
    <n v="8.2281326879789396E-2"/>
    <s v="No"/>
  </r>
  <r>
    <s v="ORD-100539"/>
    <d v="2024-10-06T00:00:00"/>
    <s v="CUST-00600"/>
    <x v="2"/>
    <x v="4"/>
    <s v="Outdoor"/>
    <s v="AllWeather Tent 4P"/>
    <n v="1"/>
    <n v="11576.7"/>
    <n v="0.15"/>
    <n v="9840.19"/>
    <n v="1923.45"/>
    <s v="UPI"/>
    <s v="2024-10"/>
    <s v="11-15%"/>
    <n v="0.19546878667993198"/>
    <s v="No"/>
  </r>
  <r>
    <s v="ORD-101011"/>
    <d v="2024-10-06T00:00:00"/>
    <s v="CUST-00011"/>
    <x v="1"/>
    <x v="0"/>
    <s v="Skincare"/>
    <s v="HydraBoost Moisturizer"/>
    <n v="3"/>
    <n v="1207.46"/>
    <n v="0.05"/>
    <n v="3441.26"/>
    <n v="1794.96"/>
    <s v="UPI"/>
    <s v="2024-10"/>
    <s v="1-10%"/>
    <n v="0.52159964664105585"/>
    <s v="No"/>
  </r>
  <r>
    <s v="ORD-101168"/>
    <d v="2024-10-06T00:00:00"/>
    <s v="CUST-00193"/>
    <x v="0"/>
    <x v="1"/>
    <s v="Audio"/>
    <s v="SoundPods Pro"/>
    <n v="1"/>
    <n v="4812.37"/>
    <n v="0.15"/>
    <n v="4090.51"/>
    <n v="108.52"/>
    <s v="Credit Card"/>
    <s v="2024-10"/>
    <s v="11-15%"/>
    <n v="2.6529699230658278E-2"/>
    <s v="No"/>
  </r>
  <r>
    <s v="ORD-101509"/>
    <d v="2024-10-06T00:00:00"/>
    <s v="CUST-00010"/>
    <x v="2"/>
    <x v="3"/>
    <s v="Women"/>
    <s v="Knit Winter Sweater"/>
    <n v="1"/>
    <n v="2219.4899999999998"/>
    <n v="0.1"/>
    <n v="1997.54"/>
    <n v="671.75"/>
    <s v="UPI"/>
    <s v="2024-10"/>
    <s v="1-10%"/>
    <n v="0.33628863502107592"/>
    <s v="No"/>
  </r>
  <r>
    <s v="ORD-101874"/>
    <d v="2024-10-06T00:00:00"/>
    <s v="CUST-00045"/>
    <x v="2"/>
    <x v="0"/>
    <s v="Makeup"/>
    <s v="Matte Lipstick Set"/>
    <n v="1"/>
    <n v="987.86"/>
    <n v="0.15"/>
    <n v="839.68"/>
    <n v="311.63"/>
    <s v="Credit Card"/>
    <s v="2024-10"/>
    <s v="11-15%"/>
    <n v="0.37112947789634149"/>
    <s v="No"/>
  </r>
  <r>
    <s v="ORD-100827"/>
    <d v="2024-10-07T00:00:00"/>
    <s v="CUST-00256"/>
    <x v="0"/>
    <x v="0"/>
    <s v="Makeup"/>
    <s v="Matte Lipstick Set"/>
    <n v="5"/>
    <n v="1048.21"/>
    <n v="0.05"/>
    <n v="4979"/>
    <n v="2347.89"/>
    <s v="UPI"/>
    <s v="2024-10"/>
    <s v="1-10%"/>
    <n v="0.47155854589274954"/>
    <s v="No"/>
  </r>
  <r>
    <s v="ORD-101173"/>
    <d v="2024-10-07T00:00:00"/>
    <s v="CUST-00259"/>
    <x v="1"/>
    <x v="3"/>
    <s v="Footwear"/>
    <s v="RunFlex Sneakers"/>
    <n v="1"/>
    <n v="3109.95"/>
    <n v="0.05"/>
    <n v="2954.45"/>
    <n v="1155.6300000000001"/>
    <s v="Credit Card"/>
    <s v="2024-10"/>
    <s v="1-10%"/>
    <n v="0.39114894481206319"/>
    <s v="No"/>
  </r>
  <r>
    <s v="ORD-101664"/>
    <d v="2024-10-07T00:00:00"/>
    <s v="CUST-00584"/>
    <x v="1"/>
    <x v="4"/>
    <s v="Fitness"/>
    <s v="Adjustable Dumbbell 24kg"/>
    <n v="3"/>
    <n v="9589.68"/>
    <n v="0.1"/>
    <n v="25892.14"/>
    <n v="7784.76"/>
    <s v="UPI"/>
    <s v="2024-10"/>
    <s v="1-10%"/>
    <n v="0.30066112727646305"/>
    <s v="No"/>
  </r>
  <r>
    <s v="ORD-101840"/>
    <d v="2024-10-07T00:00:00"/>
    <s v="CUST-00434"/>
    <x v="3"/>
    <x v="1"/>
    <s v="Mobile"/>
    <s v="Galaxy Nova X5"/>
    <n v="1"/>
    <n v="24933.96"/>
    <n v="0.15"/>
    <n v="21193.87"/>
    <n v="-45.29"/>
    <s v="UPI"/>
    <s v="2024-10"/>
    <s v="11-15%"/>
    <n v="-2.1369386525443442E-3"/>
    <s v="Yes"/>
  </r>
  <r>
    <s v="ORD-100101"/>
    <d v="2024-10-08T00:00:00"/>
    <s v="CUST-00361"/>
    <x v="3"/>
    <x v="0"/>
    <s v="Makeup"/>
    <s v="HD Foundation Kit"/>
    <n v="3"/>
    <n v="1446.68"/>
    <n v="0.1"/>
    <n v="3906.04"/>
    <n v="1564.22"/>
    <s v="UPI"/>
    <s v="2024-10"/>
    <s v="1-10%"/>
    <n v="0.40046184882899305"/>
    <s v="No"/>
  </r>
  <r>
    <s v="ORD-100340"/>
    <d v="2024-10-08T00:00:00"/>
    <s v="CUST-00524"/>
    <x v="0"/>
    <x v="4"/>
    <s v="Fitness"/>
    <s v="ProYoga Mat"/>
    <n v="3"/>
    <n v="1275.02"/>
    <n v="0.05"/>
    <n v="3633.81"/>
    <n v="1287.6400000000001"/>
    <s v="Credit Card"/>
    <s v="2024-10"/>
    <s v="1-10%"/>
    <n v="0.35434984217666859"/>
    <s v="No"/>
  </r>
  <r>
    <s v="ORD-100522"/>
    <d v="2024-10-08T00:00:00"/>
    <s v="CUST-00261"/>
    <x v="2"/>
    <x v="2"/>
    <s v="Appliances"/>
    <s v="ColdBrew Coffee Maker"/>
    <n v="3"/>
    <n v="6782.03"/>
    <n v="0.15"/>
    <n v="17294.18"/>
    <n v="2333.69"/>
    <s v="UPI"/>
    <s v="2024-10"/>
    <s v="11-15%"/>
    <n v="0.13494077198225068"/>
    <s v="No"/>
  </r>
  <r>
    <s v="ORD-100616"/>
    <d v="2024-10-08T00:00:00"/>
    <s v="CUST-00142"/>
    <x v="1"/>
    <x v="2"/>
    <s v="Furniture"/>
    <s v="Oakwood Study Desk"/>
    <n v="1"/>
    <n v="13058.83"/>
    <n v="0.05"/>
    <n v="12405.89"/>
    <n v="3215.61"/>
    <s v="UPI"/>
    <s v="2024-10"/>
    <s v="1-10%"/>
    <n v="0.25920026696996351"/>
    <s v="No"/>
  </r>
  <r>
    <s v="ORD-100958"/>
    <d v="2024-10-08T00:00:00"/>
    <s v="CUST-00332"/>
    <x v="0"/>
    <x v="1"/>
    <s v="Laptop"/>
    <s v="AirBook Slim"/>
    <n v="1"/>
    <n v="80187.399999999994"/>
    <n v="0.15"/>
    <n v="68159.289999999994"/>
    <n v="2202.4699999999998"/>
    <s v="UPI"/>
    <s v="2024-10"/>
    <s v="11-15%"/>
    <n v="3.2313570167764365E-2"/>
    <s v="No"/>
  </r>
  <r>
    <s v="ORD-100064"/>
    <d v="2024-10-09T00:00:00"/>
    <s v="CUST-00425"/>
    <x v="3"/>
    <x v="0"/>
    <s v="Makeup"/>
    <s v="HD Foundation Kit"/>
    <n v="3"/>
    <n v="1460.59"/>
    <n v="0.4"/>
    <n v="2629.06"/>
    <n v="247.4"/>
    <s v="Net Banking"/>
    <s v="2024-10"/>
    <s v="21%+"/>
    <n v="9.4102074505716879E-2"/>
    <s v="No"/>
  </r>
  <r>
    <s v="ORD-100184"/>
    <d v="2024-10-09T00:00:00"/>
    <s v="CUST-00496"/>
    <x v="2"/>
    <x v="0"/>
    <s v="Skincare"/>
    <s v="Vitamin C Serum"/>
    <n v="2"/>
    <n v="878.23"/>
    <n v="0"/>
    <n v="1756.46"/>
    <n v="933.51"/>
    <s v="UPI"/>
    <s v="2024-10"/>
    <s v="No discount"/>
    <n v="0.53147239333659746"/>
    <s v="No"/>
  </r>
  <r>
    <s v="ORD-100975"/>
    <d v="2024-10-09T00:00:00"/>
    <s v="CUST-00412"/>
    <x v="0"/>
    <x v="3"/>
    <s v="Men"/>
    <s v="Oxford Casual Shirt"/>
    <n v="3"/>
    <n v="1284.8399999999999"/>
    <n v="0.1"/>
    <n v="3469.07"/>
    <n v="972.97"/>
    <s v="UPI"/>
    <s v="2024-10"/>
    <s v="1-10%"/>
    <n v="0.28046998186833932"/>
    <s v="No"/>
  </r>
  <r>
    <s v="ORD-101130"/>
    <d v="2024-10-09T00:00:00"/>
    <s v="CUST-00043"/>
    <x v="2"/>
    <x v="4"/>
    <s v="Outdoor"/>
    <s v="AllWeather Tent 4P"/>
    <n v="2"/>
    <n v="11571.78"/>
    <n v="0.1"/>
    <n v="20829.2"/>
    <n v="5956.5"/>
    <s v="Credit Card"/>
    <s v="2024-10"/>
    <s v="1-10%"/>
    <n v="0.28596873619726154"/>
    <s v="No"/>
  </r>
  <r>
    <s v="ORD-101410"/>
    <d v="2024-10-09T00:00:00"/>
    <s v="CUST-00397"/>
    <x v="2"/>
    <x v="0"/>
    <s v="Skincare"/>
    <s v="Vitamin C Serum"/>
    <n v="2"/>
    <n v="873.66"/>
    <n v="0.3"/>
    <n v="1223.1199999999999"/>
    <n v="294.2"/>
    <s v="UPI"/>
    <s v="2024-10"/>
    <s v="21%+"/>
    <n v="0.24053240892144681"/>
    <s v="No"/>
  </r>
  <r>
    <s v="ORD-101699"/>
    <d v="2024-10-09T00:00:00"/>
    <s v="CUST-00430"/>
    <x v="2"/>
    <x v="1"/>
    <s v="Laptop"/>
    <s v="ThinkPro 14"/>
    <n v="1"/>
    <n v="57561.63"/>
    <n v="0.1"/>
    <n v="51805.47"/>
    <n v="5238.1899999999996"/>
    <s v="Credit Card"/>
    <s v="2024-10"/>
    <s v="1-10%"/>
    <n v="0.10111268173032692"/>
    <s v="No"/>
  </r>
  <r>
    <s v="ORD-100446"/>
    <d v="2024-10-10T00:00:00"/>
    <s v="CUST-00332"/>
    <x v="1"/>
    <x v="4"/>
    <s v="Fitness"/>
    <s v="ProYoga Mat"/>
    <n v="2"/>
    <n v="1294.71"/>
    <n v="0"/>
    <n v="2589.42"/>
    <n v="1074.3399999999999"/>
    <s v="Net Banking"/>
    <s v="2024-10"/>
    <s v="No discount"/>
    <n v="0.41489599987642017"/>
    <s v="No"/>
  </r>
  <r>
    <s v="ORD-101104"/>
    <d v="2024-10-10T00:00:00"/>
    <s v="CUST-00431"/>
    <x v="3"/>
    <x v="1"/>
    <s v="Laptop"/>
    <s v="AirBook Slim"/>
    <n v="1"/>
    <n v="82428.52"/>
    <n v="0"/>
    <n v="82428.52"/>
    <n v="17658.2"/>
    <s v="Cash on Delivery"/>
    <s v="2024-10"/>
    <s v="No discount"/>
    <n v="0.21422439708974514"/>
    <s v="No"/>
  </r>
  <r>
    <s v="ORD-101565"/>
    <d v="2024-10-10T00:00:00"/>
    <s v="CUST-00477"/>
    <x v="1"/>
    <x v="3"/>
    <s v="Footwear"/>
    <s v="RunFlex Sneakers"/>
    <n v="1"/>
    <n v="3033.83"/>
    <n v="0.05"/>
    <n v="2882.14"/>
    <n v="952.27"/>
    <s v="UPI"/>
    <s v="2024-10"/>
    <s v="1-10%"/>
    <n v="0.33040379717848545"/>
    <s v="No"/>
  </r>
  <r>
    <s v="ORD-101784"/>
    <d v="2024-10-10T00:00:00"/>
    <s v="CUST-00431"/>
    <x v="1"/>
    <x v="1"/>
    <s v="Audio"/>
    <s v="SoundPods Pro"/>
    <n v="3"/>
    <n v="5069.68"/>
    <n v="0.05"/>
    <n v="14448.59"/>
    <n v="2202.0100000000002"/>
    <s v="Debit Card"/>
    <s v="2024-10"/>
    <s v="1-10%"/>
    <n v="0.15240310646229149"/>
    <s v="No"/>
  </r>
  <r>
    <s v="ORD-100404"/>
    <d v="2024-10-11T00:00:00"/>
    <s v="CUST-00571"/>
    <x v="1"/>
    <x v="0"/>
    <s v="Makeup"/>
    <s v="Matte Lipstick Set"/>
    <n v="1"/>
    <n v="994.38"/>
    <n v="0.1"/>
    <n v="894.94"/>
    <n v="385.14"/>
    <s v="UPI"/>
    <s v="2024-10"/>
    <s v="1-10%"/>
    <n v="0.43035287281828943"/>
    <s v="No"/>
  </r>
  <r>
    <s v="ORD-100877"/>
    <d v="2024-10-11T00:00:00"/>
    <s v="CUST-00448"/>
    <x v="0"/>
    <x v="4"/>
    <s v="Outdoor"/>
    <s v="AllWeather Tent 4P"/>
    <n v="1"/>
    <n v="12035.82"/>
    <n v="0.1"/>
    <n v="10832.24"/>
    <n v="3202.69"/>
    <s v="Cash on Delivery"/>
    <s v="2024-10"/>
    <s v="1-10%"/>
    <n v="0.29566276227262323"/>
    <s v="No"/>
  </r>
  <r>
    <s v="ORD-101693"/>
    <d v="2024-10-11T00:00:00"/>
    <s v="CUST-00252"/>
    <x v="2"/>
    <x v="3"/>
    <s v="Men"/>
    <s v="Oxford Casual Shirt"/>
    <n v="1"/>
    <n v="1255.1500000000001"/>
    <n v="0.1"/>
    <n v="1129.6400000000001"/>
    <n v="389.67"/>
    <s v="Net Banking"/>
    <s v="2024-10"/>
    <s v="1-10%"/>
    <n v="0.34495060373216246"/>
    <s v="No"/>
  </r>
  <r>
    <s v="ORD-101777"/>
    <d v="2024-10-11T00:00:00"/>
    <s v="CUST-00218"/>
    <x v="3"/>
    <x v="1"/>
    <s v="Mobile"/>
    <s v="Galaxy Nova X5"/>
    <n v="3"/>
    <n v="23870.32"/>
    <n v="0.05"/>
    <n v="68030.41"/>
    <n v="8940.36"/>
    <s v="UPI"/>
    <s v="2024-10"/>
    <s v="1-10%"/>
    <n v="0.13141711184748114"/>
    <s v="No"/>
  </r>
  <r>
    <s v="ORD-100805"/>
    <d v="2024-10-12T00:00:00"/>
    <s v="CUST-00311"/>
    <x v="1"/>
    <x v="4"/>
    <s v="Fitness"/>
    <s v="ProYoga Mat"/>
    <n v="2"/>
    <n v="1327.48"/>
    <n v="0.05"/>
    <n v="2522.21"/>
    <n v="780.99"/>
    <s v="Debit Card"/>
    <s v="2024-10"/>
    <s v="1-10%"/>
    <n v="0.30964511281772733"/>
    <s v="No"/>
  </r>
  <r>
    <s v="ORD-100846"/>
    <d v="2024-10-12T00:00:00"/>
    <s v="CUST-00212"/>
    <x v="0"/>
    <x v="3"/>
    <s v="Men"/>
    <s v="Oxford Casual Shirt"/>
    <n v="1"/>
    <n v="1349.06"/>
    <n v="0.05"/>
    <n v="1281.6099999999999"/>
    <n v="442.9"/>
    <s v="Cash on Delivery"/>
    <s v="2024-10"/>
    <s v="1-10%"/>
    <n v="0.34558094896263297"/>
    <s v="No"/>
  </r>
  <r>
    <s v="ORD-101120"/>
    <d v="2024-10-12T00:00:00"/>
    <s v="CUST-00466"/>
    <x v="0"/>
    <x v="4"/>
    <s v="Fitness"/>
    <s v="ProYoga Mat"/>
    <n v="1"/>
    <n v="1251.23"/>
    <n v="0"/>
    <n v="1251.23"/>
    <n v="511.67"/>
    <s v="Credit Card"/>
    <s v="2024-10"/>
    <s v="No discount"/>
    <n v="0.40893360932842082"/>
    <s v="No"/>
  </r>
  <r>
    <s v="ORD-100138"/>
    <d v="2024-10-13T00:00:00"/>
    <s v="CUST-00122"/>
    <x v="2"/>
    <x v="2"/>
    <s v="Decor"/>
    <s v="LED Wall Lamp"/>
    <n v="1"/>
    <n v="1005.18"/>
    <n v="0"/>
    <n v="1005.18"/>
    <n v="320.64999999999998"/>
    <s v="UPI"/>
    <s v="2024-10"/>
    <s v="No discount"/>
    <n v="0.31899759247100024"/>
    <s v="No"/>
  </r>
  <r>
    <s v="ORD-100343"/>
    <d v="2024-10-13T00:00:00"/>
    <s v="CUST-00586"/>
    <x v="3"/>
    <x v="3"/>
    <s v="Women"/>
    <s v="Knit Winter Sweater"/>
    <n v="4"/>
    <n v="2129.4899999999998"/>
    <n v="0.05"/>
    <n v="8092.06"/>
    <n v="2884.14"/>
    <s v="Debit Card"/>
    <s v="2024-10"/>
    <s v="1-10%"/>
    <n v="0.35641604239217206"/>
    <s v="No"/>
  </r>
  <r>
    <s v="ORD-100390"/>
    <d v="2024-10-13T00:00:00"/>
    <s v="CUST-00350"/>
    <x v="2"/>
    <x v="1"/>
    <s v="Laptop"/>
    <s v="AirBook Slim"/>
    <n v="1"/>
    <n v="82917.31"/>
    <n v="0.05"/>
    <n v="78771.44"/>
    <n v="12665.43"/>
    <s v="UPI"/>
    <s v="2024-10"/>
    <s v="1-10%"/>
    <n v="0.16078708222167831"/>
    <s v="No"/>
  </r>
  <r>
    <s v="ORD-100435"/>
    <d v="2024-10-13T00:00:00"/>
    <s v="CUST-00081"/>
    <x v="3"/>
    <x v="0"/>
    <s v="Makeup"/>
    <s v="Matte Lipstick Set"/>
    <n v="5"/>
    <n v="1019.47"/>
    <n v="0.1"/>
    <n v="4587.62"/>
    <n v="1853.64"/>
    <s v="Credit Card"/>
    <s v="2024-10"/>
    <s v="1-10%"/>
    <n v="0.40405264603432722"/>
    <s v="No"/>
  </r>
  <r>
    <s v="ORD-101109"/>
    <d v="2024-10-13T00:00:00"/>
    <s v="CUST-00245"/>
    <x v="0"/>
    <x v="4"/>
    <s v="Fitness"/>
    <s v="ProYoga Mat"/>
    <n v="1"/>
    <n v="1265.49"/>
    <n v="0.05"/>
    <n v="1202.22"/>
    <n v="398.26"/>
    <s v="Net Banking"/>
    <s v="2024-10"/>
    <s v="1-10%"/>
    <n v="0.33127048293989453"/>
    <s v="No"/>
  </r>
  <r>
    <s v="ORD-101234"/>
    <d v="2024-10-13T00:00:00"/>
    <s v="CUST-00508"/>
    <x v="2"/>
    <x v="3"/>
    <s v="Footwear"/>
    <s v="RunFlex Sneakers"/>
    <n v="3"/>
    <n v="3041.61"/>
    <n v="0.25"/>
    <n v="6843.62"/>
    <n v="976.3"/>
    <s v="UPI"/>
    <s v="2024-10"/>
    <s v="21%+"/>
    <n v="0.14265841762108358"/>
    <s v="No"/>
  </r>
  <r>
    <s v="ORD-101265"/>
    <d v="2024-10-13T00:00:00"/>
    <s v="CUST-00348"/>
    <x v="1"/>
    <x v="0"/>
    <s v="Makeup"/>
    <s v="HD Foundation Kit"/>
    <n v="1"/>
    <n v="1553.35"/>
    <n v="0"/>
    <n v="1553.35"/>
    <n v="809.38"/>
    <s v="Credit Card"/>
    <s v="2024-10"/>
    <s v="No discount"/>
    <n v="0.52105449512344293"/>
    <s v="No"/>
  </r>
  <r>
    <s v="ORD-101572"/>
    <d v="2024-10-13T00:00:00"/>
    <s v="CUST-00115"/>
    <x v="3"/>
    <x v="4"/>
    <s v="Fitness"/>
    <s v="Adjustable Dumbbell 24kg"/>
    <n v="1"/>
    <n v="9524"/>
    <n v="0"/>
    <n v="9524"/>
    <n v="3865.7"/>
    <s v="Net Banking"/>
    <s v="2024-10"/>
    <s v="No discount"/>
    <n v="0.40589038219235613"/>
    <s v="No"/>
  </r>
  <r>
    <s v="ORD-101785"/>
    <d v="2024-10-13T00:00:00"/>
    <s v="CUST-00431"/>
    <x v="1"/>
    <x v="3"/>
    <s v="Men"/>
    <s v="SlimFit Denim Jeans"/>
    <n v="1"/>
    <n v="1905.27"/>
    <n v="0.2"/>
    <n v="1524.22"/>
    <n v="307.02"/>
    <s v="UPI"/>
    <s v="2024-10"/>
    <s v="16-20%"/>
    <n v="0.20142761543609189"/>
    <s v="No"/>
  </r>
  <r>
    <s v="ORD-100536"/>
    <d v="2024-10-14T00:00:00"/>
    <s v="CUST-00441"/>
    <x v="2"/>
    <x v="4"/>
    <s v="Fitness"/>
    <s v="ProYoga Mat"/>
    <n v="1"/>
    <n v="1252.47"/>
    <n v="0.1"/>
    <n v="1127.22"/>
    <n v="264.16000000000003"/>
    <s v="UPI"/>
    <s v="2024-10"/>
    <s v="1-10%"/>
    <n v="0.23434644523695464"/>
    <s v="No"/>
  </r>
  <r>
    <s v="ORD-101030"/>
    <d v="2024-10-14T00:00:00"/>
    <s v="CUST-00256"/>
    <x v="3"/>
    <x v="3"/>
    <s v="Men"/>
    <s v="SlimFit Denim Jeans"/>
    <n v="1"/>
    <n v="2022.65"/>
    <n v="0.1"/>
    <n v="1820.39"/>
    <n v="505.45"/>
    <s v="Credit Card"/>
    <s v="2024-10"/>
    <s v="1-10%"/>
    <n v="0.27766028158801132"/>
    <s v="No"/>
  </r>
  <r>
    <s v="ORD-101074"/>
    <d v="2024-10-14T00:00:00"/>
    <s v="CUST-00491"/>
    <x v="1"/>
    <x v="4"/>
    <s v="Fitness"/>
    <s v="ProYoga Mat"/>
    <n v="1"/>
    <n v="1287.6199999999999"/>
    <n v="0.2"/>
    <n v="1030.0999999999999"/>
    <n v="193.49"/>
    <s v="UPI"/>
    <s v="2024-10"/>
    <s v="16-20%"/>
    <n v="0.18783613241432873"/>
    <s v="No"/>
  </r>
  <r>
    <s v="ORD-101162"/>
    <d v="2024-10-14T00:00:00"/>
    <s v="CUST-00422"/>
    <x v="2"/>
    <x v="4"/>
    <s v="Outdoor"/>
    <s v="TrailHike Backpack 60L"/>
    <n v="3"/>
    <n v="3429.09"/>
    <n v="0"/>
    <n v="10287.27"/>
    <n v="4291.09"/>
    <s v="UPI"/>
    <s v="2024-10"/>
    <s v="No discount"/>
    <n v="0.41712621521550419"/>
    <s v="No"/>
  </r>
  <r>
    <s v="ORD-101426"/>
    <d v="2024-10-14T00:00:00"/>
    <s v="CUST-00215"/>
    <x v="2"/>
    <x v="4"/>
    <s v="Outdoor"/>
    <s v="TrailHike Backpack 60L"/>
    <n v="1"/>
    <n v="3452.94"/>
    <n v="0"/>
    <n v="3452.94"/>
    <n v="1325.65"/>
    <s v="Cash on Delivery"/>
    <s v="2024-10"/>
    <s v="No discount"/>
    <n v="0.38391921087537001"/>
    <s v="No"/>
  </r>
  <r>
    <s v="ORD-101885"/>
    <d v="2024-10-14T00:00:00"/>
    <s v="CUST-00066"/>
    <x v="3"/>
    <x v="0"/>
    <s v="Skincare"/>
    <s v="Vitamin C Serum"/>
    <n v="1"/>
    <n v="917.77"/>
    <n v="0"/>
    <n v="917.77"/>
    <n v="515.64"/>
    <s v="UPI"/>
    <s v="2024-10"/>
    <s v="No discount"/>
    <n v="0.56184011244647347"/>
    <s v="No"/>
  </r>
  <r>
    <s v="ORD-100410"/>
    <d v="2024-10-15T00:00:00"/>
    <s v="CUST-00070"/>
    <x v="3"/>
    <x v="4"/>
    <s v="Fitness"/>
    <s v="ProYoga Mat"/>
    <n v="3"/>
    <n v="1287.83"/>
    <n v="0.4"/>
    <n v="2318.09"/>
    <n v="-216.27"/>
    <s v="Credit Card"/>
    <s v="2024-10"/>
    <s v="21%+"/>
    <n v="-9.329663645501253E-2"/>
    <s v="Yes"/>
  </r>
  <r>
    <s v="ORD-101478"/>
    <d v="2024-10-15T00:00:00"/>
    <s v="CUST-00520"/>
    <x v="3"/>
    <x v="3"/>
    <s v="Men"/>
    <s v="Oxford Casual Shirt"/>
    <n v="2"/>
    <n v="1310.03"/>
    <n v="0.15"/>
    <n v="2227.0500000000002"/>
    <n v="584.71"/>
    <s v="Debit Card"/>
    <s v="2024-10"/>
    <s v="11-15%"/>
    <n v="0.26254911205406256"/>
    <s v="No"/>
  </r>
  <r>
    <s v="ORD-101847"/>
    <d v="2024-10-15T00:00:00"/>
    <s v="CUST-00577"/>
    <x v="2"/>
    <x v="2"/>
    <s v="Decor"/>
    <s v="Ceramic Vase Set"/>
    <n v="1"/>
    <n v="1548.95"/>
    <n v="0.1"/>
    <n v="1394.06"/>
    <n v="317.20999999999998"/>
    <s v="Credit Card"/>
    <s v="2024-10"/>
    <s v="1-10%"/>
    <n v="0.22754400814886017"/>
    <s v="No"/>
  </r>
  <r>
    <s v="ORD-100104"/>
    <d v="2024-10-16T00:00:00"/>
    <s v="CUST-00347"/>
    <x v="1"/>
    <x v="1"/>
    <s v="Audio"/>
    <s v="SoundPods Pro"/>
    <n v="1"/>
    <n v="5244.44"/>
    <n v="0.15"/>
    <n v="4457.7700000000004"/>
    <n v="42.02"/>
    <s v="UPI"/>
    <s v="2024-10"/>
    <s v="11-15%"/>
    <n v="9.4262377825684134E-3"/>
    <s v="No"/>
  </r>
  <r>
    <s v="ORD-100168"/>
    <d v="2024-10-16T00:00:00"/>
    <s v="CUST-00547"/>
    <x v="2"/>
    <x v="1"/>
    <s v="Audio"/>
    <s v="BassBoom Speaker"/>
    <n v="4"/>
    <n v="9182.3700000000008"/>
    <n v="0.1"/>
    <n v="33056.53"/>
    <n v="1875.32"/>
    <s v="UPI"/>
    <s v="2024-10"/>
    <s v="1-10%"/>
    <n v="5.6730697384147703E-2"/>
    <s v="No"/>
  </r>
  <r>
    <s v="ORD-100223"/>
    <d v="2024-10-16T00:00:00"/>
    <s v="CUST-00319"/>
    <x v="2"/>
    <x v="2"/>
    <s v="Decor"/>
    <s v="Ceramic Vase Set"/>
    <n v="2"/>
    <n v="1524.98"/>
    <n v="0"/>
    <n v="3049.96"/>
    <n v="897.34"/>
    <s v="Credit Card"/>
    <s v="2024-10"/>
    <s v="No discount"/>
    <n v="0.29421369460583091"/>
    <s v="No"/>
  </r>
  <r>
    <s v="ORD-100264"/>
    <d v="2024-10-16T00:00:00"/>
    <s v="CUST-00111"/>
    <x v="0"/>
    <x v="2"/>
    <s v="Appliances"/>
    <s v="ColdBrew Coffee Maker"/>
    <n v="2"/>
    <n v="6823.58"/>
    <n v="0"/>
    <n v="13647.16"/>
    <n v="5012.8599999999997"/>
    <s v="Credit Card"/>
    <s v="2024-10"/>
    <s v="No discount"/>
    <n v="0.36731891470459788"/>
    <s v="No"/>
  </r>
  <r>
    <s v="ORD-100542"/>
    <d v="2024-10-16T00:00:00"/>
    <s v="CUST-00057"/>
    <x v="3"/>
    <x v="2"/>
    <s v="Furniture"/>
    <s v="ErgoComfort Chair"/>
    <n v="1"/>
    <n v="9209.86"/>
    <n v="0.15"/>
    <n v="7828.38"/>
    <n v="1519.43"/>
    <s v="UPI"/>
    <s v="2024-10"/>
    <s v="11-15%"/>
    <n v="0.19409251978059319"/>
    <s v="No"/>
  </r>
  <r>
    <s v="ORD-100668"/>
    <d v="2024-10-16T00:00:00"/>
    <s v="CUST-00200"/>
    <x v="3"/>
    <x v="1"/>
    <s v="Audio"/>
    <s v="BassBoom Speaker"/>
    <n v="1"/>
    <n v="9440.23"/>
    <n v="0.1"/>
    <n v="8496.2099999999991"/>
    <n v="727.42"/>
    <s v="Credit Card"/>
    <s v="2024-10"/>
    <s v="1-10%"/>
    <n v="8.5616998638216341E-2"/>
    <s v="No"/>
  </r>
  <r>
    <s v="ORD-100351"/>
    <d v="2024-10-17T00:00:00"/>
    <s v="CUST-00130"/>
    <x v="3"/>
    <x v="4"/>
    <s v="Fitness"/>
    <s v="ProYoga Mat"/>
    <n v="1"/>
    <n v="1319.11"/>
    <n v="0"/>
    <n v="1319.11"/>
    <n v="541.94000000000005"/>
    <s v="UPI"/>
    <s v="2024-10"/>
    <s v="No discount"/>
    <n v="0.41083761020688198"/>
    <s v="No"/>
  </r>
  <r>
    <s v="ORD-100501"/>
    <d v="2024-10-17T00:00:00"/>
    <s v="CUST-00320"/>
    <x v="3"/>
    <x v="0"/>
    <s v="Skincare"/>
    <s v="HydraBoost Moisturizer"/>
    <n v="2"/>
    <n v="1205.8499999999999"/>
    <n v="0.15"/>
    <n v="2049.94"/>
    <n v="698.51"/>
    <s v="UPI"/>
    <s v="2024-10"/>
    <s v="11-15%"/>
    <n v="0.34074655843585666"/>
    <s v="No"/>
  </r>
  <r>
    <s v="ORD-100915"/>
    <d v="2024-10-17T00:00:00"/>
    <s v="CUST-00503"/>
    <x v="0"/>
    <x v="4"/>
    <s v="Fitness"/>
    <s v="ProYoga Mat"/>
    <n v="2"/>
    <n v="1279.73"/>
    <n v="0"/>
    <n v="2559.46"/>
    <n v="958.58"/>
    <s v="UPI"/>
    <s v="2024-10"/>
    <s v="No discount"/>
    <n v="0.37452431372242584"/>
    <s v="No"/>
  </r>
  <r>
    <s v="ORD-101249"/>
    <d v="2024-10-17T00:00:00"/>
    <s v="CUST-00559"/>
    <x v="1"/>
    <x v="4"/>
    <s v="Outdoor"/>
    <s v="AllWeather Tent 4P"/>
    <n v="2"/>
    <n v="12125.71"/>
    <n v="0"/>
    <n v="24251.42"/>
    <n v="9887.08"/>
    <s v="Credit Card"/>
    <s v="2024-10"/>
    <s v="No discount"/>
    <n v="0.40769076614895128"/>
    <s v="No"/>
  </r>
  <r>
    <s v="ORD-101450"/>
    <d v="2024-10-17T00:00:00"/>
    <s v="CUST-00052"/>
    <x v="2"/>
    <x v="1"/>
    <s v="Audio"/>
    <s v="SoundPods Pro"/>
    <n v="1"/>
    <n v="4923.57"/>
    <n v="0"/>
    <n v="4923.57"/>
    <n v="1007.38"/>
    <s v="UPI"/>
    <s v="2024-10"/>
    <s v="No discount"/>
    <n v="0.20460357017367481"/>
    <s v="No"/>
  </r>
  <r>
    <s v="ORD-101548"/>
    <d v="2024-10-17T00:00:00"/>
    <s v="CUST-00139"/>
    <x v="3"/>
    <x v="4"/>
    <s v="Fitness"/>
    <s v="ProYoga Mat"/>
    <n v="2"/>
    <n v="1303.55"/>
    <n v="0.05"/>
    <n v="2476.7399999999998"/>
    <n v="719.7"/>
    <s v="UPI"/>
    <s v="2024-10"/>
    <s v="1-10%"/>
    <n v="0.29058358971874321"/>
    <s v="No"/>
  </r>
  <r>
    <s v="ORD-100111"/>
    <d v="2024-10-18T00:00:00"/>
    <s v="CUST-00165"/>
    <x v="1"/>
    <x v="4"/>
    <s v="Outdoor"/>
    <s v="TrailHike Backpack 60L"/>
    <n v="3"/>
    <n v="3372.48"/>
    <n v="0.15"/>
    <n v="8599.82"/>
    <n v="1612.47"/>
    <s v="Net Banking"/>
    <s v="2024-10"/>
    <s v="11-15%"/>
    <n v="0.18750043605563838"/>
    <s v="No"/>
  </r>
  <r>
    <s v="ORD-100213"/>
    <d v="2024-10-18T00:00:00"/>
    <s v="CUST-00028"/>
    <x v="1"/>
    <x v="3"/>
    <s v="Men"/>
    <s v="Oxford Casual Shirt"/>
    <n v="1"/>
    <n v="1336.81"/>
    <n v="0.05"/>
    <n v="1269.97"/>
    <n v="434.74"/>
    <s v="UPI"/>
    <s v="2024-10"/>
    <s v="1-10%"/>
    <n v="0.34232304700111027"/>
    <s v="No"/>
  </r>
  <r>
    <s v="ORD-100347"/>
    <d v="2024-10-18T00:00:00"/>
    <s v="CUST-00523"/>
    <x v="2"/>
    <x v="0"/>
    <s v="Makeup"/>
    <s v="HD Foundation Kit"/>
    <n v="1"/>
    <n v="1554.07"/>
    <n v="0"/>
    <n v="1554.07"/>
    <n v="912.32"/>
    <s v="Credit Card"/>
    <s v="2024-10"/>
    <s v="No discount"/>
    <n v="0.58705206329187232"/>
    <s v="No"/>
  </r>
  <r>
    <s v="ORD-100768"/>
    <d v="2024-10-18T00:00:00"/>
    <s v="CUST-00413"/>
    <x v="0"/>
    <x v="0"/>
    <s v="Makeup"/>
    <s v="Matte Lipstick Set"/>
    <n v="2"/>
    <n v="1013.35"/>
    <n v="0"/>
    <n v="2026.7"/>
    <n v="1172.42"/>
    <s v="Net Banking"/>
    <s v="2024-10"/>
    <s v="No discount"/>
    <n v="0.57848719593427744"/>
    <s v="No"/>
  </r>
  <r>
    <s v="ORD-101387"/>
    <d v="2024-10-18T00:00:00"/>
    <s v="CUST-00556"/>
    <x v="3"/>
    <x v="1"/>
    <s v="Mobile"/>
    <s v="Pixel Aura 12"/>
    <n v="1"/>
    <n v="34247.31"/>
    <n v="0.25"/>
    <n v="25685.48"/>
    <n v="-2908.3"/>
    <s v="Credit Card"/>
    <s v="2024-10"/>
    <s v="21%+"/>
    <n v="-0.11322739540004705"/>
    <s v="Yes"/>
  </r>
  <r>
    <s v="ORD-101887"/>
    <d v="2024-10-18T00:00:00"/>
    <s v="CUST-00297"/>
    <x v="1"/>
    <x v="3"/>
    <s v="Men"/>
    <s v="SlimFit Denim Jeans"/>
    <n v="1"/>
    <n v="2024.49"/>
    <n v="0.05"/>
    <n v="1923.27"/>
    <n v="691.87"/>
    <s v="Debit Card"/>
    <s v="2024-10"/>
    <s v="1-10%"/>
    <n v="0.35973628247723927"/>
    <s v="No"/>
  </r>
  <r>
    <s v="ORD-101296"/>
    <d v="2024-10-19T00:00:00"/>
    <s v="CUST-00061"/>
    <x v="1"/>
    <x v="2"/>
    <s v="Appliances"/>
    <s v="AirFryer Deluxe"/>
    <n v="1"/>
    <n v="8290.2099999999991"/>
    <n v="0"/>
    <n v="8290.2099999999991"/>
    <n v="2953.15"/>
    <s v="Credit Card"/>
    <s v="2024-10"/>
    <s v="No discount"/>
    <n v="0.35622137436807999"/>
    <s v="No"/>
  </r>
  <r>
    <s v="ORD-101488"/>
    <d v="2024-10-19T00:00:00"/>
    <s v="CUST-00331"/>
    <x v="1"/>
    <x v="4"/>
    <s v="Outdoor"/>
    <s v="TrailHike Backpack 60L"/>
    <n v="1"/>
    <n v="3333.77"/>
    <n v="0.1"/>
    <n v="3000.39"/>
    <n v="763.63"/>
    <s v="UPI"/>
    <s v="2024-10"/>
    <s v="1-10%"/>
    <n v="0.25451024700122321"/>
    <s v="No"/>
  </r>
  <r>
    <s v="ORD-101533"/>
    <d v="2024-10-19T00:00:00"/>
    <s v="CUST-00446"/>
    <x v="3"/>
    <x v="0"/>
    <s v="Makeup"/>
    <s v="Matte Lipstick Set"/>
    <n v="3"/>
    <n v="984.28"/>
    <n v="0.1"/>
    <n v="2657.56"/>
    <n v="1086.75"/>
    <s v="UPI"/>
    <s v="2024-10"/>
    <s v="1-10%"/>
    <n v="0.40892773822604195"/>
    <s v="No"/>
  </r>
  <r>
    <s v="ORD-100295"/>
    <d v="2024-10-20T00:00:00"/>
    <s v="CUST-00150"/>
    <x v="1"/>
    <x v="1"/>
    <s v="Audio"/>
    <s v="SoundPods Pro"/>
    <n v="1"/>
    <n v="5084.1099999999997"/>
    <n v="0"/>
    <n v="5084.1099999999997"/>
    <n v="793.08"/>
    <s v="UPI"/>
    <s v="2024-10"/>
    <s v="No discount"/>
    <n v="0.15599190418775363"/>
    <s v="No"/>
  </r>
  <r>
    <s v="ORD-101442"/>
    <d v="2024-10-20T00:00:00"/>
    <s v="CUST-00235"/>
    <x v="1"/>
    <x v="2"/>
    <s v="Furniture"/>
    <s v="Oakwood Study Desk"/>
    <n v="3"/>
    <n v="13356.17"/>
    <n v="0"/>
    <n v="40068.51"/>
    <n v="12179.27"/>
    <s v="Credit Card"/>
    <s v="2024-10"/>
    <s v="No discount"/>
    <n v="0.30396114055651186"/>
    <s v="No"/>
  </r>
  <r>
    <s v="ORD-100337"/>
    <d v="2024-10-21T00:00:00"/>
    <s v="CUST-00351"/>
    <x v="1"/>
    <x v="3"/>
    <s v="Footwear"/>
    <s v="RunFlex Sneakers"/>
    <n v="3"/>
    <n v="2954.94"/>
    <n v="0.05"/>
    <n v="8421.58"/>
    <n v="3076.84"/>
    <s v="UPI"/>
    <s v="2024-10"/>
    <s v="1-10%"/>
    <n v="0.36535186983915136"/>
    <s v="No"/>
  </r>
  <r>
    <s v="ORD-100489"/>
    <d v="2024-10-21T00:00:00"/>
    <s v="CUST-00504"/>
    <x v="2"/>
    <x v="3"/>
    <s v="Men"/>
    <s v="SlimFit Denim Jeans"/>
    <n v="1"/>
    <n v="2027.1"/>
    <n v="0.05"/>
    <n v="1925.74"/>
    <n v="719.12"/>
    <s v="Credit Card"/>
    <s v="2024-10"/>
    <s v="1-10%"/>
    <n v="0.37342528067132635"/>
    <s v="No"/>
  </r>
  <r>
    <s v="ORD-100626"/>
    <d v="2024-10-21T00:00:00"/>
    <s v="CUST-00468"/>
    <x v="3"/>
    <x v="4"/>
    <s v="Fitness"/>
    <s v="Adjustable Dumbbell 24kg"/>
    <n v="2"/>
    <n v="9827.91"/>
    <n v="0"/>
    <n v="19655.82"/>
    <n v="7578.07"/>
    <s v="Credit Card"/>
    <s v="2024-10"/>
    <s v="No discount"/>
    <n v="0.38553822735454435"/>
    <s v="No"/>
  </r>
  <r>
    <s v="ORD-101018"/>
    <d v="2024-10-21T00:00:00"/>
    <s v="CUST-00147"/>
    <x v="0"/>
    <x v="3"/>
    <s v="Footwear"/>
    <s v="RunFlex Sneakers"/>
    <n v="1"/>
    <n v="2856.64"/>
    <n v="0.15"/>
    <n v="2428.14"/>
    <n v="589.41"/>
    <s v="Credit Card"/>
    <s v="2024-10"/>
    <s v="11-15%"/>
    <n v="0.24274135758234699"/>
    <s v="No"/>
  </r>
  <r>
    <s v="ORD-101121"/>
    <d v="2024-10-21T00:00:00"/>
    <s v="CUST-00502"/>
    <x v="0"/>
    <x v="3"/>
    <s v="Footwear"/>
    <s v="RunFlex Sneakers"/>
    <n v="2"/>
    <n v="3030.79"/>
    <n v="0"/>
    <n v="6061.58"/>
    <n v="2323.9"/>
    <s v="UPI"/>
    <s v="2024-10"/>
    <s v="No discount"/>
    <n v="0.38338189053019184"/>
    <s v="No"/>
  </r>
  <r>
    <s v="ORD-101169"/>
    <d v="2024-10-21T00:00:00"/>
    <s v="CUST-00128"/>
    <x v="2"/>
    <x v="4"/>
    <s v="Fitness"/>
    <s v="ProYoga Mat"/>
    <n v="1"/>
    <n v="1284.51"/>
    <n v="0.1"/>
    <n v="1156.06"/>
    <n v="336.42"/>
    <s v="UPI"/>
    <s v="2024-10"/>
    <s v="1-10%"/>
    <n v="0.29100565714582288"/>
    <s v="No"/>
  </r>
  <r>
    <s v="ORD-101671"/>
    <d v="2024-10-21T00:00:00"/>
    <s v="CUST-00202"/>
    <x v="3"/>
    <x v="2"/>
    <s v="Appliances"/>
    <s v="AirFryer Deluxe"/>
    <n v="5"/>
    <n v="8349.91"/>
    <n v="0"/>
    <n v="41749.550000000003"/>
    <n v="14496.83"/>
    <s v="UPI"/>
    <s v="2024-10"/>
    <s v="No discount"/>
    <n v="0.34723320371117772"/>
    <s v="No"/>
  </r>
  <r>
    <s v="ORD-101869"/>
    <d v="2024-10-21T00:00:00"/>
    <s v="CUST-00132"/>
    <x v="2"/>
    <x v="0"/>
    <s v="Makeup"/>
    <s v="Matte Lipstick Set"/>
    <n v="3"/>
    <n v="1039.5999999999999"/>
    <n v="0.05"/>
    <n v="2962.86"/>
    <n v="1561.09"/>
    <s v="Credit Card"/>
    <s v="2024-10"/>
    <s v="1-10%"/>
    <n v="0.52688618429490419"/>
    <s v="No"/>
  </r>
  <r>
    <s v="ORD-100057"/>
    <d v="2024-10-22T00:00:00"/>
    <s v="CUST-00480"/>
    <x v="3"/>
    <x v="3"/>
    <s v="Footwear"/>
    <s v="RunFlex Sneakers"/>
    <n v="4"/>
    <n v="2870.47"/>
    <n v="0.2"/>
    <n v="9185.5"/>
    <n v="1499.75"/>
    <s v="Debit Card"/>
    <s v="2024-10"/>
    <s v="16-20%"/>
    <n v="0.16327363779870449"/>
    <s v="No"/>
  </r>
  <r>
    <s v="ORD-100200"/>
    <d v="2024-10-22T00:00:00"/>
    <s v="CUST-00469"/>
    <x v="2"/>
    <x v="4"/>
    <s v="Outdoor"/>
    <s v="AllWeather Tent 4P"/>
    <n v="1"/>
    <n v="11436.08"/>
    <n v="0"/>
    <n v="11436.08"/>
    <n v="4584.55"/>
    <s v="UPI"/>
    <s v="2024-10"/>
    <s v="No discount"/>
    <n v="0.40088474372337374"/>
    <s v="No"/>
  </r>
  <r>
    <s v="ORD-100640"/>
    <d v="2024-10-22T00:00:00"/>
    <s v="CUST-00235"/>
    <x v="1"/>
    <x v="0"/>
    <s v="Makeup"/>
    <s v="HD Foundation Kit"/>
    <n v="1"/>
    <n v="1542.02"/>
    <n v="0.05"/>
    <n v="1464.92"/>
    <n v="667.52"/>
    <s v="UPI"/>
    <s v="2024-10"/>
    <s v="1-10%"/>
    <n v="0.45566993419435869"/>
    <s v="No"/>
  </r>
  <r>
    <s v="ORD-100652"/>
    <d v="2024-10-22T00:00:00"/>
    <s v="CUST-00175"/>
    <x v="1"/>
    <x v="4"/>
    <s v="Outdoor"/>
    <s v="TrailHike Backpack 60L"/>
    <n v="5"/>
    <n v="3324.6"/>
    <n v="0.15"/>
    <n v="14129.55"/>
    <n v="2445.65"/>
    <s v="Credit Card"/>
    <s v="2024-10"/>
    <s v="11-15%"/>
    <n v="0.17308760717786484"/>
    <s v="No"/>
  </r>
  <r>
    <s v="ORD-100889"/>
    <d v="2024-10-22T00:00:00"/>
    <s v="CUST-00516"/>
    <x v="1"/>
    <x v="1"/>
    <s v="Audio"/>
    <s v="BassBoom Speaker"/>
    <n v="1"/>
    <n v="9443.33"/>
    <n v="0.1"/>
    <n v="8499"/>
    <n v="507.46"/>
    <s v="Credit Card"/>
    <s v="2024-10"/>
    <s v="1-10%"/>
    <n v="5.9708200964819387E-2"/>
    <s v="No"/>
  </r>
  <r>
    <s v="ORD-100918"/>
    <d v="2024-10-22T00:00:00"/>
    <s v="CUST-00343"/>
    <x v="0"/>
    <x v="4"/>
    <s v="Fitness"/>
    <s v="Adjustable Dumbbell 24kg"/>
    <n v="1"/>
    <n v="10325.11"/>
    <n v="0.05"/>
    <n v="9808.85"/>
    <n v="3123.69"/>
    <s v="UPI"/>
    <s v="2024-10"/>
    <s v="1-10%"/>
    <n v="0.31845629202200054"/>
    <s v="No"/>
  </r>
  <r>
    <s v="ORD-100451"/>
    <d v="2024-10-23T00:00:00"/>
    <s v="CUST-00181"/>
    <x v="3"/>
    <x v="2"/>
    <s v="Decor"/>
    <s v="LED Wall Lamp"/>
    <n v="1"/>
    <n v="1044.8399999999999"/>
    <n v="0.1"/>
    <n v="940.36"/>
    <n v="171.38"/>
    <s v="Cash on Delivery"/>
    <s v="2024-10"/>
    <s v="1-10%"/>
    <n v="0.18224935131226339"/>
    <s v="No"/>
  </r>
  <r>
    <s v="ORD-100790"/>
    <d v="2024-10-23T00:00:00"/>
    <s v="CUST-00167"/>
    <x v="1"/>
    <x v="0"/>
    <s v="Makeup"/>
    <s v="HD Foundation Kit"/>
    <n v="1"/>
    <n v="1563.04"/>
    <n v="0"/>
    <n v="1563.04"/>
    <n v="815.55"/>
    <s v="Credit Card"/>
    <s v="2024-10"/>
    <s v="No discount"/>
    <n v="0.52177167570887495"/>
    <s v="No"/>
  </r>
  <r>
    <s v="ORD-100916"/>
    <d v="2024-10-23T00:00:00"/>
    <s v="CUST-00163"/>
    <x v="2"/>
    <x v="3"/>
    <s v="Women"/>
    <s v="Floral Summer Dress"/>
    <n v="1"/>
    <n v="1731.27"/>
    <n v="0.25"/>
    <n v="1298.45"/>
    <n v="161.22"/>
    <s v="UPI"/>
    <s v="2024-10"/>
    <s v="21%+"/>
    <n v="0.12416342562285802"/>
    <s v="No"/>
  </r>
  <r>
    <s v="ORD-101029"/>
    <d v="2024-10-23T00:00:00"/>
    <s v="CUST-00576"/>
    <x v="3"/>
    <x v="3"/>
    <s v="Women"/>
    <s v="Floral Summer Dress"/>
    <n v="1"/>
    <n v="1814.01"/>
    <n v="0.25"/>
    <n v="1360.51"/>
    <n v="216"/>
    <s v="Debit Card"/>
    <s v="2024-10"/>
    <s v="21%+"/>
    <n v="0.15876399291442181"/>
    <s v="No"/>
  </r>
  <r>
    <s v="ORD-100273"/>
    <d v="2024-10-24T00:00:00"/>
    <s v="CUST-00533"/>
    <x v="2"/>
    <x v="3"/>
    <s v="Men"/>
    <s v="Oxford Casual Shirt"/>
    <n v="1"/>
    <n v="1299.43"/>
    <n v="0"/>
    <n v="1299.43"/>
    <n v="525.61"/>
    <s v="UPI"/>
    <s v="2024-10"/>
    <s v="No discount"/>
    <n v="0.40449273912407746"/>
    <s v="No"/>
  </r>
  <r>
    <s v="ORD-100279"/>
    <d v="2024-10-24T00:00:00"/>
    <s v="CUST-00321"/>
    <x v="2"/>
    <x v="0"/>
    <s v="Skincare"/>
    <s v="Vitamin C Serum"/>
    <n v="4"/>
    <n v="895.11"/>
    <n v="0.1"/>
    <n v="3222.4"/>
    <n v="1524.79"/>
    <s v="UPI"/>
    <s v="2024-10"/>
    <s v="1-10%"/>
    <n v="0.47318458291956306"/>
    <s v="No"/>
  </r>
  <r>
    <s v="ORD-100553"/>
    <d v="2024-10-24T00:00:00"/>
    <s v="CUST-00410"/>
    <x v="2"/>
    <x v="0"/>
    <s v="Skincare"/>
    <s v="Vitamin C Serum"/>
    <n v="1"/>
    <n v="889.27"/>
    <n v="0.2"/>
    <n v="711.42"/>
    <n v="218.2"/>
    <s v="Debit Card"/>
    <s v="2024-10"/>
    <s v="16-20%"/>
    <n v="0.30671052261673837"/>
    <s v="No"/>
  </r>
  <r>
    <s v="ORD-101621"/>
    <d v="2024-10-24T00:00:00"/>
    <s v="CUST-00251"/>
    <x v="1"/>
    <x v="3"/>
    <s v="Men"/>
    <s v="Oxford Casual Shirt"/>
    <n v="4"/>
    <n v="1327.54"/>
    <n v="0.05"/>
    <n v="5044.6499999999996"/>
    <n v="1935.09"/>
    <s v="Cash on Delivery"/>
    <s v="2024-10"/>
    <s v="1-10%"/>
    <n v="0.38359251880705303"/>
    <s v="No"/>
  </r>
  <r>
    <s v="ORD-101947"/>
    <d v="2024-10-24T00:00:00"/>
    <s v="CUST-00452"/>
    <x v="0"/>
    <x v="0"/>
    <s v="Skincare"/>
    <s v="HydraBoost Moisturizer"/>
    <n v="4"/>
    <n v="1177.07"/>
    <n v="0.1"/>
    <n v="4237.45"/>
    <n v="1987.12"/>
    <s v="Cash on Delivery"/>
    <s v="2024-10"/>
    <s v="1-10%"/>
    <n v="0.46894240640007551"/>
    <s v="No"/>
  </r>
  <r>
    <s v="ORD-101957"/>
    <d v="2024-10-24T00:00:00"/>
    <s v="CUST-00419"/>
    <x v="3"/>
    <x v="2"/>
    <s v="Appliances"/>
    <s v="ColdBrew Coffee Maker"/>
    <n v="1"/>
    <n v="6604.93"/>
    <n v="0"/>
    <n v="6604.93"/>
    <n v="2158.87"/>
    <s v="Credit Card"/>
    <s v="2024-10"/>
    <s v="No discount"/>
    <n v="0.32685736260641668"/>
    <s v="No"/>
  </r>
  <r>
    <s v="ORD-100183"/>
    <d v="2024-10-25T00:00:00"/>
    <s v="CUST-00087"/>
    <x v="3"/>
    <x v="4"/>
    <s v="Outdoor"/>
    <s v="TrailHike Backpack 60L"/>
    <n v="1"/>
    <n v="3356.61"/>
    <n v="0.05"/>
    <n v="3188.78"/>
    <n v="1053.3900000000001"/>
    <s v="UPI"/>
    <s v="2024-10"/>
    <s v="1-10%"/>
    <n v="0.33034263887756449"/>
    <s v="No"/>
  </r>
  <r>
    <s v="ORD-100288"/>
    <d v="2024-10-25T00:00:00"/>
    <s v="CUST-00383"/>
    <x v="0"/>
    <x v="2"/>
    <s v="Appliances"/>
    <s v="ColdBrew Coffee Maker"/>
    <n v="1"/>
    <n v="6318.16"/>
    <n v="0.15"/>
    <n v="5370.44"/>
    <n v="777.69"/>
    <s v="Cash on Delivery"/>
    <s v="2024-10"/>
    <s v="11-15%"/>
    <n v="0.14480936385100665"/>
    <s v="No"/>
  </r>
  <r>
    <s v="ORD-100914"/>
    <d v="2024-10-25T00:00:00"/>
    <s v="CUST-00463"/>
    <x v="0"/>
    <x v="4"/>
    <s v="Fitness"/>
    <s v="ProYoga Mat"/>
    <n v="2"/>
    <n v="1278.9000000000001"/>
    <n v="0.1"/>
    <n v="2302.02"/>
    <n v="556.17999999999995"/>
    <s v="UPI"/>
    <s v="2024-10"/>
    <s v="1-10%"/>
    <n v="0.24160519891225965"/>
    <s v="No"/>
  </r>
  <r>
    <s v="ORD-100927"/>
    <d v="2024-10-25T00:00:00"/>
    <s v="CUST-00163"/>
    <x v="3"/>
    <x v="0"/>
    <s v="Makeup"/>
    <s v="Matte Lipstick Set"/>
    <n v="2"/>
    <n v="977.86"/>
    <n v="0"/>
    <n v="1955.72"/>
    <n v="1032"/>
    <s v="UPI"/>
    <s v="2024-10"/>
    <s v="No discount"/>
    <n v="0.52768289939255109"/>
    <s v="No"/>
  </r>
  <r>
    <s v="ORD-100978"/>
    <d v="2024-10-25T00:00:00"/>
    <s v="CUST-00106"/>
    <x v="0"/>
    <x v="4"/>
    <s v="Outdoor"/>
    <s v="TrailHike Backpack 60L"/>
    <n v="2"/>
    <n v="3382.99"/>
    <n v="0.05"/>
    <n v="6427.68"/>
    <n v="2180.79"/>
    <s v="Credit Card"/>
    <s v="2024-10"/>
    <s v="1-10%"/>
    <n v="0.33928104697184674"/>
    <s v="No"/>
  </r>
  <r>
    <s v="ORD-101017"/>
    <d v="2024-10-25T00:00:00"/>
    <s v="CUST-00231"/>
    <x v="3"/>
    <x v="3"/>
    <s v="Women"/>
    <s v="Knit Winter Sweater"/>
    <n v="4"/>
    <n v="2133.17"/>
    <n v="0.05"/>
    <n v="8106.05"/>
    <n v="3031.91"/>
    <s v="UPI"/>
    <s v="2024-10"/>
    <s v="1-10%"/>
    <n v="0.37403050807730026"/>
    <s v="No"/>
  </r>
  <r>
    <s v="ORD-101773"/>
    <d v="2024-10-25T00:00:00"/>
    <s v="CUST-00366"/>
    <x v="3"/>
    <x v="2"/>
    <s v="Decor"/>
    <s v="LED Wall Lamp"/>
    <n v="1"/>
    <n v="987.65"/>
    <n v="0"/>
    <n v="987.65"/>
    <n v="321.69"/>
    <s v="Debit Card"/>
    <s v="2024-10"/>
    <s v="No discount"/>
    <n v="0.32571254999240623"/>
    <s v="No"/>
  </r>
  <r>
    <s v="ORD-101850"/>
    <d v="2024-10-25T00:00:00"/>
    <s v="CUST-00206"/>
    <x v="1"/>
    <x v="4"/>
    <s v="Fitness"/>
    <s v="Adjustable Dumbbell 24kg"/>
    <n v="4"/>
    <n v="10246.959999999999"/>
    <n v="0.4"/>
    <n v="24592.7"/>
    <n v="-2808.77"/>
    <s v="UPI"/>
    <s v="2024-10"/>
    <s v="21%+"/>
    <n v="-0.11421153431709409"/>
    <s v="Yes"/>
  </r>
  <r>
    <s v="ORD-101880"/>
    <d v="2024-10-25T00:00:00"/>
    <s v="CUST-00228"/>
    <x v="1"/>
    <x v="2"/>
    <s v="Decor"/>
    <s v="Ceramic Vase Set"/>
    <n v="1"/>
    <n v="1457.27"/>
    <n v="0.15"/>
    <n v="1238.68"/>
    <n v="159.85"/>
    <s v="Credit Card"/>
    <s v="2024-10"/>
    <s v="11-15%"/>
    <n v="0.12904866470759194"/>
    <s v="No"/>
  </r>
  <r>
    <s v="ORD-101909"/>
    <d v="2024-10-25T00:00:00"/>
    <s v="CUST-00487"/>
    <x v="2"/>
    <x v="1"/>
    <s v="Audio"/>
    <s v="SoundPods Pro"/>
    <n v="1"/>
    <n v="5233.51"/>
    <n v="0.2"/>
    <n v="4186.8100000000004"/>
    <n v="-83.86"/>
    <s v="Net Banking"/>
    <s v="2024-10"/>
    <s v="16-20%"/>
    <n v="-2.0029569051378017E-2"/>
    <s v="Yes"/>
  </r>
  <r>
    <s v="ORD-101033"/>
    <d v="2024-10-26T00:00:00"/>
    <s v="CUST-00086"/>
    <x v="2"/>
    <x v="0"/>
    <s v="Makeup"/>
    <s v="HD Foundation Kit"/>
    <n v="4"/>
    <n v="1564.21"/>
    <n v="0"/>
    <n v="6256.84"/>
    <n v="3671.72"/>
    <s v="Credit Card"/>
    <s v="2024-10"/>
    <s v="No discount"/>
    <n v="0.58683296999763457"/>
    <s v="No"/>
  </r>
  <r>
    <s v="ORD-101213"/>
    <d v="2024-10-26T00:00:00"/>
    <s v="CUST-00407"/>
    <x v="1"/>
    <x v="3"/>
    <s v="Men"/>
    <s v="SlimFit Denim Jeans"/>
    <n v="1"/>
    <n v="1923.67"/>
    <n v="0"/>
    <n v="1923.67"/>
    <n v="811.94"/>
    <s v="UPI"/>
    <s v="2024-10"/>
    <s v="No discount"/>
    <n v="0.42207863095021497"/>
    <s v="No"/>
  </r>
  <r>
    <s v="ORD-100008"/>
    <d v="2024-10-27T00:00:00"/>
    <s v="CUST-00465"/>
    <x v="1"/>
    <x v="0"/>
    <s v="Makeup"/>
    <s v="Matte Lipstick Set"/>
    <n v="2"/>
    <n v="1037.44"/>
    <n v="0"/>
    <n v="2074.88"/>
    <n v="1182.83"/>
    <s v="UPI"/>
    <s v="2024-10"/>
    <s v="No discount"/>
    <n v="0.5700715222085132"/>
    <s v="No"/>
  </r>
  <r>
    <s v="ORD-100659"/>
    <d v="2024-10-27T00:00:00"/>
    <s v="CUST-00147"/>
    <x v="1"/>
    <x v="1"/>
    <s v="Audio"/>
    <s v="BassBoom Speaker"/>
    <n v="2"/>
    <n v="8985.08"/>
    <n v="0"/>
    <n v="17970.16"/>
    <n v="3578.51"/>
    <s v="UPI"/>
    <s v="2024-10"/>
    <s v="No discount"/>
    <n v="0.19913623473580649"/>
    <s v="No"/>
  </r>
  <r>
    <s v="ORD-100677"/>
    <d v="2024-10-27T00:00:00"/>
    <s v="CUST-00456"/>
    <x v="2"/>
    <x v="0"/>
    <s v="Makeup"/>
    <s v="HD Foundation Kit"/>
    <n v="5"/>
    <n v="1570.52"/>
    <n v="0"/>
    <n v="7852.6"/>
    <n v="4418.29"/>
    <s v="UPI"/>
    <s v="2024-10"/>
    <s v="No discount"/>
    <n v="0.56265313399383643"/>
    <s v="No"/>
  </r>
  <r>
    <s v="ORD-100841"/>
    <d v="2024-10-27T00:00:00"/>
    <s v="CUST-00345"/>
    <x v="3"/>
    <x v="1"/>
    <s v="Mobile"/>
    <s v="iPhone Zeta"/>
    <n v="3"/>
    <n v="72828.78"/>
    <n v="0.25"/>
    <n v="163864.76"/>
    <n v="-19524.580000000002"/>
    <s v="Credit Card"/>
    <s v="2024-10"/>
    <s v="21%+"/>
    <n v="-0.11915057270397858"/>
    <s v="Yes"/>
  </r>
  <r>
    <s v="ORD-100951"/>
    <d v="2024-10-27T00:00:00"/>
    <s v="CUST-00400"/>
    <x v="0"/>
    <x v="3"/>
    <s v="Footwear"/>
    <s v="UrbanLoafers"/>
    <n v="1"/>
    <n v="3582.79"/>
    <n v="0.15"/>
    <n v="3045.37"/>
    <n v="863"/>
    <s v="UPI"/>
    <s v="2024-10"/>
    <s v="11-15%"/>
    <n v="0.28338100132332034"/>
    <s v="No"/>
  </r>
  <r>
    <s v="ORD-100959"/>
    <d v="2024-10-27T00:00:00"/>
    <s v="CUST-00425"/>
    <x v="3"/>
    <x v="1"/>
    <s v="Mobile"/>
    <s v="Galaxy Nova X5"/>
    <n v="1"/>
    <n v="25045.55"/>
    <n v="0"/>
    <n v="25045.55"/>
    <n v="3787.33"/>
    <s v="UPI"/>
    <s v="2024-10"/>
    <s v="No discount"/>
    <n v="0.15121768138451741"/>
    <s v="No"/>
  </r>
  <r>
    <s v="ORD-100988"/>
    <d v="2024-10-27T00:00:00"/>
    <s v="CUST-00085"/>
    <x v="3"/>
    <x v="0"/>
    <s v="Makeup"/>
    <s v="HD Foundation Kit"/>
    <n v="1"/>
    <n v="1477.08"/>
    <n v="0.05"/>
    <n v="1403.23"/>
    <n v="649.9"/>
    <s v="Debit Card"/>
    <s v="2024-10"/>
    <s v="1-10%"/>
    <n v="0.46314574232306888"/>
    <s v="No"/>
  </r>
  <r>
    <s v="ORD-101801"/>
    <d v="2024-10-27T00:00:00"/>
    <s v="CUST-00238"/>
    <x v="3"/>
    <x v="1"/>
    <s v="Mobile"/>
    <s v="Galaxy Nova X5"/>
    <n v="2"/>
    <n v="25693.919999999998"/>
    <n v="0.05"/>
    <n v="48818.45"/>
    <n v="5070.32"/>
    <s v="UPI"/>
    <s v="2024-10"/>
    <s v="1-10%"/>
    <n v="0.1038607329810758"/>
    <s v="No"/>
  </r>
  <r>
    <s v="ORD-100365"/>
    <d v="2024-10-28T00:00:00"/>
    <s v="CUST-00502"/>
    <x v="0"/>
    <x v="3"/>
    <s v="Women"/>
    <s v="Floral Summer Dress"/>
    <n v="1"/>
    <n v="1825.02"/>
    <n v="0.1"/>
    <n v="1642.52"/>
    <n v="480.91"/>
    <s v="Debit Card"/>
    <s v="2024-10"/>
    <s v="1-10%"/>
    <n v="0.29278791125831044"/>
    <s v="No"/>
  </r>
  <r>
    <s v="ORD-100437"/>
    <d v="2024-10-28T00:00:00"/>
    <s v="CUST-00037"/>
    <x v="3"/>
    <x v="0"/>
    <s v="Skincare"/>
    <s v="HydraBoost Moisturizer"/>
    <n v="1"/>
    <n v="1207.8699999999999"/>
    <n v="0.25"/>
    <n v="905.9"/>
    <n v="225.59"/>
    <s v="Cash on Delivery"/>
    <s v="2024-10"/>
    <s v="21%+"/>
    <n v="0.24902307097913678"/>
    <s v="No"/>
  </r>
  <r>
    <s v="ORD-100610"/>
    <d v="2024-10-28T00:00:00"/>
    <s v="CUST-00336"/>
    <x v="0"/>
    <x v="3"/>
    <s v="Men"/>
    <s v="Oxford Casual Shirt"/>
    <n v="2"/>
    <n v="1289.8499999999999"/>
    <n v="0.05"/>
    <n v="2450.71"/>
    <n v="915.07"/>
    <s v="Debit Card"/>
    <s v="2024-10"/>
    <s v="1-10%"/>
    <n v="0.37338975235748006"/>
    <s v="No"/>
  </r>
  <r>
    <s v="ORD-100710"/>
    <d v="2024-10-28T00:00:00"/>
    <s v="CUST-00059"/>
    <x v="2"/>
    <x v="2"/>
    <s v="Appliances"/>
    <s v="ColdBrew Coffee Maker"/>
    <n v="1"/>
    <n v="6748.55"/>
    <n v="0.25"/>
    <n v="5061.41"/>
    <n v="119.57"/>
    <s v="Net Banking"/>
    <s v="2024-10"/>
    <s v="21%+"/>
    <n v="2.3623851851559151E-2"/>
    <s v="No"/>
  </r>
  <r>
    <s v="ORD-101215"/>
    <d v="2024-10-28T00:00:00"/>
    <s v="CUST-00549"/>
    <x v="0"/>
    <x v="3"/>
    <s v="Men"/>
    <s v="SlimFit Denim Jeans"/>
    <n v="1"/>
    <n v="1982.66"/>
    <n v="0.05"/>
    <n v="1883.53"/>
    <n v="621.34"/>
    <s v="Credit Card"/>
    <s v="2024-10"/>
    <s v="1-10%"/>
    <n v="0.32988059653947643"/>
    <s v="No"/>
  </r>
  <r>
    <s v="ORD-100030"/>
    <d v="2024-10-29T00:00:00"/>
    <s v="CUST-00197"/>
    <x v="1"/>
    <x v="2"/>
    <s v="Appliances"/>
    <s v="ColdBrew Coffee Maker"/>
    <n v="2"/>
    <n v="6758.99"/>
    <n v="0"/>
    <n v="13517.98"/>
    <n v="4468.6400000000003"/>
    <s v="UPI"/>
    <s v="2024-10"/>
    <s v="No discount"/>
    <n v="0.33057009997055775"/>
    <s v="No"/>
  </r>
  <r>
    <s v="ORD-100073"/>
    <d v="2024-10-29T00:00:00"/>
    <s v="CUST-00406"/>
    <x v="1"/>
    <x v="2"/>
    <s v="Decor"/>
    <s v="LED Wall Lamp"/>
    <n v="1"/>
    <n v="997.32"/>
    <n v="0.05"/>
    <n v="947.45"/>
    <n v="238.26"/>
    <s v="Credit Card"/>
    <s v="2024-10"/>
    <s v="1-10%"/>
    <n v="0.25147501187397747"/>
    <s v="No"/>
  </r>
  <r>
    <s v="ORD-101101"/>
    <d v="2024-10-29T00:00:00"/>
    <s v="CUST-00371"/>
    <x v="1"/>
    <x v="3"/>
    <s v="Women"/>
    <s v="Knit Winter Sweater"/>
    <n v="1"/>
    <n v="2237.7199999999998"/>
    <n v="0.05"/>
    <n v="2125.83"/>
    <n v="732.95"/>
    <s v="Credit Card"/>
    <s v="2024-10"/>
    <s v="1-10%"/>
    <n v="0.34478297888354198"/>
    <s v="No"/>
  </r>
  <r>
    <s v="ORD-101530"/>
    <d v="2024-10-29T00:00:00"/>
    <s v="CUST-00473"/>
    <x v="2"/>
    <x v="2"/>
    <s v="Decor"/>
    <s v="LED Wall Lamp"/>
    <n v="1"/>
    <n v="970.51"/>
    <n v="0.05"/>
    <n v="921.98"/>
    <n v="271.33"/>
    <s v="Net Banking"/>
    <s v="2024-10"/>
    <s v="1-10%"/>
    <n v="0.29429054860192194"/>
    <s v="No"/>
  </r>
  <r>
    <s v="ORD-101057"/>
    <d v="2024-10-30T00:00:00"/>
    <s v="CUST-00432"/>
    <x v="2"/>
    <x v="3"/>
    <s v="Footwear"/>
    <s v="UrbanLoafers"/>
    <n v="1"/>
    <n v="3569.21"/>
    <n v="0.05"/>
    <n v="3390.75"/>
    <n v="1324.82"/>
    <s v="UPI"/>
    <s v="2024-10"/>
    <s v="1-10%"/>
    <n v="0.39071591830715918"/>
    <s v="No"/>
  </r>
  <r>
    <s v="ORD-101627"/>
    <d v="2024-10-30T00:00:00"/>
    <s v="CUST-00309"/>
    <x v="1"/>
    <x v="4"/>
    <s v="Fitness"/>
    <s v="ProYoga Mat"/>
    <n v="1"/>
    <n v="1361.18"/>
    <n v="0.05"/>
    <n v="1293.1199999999999"/>
    <n v="420.14"/>
    <s v="Net Banking"/>
    <s v="2024-10"/>
    <s v="1-10%"/>
    <n v="0.32490410789408564"/>
    <s v="No"/>
  </r>
  <r>
    <s v="ORD-101842"/>
    <d v="2024-10-30T00:00:00"/>
    <s v="CUST-00416"/>
    <x v="0"/>
    <x v="4"/>
    <s v="Outdoor"/>
    <s v="TrailHike Backpack 60L"/>
    <n v="1"/>
    <n v="3374.49"/>
    <n v="0"/>
    <n v="3374.49"/>
    <n v="1303.4000000000001"/>
    <s v="UPI"/>
    <s v="2024-10"/>
    <s v="No discount"/>
    <n v="0.38625095940423593"/>
    <s v="No"/>
  </r>
  <r>
    <s v="ORD-101071"/>
    <d v="2024-10-31T00:00:00"/>
    <s v="CUST-00123"/>
    <x v="0"/>
    <x v="0"/>
    <s v="Skincare"/>
    <s v="Vitamin C Serum"/>
    <n v="1"/>
    <n v="871.2"/>
    <n v="0"/>
    <n v="871.2"/>
    <n v="473.8"/>
    <s v="UPI"/>
    <s v="2024-10"/>
    <s v="No discount"/>
    <n v="0.54384756657483924"/>
    <s v="No"/>
  </r>
  <r>
    <s v="ORD-101165"/>
    <d v="2024-10-31T00:00:00"/>
    <s v="CUST-00414"/>
    <x v="2"/>
    <x v="2"/>
    <s v="Appliances"/>
    <s v="AirFryer Deluxe"/>
    <n v="3"/>
    <n v="8060.88"/>
    <n v="0.1"/>
    <n v="21764.38"/>
    <n v="5011"/>
    <s v="Credit Card"/>
    <s v="2024-10"/>
    <s v="1-10%"/>
    <n v="0.2302385824912081"/>
    <s v="No"/>
  </r>
  <r>
    <s v="ORD-101451"/>
    <d v="2024-10-31T00:00:00"/>
    <s v="CUST-00461"/>
    <x v="1"/>
    <x v="1"/>
    <s v="Mobile"/>
    <s v="Pixel Aura 12"/>
    <n v="5"/>
    <n v="32359.38"/>
    <n v="0.05"/>
    <n v="153707.04999999999"/>
    <n v="19379.45"/>
    <s v="Credit Card"/>
    <s v="2024-10"/>
    <s v="1-10%"/>
    <n v="0.12608042376715969"/>
    <s v="No"/>
  </r>
  <r>
    <s v="ORD-100265"/>
    <d v="2024-11-01T00:00:00"/>
    <s v="CUST-00530"/>
    <x v="1"/>
    <x v="4"/>
    <s v="Fitness"/>
    <s v="Adjustable Dumbbell 24kg"/>
    <n v="5"/>
    <n v="10360.459999999999"/>
    <n v="0.1"/>
    <n v="46622.07"/>
    <n v="11463.98"/>
    <s v="Net Banking"/>
    <s v="2024-11"/>
    <s v="1-10%"/>
    <n v="0.24589169893142881"/>
    <s v="No"/>
  </r>
  <r>
    <s v="ORD-100405"/>
    <d v="2024-11-01T00:00:00"/>
    <s v="CUST-00090"/>
    <x v="1"/>
    <x v="3"/>
    <s v="Men"/>
    <s v="SlimFit Denim Jeans"/>
    <n v="1"/>
    <n v="1906.39"/>
    <n v="0.1"/>
    <n v="1715.75"/>
    <n v="571.87"/>
    <s v="Debit Card"/>
    <s v="2024-11"/>
    <s v="1-10%"/>
    <n v="0.33330613434358153"/>
    <s v="No"/>
  </r>
  <r>
    <s v="ORD-101464"/>
    <d v="2024-11-01T00:00:00"/>
    <s v="CUST-00336"/>
    <x v="2"/>
    <x v="1"/>
    <s v="Audio"/>
    <s v="BassBoom Speaker"/>
    <n v="5"/>
    <n v="9065.2900000000009"/>
    <n v="0"/>
    <n v="45326.45"/>
    <n v="7137.65"/>
    <s v="Debit Card"/>
    <s v="2024-11"/>
    <s v="No discount"/>
    <n v="0.15747207204623348"/>
    <s v="No"/>
  </r>
  <r>
    <s v="ORD-101873"/>
    <d v="2024-11-01T00:00:00"/>
    <s v="CUST-00157"/>
    <x v="3"/>
    <x v="0"/>
    <s v="Makeup"/>
    <s v="Matte Lipstick Set"/>
    <n v="2"/>
    <n v="1032.3800000000001"/>
    <n v="0.15"/>
    <n v="1755.05"/>
    <n v="676.96"/>
    <s v="Credit Card"/>
    <s v="2024-11"/>
    <s v="11-15%"/>
    <n v="0.38572120452408765"/>
    <s v="No"/>
  </r>
  <r>
    <s v="ORD-100072"/>
    <d v="2024-11-02T00:00:00"/>
    <s v="CUST-00435"/>
    <x v="2"/>
    <x v="4"/>
    <s v="Outdoor"/>
    <s v="TrailHike Backpack 60L"/>
    <n v="4"/>
    <n v="3424.69"/>
    <n v="0.05"/>
    <n v="13013.82"/>
    <n v="4245.47"/>
    <s v="Cash on Delivery"/>
    <s v="2024-11"/>
    <s v="1-10%"/>
    <n v="0.32622781012800239"/>
    <s v="No"/>
  </r>
  <r>
    <s v="ORD-100178"/>
    <d v="2024-11-02T00:00:00"/>
    <s v="CUST-00247"/>
    <x v="2"/>
    <x v="2"/>
    <s v="Appliances"/>
    <s v="AirFryer Deluxe"/>
    <n v="1"/>
    <n v="7611.57"/>
    <n v="0.2"/>
    <n v="6089.26"/>
    <n v="466.27"/>
    <s v="Debit Card"/>
    <s v="2024-11"/>
    <s v="16-20%"/>
    <n v="7.6572522769597612E-2"/>
    <s v="No"/>
  </r>
  <r>
    <s v="ORD-100230"/>
    <d v="2024-11-02T00:00:00"/>
    <s v="CUST-00179"/>
    <x v="3"/>
    <x v="0"/>
    <s v="Skincare"/>
    <s v="Vitamin C Serum"/>
    <n v="3"/>
    <n v="862.25"/>
    <n v="0.05"/>
    <n v="2457.41"/>
    <n v="1160.78"/>
    <s v="Credit Card"/>
    <s v="2024-11"/>
    <s v="1-10%"/>
    <n v="0.47235910979445839"/>
    <s v="No"/>
  </r>
  <r>
    <s v="ORD-100412"/>
    <d v="2024-11-02T00:00:00"/>
    <s v="CUST-00324"/>
    <x v="3"/>
    <x v="4"/>
    <s v="Outdoor"/>
    <s v="TrailHike Backpack 60L"/>
    <n v="2"/>
    <n v="3543.51"/>
    <n v="0.05"/>
    <n v="6732.67"/>
    <n v="2382.4499999999998"/>
    <s v="UPI"/>
    <s v="2024-11"/>
    <s v="1-10%"/>
    <n v="0.35386406878697452"/>
    <s v="No"/>
  </r>
  <r>
    <s v="ORD-100513"/>
    <d v="2024-11-02T00:00:00"/>
    <s v="CUST-00447"/>
    <x v="1"/>
    <x v="0"/>
    <s v="Skincare"/>
    <s v="HydraBoost Moisturizer"/>
    <n v="1"/>
    <n v="1179.33"/>
    <n v="0.1"/>
    <n v="1061.4000000000001"/>
    <n v="461.94"/>
    <s v="UPI"/>
    <s v="2024-11"/>
    <s v="1-10%"/>
    <n v="0.43521763708309774"/>
    <s v="No"/>
  </r>
  <r>
    <s v="ORD-100693"/>
    <d v="2024-11-02T00:00:00"/>
    <s v="CUST-00187"/>
    <x v="2"/>
    <x v="0"/>
    <s v="Skincare"/>
    <s v="HydraBoost Moisturizer"/>
    <n v="1"/>
    <n v="1157.71"/>
    <n v="0.05"/>
    <n v="1099.82"/>
    <n v="555.44000000000005"/>
    <s v="UPI"/>
    <s v="2024-11"/>
    <s v="1-10%"/>
    <n v="0.50502809550653749"/>
    <s v="No"/>
  </r>
  <r>
    <s v="ORD-100937"/>
    <d v="2024-11-02T00:00:00"/>
    <s v="CUST-00545"/>
    <x v="3"/>
    <x v="1"/>
    <s v="Laptop"/>
    <s v="AirBook Slim"/>
    <n v="2"/>
    <n v="76443.63"/>
    <n v="0.05"/>
    <n v="145242.9"/>
    <n v="17877"/>
    <s v="Cash on Delivery"/>
    <s v="2024-11"/>
    <s v="1-10%"/>
    <n v="0.12308346914031598"/>
    <s v="No"/>
  </r>
  <r>
    <s v="ORD-101358"/>
    <d v="2024-11-02T00:00:00"/>
    <s v="CUST-00093"/>
    <x v="2"/>
    <x v="2"/>
    <s v="Furniture"/>
    <s v="Oakwood Study Desk"/>
    <n v="1"/>
    <n v="13217.96"/>
    <n v="0.3"/>
    <n v="9252.57"/>
    <n v="-196.46"/>
    <s v="UPI"/>
    <s v="2024-11"/>
    <s v="21%+"/>
    <n v="-2.1233019582667302E-2"/>
    <s v="Yes"/>
  </r>
  <r>
    <s v="ORD-100377"/>
    <d v="2024-11-03T00:00:00"/>
    <s v="CUST-00410"/>
    <x v="2"/>
    <x v="3"/>
    <s v="Men"/>
    <s v="SlimFit Denim Jeans"/>
    <n v="1"/>
    <n v="1952.02"/>
    <n v="0"/>
    <n v="1952.02"/>
    <n v="880.69"/>
    <s v="UPI"/>
    <s v="2024-11"/>
    <s v="No discount"/>
    <n v="0.45116853310929195"/>
    <s v="No"/>
  </r>
  <r>
    <s v="ORD-100517"/>
    <d v="2024-11-03T00:00:00"/>
    <s v="CUST-00421"/>
    <x v="3"/>
    <x v="2"/>
    <s v="Appliances"/>
    <s v="ColdBrew Coffee Maker"/>
    <n v="4"/>
    <n v="6212.97"/>
    <n v="0.15"/>
    <n v="21124.1"/>
    <n v="2821.16"/>
    <s v="UPI"/>
    <s v="2024-11"/>
    <s v="11-15%"/>
    <n v="0.13355172528060366"/>
    <s v="No"/>
  </r>
  <r>
    <s v="ORD-101663"/>
    <d v="2024-11-03T00:00:00"/>
    <s v="CUST-00566"/>
    <x v="1"/>
    <x v="3"/>
    <s v="Men"/>
    <s v="Oxford Casual Shirt"/>
    <n v="1"/>
    <n v="1257.8699999999999"/>
    <n v="0"/>
    <n v="1257.8699999999999"/>
    <n v="551.38"/>
    <s v="Credit Card"/>
    <s v="2024-11"/>
    <s v="No discount"/>
    <n v="0.43834418501116973"/>
    <s v="No"/>
  </r>
  <r>
    <s v="ORD-101748"/>
    <d v="2024-11-03T00:00:00"/>
    <s v="CUST-00415"/>
    <x v="3"/>
    <x v="4"/>
    <s v="Fitness"/>
    <s v="ProYoga Mat"/>
    <n v="2"/>
    <n v="1316.83"/>
    <n v="0.25"/>
    <n v="1975.24"/>
    <n v="187.69"/>
    <s v="Debit Card"/>
    <s v="2024-11"/>
    <s v="21%+"/>
    <n v="9.5021364492416105E-2"/>
    <s v="No"/>
  </r>
  <r>
    <s v="ORD-100044"/>
    <d v="2024-11-04T00:00:00"/>
    <s v="CUST-00124"/>
    <x v="2"/>
    <x v="0"/>
    <s v="Makeup"/>
    <s v="HD Foundation Kit"/>
    <n v="4"/>
    <n v="1512.81"/>
    <n v="0"/>
    <n v="6051.24"/>
    <n v="3488.21"/>
    <s v="Credit Card"/>
    <s v="2024-11"/>
    <s v="No discount"/>
    <n v="0.5764454888584819"/>
    <s v="No"/>
  </r>
  <r>
    <s v="ORD-100599"/>
    <d v="2024-11-04T00:00:00"/>
    <s v="CUST-00443"/>
    <x v="0"/>
    <x v="1"/>
    <s v="Mobile"/>
    <s v="Pixel Aura 12"/>
    <n v="1"/>
    <n v="31563.64"/>
    <n v="0.2"/>
    <n v="25250.91"/>
    <n v="-2014.95"/>
    <s v="Credit Card"/>
    <s v="2024-11"/>
    <s v="16-20%"/>
    <n v="-7.9797124143248702E-2"/>
    <s v="Yes"/>
  </r>
  <r>
    <s v="ORD-101331"/>
    <d v="2024-11-04T00:00:00"/>
    <s v="CUST-00306"/>
    <x v="3"/>
    <x v="3"/>
    <s v="Women"/>
    <s v="Floral Summer Dress"/>
    <n v="1"/>
    <n v="1767.99"/>
    <n v="0.1"/>
    <n v="1591.19"/>
    <n v="497.98"/>
    <s v="UPI"/>
    <s v="2024-11"/>
    <s v="1-10%"/>
    <n v="0.31296074007503816"/>
    <s v="No"/>
  </r>
  <r>
    <s v="ORD-101424"/>
    <d v="2024-11-04T00:00:00"/>
    <s v="CUST-00317"/>
    <x v="0"/>
    <x v="2"/>
    <s v="Furniture"/>
    <s v="ErgoComfort Chair"/>
    <n v="2"/>
    <n v="8772.06"/>
    <n v="0.1"/>
    <n v="15789.71"/>
    <n v="3896.6"/>
    <s v="Debit Card"/>
    <s v="2024-11"/>
    <s v="1-10%"/>
    <n v="0.24678097317810144"/>
    <s v="No"/>
  </r>
  <r>
    <s v="ORD-101735"/>
    <d v="2024-11-04T00:00:00"/>
    <s v="CUST-00383"/>
    <x v="3"/>
    <x v="4"/>
    <s v="Outdoor"/>
    <s v="TrailHike Backpack 60L"/>
    <n v="3"/>
    <n v="3438.37"/>
    <n v="0"/>
    <n v="10315.11"/>
    <n v="4133.42"/>
    <s v="UPI"/>
    <s v="2024-11"/>
    <s v="No discount"/>
    <n v="0.40071506750776287"/>
    <s v="No"/>
  </r>
  <r>
    <s v="ORD-100208"/>
    <d v="2024-11-05T00:00:00"/>
    <s v="CUST-00281"/>
    <x v="1"/>
    <x v="1"/>
    <s v="Mobile"/>
    <s v="Galaxy Nova X5"/>
    <n v="1"/>
    <n v="26144.03"/>
    <n v="0"/>
    <n v="26144.03"/>
    <n v="4083.32"/>
    <s v="UPI"/>
    <s v="2024-11"/>
    <s v="No discount"/>
    <n v="0.1561855612925781"/>
    <s v="No"/>
  </r>
  <r>
    <s v="ORD-100515"/>
    <d v="2024-11-05T00:00:00"/>
    <s v="CUST-00308"/>
    <x v="3"/>
    <x v="0"/>
    <s v="Skincare"/>
    <s v="HydraBoost Moisturizer"/>
    <n v="1"/>
    <n v="1202.72"/>
    <n v="0.1"/>
    <n v="1082.45"/>
    <n v="464.55"/>
    <s v="UPI"/>
    <s v="2024-11"/>
    <s v="1-10%"/>
    <n v="0.42916531941429165"/>
    <s v="No"/>
  </r>
  <r>
    <s v="ORD-100793"/>
    <d v="2024-11-05T00:00:00"/>
    <s v="CUST-00178"/>
    <x v="1"/>
    <x v="4"/>
    <s v="Fitness"/>
    <s v="Adjustable Dumbbell 24kg"/>
    <n v="1"/>
    <n v="9853.65"/>
    <n v="0.05"/>
    <n v="9360.9699999999993"/>
    <n v="3252.34"/>
    <s v="Credit Card"/>
    <s v="2024-11"/>
    <s v="1-10%"/>
    <n v="0.34743621654593493"/>
    <s v="No"/>
  </r>
  <r>
    <s v="ORD-100796"/>
    <d v="2024-11-05T00:00:00"/>
    <s v="CUST-00595"/>
    <x v="2"/>
    <x v="4"/>
    <s v="Outdoor"/>
    <s v="AllWeather Tent 4P"/>
    <n v="1"/>
    <n v="11430.75"/>
    <n v="0.25"/>
    <n v="8573.06"/>
    <n v="975.97"/>
    <s v="UPI"/>
    <s v="2024-11"/>
    <s v="21%+"/>
    <n v="0.1138414988347218"/>
    <s v="No"/>
  </r>
  <r>
    <s v="ORD-101422"/>
    <d v="2024-11-05T00:00:00"/>
    <s v="CUST-00187"/>
    <x v="3"/>
    <x v="0"/>
    <s v="Skincare"/>
    <s v="HydraBoost Moisturizer"/>
    <n v="1"/>
    <n v="1156.1500000000001"/>
    <n v="0.05"/>
    <n v="1098.3399999999999"/>
    <n v="566.11"/>
    <s v="UPI"/>
    <s v="2024-11"/>
    <s v="1-10%"/>
    <n v="0.51542327512427855"/>
    <s v="No"/>
  </r>
  <r>
    <s v="ORD-101687"/>
    <d v="2024-11-05T00:00:00"/>
    <s v="CUST-00143"/>
    <x v="0"/>
    <x v="0"/>
    <s v="Makeup"/>
    <s v="HD Foundation Kit"/>
    <n v="1"/>
    <n v="1543.79"/>
    <n v="0.2"/>
    <n v="1235.03"/>
    <n v="408.81"/>
    <s v="Debit Card"/>
    <s v="2024-11"/>
    <s v="16-20%"/>
    <n v="0.33101220213274174"/>
    <s v="No"/>
  </r>
  <r>
    <s v="ORD-101691"/>
    <d v="2024-11-05T00:00:00"/>
    <s v="CUST-00020"/>
    <x v="2"/>
    <x v="1"/>
    <s v="Audio"/>
    <s v="BassBoom Speaker"/>
    <n v="3"/>
    <n v="8785.2000000000007"/>
    <n v="0.05"/>
    <n v="25037.82"/>
    <n v="2877.3"/>
    <s v="UPI"/>
    <s v="2024-11"/>
    <s v="1-10%"/>
    <n v="0.11491815181992682"/>
    <s v="No"/>
  </r>
  <r>
    <s v="ORD-101791"/>
    <d v="2024-11-05T00:00:00"/>
    <s v="CUST-00400"/>
    <x v="3"/>
    <x v="0"/>
    <s v="Skincare"/>
    <s v="HydraBoost Moisturizer"/>
    <n v="2"/>
    <n v="1147"/>
    <n v="0.05"/>
    <n v="2179.3000000000002"/>
    <n v="1087.81"/>
    <s v="Credit Card"/>
    <s v="2024-11"/>
    <s v="1-10%"/>
    <n v="0.49915569219474137"/>
    <s v="No"/>
  </r>
  <r>
    <s v="ORD-100557"/>
    <d v="2024-11-06T00:00:00"/>
    <s v="CUST-00571"/>
    <x v="3"/>
    <x v="1"/>
    <s v="Audio"/>
    <s v="BassBoom Speaker"/>
    <n v="1"/>
    <n v="9094.16"/>
    <n v="0"/>
    <n v="9094.16"/>
    <n v="1346.59"/>
    <s v="Cash on Delivery"/>
    <s v="2024-11"/>
    <s v="No discount"/>
    <n v="0.14807194947086921"/>
    <s v="No"/>
  </r>
  <r>
    <s v="ORD-100591"/>
    <d v="2024-11-06T00:00:00"/>
    <s v="CUST-00227"/>
    <x v="3"/>
    <x v="3"/>
    <s v="Women"/>
    <s v="Floral Summer Dress"/>
    <n v="1"/>
    <n v="1759.63"/>
    <n v="0"/>
    <n v="1759.63"/>
    <n v="798.37"/>
    <s v="UPI"/>
    <s v="2024-11"/>
    <s v="No discount"/>
    <n v="0.45371470138608683"/>
    <s v="No"/>
  </r>
  <r>
    <s v="ORD-100643"/>
    <d v="2024-11-06T00:00:00"/>
    <s v="CUST-00460"/>
    <x v="3"/>
    <x v="3"/>
    <s v="Men"/>
    <s v="SlimFit Denim Jeans"/>
    <n v="1"/>
    <n v="1931.87"/>
    <n v="0.05"/>
    <n v="1835.28"/>
    <n v="620.88"/>
    <s v="Credit Card"/>
    <s v="2024-11"/>
    <s v="1-10%"/>
    <n v="0.3383026023277102"/>
    <s v="No"/>
  </r>
  <r>
    <s v="ORD-100803"/>
    <d v="2024-11-06T00:00:00"/>
    <s v="CUST-00456"/>
    <x v="2"/>
    <x v="4"/>
    <s v="Outdoor"/>
    <s v="TrailHike Backpack 60L"/>
    <n v="1"/>
    <n v="3375.89"/>
    <n v="0.15"/>
    <n v="2869.51"/>
    <n v="545.71"/>
    <s v="UPI"/>
    <s v="2024-11"/>
    <s v="11-15%"/>
    <n v="0.19017532610097193"/>
    <s v="No"/>
  </r>
  <r>
    <s v="ORD-100053"/>
    <d v="2024-11-07T00:00:00"/>
    <s v="CUST-00255"/>
    <x v="2"/>
    <x v="2"/>
    <s v="Decor"/>
    <s v="Ceramic Vase Set"/>
    <n v="3"/>
    <n v="1435.15"/>
    <n v="0.05"/>
    <n v="4090.18"/>
    <n v="1156.93"/>
    <s v="UPI"/>
    <s v="2024-11"/>
    <s v="1-10%"/>
    <n v="0.28285552225085453"/>
    <s v="No"/>
  </r>
  <r>
    <s v="ORD-100371"/>
    <d v="2024-11-07T00:00:00"/>
    <s v="CUST-00222"/>
    <x v="3"/>
    <x v="2"/>
    <s v="Appliances"/>
    <s v="ColdBrew Coffee Maker"/>
    <n v="3"/>
    <n v="6211.94"/>
    <n v="0.15"/>
    <n v="15840.45"/>
    <n v="2643.05"/>
    <s v="Debit Card"/>
    <s v="2024-11"/>
    <s v="11-15%"/>
    <n v="0.16685447698771183"/>
    <s v="No"/>
  </r>
  <r>
    <s v="ORD-101643"/>
    <d v="2024-11-07T00:00:00"/>
    <s v="CUST-00211"/>
    <x v="1"/>
    <x v="2"/>
    <s v="Appliances"/>
    <s v="ColdBrew Coffee Maker"/>
    <n v="1"/>
    <n v="6641.02"/>
    <n v="0.2"/>
    <n v="5312.82"/>
    <n v="511.12"/>
    <s v="Debit Card"/>
    <s v="2024-11"/>
    <s v="16-20%"/>
    <n v="9.6205028591218988E-2"/>
    <s v="No"/>
  </r>
  <r>
    <s v="ORD-101759"/>
    <d v="2024-11-07T00:00:00"/>
    <s v="CUST-00295"/>
    <x v="3"/>
    <x v="1"/>
    <s v="Mobile"/>
    <s v="iPhone Zeta"/>
    <n v="1"/>
    <n v="72081.960000000006"/>
    <n v="0"/>
    <n v="72081.960000000006"/>
    <n v="12023.61"/>
    <s v="Credit Card"/>
    <s v="2024-11"/>
    <s v="No discount"/>
    <n v="0.16680470397863764"/>
    <s v="No"/>
  </r>
  <r>
    <s v="ORD-100313"/>
    <d v="2024-11-08T00:00:00"/>
    <s v="CUST-00112"/>
    <x v="3"/>
    <x v="3"/>
    <s v="Footwear"/>
    <s v="UrbanLoafers"/>
    <n v="1"/>
    <n v="3561.84"/>
    <n v="0.05"/>
    <n v="3383.75"/>
    <n v="1181.01"/>
    <s v="Credit Card"/>
    <s v="2024-11"/>
    <s v="1-10%"/>
    <n v="0.34902401182120429"/>
    <s v="No"/>
  </r>
  <r>
    <s v="ORD-100383"/>
    <d v="2024-11-08T00:00:00"/>
    <s v="CUST-00359"/>
    <x v="3"/>
    <x v="2"/>
    <s v="Appliances"/>
    <s v="AirFryer Deluxe"/>
    <n v="1"/>
    <n v="7891.23"/>
    <n v="0.05"/>
    <n v="7496.67"/>
    <n v="1857.22"/>
    <s v="Credit Card"/>
    <s v="2024-11"/>
    <s v="1-10%"/>
    <n v="0.24773932959567382"/>
    <s v="No"/>
  </r>
  <r>
    <s v="ORD-100782"/>
    <d v="2024-11-08T00:00:00"/>
    <s v="CUST-00245"/>
    <x v="0"/>
    <x v="3"/>
    <s v="Women"/>
    <s v="Knit Winter Sweater"/>
    <n v="2"/>
    <n v="2089.73"/>
    <n v="0"/>
    <n v="4179.46"/>
    <n v="1650.08"/>
    <s v="Credit Card"/>
    <s v="2024-11"/>
    <s v="No discount"/>
    <n v="0.39480698463437858"/>
    <s v="No"/>
  </r>
  <r>
    <s v="ORD-100794"/>
    <d v="2024-11-08T00:00:00"/>
    <s v="CUST-00581"/>
    <x v="3"/>
    <x v="0"/>
    <s v="Makeup"/>
    <s v="HD Foundation Kit"/>
    <n v="3"/>
    <n v="1539.12"/>
    <n v="0"/>
    <n v="4617.3599999999997"/>
    <n v="2447.21"/>
    <s v="UPI"/>
    <s v="2024-11"/>
    <s v="No discount"/>
    <n v="0.53000199248055169"/>
    <s v="No"/>
  </r>
  <r>
    <s v="ORD-101441"/>
    <d v="2024-11-08T00:00:00"/>
    <s v="CUST-00576"/>
    <x v="2"/>
    <x v="0"/>
    <s v="Skincare"/>
    <s v="HydraBoost Moisturizer"/>
    <n v="1"/>
    <n v="1172.1199999999999"/>
    <n v="0.15"/>
    <n v="996.3"/>
    <n v="402.22"/>
    <s v="Credit Card"/>
    <s v="2024-11"/>
    <s v="11-15%"/>
    <n v="0.40371374084111217"/>
    <s v="No"/>
  </r>
  <r>
    <s v="ORD-101493"/>
    <d v="2024-11-08T00:00:00"/>
    <s v="CUST-00001"/>
    <x v="2"/>
    <x v="2"/>
    <s v="Furniture"/>
    <s v="Oakwood Study Desk"/>
    <n v="2"/>
    <n v="12773.75"/>
    <n v="0"/>
    <n v="25547.5"/>
    <n v="8545.68"/>
    <s v="UPI"/>
    <s v="2024-11"/>
    <s v="No discount"/>
    <n v="0.3345016146393972"/>
    <s v="No"/>
  </r>
  <r>
    <s v="ORD-101712"/>
    <d v="2024-11-08T00:00:00"/>
    <s v="CUST-00233"/>
    <x v="2"/>
    <x v="0"/>
    <s v="Skincare"/>
    <s v="Vitamin C Serum"/>
    <n v="1"/>
    <n v="854.93"/>
    <n v="0"/>
    <n v="854.93"/>
    <n v="436.32"/>
    <s v="UPI"/>
    <s v="2024-11"/>
    <s v="No discount"/>
    <n v="0.51035757313464258"/>
    <s v="No"/>
  </r>
  <r>
    <s v="ORD-100478"/>
    <d v="2024-11-09T00:00:00"/>
    <s v="CUST-00267"/>
    <x v="3"/>
    <x v="0"/>
    <s v="Makeup"/>
    <s v="HD Foundation Kit"/>
    <n v="1"/>
    <n v="1503.52"/>
    <n v="0.1"/>
    <n v="1353.17"/>
    <n v="593.88"/>
    <s v="Credit Card"/>
    <s v="2024-11"/>
    <s v="1-10%"/>
    <n v="0.438880554549687"/>
    <s v="No"/>
  </r>
  <r>
    <s v="ORD-100700"/>
    <d v="2024-11-09T00:00:00"/>
    <s v="CUST-00237"/>
    <x v="2"/>
    <x v="1"/>
    <s v="Laptop"/>
    <s v="ThinkPro 14"/>
    <n v="4"/>
    <n v="55639.56"/>
    <n v="0.05"/>
    <n v="211430.33"/>
    <n v="18981.12"/>
    <s v="UPI"/>
    <s v="2024-11"/>
    <s v="1-10%"/>
    <n v="8.97748208594292E-2"/>
    <s v="No"/>
  </r>
  <r>
    <s v="ORD-101259"/>
    <d v="2024-11-09T00:00:00"/>
    <s v="CUST-00123"/>
    <x v="2"/>
    <x v="0"/>
    <s v="Makeup"/>
    <s v="Matte Lipstick Set"/>
    <n v="2"/>
    <n v="1026.27"/>
    <n v="0.15"/>
    <n v="1744.66"/>
    <n v="628.91999999999996"/>
    <s v="UPI"/>
    <s v="2024-11"/>
    <s v="11-15%"/>
    <n v="0.36048284479497433"/>
    <s v="No"/>
  </r>
  <r>
    <s v="ORD-101872"/>
    <d v="2024-11-09T00:00:00"/>
    <s v="CUST-00022"/>
    <x v="1"/>
    <x v="4"/>
    <s v="Fitness"/>
    <s v="Adjustable Dumbbell 24kg"/>
    <n v="3"/>
    <n v="10456.780000000001"/>
    <n v="0.1"/>
    <n v="28233.31"/>
    <n v="8419.1"/>
    <s v="Credit Card"/>
    <s v="2024-11"/>
    <s v="1-10%"/>
    <n v="0.29819741291403662"/>
    <s v="No"/>
  </r>
  <r>
    <s v="ORD-100225"/>
    <d v="2024-11-10T00:00:00"/>
    <s v="CUST-00543"/>
    <x v="2"/>
    <x v="1"/>
    <s v="Mobile"/>
    <s v="iPhone Zeta"/>
    <n v="1"/>
    <n v="72639.350000000006"/>
    <n v="0.2"/>
    <n v="58111.48"/>
    <n v="-808.96"/>
    <s v="Credit Card"/>
    <s v="2024-11"/>
    <s v="16-20%"/>
    <n v="-1.3920829412708126E-2"/>
    <s v="Yes"/>
  </r>
  <r>
    <s v="ORD-101202"/>
    <d v="2024-11-10T00:00:00"/>
    <s v="CUST-00163"/>
    <x v="3"/>
    <x v="3"/>
    <s v="Footwear"/>
    <s v="RunFlex Sneakers"/>
    <n v="1"/>
    <n v="3052.35"/>
    <n v="0.05"/>
    <n v="2899.73"/>
    <n v="1103.58"/>
    <s v="Credit Card"/>
    <s v="2024-11"/>
    <s v="1-10%"/>
    <n v="0.38058026092084435"/>
    <s v="No"/>
  </r>
  <r>
    <s v="ORD-101898"/>
    <d v="2024-11-10T00:00:00"/>
    <s v="CUST-00142"/>
    <x v="3"/>
    <x v="0"/>
    <s v="Makeup"/>
    <s v="HD Foundation Kit"/>
    <n v="1"/>
    <n v="1544.3"/>
    <n v="0"/>
    <n v="1544.3"/>
    <n v="823.17"/>
    <s v="UPI"/>
    <s v="2024-11"/>
    <s v="No discount"/>
    <n v="0.53303762222366124"/>
    <s v="No"/>
  </r>
  <r>
    <s v="ORD-100141"/>
    <d v="2024-11-11T00:00:00"/>
    <s v="CUST-00028"/>
    <x v="1"/>
    <x v="0"/>
    <s v="Makeup"/>
    <s v="HD Foundation Kit"/>
    <n v="2"/>
    <n v="1546.33"/>
    <n v="0"/>
    <n v="3092.66"/>
    <n v="1668.39"/>
    <s v="Cash on Delivery"/>
    <s v="2024-11"/>
    <s v="No discount"/>
    <n v="0.53946764274120018"/>
    <s v="No"/>
  </r>
  <r>
    <s v="ORD-100157"/>
    <d v="2024-11-11T00:00:00"/>
    <s v="CUST-00406"/>
    <x v="3"/>
    <x v="0"/>
    <s v="Makeup"/>
    <s v="Matte Lipstick Set"/>
    <n v="4"/>
    <n v="954.61"/>
    <n v="0.05"/>
    <n v="3627.52"/>
    <n v="1679.74"/>
    <s v="Credit Card"/>
    <s v="2024-11"/>
    <s v="1-10%"/>
    <n v="0.46305464890613973"/>
    <s v="No"/>
  </r>
  <r>
    <s v="ORD-101050"/>
    <d v="2024-11-11T00:00:00"/>
    <s v="CUST-00347"/>
    <x v="2"/>
    <x v="1"/>
    <s v="Laptop"/>
    <s v="AirBook Slim"/>
    <n v="2"/>
    <n v="79147.22"/>
    <n v="0"/>
    <n v="158294.44"/>
    <n v="28419.95"/>
    <s v="Credit Card"/>
    <s v="2024-11"/>
    <s v="No discount"/>
    <n v="0.17953852327346431"/>
    <s v="No"/>
  </r>
  <r>
    <s v="ORD-101277"/>
    <d v="2024-11-11T00:00:00"/>
    <s v="CUST-00126"/>
    <x v="0"/>
    <x v="3"/>
    <s v="Men"/>
    <s v="Oxford Casual Shirt"/>
    <n v="2"/>
    <n v="1265.81"/>
    <n v="0.15"/>
    <n v="2151.88"/>
    <n v="545.95000000000005"/>
    <s v="UPI"/>
    <s v="2024-11"/>
    <s v="11-15%"/>
    <n v="0.25370838522594197"/>
    <s v="No"/>
  </r>
  <r>
    <s v="ORD-101297"/>
    <d v="2024-11-11T00:00:00"/>
    <s v="CUST-00380"/>
    <x v="1"/>
    <x v="1"/>
    <s v="Mobile"/>
    <s v="iPhone Zeta"/>
    <n v="1"/>
    <n v="73195.08"/>
    <n v="0.25"/>
    <n v="54896.31"/>
    <n v="-5618.4"/>
    <s v="Credit Card"/>
    <s v="2024-11"/>
    <s v="21%+"/>
    <n v="-0.10234567678592604"/>
    <s v="Yes"/>
  </r>
  <r>
    <s v="ORD-101682"/>
    <d v="2024-11-11T00:00:00"/>
    <s v="CUST-00466"/>
    <x v="2"/>
    <x v="0"/>
    <s v="Skincare"/>
    <s v="Vitamin C Serum"/>
    <n v="1"/>
    <n v="916.6"/>
    <n v="0.05"/>
    <n v="870.77"/>
    <n v="434.21"/>
    <s v="Debit Card"/>
    <s v="2024-11"/>
    <s v="1-10%"/>
    <n v="0.49865061956659046"/>
    <s v="No"/>
  </r>
  <r>
    <s v="ORD-100392"/>
    <d v="2024-11-12T00:00:00"/>
    <s v="CUST-00537"/>
    <x v="0"/>
    <x v="0"/>
    <s v="Makeup"/>
    <s v="HD Foundation Kit"/>
    <n v="1"/>
    <n v="1444.82"/>
    <n v="0"/>
    <n v="1444.82"/>
    <n v="799.43"/>
    <s v="Net Banking"/>
    <s v="2024-11"/>
    <s v="No discount"/>
    <n v="0.55330767846513751"/>
    <s v="No"/>
  </r>
  <r>
    <s v="ORD-100666"/>
    <d v="2024-11-12T00:00:00"/>
    <s v="CUST-00127"/>
    <x v="3"/>
    <x v="0"/>
    <s v="Makeup"/>
    <s v="HD Foundation Kit"/>
    <n v="1"/>
    <n v="1549.55"/>
    <n v="0.25"/>
    <n v="1162.1600000000001"/>
    <n v="305.05"/>
    <s v="Credit Card"/>
    <s v="2024-11"/>
    <s v="21%+"/>
    <n v="0.26248537206580846"/>
    <s v="No"/>
  </r>
  <r>
    <s v="ORD-101448"/>
    <d v="2024-11-12T00:00:00"/>
    <s v="CUST-00094"/>
    <x v="3"/>
    <x v="1"/>
    <s v="Laptop"/>
    <s v="AirBook Slim"/>
    <n v="2"/>
    <n v="79273.64"/>
    <n v="0.3"/>
    <n v="110983.1"/>
    <n v="-18532.810000000001"/>
    <s v="UPI"/>
    <s v="2024-11"/>
    <s v="21%+"/>
    <n v="-0.16698767650209806"/>
    <s v="Yes"/>
  </r>
  <r>
    <s v="ORD-100575"/>
    <d v="2024-11-13T00:00:00"/>
    <s v="CUST-00346"/>
    <x v="0"/>
    <x v="2"/>
    <s v="Furniture"/>
    <s v="Oakwood Study Desk"/>
    <n v="3"/>
    <n v="12508.06"/>
    <n v="0.05"/>
    <n v="35647.97"/>
    <n v="9282.44"/>
    <s v="UPI"/>
    <s v="2024-11"/>
    <s v="1-10%"/>
    <n v="0.26039182595811206"/>
    <s v="No"/>
  </r>
  <r>
    <s v="ORD-100879"/>
    <d v="2024-11-13T00:00:00"/>
    <s v="CUST-00378"/>
    <x v="3"/>
    <x v="0"/>
    <s v="Skincare"/>
    <s v="HydraBoost Moisturizer"/>
    <n v="1"/>
    <n v="1258.4000000000001"/>
    <n v="0.25"/>
    <n v="943.8"/>
    <n v="224.78"/>
    <s v="UPI"/>
    <s v="2024-11"/>
    <s v="21%+"/>
    <n v="0.23816486543759272"/>
    <s v="No"/>
  </r>
  <r>
    <s v="ORD-101970"/>
    <d v="2024-11-14T00:00:00"/>
    <s v="CUST-00338"/>
    <x v="3"/>
    <x v="1"/>
    <s v="Audio"/>
    <s v="BassBoom Speaker"/>
    <n v="1"/>
    <n v="8760.41"/>
    <n v="0.15"/>
    <n v="7446.35"/>
    <n v="126.42"/>
    <s v="UPI"/>
    <s v="2024-11"/>
    <s v="11-15%"/>
    <n v="1.6977445325562189E-2"/>
    <s v="No"/>
  </r>
  <r>
    <s v="ORD-100421"/>
    <d v="2024-11-15T00:00:00"/>
    <s v="CUST-00203"/>
    <x v="1"/>
    <x v="1"/>
    <s v="Laptop"/>
    <s v="AirBook Slim"/>
    <n v="1"/>
    <n v="79731.759999999995"/>
    <n v="0.1"/>
    <n v="71758.58"/>
    <n v="6594.18"/>
    <s v="Credit Card"/>
    <s v="2024-11"/>
    <s v="1-10%"/>
    <n v="9.1893958882686921E-2"/>
    <s v="No"/>
  </r>
  <r>
    <s v="ORD-100436"/>
    <d v="2024-11-15T00:00:00"/>
    <s v="CUST-00352"/>
    <x v="1"/>
    <x v="0"/>
    <s v="Skincare"/>
    <s v="Vitamin C Serum"/>
    <n v="1"/>
    <n v="940.39"/>
    <n v="0.15"/>
    <n v="799.33"/>
    <n v="274.77"/>
    <s v="Debit Card"/>
    <s v="2024-11"/>
    <s v="11-15%"/>
    <n v="0.3437503909524226"/>
    <s v="No"/>
  </r>
  <r>
    <s v="ORD-100861"/>
    <d v="2024-11-15T00:00:00"/>
    <s v="CUST-00436"/>
    <x v="1"/>
    <x v="1"/>
    <s v="Mobile"/>
    <s v="iPhone Zeta"/>
    <n v="3"/>
    <n v="67561.97"/>
    <n v="0.1"/>
    <n v="182417.32"/>
    <n v="15299.32"/>
    <s v="UPI"/>
    <s v="2024-11"/>
    <s v="1-10%"/>
    <n v="8.3869886916439734E-2"/>
    <s v="No"/>
  </r>
  <r>
    <s v="ORD-100196"/>
    <d v="2024-11-16T00:00:00"/>
    <s v="CUST-00402"/>
    <x v="3"/>
    <x v="0"/>
    <s v="Skincare"/>
    <s v="Vitamin C Serum"/>
    <n v="1"/>
    <n v="864.29"/>
    <n v="0"/>
    <n v="864.29"/>
    <n v="487.16"/>
    <s v="Cash on Delivery"/>
    <s v="2024-11"/>
    <s v="No discount"/>
    <n v="0.56365340337155356"/>
    <s v="No"/>
  </r>
  <r>
    <s v="ORD-100197"/>
    <d v="2024-11-16T00:00:00"/>
    <s v="CUST-00313"/>
    <x v="0"/>
    <x v="0"/>
    <s v="Skincare"/>
    <s v="HydraBoost Moisturizer"/>
    <n v="1"/>
    <n v="1159.74"/>
    <n v="0.05"/>
    <n v="1101.75"/>
    <n v="557.91"/>
    <s v="Net Banking"/>
    <s v="2024-11"/>
    <s v="1-10%"/>
    <n v="0.50638529611980931"/>
    <s v="No"/>
  </r>
  <r>
    <s v="ORD-100397"/>
    <d v="2024-11-16T00:00:00"/>
    <s v="CUST-00586"/>
    <x v="1"/>
    <x v="0"/>
    <s v="Makeup"/>
    <s v="HD Foundation Kit"/>
    <n v="3"/>
    <n v="1488.14"/>
    <n v="0.2"/>
    <n v="3571.54"/>
    <n v="1221.81"/>
    <s v="Debit Card"/>
    <s v="2024-11"/>
    <s v="16-20%"/>
    <n v="0.34209612660085004"/>
    <s v="No"/>
  </r>
  <r>
    <s v="ORD-100834"/>
    <d v="2024-11-16T00:00:00"/>
    <s v="CUST-00521"/>
    <x v="2"/>
    <x v="0"/>
    <s v="Skincare"/>
    <s v="Vitamin C Serum"/>
    <n v="1"/>
    <n v="867.54"/>
    <n v="0"/>
    <n v="867.54"/>
    <n v="483.48"/>
    <s v="UPI"/>
    <s v="2024-11"/>
    <s v="No discount"/>
    <n v="0.55729995158724677"/>
    <s v="No"/>
  </r>
  <r>
    <s v="ORD-101195"/>
    <d v="2024-11-16T00:00:00"/>
    <s v="CUST-00118"/>
    <x v="1"/>
    <x v="4"/>
    <s v="Fitness"/>
    <s v="Adjustable Dumbbell 24kg"/>
    <n v="3"/>
    <n v="9870.5499999999993"/>
    <n v="0.1"/>
    <n v="26650.48"/>
    <n v="7675.27"/>
    <s v="Credit Card"/>
    <s v="2024-11"/>
    <s v="1-10%"/>
    <n v="0.28799743944574357"/>
    <s v="No"/>
  </r>
  <r>
    <s v="ORD-101545"/>
    <d v="2024-11-16T00:00:00"/>
    <s v="CUST-00552"/>
    <x v="0"/>
    <x v="2"/>
    <s v="Decor"/>
    <s v="Ceramic Vase Set"/>
    <n v="2"/>
    <n v="1487.45"/>
    <n v="0.05"/>
    <n v="2826.15"/>
    <n v="704.05"/>
    <s v="UPI"/>
    <s v="2024-11"/>
    <s v="1-10%"/>
    <n v="0.24911982732692883"/>
    <s v="No"/>
  </r>
  <r>
    <s v="ORD-100500"/>
    <d v="2024-11-17T00:00:00"/>
    <s v="CUST-00113"/>
    <x v="3"/>
    <x v="4"/>
    <s v="Fitness"/>
    <s v="ProYoga Mat"/>
    <n v="3"/>
    <n v="1289.1400000000001"/>
    <n v="0.4"/>
    <n v="2320.4499999999998"/>
    <n v="-182.99"/>
    <s v="Debit Card"/>
    <s v="2024-11"/>
    <s v="21%+"/>
    <n v="-7.8859703936736414E-2"/>
    <s v="Yes"/>
  </r>
  <r>
    <s v="ORD-100845"/>
    <d v="2024-11-17T00:00:00"/>
    <s v="CUST-00292"/>
    <x v="3"/>
    <x v="2"/>
    <s v="Furniture"/>
    <s v="Oakwood Study Desk"/>
    <n v="1"/>
    <n v="13496.06"/>
    <n v="0.25"/>
    <n v="10122.049999999999"/>
    <n v="617.23"/>
    <s v="UPI"/>
    <s v="2024-11"/>
    <s v="21%+"/>
    <n v="6.0978754303723064E-2"/>
    <s v="No"/>
  </r>
  <r>
    <s v="ORD-101058"/>
    <d v="2024-11-17T00:00:00"/>
    <s v="CUST-00281"/>
    <x v="2"/>
    <x v="1"/>
    <s v="Laptop"/>
    <s v="AirBook Slim"/>
    <n v="3"/>
    <n v="78577.820000000007"/>
    <n v="0.4"/>
    <n v="141440.07999999999"/>
    <n v="-40938.199999999997"/>
    <s v="Credit Card"/>
    <s v="2024-11"/>
    <s v="21%+"/>
    <n v="-0.289438467512179"/>
    <s v="Yes"/>
  </r>
  <r>
    <s v="ORD-101467"/>
    <d v="2024-11-17T00:00:00"/>
    <s v="CUST-00145"/>
    <x v="0"/>
    <x v="4"/>
    <s v="Outdoor"/>
    <s v="AllWeather Tent 4P"/>
    <n v="3"/>
    <n v="11432.67"/>
    <n v="0.1"/>
    <n v="30868.21"/>
    <n v="8308.9"/>
    <s v="Cash on Delivery"/>
    <s v="2024-11"/>
    <s v="1-10%"/>
    <n v="0.2691733663856764"/>
    <s v="No"/>
  </r>
  <r>
    <s v="ORD-101494"/>
    <d v="2024-11-17T00:00:00"/>
    <s v="CUST-00398"/>
    <x v="3"/>
    <x v="1"/>
    <s v="Laptop"/>
    <s v="ThinkPro 14"/>
    <n v="2"/>
    <n v="57377.37"/>
    <n v="0.05"/>
    <n v="109017"/>
    <n v="12850.87"/>
    <s v="UPI"/>
    <s v="2024-11"/>
    <s v="1-10%"/>
    <n v="0.1178795050313254"/>
    <s v="No"/>
  </r>
  <r>
    <s v="ORD-101632"/>
    <d v="2024-11-17T00:00:00"/>
    <s v="CUST-00330"/>
    <x v="1"/>
    <x v="0"/>
    <s v="Skincare"/>
    <s v="HydraBoost Moisturizer"/>
    <n v="1"/>
    <n v="1149.0999999999999"/>
    <n v="0.05"/>
    <n v="1091.6400000000001"/>
    <n v="572.98"/>
    <s v="Credit Card"/>
    <s v="2024-11"/>
    <s v="1-10%"/>
    <n v="0.52487999706863064"/>
    <s v="No"/>
  </r>
  <r>
    <s v="ORD-101983"/>
    <d v="2024-11-17T00:00:00"/>
    <s v="CUST-00251"/>
    <x v="2"/>
    <x v="0"/>
    <s v="Skincare"/>
    <s v="Vitamin C Serum"/>
    <n v="1"/>
    <n v="903.45"/>
    <n v="0"/>
    <n v="903.45"/>
    <n v="470.31"/>
    <s v="UPI"/>
    <s v="2024-11"/>
    <s v="No discount"/>
    <n v="0.52057114394819859"/>
    <s v="No"/>
  </r>
  <r>
    <s v="ORD-100005"/>
    <d v="2024-11-18T00:00:00"/>
    <s v="CUST-00512"/>
    <x v="3"/>
    <x v="0"/>
    <s v="Skincare"/>
    <s v="HydraBoost Moisturizer"/>
    <n v="3"/>
    <n v="1166.51"/>
    <n v="0.15"/>
    <n v="2974.6"/>
    <n v="1011.57"/>
    <s v="UPI"/>
    <s v="2024-11"/>
    <s v="11-15%"/>
    <n v="0.34006925300880791"/>
    <s v="No"/>
  </r>
  <r>
    <s v="ORD-100656"/>
    <d v="2024-11-18T00:00:00"/>
    <s v="CUST-00370"/>
    <x v="3"/>
    <x v="1"/>
    <s v="Laptop"/>
    <s v="AirBook Slim"/>
    <n v="4"/>
    <n v="77711.55"/>
    <n v="0.05"/>
    <n v="295303.89"/>
    <n v="34508.120000000003"/>
    <s v="Net Banking"/>
    <s v="2024-11"/>
    <s v="1-10%"/>
    <n v="0.11685630013204364"/>
    <s v="No"/>
  </r>
  <r>
    <s v="ORD-100996"/>
    <d v="2024-11-18T00:00:00"/>
    <s v="CUST-00055"/>
    <x v="1"/>
    <x v="0"/>
    <s v="Makeup"/>
    <s v="HD Foundation Kit"/>
    <n v="1"/>
    <n v="1500.19"/>
    <n v="0.15"/>
    <n v="1275.1600000000001"/>
    <n v="471.9"/>
    <s v="Cash on Delivery"/>
    <s v="2024-11"/>
    <s v="11-15%"/>
    <n v="0.37007120675052541"/>
    <s v="No"/>
  </r>
  <r>
    <s v="ORD-101150"/>
    <d v="2024-11-18T00:00:00"/>
    <s v="CUST-00229"/>
    <x v="1"/>
    <x v="1"/>
    <s v="Laptop"/>
    <s v="ThinkPro 14"/>
    <n v="1"/>
    <n v="57358.720000000001"/>
    <n v="0.2"/>
    <n v="45886.98"/>
    <n v="-774.19"/>
    <s v="UPI"/>
    <s v="2024-11"/>
    <s v="16-20%"/>
    <n v="-1.6871670351807855E-2"/>
    <s v="Yes"/>
  </r>
  <r>
    <s v="ORD-101547"/>
    <d v="2024-11-18T00:00:00"/>
    <s v="CUST-00250"/>
    <x v="3"/>
    <x v="0"/>
    <s v="Skincare"/>
    <s v="Vitamin C Serum"/>
    <n v="1"/>
    <n v="865.35"/>
    <n v="0.2"/>
    <n v="692.28"/>
    <n v="225.6"/>
    <s v="UPI"/>
    <s v="2024-11"/>
    <s v="16-20%"/>
    <n v="0.32587970185474086"/>
    <s v="No"/>
  </r>
  <r>
    <s v="ORD-101655"/>
    <d v="2024-11-18T00:00:00"/>
    <s v="CUST-00277"/>
    <x v="1"/>
    <x v="1"/>
    <s v="Audio"/>
    <s v="BassBoom Speaker"/>
    <n v="1"/>
    <n v="8754.74"/>
    <n v="0.15"/>
    <n v="7441.53"/>
    <n v="-239.17"/>
    <s v="Credit Card"/>
    <s v="2024-11"/>
    <s v="11-15%"/>
    <n v="-3.2139895962255076E-2"/>
    <s v="Yes"/>
  </r>
  <r>
    <s v="ORD-101762"/>
    <d v="2024-11-18T00:00:00"/>
    <s v="CUST-00214"/>
    <x v="2"/>
    <x v="0"/>
    <s v="Makeup"/>
    <s v="HD Foundation Kit"/>
    <n v="3"/>
    <n v="1565.84"/>
    <n v="0.15"/>
    <n v="3992.89"/>
    <n v="1580.44"/>
    <s v="Credit Card"/>
    <s v="2024-11"/>
    <s v="11-15%"/>
    <n v="0.39581355860041229"/>
    <s v="No"/>
  </r>
  <r>
    <s v="ORD-101960"/>
    <d v="2024-11-18T00:00:00"/>
    <s v="CUST-00354"/>
    <x v="3"/>
    <x v="2"/>
    <s v="Furniture"/>
    <s v="Oakwood Study Desk"/>
    <n v="2"/>
    <n v="12929.89"/>
    <n v="0.1"/>
    <n v="23273.8"/>
    <n v="5775.96"/>
    <s v="UPI"/>
    <s v="2024-11"/>
    <s v="1-10%"/>
    <n v="0.2481743419639251"/>
    <s v="No"/>
  </r>
  <r>
    <s v="ORD-100388"/>
    <d v="2024-11-19T00:00:00"/>
    <s v="CUST-00545"/>
    <x v="0"/>
    <x v="1"/>
    <s v="Mobile"/>
    <s v="Pixel Aura 12"/>
    <n v="3"/>
    <n v="32111.88"/>
    <n v="0.1"/>
    <n v="86702.080000000002"/>
    <n v="4808.16"/>
    <s v="UPI"/>
    <s v="2024-11"/>
    <s v="1-10%"/>
    <n v="5.5456109011456242E-2"/>
    <s v="No"/>
  </r>
  <r>
    <s v="ORD-100887"/>
    <d v="2024-11-19T00:00:00"/>
    <s v="CUST-00193"/>
    <x v="2"/>
    <x v="2"/>
    <s v="Appliances"/>
    <s v="AirFryer Deluxe"/>
    <n v="2"/>
    <n v="7847.41"/>
    <n v="0.15"/>
    <n v="13340.6"/>
    <n v="1972.34"/>
    <s v="UPI"/>
    <s v="2024-11"/>
    <s v="11-15%"/>
    <n v="0.1478449245161387"/>
    <s v="No"/>
  </r>
  <r>
    <s v="ORD-101356"/>
    <d v="2024-11-19T00:00:00"/>
    <s v="CUST-00101"/>
    <x v="2"/>
    <x v="0"/>
    <s v="Skincare"/>
    <s v="HydraBoost Moisturizer"/>
    <n v="1"/>
    <n v="1230.95"/>
    <n v="0.15"/>
    <n v="1046.31"/>
    <n v="399.2"/>
    <s v="UPI"/>
    <s v="2024-11"/>
    <s v="11-15%"/>
    <n v="0.38153128613890719"/>
    <s v="No"/>
  </r>
  <r>
    <s v="ORD-101620"/>
    <d v="2024-11-19T00:00:00"/>
    <s v="CUST-00048"/>
    <x v="2"/>
    <x v="1"/>
    <s v="Audio"/>
    <s v="SoundPods Pro"/>
    <n v="2"/>
    <n v="5176.6000000000004"/>
    <n v="0"/>
    <n v="10353.200000000001"/>
    <n v="1866.38"/>
    <s v="UPI"/>
    <s v="2024-11"/>
    <s v="No discount"/>
    <n v="0.18027083413823744"/>
    <s v="No"/>
  </r>
  <r>
    <s v="ORD-100241"/>
    <d v="2024-11-20T00:00:00"/>
    <s v="CUST-00576"/>
    <x v="1"/>
    <x v="0"/>
    <s v="Skincare"/>
    <s v="HydraBoost Moisturizer"/>
    <n v="1"/>
    <n v="1157.93"/>
    <n v="0"/>
    <n v="1157.93"/>
    <n v="678.43"/>
    <s v="Cash on Delivery"/>
    <s v="2024-11"/>
    <s v="No discount"/>
    <n v="0.58589897489485543"/>
    <s v="No"/>
  </r>
  <r>
    <s v="ORD-100745"/>
    <d v="2024-11-20T00:00:00"/>
    <s v="CUST-00470"/>
    <x v="0"/>
    <x v="4"/>
    <s v="Fitness"/>
    <s v="ProYoga Mat"/>
    <n v="1"/>
    <n v="1314.13"/>
    <n v="0.1"/>
    <n v="1182.72"/>
    <n v="296.74"/>
    <s v="Cash on Delivery"/>
    <s v="2024-11"/>
    <s v="1-10%"/>
    <n v="0.25089623917748916"/>
    <s v="No"/>
  </r>
  <r>
    <s v="ORD-100769"/>
    <d v="2024-11-20T00:00:00"/>
    <s v="CUST-00410"/>
    <x v="3"/>
    <x v="1"/>
    <s v="Audio"/>
    <s v="SoundPods Pro"/>
    <n v="1"/>
    <n v="4983.95"/>
    <n v="0"/>
    <n v="4983.95"/>
    <n v="1028.6300000000001"/>
    <s v="UPI"/>
    <s v="2024-11"/>
    <s v="No discount"/>
    <n v="0.20638850710781612"/>
    <s v="No"/>
  </r>
  <r>
    <s v="ORD-101161"/>
    <d v="2024-11-20T00:00:00"/>
    <s v="CUST-00550"/>
    <x v="2"/>
    <x v="0"/>
    <s v="Skincare"/>
    <s v="Vitamin C Serum"/>
    <n v="1"/>
    <n v="903.64"/>
    <n v="0.1"/>
    <n v="813.28"/>
    <n v="370.8"/>
    <s v="Debit Card"/>
    <s v="2024-11"/>
    <s v="1-10%"/>
    <n v="0.45593153649419638"/>
    <s v="No"/>
  </r>
  <r>
    <s v="ORD-101819"/>
    <d v="2024-11-20T00:00:00"/>
    <s v="CUST-00138"/>
    <x v="3"/>
    <x v="2"/>
    <s v="Appliances"/>
    <s v="AirFryer Deluxe"/>
    <n v="1"/>
    <n v="7807.6"/>
    <n v="0"/>
    <n v="7807.6"/>
    <n v="2752.44"/>
    <s v="Credit Card"/>
    <s v="2024-11"/>
    <s v="No discount"/>
    <n v="0.35253342896664785"/>
    <s v="No"/>
  </r>
  <r>
    <s v="ORD-100855"/>
    <d v="2024-11-21T00:00:00"/>
    <s v="CUST-00453"/>
    <x v="1"/>
    <x v="1"/>
    <s v="Laptop"/>
    <s v="AirBook Slim"/>
    <n v="1"/>
    <n v="81233.31"/>
    <n v="0.2"/>
    <n v="64986.65"/>
    <n v="-5532.69"/>
    <s v="UPI"/>
    <s v="2024-11"/>
    <s v="16-20%"/>
    <n v="-8.5135793274464827E-2"/>
    <s v="Yes"/>
  </r>
  <r>
    <s v="ORD-100911"/>
    <d v="2024-11-21T00:00:00"/>
    <s v="CUST-00231"/>
    <x v="1"/>
    <x v="1"/>
    <s v="Laptop"/>
    <s v="ThinkPro 14"/>
    <n v="1"/>
    <n v="52962.76"/>
    <n v="0.05"/>
    <n v="50314.62"/>
    <n v="5225.8900000000003"/>
    <s v="Cash on Delivery"/>
    <s v="2024-11"/>
    <s v="1-10%"/>
    <n v="0.10386424462710839"/>
    <s v="No"/>
  </r>
  <r>
    <s v="ORD-100917"/>
    <d v="2024-11-21T00:00:00"/>
    <s v="CUST-00546"/>
    <x v="3"/>
    <x v="4"/>
    <s v="Outdoor"/>
    <s v="AllWeather Tent 4P"/>
    <n v="2"/>
    <n v="12118.09"/>
    <n v="0.05"/>
    <n v="23024.37"/>
    <n v="7092.71"/>
    <s v="UPI"/>
    <s v="2024-11"/>
    <s v="1-10%"/>
    <n v="0.30805229415614849"/>
    <s v="No"/>
  </r>
  <r>
    <s v="ORD-101016"/>
    <d v="2024-11-21T00:00:00"/>
    <s v="CUST-00015"/>
    <x v="2"/>
    <x v="4"/>
    <s v="Fitness"/>
    <s v="Adjustable Dumbbell 24kg"/>
    <n v="2"/>
    <n v="10432.57"/>
    <n v="0"/>
    <n v="20865.14"/>
    <n v="8374.08"/>
    <s v="UPI"/>
    <s v="2024-11"/>
    <s v="No discount"/>
    <n v="0.4013431014601388"/>
    <s v="No"/>
  </r>
  <r>
    <s v="ORD-101775"/>
    <d v="2024-11-21T00:00:00"/>
    <s v="CUST-00043"/>
    <x v="3"/>
    <x v="2"/>
    <s v="Furniture"/>
    <s v="Oakwood Study Desk"/>
    <n v="3"/>
    <n v="12611.1"/>
    <n v="0.2"/>
    <n v="30266.639999999999"/>
    <n v="2800.36"/>
    <s v="Credit Card"/>
    <s v="2024-11"/>
    <s v="16-20%"/>
    <n v="9.2522989007038772E-2"/>
    <s v="No"/>
  </r>
  <r>
    <s v="ORD-100140"/>
    <d v="2024-11-22T00:00:00"/>
    <s v="CUST-00307"/>
    <x v="3"/>
    <x v="1"/>
    <s v="Mobile"/>
    <s v="iPhone Zeta"/>
    <n v="1"/>
    <n v="69697.919999999998"/>
    <n v="0.05"/>
    <n v="66213.02"/>
    <n v="8673.9599999999991"/>
    <s v="UPI"/>
    <s v="2024-11"/>
    <s v="1-10%"/>
    <n v="0.13100082128862267"/>
    <s v="No"/>
  </r>
  <r>
    <s v="ORD-100419"/>
    <d v="2024-11-22T00:00:00"/>
    <s v="CUST-00291"/>
    <x v="2"/>
    <x v="1"/>
    <s v="Laptop"/>
    <s v="ThinkPro 14"/>
    <n v="1"/>
    <n v="57519.59"/>
    <n v="0"/>
    <n v="57519.59"/>
    <n v="10627.9"/>
    <s v="Credit Card"/>
    <s v="2024-11"/>
    <s v="No discount"/>
    <n v="0.18477009311088621"/>
    <s v="No"/>
  </r>
  <r>
    <s v="ORD-101037"/>
    <d v="2024-11-22T00:00:00"/>
    <s v="CUST-00117"/>
    <x v="2"/>
    <x v="4"/>
    <s v="Outdoor"/>
    <s v="AllWeather Tent 4P"/>
    <n v="1"/>
    <n v="11712.93"/>
    <n v="0.05"/>
    <n v="11127.28"/>
    <n v="3315.18"/>
    <s v="UPI"/>
    <s v="2024-11"/>
    <s v="1-10%"/>
    <n v="0.2979326484100337"/>
    <s v="No"/>
  </r>
  <r>
    <s v="ORD-101045"/>
    <d v="2024-11-22T00:00:00"/>
    <s v="CUST-00492"/>
    <x v="1"/>
    <x v="1"/>
    <s v="Audio"/>
    <s v="SoundPods Pro"/>
    <n v="1"/>
    <n v="5206.2"/>
    <n v="0.15"/>
    <n v="4425.2700000000004"/>
    <n v="103.31"/>
    <s v="Cash on Delivery"/>
    <s v="2024-11"/>
    <s v="11-15%"/>
    <n v="2.3345468186121977E-2"/>
    <s v="No"/>
  </r>
  <r>
    <s v="ORD-100126"/>
    <d v="2024-11-23T00:00:00"/>
    <s v="CUST-00067"/>
    <x v="0"/>
    <x v="4"/>
    <s v="Fitness"/>
    <s v="ProYoga Mat"/>
    <n v="1"/>
    <n v="1256.48"/>
    <n v="0"/>
    <n v="1256.48"/>
    <n v="498.91"/>
    <s v="Debit Card"/>
    <s v="2024-11"/>
    <s v="No discount"/>
    <n v="0.39706959123901697"/>
    <s v="No"/>
  </r>
  <r>
    <s v="ORD-100169"/>
    <d v="2024-11-23T00:00:00"/>
    <s v="CUST-00380"/>
    <x v="1"/>
    <x v="2"/>
    <s v="Decor"/>
    <s v="LED Wall Lamp"/>
    <n v="1"/>
    <n v="995.6"/>
    <n v="0.2"/>
    <n v="796.48"/>
    <n v="98.94"/>
    <s v="Debit Card"/>
    <s v="2024-11"/>
    <s v="16-20%"/>
    <n v="0.12422157492969063"/>
    <s v="No"/>
  </r>
  <r>
    <s v="ORD-100528"/>
    <d v="2024-11-23T00:00:00"/>
    <s v="CUST-00137"/>
    <x v="3"/>
    <x v="1"/>
    <s v="Laptop"/>
    <s v="ThinkPro 14"/>
    <n v="2"/>
    <n v="52701.32"/>
    <n v="0.05"/>
    <n v="100132.51"/>
    <n v="9525.18"/>
    <s v="Cash on Delivery"/>
    <s v="2024-11"/>
    <s v="1-10%"/>
    <n v="9.5125748870172139E-2"/>
    <s v="No"/>
  </r>
  <r>
    <s v="ORD-101558"/>
    <d v="2024-11-23T00:00:00"/>
    <s v="CUST-00360"/>
    <x v="3"/>
    <x v="0"/>
    <s v="Skincare"/>
    <s v="Vitamin C Serum"/>
    <n v="1"/>
    <n v="879.06"/>
    <n v="0.15"/>
    <n v="747.2"/>
    <n v="288.86"/>
    <s v="UPI"/>
    <s v="2024-11"/>
    <s v="11-15%"/>
    <n v="0.38658993576017131"/>
    <s v="No"/>
  </r>
  <r>
    <s v="ORD-101822"/>
    <d v="2024-11-23T00:00:00"/>
    <s v="CUST-00132"/>
    <x v="3"/>
    <x v="4"/>
    <s v="Fitness"/>
    <s v="ProYoga Mat"/>
    <n v="4"/>
    <n v="1337.77"/>
    <n v="0"/>
    <n v="5351.08"/>
    <n v="1852.59"/>
    <s v="UPI"/>
    <s v="2024-11"/>
    <s v="No discount"/>
    <n v="0.34620861583082291"/>
    <s v="No"/>
  </r>
  <r>
    <s v="ORD-101933"/>
    <d v="2024-11-23T00:00:00"/>
    <s v="CUST-00025"/>
    <x v="1"/>
    <x v="1"/>
    <s v="Audio"/>
    <s v="SoundPods Pro"/>
    <n v="1"/>
    <n v="4773.8599999999997"/>
    <n v="0.05"/>
    <n v="4535.17"/>
    <n v="484.52"/>
    <s v="Debit Card"/>
    <s v="2024-11"/>
    <s v="1-10%"/>
    <n v="0.10683612742190479"/>
    <s v="No"/>
  </r>
  <r>
    <s v="ORD-101934"/>
    <d v="2024-11-23T00:00:00"/>
    <s v="CUST-00223"/>
    <x v="1"/>
    <x v="0"/>
    <s v="Makeup"/>
    <s v="HD Foundation Kit"/>
    <n v="1"/>
    <n v="1555.57"/>
    <n v="0"/>
    <n v="1555.57"/>
    <n v="843.2"/>
    <s v="Debit Card"/>
    <s v="2024-11"/>
    <s v="No discount"/>
    <n v="0.54205210951612592"/>
    <s v="No"/>
  </r>
  <r>
    <s v="ORD-100257"/>
    <d v="2024-11-24T00:00:00"/>
    <s v="CUST-00427"/>
    <x v="3"/>
    <x v="2"/>
    <s v="Decor"/>
    <s v="LED Wall Lamp"/>
    <n v="3"/>
    <n v="1046.2"/>
    <n v="0.1"/>
    <n v="2824.74"/>
    <n v="545.84"/>
    <s v="Debit Card"/>
    <s v="2024-11"/>
    <s v="1-10%"/>
    <n v="0.19323548361973139"/>
    <s v="No"/>
  </r>
  <r>
    <s v="ORD-100302"/>
    <d v="2024-11-24T00:00:00"/>
    <s v="CUST-00117"/>
    <x v="2"/>
    <x v="1"/>
    <s v="Mobile"/>
    <s v="iPhone Zeta"/>
    <n v="1"/>
    <n v="70994.84"/>
    <n v="0"/>
    <n v="70994.84"/>
    <n v="15156.59"/>
    <s v="UPI"/>
    <s v="2024-11"/>
    <s v="No discount"/>
    <n v="0.21348861410209533"/>
    <s v="No"/>
  </r>
  <r>
    <s v="ORD-101004"/>
    <d v="2024-11-24T00:00:00"/>
    <s v="CUST-00577"/>
    <x v="0"/>
    <x v="3"/>
    <s v="Men"/>
    <s v="Oxford Casual Shirt"/>
    <n v="1"/>
    <n v="1280.5999999999999"/>
    <n v="0.05"/>
    <n v="1216.57"/>
    <n v="481.55"/>
    <s v="Debit Card"/>
    <s v="2024-11"/>
    <s v="1-10%"/>
    <n v="0.39582596973458167"/>
    <s v="No"/>
  </r>
  <r>
    <s v="ORD-101324"/>
    <d v="2024-11-24T00:00:00"/>
    <s v="CUST-00097"/>
    <x v="3"/>
    <x v="3"/>
    <s v="Footwear"/>
    <s v="UrbanLoafers"/>
    <n v="1"/>
    <n v="3575.88"/>
    <n v="0"/>
    <n v="3575.88"/>
    <n v="1614.71"/>
    <s v="Cash on Delivery"/>
    <s v="2024-11"/>
    <s v="No discount"/>
    <n v="0.45155598062574809"/>
    <s v="No"/>
  </r>
  <r>
    <s v="ORD-101349"/>
    <d v="2024-11-24T00:00:00"/>
    <s v="CUST-00127"/>
    <x v="1"/>
    <x v="0"/>
    <s v="Skincare"/>
    <s v="HydraBoost Moisturizer"/>
    <n v="2"/>
    <n v="1213.33"/>
    <n v="0.05"/>
    <n v="2305.33"/>
    <n v="1126.22"/>
    <s v="UPI"/>
    <s v="2024-11"/>
    <s v="1-10%"/>
    <n v="0.48852875727119333"/>
    <s v="No"/>
  </r>
  <r>
    <s v="ORD-101527"/>
    <d v="2024-11-24T00:00:00"/>
    <s v="CUST-00176"/>
    <x v="1"/>
    <x v="4"/>
    <s v="Outdoor"/>
    <s v="TrailHike Backpack 60L"/>
    <n v="1"/>
    <n v="3548.87"/>
    <n v="0"/>
    <n v="3548.87"/>
    <n v="1414.3"/>
    <s v="Credit Card"/>
    <s v="2024-11"/>
    <s v="No discount"/>
    <n v="0.39852121943041025"/>
    <s v="No"/>
  </r>
  <r>
    <s v="ORD-101889"/>
    <d v="2024-11-24T00:00:00"/>
    <s v="CUST-00057"/>
    <x v="1"/>
    <x v="3"/>
    <s v="Footwear"/>
    <s v="UrbanLoafers"/>
    <n v="2"/>
    <n v="3347.46"/>
    <n v="0.15"/>
    <n v="5690.68"/>
    <n v="1192.8800000000001"/>
    <s v="Credit Card"/>
    <s v="2024-11"/>
    <s v="11-15%"/>
    <n v="0.20961993997202444"/>
    <s v="No"/>
  </r>
  <r>
    <s v="ORD-100031"/>
    <d v="2024-11-25T00:00:00"/>
    <s v="CUST-00453"/>
    <x v="2"/>
    <x v="4"/>
    <s v="Outdoor"/>
    <s v="TrailHike Backpack 60L"/>
    <n v="2"/>
    <n v="3515.77"/>
    <n v="0.05"/>
    <n v="6679.96"/>
    <n v="1887.31"/>
    <s v="Credit Card"/>
    <s v="2024-11"/>
    <s v="1-10%"/>
    <n v="0.28253312894089183"/>
    <s v="No"/>
  </r>
  <r>
    <s v="ORD-100658"/>
    <d v="2024-11-25T00:00:00"/>
    <s v="CUST-00369"/>
    <x v="3"/>
    <x v="0"/>
    <s v="Makeup"/>
    <s v="Matte Lipstick Set"/>
    <n v="1"/>
    <n v="1014.87"/>
    <n v="0.1"/>
    <n v="913.38"/>
    <n v="395.51"/>
    <s v="UPI"/>
    <s v="2024-11"/>
    <s v="1-10%"/>
    <n v="0.43301802097703035"/>
    <s v="No"/>
  </r>
  <r>
    <s v="ORD-100984"/>
    <d v="2024-11-25T00:00:00"/>
    <s v="CUST-00357"/>
    <x v="2"/>
    <x v="2"/>
    <s v="Decor"/>
    <s v="Ceramic Vase Set"/>
    <n v="1"/>
    <n v="1519.21"/>
    <n v="0.1"/>
    <n v="1367.29"/>
    <n v="323.35000000000002"/>
    <s v="Credit Card"/>
    <s v="2024-11"/>
    <s v="1-10%"/>
    <n v="0.23648969860088206"/>
    <s v="No"/>
  </r>
  <r>
    <s v="ORD-101019"/>
    <d v="2024-11-25T00:00:00"/>
    <s v="CUST-00147"/>
    <x v="1"/>
    <x v="0"/>
    <s v="Makeup"/>
    <s v="Matte Lipstick Set"/>
    <n v="1"/>
    <n v="1000.8"/>
    <n v="0"/>
    <n v="1000.8"/>
    <n v="511.81"/>
    <s v="Debit Card"/>
    <s v="2024-11"/>
    <s v="No discount"/>
    <n v="0.51140087929656275"/>
    <s v="No"/>
  </r>
  <r>
    <s v="ORD-101233"/>
    <d v="2024-11-25T00:00:00"/>
    <s v="CUST-00418"/>
    <x v="1"/>
    <x v="1"/>
    <s v="Mobile"/>
    <s v="Pixel Aura 12"/>
    <n v="1"/>
    <n v="32270.54"/>
    <n v="0.1"/>
    <n v="29043.49"/>
    <n v="1406.95"/>
    <s v="Net Banking"/>
    <s v="2024-11"/>
    <s v="1-10%"/>
    <n v="4.8442869641355087E-2"/>
    <s v="No"/>
  </r>
  <r>
    <s v="ORD-101658"/>
    <d v="2024-11-25T00:00:00"/>
    <s v="CUST-00553"/>
    <x v="1"/>
    <x v="2"/>
    <s v="Appliances"/>
    <s v="ColdBrew Coffee Maker"/>
    <n v="3"/>
    <n v="6234.77"/>
    <n v="0"/>
    <n v="18704.310000000001"/>
    <n v="6240.14"/>
    <s v="UPI"/>
    <s v="2024-11"/>
    <s v="No discount"/>
    <n v="0.33362043293764915"/>
    <s v="No"/>
  </r>
  <r>
    <s v="ORD-101727"/>
    <d v="2024-11-25T00:00:00"/>
    <s v="CUST-00347"/>
    <x v="3"/>
    <x v="0"/>
    <s v="Makeup"/>
    <s v="HD Foundation Kit"/>
    <n v="2"/>
    <n v="1427.2"/>
    <n v="0.1"/>
    <n v="2568.96"/>
    <n v="1106.1600000000001"/>
    <s v="UPI"/>
    <s v="2024-11"/>
    <s v="1-10%"/>
    <n v="0.43058669656203291"/>
    <s v="No"/>
  </r>
  <r>
    <s v="ORD-100058"/>
    <d v="2024-11-26T00:00:00"/>
    <s v="CUST-00027"/>
    <x v="2"/>
    <x v="2"/>
    <s v="Appliances"/>
    <s v="ColdBrew Coffee Maker"/>
    <n v="4"/>
    <n v="6494.97"/>
    <n v="0.05"/>
    <n v="24680.89"/>
    <n v="5897.14"/>
    <s v="Credit Card"/>
    <s v="2024-11"/>
    <s v="1-10%"/>
    <n v="0.23893546788628775"/>
    <s v="No"/>
  </r>
  <r>
    <s v="ORD-100406"/>
    <d v="2024-11-26T00:00:00"/>
    <s v="CUST-00389"/>
    <x v="1"/>
    <x v="1"/>
    <s v="Mobile"/>
    <s v="Pixel Aura 12"/>
    <n v="5"/>
    <n v="32287.48"/>
    <n v="0"/>
    <n v="161437.4"/>
    <n v="31137.07"/>
    <s v="Credit Card"/>
    <s v="2024-11"/>
    <s v="No discount"/>
    <n v="0.19287395609691435"/>
    <s v="No"/>
  </r>
  <r>
    <s v="ORD-101797"/>
    <d v="2024-11-26T00:00:00"/>
    <s v="CUST-00044"/>
    <x v="0"/>
    <x v="1"/>
    <s v="Laptop"/>
    <s v="AirBook Slim"/>
    <n v="1"/>
    <n v="76398.42"/>
    <n v="0"/>
    <n v="76398.42"/>
    <n v="15618.23"/>
    <s v="UPI"/>
    <s v="2024-11"/>
    <s v="No discount"/>
    <n v="0.20443132200901537"/>
    <s v="No"/>
  </r>
  <r>
    <s v="ORD-101799"/>
    <d v="2024-11-26T00:00:00"/>
    <s v="CUST-00204"/>
    <x v="3"/>
    <x v="2"/>
    <s v="Furniture"/>
    <s v="ErgoComfort Chair"/>
    <n v="1"/>
    <n v="8737.34"/>
    <n v="0.05"/>
    <n v="8300.4699999999993"/>
    <n v="2575.21"/>
    <s v="UPI"/>
    <s v="2024-11"/>
    <s v="1-10%"/>
    <n v="0.3102486967605449"/>
    <s v="No"/>
  </r>
  <r>
    <s v="ORD-100374"/>
    <d v="2024-11-27T00:00:00"/>
    <s v="CUST-00577"/>
    <x v="3"/>
    <x v="0"/>
    <s v="Makeup"/>
    <s v="HD Foundation Kit"/>
    <n v="4"/>
    <n v="1573.48"/>
    <n v="0.1"/>
    <n v="5664.53"/>
    <n v="2620.35"/>
    <s v="Credit Card"/>
    <s v="2024-11"/>
    <s v="1-10%"/>
    <n v="0.4625891291951848"/>
    <s v="No"/>
  </r>
  <r>
    <s v="ORD-100635"/>
    <d v="2024-11-27T00:00:00"/>
    <s v="CUST-00412"/>
    <x v="2"/>
    <x v="2"/>
    <s v="Appliances"/>
    <s v="AirFryer Deluxe"/>
    <n v="2"/>
    <n v="7915.06"/>
    <n v="0.25"/>
    <n v="11872.59"/>
    <n v="436.09"/>
    <s v="UPI"/>
    <s v="2024-11"/>
    <s v="21%+"/>
    <n v="3.673082284488894E-2"/>
    <s v="No"/>
  </r>
  <r>
    <s v="ORD-101060"/>
    <d v="2024-11-27T00:00:00"/>
    <s v="CUST-00583"/>
    <x v="3"/>
    <x v="3"/>
    <s v="Women"/>
    <s v="Knit Winter Sweater"/>
    <n v="2"/>
    <n v="2231.1799999999998"/>
    <n v="0.1"/>
    <n v="4016.12"/>
    <n v="1191.3499999999999"/>
    <s v="Debit Card"/>
    <s v="2024-11"/>
    <s v="1-10%"/>
    <n v="0.2966420326085874"/>
    <s v="No"/>
  </r>
  <r>
    <s v="ORD-101100"/>
    <d v="2024-11-27T00:00:00"/>
    <s v="CUST-00580"/>
    <x v="3"/>
    <x v="4"/>
    <s v="Outdoor"/>
    <s v="TrailHike Backpack 60L"/>
    <n v="1"/>
    <n v="3418.96"/>
    <n v="0"/>
    <n v="3418.96"/>
    <n v="1241.48"/>
    <s v="UPI"/>
    <s v="2024-11"/>
    <s v="No discount"/>
    <n v="0.36311626927486723"/>
    <s v="No"/>
  </r>
  <r>
    <s v="ORD-101145"/>
    <d v="2024-11-27T00:00:00"/>
    <s v="CUST-00335"/>
    <x v="0"/>
    <x v="3"/>
    <s v="Women"/>
    <s v="Floral Summer Dress"/>
    <n v="1"/>
    <n v="1853.62"/>
    <n v="0.2"/>
    <n v="1482.9"/>
    <n v="268.64999999999998"/>
    <s v="Credit Card"/>
    <s v="2024-11"/>
    <s v="16-20%"/>
    <n v="0.18116528424033984"/>
    <s v="No"/>
  </r>
  <r>
    <s v="ORD-101554"/>
    <d v="2024-11-27T00:00:00"/>
    <s v="CUST-00210"/>
    <x v="1"/>
    <x v="2"/>
    <s v="Decor"/>
    <s v="Ceramic Vase Set"/>
    <n v="3"/>
    <n v="1435.52"/>
    <n v="0.1"/>
    <n v="3875.9"/>
    <n v="955.27"/>
    <s v="Credit Card"/>
    <s v="2024-11"/>
    <s v="1-10%"/>
    <n v="0.24646404706003766"/>
    <s v="No"/>
  </r>
  <r>
    <s v="ORD-101816"/>
    <d v="2024-11-27T00:00:00"/>
    <s v="CUST-00184"/>
    <x v="2"/>
    <x v="3"/>
    <s v="Women"/>
    <s v="Knit Winter Sweater"/>
    <n v="1"/>
    <n v="2267.59"/>
    <n v="0.2"/>
    <n v="1814.07"/>
    <n v="315.45"/>
    <s v="UPI"/>
    <s v="2024-11"/>
    <s v="16-20%"/>
    <n v="0.17389075394003539"/>
    <s v="No"/>
  </r>
  <r>
    <s v="ORD-101641"/>
    <d v="2024-11-28T00:00:00"/>
    <s v="CUST-00225"/>
    <x v="1"/>
    <x v="1"/>
    <s v="Audio"/>
    <s v="BassBoom Speaker"/>
    <n v="2"/>
    <n v="8603.82"/>
    <n v="0.05"/>
    <n v="16347.26"/>
    <n v="2500.77"/>
    <s v="Credit Card"/>
    <s v="2024-11"/>
    <s v="1-10%"/>
    <n v="0.15297793024641437"/>
    <s v="No"/>
  </r>
  <r>
    <s v="ORD-101769"/>
    <d v="2024-11-28T00:00:00"/>
    <s v="CUST-00455"/>
    <x v="0"/>
    <x v="0"/>
    <s v="Makeup"/>
    <s v="HD Foundation Kit"/>
    <n v="1"/>
    <n v="1510.24"/>
    <n v="0.15"/>
    <n v="1283.7"/>
    <n v="488.34"/>
    <s v="UPI"/>
    <s v="2024-11"/>
    <s v="11-15%"/>
    <n v="0.38041598504323437"/>
    <s v="No"/>
  </r>
  <r>
    <s v="ORD-100576"/>
    <d v="2024-11-29T00:00:00"/>
    <s v="CUST-00420"/>
    <x v="3"/>
    <x v="4"/>
    <s v="Outdoor"/>
    <s v="TrailHike Backpack 60L"/>
    <n v="2"/>
    <n v="3485.33"/>
    <n v="0.05"/>
    <n v="6622.13"/>
    <n v="2109.11"/>
    <s v="Net Banking"/>
    <s v="2024-11"/>
    <s v="1-10%"/>
    <n v="0.31849420050648358"/>
    <s v="No"/>
  </r>
  <r>
    <s v="ORD-100628"/>
    <d v="2024-11-29T00:00:00"/>
    <s v="CUST-00169"/>
    <x v="0"/>
    <x v="0"/>
    <s v="Skincare"/>
    <s v="HydraBoost Moisturizer"/>
    <n v="2"/>
    <n v="1245.23"/>
    <n v="0"/>
    <n v="2490.46"/>
    <n v="1301.5999999999999"/>
    <s v="Credit Card"/>
    <s v="2024-11"/>
    <s v="No discount"/>
    <n v="0.52263437276647684"/>
    <s v="No"/>
  </r>
  <r>
    <s v="ORD-100483"/>
    <d v="2024-11-30T00:00:00"/>
    <s v="CUST-00200"/>
    <x v="2"/>
    <x v="4"/>
    <s v="Fitness"/>
    <s v="ProYoga Mat"/>
    <n v="2"/>
    <n v="1237.27"/>
    <n v="0"/>
    <n v="2474.54"/>
    <n v="963.59"/>
    <s v="UPI"/>
    <s v="2024-11"/>
    <s v="No discount"/>
    <n v="0.38940166657237307"/>
    <s v="No"/>
  </r>
  <r>
    <s v="ORD-100661"/>
    <d v="2024-11-30T00:00:00"/>
    <s v="CUST-00288"/>
    <x v="1"/>
    <x v="3"/>
    <s v="Men"/>
    <s v="SlimFit Denim Jeans"/>
    <n v="2"/>
    <n v="1916.93"/>
    <n v="0.1"/>
    <n v="3450.47"/>
    <n v="1034.42"/>
    <s v="UPI"/>
    <s v="2024-11"/>
    <s v="1-10%"/>
    <n v="0.29979104295936498"/>
    <s v="No"/>
  </r>
  <r>
    <s v="ORD-101059"/>
    <d v="2024-11-30T00:00:00"/>
    <s v="CUST-00378"/>
    <x v="0"/>
    <x v="4"/>
    <s v="Outdoor"/>
    <s v="TrailHike Backpack 60L"/>
    <n v="2"/>
    <n v="3381.05"/>
    <n v="0.05"/>
    <n v="6423.99"/>
    <n v="1880.83"/>
    <s v="UPI"/>
    <s v="2024-11"/>
    <s v="1-10%"/>
    <n v="0.29278221167841167"/>
    <s v="No"/>
  </r>
  <r>
    <s v="ORD-101066"/>
    <d v="2024-11-30T00:00:00"/>
    <s v="CUST-00403"/>
    <x v="1"/>
    <x v="0"/>
    <s v="Makeup"/>
    <s v="HD Foundation Kit"/>
    <n v="2"/>
    <n v="1448.01"/>
    <n v="0.05"/>
    <n v="2751.22"/>
    <n v="1289.3"/>
    <s v="UPI"/>
    <s v="2024-11"/>
    <s v="1-10%"/>
    <n v="0.4686284630091378"/>
    <s v="No"/>
  </r>
  <r>
    <s v="ORD-101327"/>
    <d v="2024-11-30T00:00:00"/>
    <s v="CUST-00404"/>
    <x v="0"/>
    <x v="4"/>
    <s v="Outdoor"/>
    <s v="TrailHike Backpack 60L"/>
    <n v="1"/>
    <n v="3418.83"/>
    <n v="0"/>
    <n v="3418.83"/>
    <n v="1303.8"/>
    <s v="Debit Card"/>
    <s v="2024-11"/>
    <s v="No discount"/>
    <n v="0.38135853493739086"/>
    <s v="No"/>
  </r>
  <r>
    <s v="ORD-101069"/>
    <d v="2024-12-01T00:00:00"/>
    <s v="CUST-00401"/>
    <x v="3"/>
    <x v="3"/>
    <s v="Footwear"/>
    <s v="RunFlex Sneakers"/>
    <n v="1"/>
    <n v="2903.31"/>
    <n v="0"/>
    <n v="2903.31"/>
    <n v="1180.82"/>
    <s v="Debit Card"/>
    <s v="2024-12"/>
    <s v="No discount"/>
    <n v="0.40671509415115847"/>
    <s v="No"/>
  </r>
  <r>
    <s v="ORD-101534"/>
    <d v="2024-12-01T00:00:00"/>
    <s v="CUST-00495"/>
    <x v="0"/>
    <x v="3"/>
    <s v="Women"/>
    <s v="Floral Summer Dress"/>
    <n v="1"/>
    <n v="1833.45"/>
    <n v="0"/>
    <n v="1833.45"/>
    <n v="756.64"/>
    <s v="UPI"/>
    <s v="2024-12"/>
    <s v="No discount"/>
    <n v="0.41268646540674681"/>
    <s v="No"/>
  </r>
  <r>
    <s v="ORD-100068"/>
    <d v="2024-12-02T00:00:00"/>
    <s v="CUST-00547"/>
    <x v="0"/>
    <x v="1"/>
    <s v="Audio"/>
    <s v="SoundPods Pro"/>
    <n v="1"/>
    <n v="4826.22"/>
    <n v="0.1"/>
    <n v="4343.6000000000004"/>
    <n v="271.73"/>
    <s v="UPI"/>
    <s v="2024-12"/>
    <s v="1-10%"/>
    <n v="6.2558707063265495E-2"/>
    <s v="No"/>
  </r>
  <r>
    <s v="ORD-100106"/>
    <d v="2024-12-02T00:00:00"/>
    <s v="CUST-00540"/>
    <x v="0"/>
    <x v="3"/>
    <s v="Women"/>
    <s v="Knit Winter Sweater"/>
    <n v="5"/>
    <n v="2175.2399999999998"/>
    <n v="0.1"/>
    <n v="9788.58"/>
    <n v="3059.94"/>
    <s v="UPI"/>
    <s v="2024-12"/>
    <s v="1-10%"/>
    <n v="0.31260305376264996"/>
    <s v="No"/>
  </r>
  <r>
    <s v="ORD-100540"/>
    <d v="2024-12-02T00:00:00"/>
    <s v="CUST-00125"/>
    <x v="1"/>
    <x v="3"/>
    <s v="Footwear"/>
    <s v="RunFlex Sneakers"/>
    <n v="1"/>
    <n v="2973.93"/>
    <n v="0.1"/>
    <n v="2676.54"/>
    <n v="725.74"/>
    <s v="Credit Card"/>
    <s v="2024-12"/>
    <s v="1-10%"/>
    <n v="0.2711485724106496"/>
    <s v="No"/>
  </r>
  <r>
    <s v="ORD-100588"/>
    <d v="2024-12-02T00:00:00"/>
    <s v="CUST-00137"/>
    <x v="3"/>
    <x v="2"/>
    <s v="Appliances"/>
    <s v="ColdBrew Coffee Maker"/>
    <n v="5"/>
    <n v="6351.48"/>
    <n v="0.15"/>
    <n v="26993.79"/>
    <n v="4601.96"/>
    <s v="UPI"/>
    <s v="2024-12"/>
    <s v="11-15%"/>
    <n v="0.17048217386295145"/>
    <s v="No"/>
  </r>
  <r>
    <s v="ORD-100912"/>
    <d v="2024-12-02T00:00:00"/>
    <s v="CUST-00488"/>
    <x v="3"/>
    <x v="1"/>
    <s v="Audio"/>
    <s v="BassBoom Speaker"/>
    <n v="1"/>
    <n v="9204.32"/>
    <n v="0.1"/>
    <n v="8283.89"/>
    <n v="610.9"/>
    <s v="Credit Card"/>
    <s v="2024-12"/>
    <s v="1-10%"/>
    <n v="7.3745547079934665E-2"/>
    <s v="No"/>
  </r>
  <r>
    <s v="ORD-101153"/>
    <d v="2024-12-02T00:00:00"/>
    <s v="CUST-00206"/>
    <x v="2"/>
    <x v="0"/>
    <s v="Skincare"/>
    <s v="HydraBoost Moisturizer"/>
    <n v="5"/>
    <n v="1218.3399999999999"/>
    <n v="0"/>
    <n v="6091.7"/>
    <n v="3246.9"/>
    <s v="UPI"/>
    <s v="2024-12"/>
    <s v="No discount"/>
    <n v="0.53300392337114433"/>
    <s v="No"/>
  </r>
  <r>
    <s v="ORD-101648"/>
    <d v="2024-12-02T00:00:00"/>
    <s v="CUST-00035"/>
    <x v="2"/>
    <x v="3"/>
    <s v="Women"/>
    <s v="Knit Winter Sweater"/>
    <n v="1"/>
    <n v="2114.0100000000002"/>
    <n v="0.3"/>
    <n v="1479.81"/>
    <n v="156.53"/>
    <s v="UPI"/>
    <s v="2024-12"/>
    <s v="21%+"/>
    <n v="0.10577709300518311"/>
    <s v="No"/>
  </r>
  <r>
    <s v="ORD-101928"/>
    <d v="2024-12-02T00:00:00"/>
    <s v="CUST-00099"/>
    <x v="2"/>
    <x v="4"/>
    <s v="Fitness"/>
    <s v="Adjustable Dumbbell 24kg"/>
    <n v="1"/>
    <n v="9991.84"/>
    <n v="0"/>
    <n v="9991.84"/>
    <n v="3909.24"/>
    <s v="Net Banking"/>
    <s v="2024-12"/>
    <s v="No discount"/>
    <n v="0.39124325449566844"/>
    <s v="No"/>
  </r>
  <r>
    <s v="ORD-101188"/>
    <d v="2024-12-03T00:00:00"/>
    <s v="CUST-00162"/>
    <x v="0"/>
    <x v="3"/>
    <s v="Footwear"/>
    <s v="RunFlex Sneakers"/>
    <n v="1"/>
    <n v="3015.49"/>
    <n v="0.1"/>
    <n v="2713.94"/>
    <n v="866.21"/>
    <s v="Cash on Delivery"/>
    <s v="2024-12"/>
    <s v="1-10%"/>
    <n v="0.31917065226202496"/>
    <s v="No"/>
  </r>
  <r>
    <s v="ORD-101868"/>
    <d v="2024-12-03T00:00:00"/>
    <s v="CUST-00080"/>
    <x v="0"/>
    <x v="3"/>
    <s v="Footwear"/>
    <s v="RunFlex Sneakers"/>
    <n v="3"/>
    <n v="2939.05"/>
    <n v="0"/>
    <n v="8817.15"/>
    <n v="3789.3"/>
    <s v="Debit Card"/>
    <s v="2024-12"/>
    <s v="No discount"/>
    <n v="0.42976471989248233"/>
    <s v="No"/>
  </r>
  <r>
    <s v="ORD-100013"/>
    <d v="2024-12-04T00:00:00"/>
    <s v="CUST-00244"/>
    <x v="2"/>
    <x v="1"/>
    <s v="Audio"/>
    <s v="SoundPods Pro"/>
    <n v="2"/>
    <n v="5102.8999999999996"/>
    <n v="0"/>
    <n v="10205.799999999999"/>
    <n v="1476.88"/>
    <s v="UPI"/>
    <s v="2024-12"/>
    <s v="No discount"/>
    <n v="0.14470987085774759"/>
    <s v="No"/>
  </r>
  <r>
    <s v="ORD-100870"/>
    <d v="2024-12-04T00:00:00"/>
    <s v="CUST-00139"/>
    <x v="3"/>
    <x v="3"/>
    <s v="Women"/>
    <s v="Floral Summer Dress"/>
    <n v="3"/>
    <n v="1775.84"/>
    <n v="0.3"/>
    <n v="3729.26"/>
    <n v="310.88"/>
    <s v="UPI"/>
    <s v="2024-12"/>
    <s v="21%+"/>
    <n v="8.3362382885612693E-2"/>
    <s v="No"/>
  </r>
  <r>
    <s v="ORD-100874"/>
    <d v="2024-12-04T00:00:00"/>
    <s v="CUST-00284"/>
    <x v="1"/>
    <x v="1"/>
    <s v="Audio"/>
    <s v="SoundPods Pro"/>
    <n v="1"/>
    <n v="4800.2"/>
    <n v="0"/>
    <n v="4800.2"/>
    <n v="978.04"/>
    <s v="Debit Card"/>
    <s v="2024-12"/>
    <s v="No discount"/>
    <n v="0.20374984375651015"/>
    <s v="No"/>
  </r>
  <r>
    <s v="ORD-100926"/>
    <d v="2024-12-04T00:00:00"/>
    <s v="CUST-00265"/>
    <x v="3"/>
    <x v="2"/>
    <s v="Appliances"/>
    <s v="AirFryer Deluxe"/>
    <n v="1"/>
    <n v="8200.98"/>
    <n v="0.15"/>
    <n v="6970.83"/>
    <n v="1241.22"/>
    <s v="Credit Card"/>
    <s v="2024-12"/>
    <s v="11-15%"/>
    <n v="0.17805914073359988"/>
    <s v="No"/>
  </r>
  <r>
    <s v="ORD-101133"/>
    <d v="2024-12-04T00:00:00"/>
    <s v="CUST-00335"/>
    <x v="0"/>
    <x v="2"/>
    <s v="Appliances"/>
    <s v="ColdBrew Coffee Maker"/>
    <n v="3"/>
    <n v="6341.78"/>
    <n v="0.3"/>
    <n v="13317.74"/>
    <n v="-137.37"/>
    <s v="Debit Card"/>
    <s v="2024-12"/>
    <s v="21%+"/>
    <n v="-1.0314813174007002E-2"/>
    <s v="Yes"/>
  </r>
  <r>
    <s v="ORD-101183"/>
    <d v="2024-12-04T00:00:00"/>
    <s v="CUST-00516"/>
    <x v="1"/>
    <x v="2"/>
    <s v="Appliances"/>
    <s v="AirFryer Deluxe"/>
    <n v="1"/>
    <n v="8031.86"/>
    <n v="0.1"/>
    <n v="7228.67"/>
    <n v="1645.13"/>
    <s v="UPI"/>
    <s v="2024-12"/>
    <s v="1-10%"/>
    <n v="0.22758405073132404"/>
    <s v="No"/>
  </r>
  <r>
    <s v="ORD-101419"/>
    <d v="2024-12-04T00:00:00"/>
    <s v="CUST-00412"/>
    <x v="3"/>
    <x v="2"/>
    <s v="Appliances"/>
    <s v="ColdBrew Coffee Maker"/>
    <n v="1"/>
    <n v="6647.02"/>
    <n v="0.05"/>
    <n v="6314.67"/>
    <n v="1930.97"/>
    <s v="UPI"/>
    <s v="2024-12"/>
    <s v="1-10%"/>
    <n v="0.30579111814235738"/>
    <s v="No"/>
  </r>
  <r>
    <s v="ORD-101911"/>
    <d v="2024-12-04T00:00:00"/>
    <s v="CUST-00106"/>
    <x v="3"/>
    <x v="1"/>
    <s v="Laptop"/>
    <s v="ThinkPro 14"/>
    <n v="1"/>
    <n v="54480.18"/>
    <n v="0"/>
    <n v="54480.18"/>
    <n v="11522.01"/>
    <s v="Credit Card"/>
    <s v="2024-12"/>
    <s v="No discount"/>
    <n v="0.21148994001121141"/>
    <s v="No"/>
  </r>
  <r>
    <s v="ORD-100027"/>
    <d v="2024-12-05T00:00:00"/>
    <s v="CUST-00119"/>
    <x v="3"/>
    <x v="3"/>
    <s v="Men"/>
    <s v="SlimFit Denim Jeans"/>
    <n v="1"/>
    <n v="1912.93"/>
    <n v="0"/>
    <n v="1912.93"/>
    <n v="845.26"/>
    <s v="Credit Card"/>
    <s v="2024-12"/>
    <s v="No discount"/>
    <n v="0.44186666527264457"/>
    <s v="No"/>
  </r>
  <r>
    <s v="ORD-100190"/>
    <d v="2024-12-05T00:00:00"/>
    <s v="CUST-00441"/>
    <x v="2"/>
    <x v="0"/>
    <s v="Skincare"/>
    <s v="Vitamin C Serum"/>
    <n v="2"/>
    <n v="885.97"/>
    <n v="0.1"/>
    <n v="1594.75"/>
    <n v="712.47"/>
    <s v="Cash on Delivery"/>
    <s v="2024-12"/>
    <s v="1-10%"/>
    <n v="0.44675968020065843"/>
    <s v="No"/>
  </r>
  <r>
    <s v="ORD-100232"/>
    <d v="2024-12-05T00:00:00"/>
    <s v="CUST-00473"/>
    <x v="2"/>
    <x v="2"/>
    <s v="Appliances"/>
    <s v="AirFryer Deluxe"/>
    <n v="2"/>
    <n v="8249.17"/>
    <n v="0"/>
    <n v="16498.34"/>
    <n v="4813.29"/>
    <s v="Net Banking"/>
    <s v="2024-12"/>
    <s v="No discount"/>
    <n v="0.29174389665869416"/>
    <s v="No"/>
  </r>
  <r>
    <s v="ORD-100287"/>
    <d v="2024-12-05T00:00:00"/>
    <s v="CUST-00485"/>
    <x v="0"/>
    <x v="1"/>
    <s v="Audio"/>
    <s v="SoundPods Pro"/>
    <n v="3"/>
    <n v="5230.54"/>
    <n v="0.15"/>
    <n v="13337.88"/>
    <n v="246.79"/>
    <s v="Credit Card"/>
    <s v="2024-12"/>
    <s v="11-15%"/>
    <n v="1.8502940497290423E-2"/>
    <s v="No"/>
  </r>
  <r>
    <s v="ORD-100922"/>
    <d v="2024-12-05T00:00:00"/>
    <s v="CUST-00164"/>
    <x v="2"/>
    <x v="3"/>
    <s v="Footwear"/>
    <s v="UrbanLoafers"/>
    <n v="1"/>
    <n v="3479.28"/>
    <n v="0.1"/>
    <n v="3131.35"/>
    <n v="890.4"/>
    <s v="Credit Card"/>
    <s v="2024-12"/>
    <s v="1-10%"/>
    <n v="0.28435020039280184"/>
    <s v="No"/>
  </r>
  <r>
    <s v="ORD-100997"/>
    <d v="2024-12-05T00:00:00"/>
    <s v="CUST-00414"/>
    <x v="2"/>
    <x v="2"/>
    <s v="Appliances"/>
    <s v="AirFryer Deluxe"/>
    <n v="3"/>
    <n v="7649.95"/>
    <n v="0"/>
    <n v="22949.85"/>
    <n v="7415.03"/>
    <s v="UPI"/>
    <s v="2024-12"/>
    <s v="No discount"/>
    <n v="0.32309710085251103"/>
    <s v="No"/>
  </r>
  <r>
    <s v="ORD-101755"/>
    <d v="2024-12-05T00:00:00"/>
    <s v="CUST-00087"/>
    <x v="2"/>
    <x v="3"/>
    <s v="Women"/>
    <s v="Knit Winter Sweater"/>
    <n v="2"/>
    <n v="2204.56"/>
    <n v="0.1"/>
    <n v="3968.21"/>
    <n v="1333.94"/>
    <s v="Credit Card"/>
    <s v="2024-12"/>
    <s v="1-10%"/>
    <n v="0.33615660461517916"/>
    <s v="No"/>
  </r>
  <r>
    <s v="ORD-100185"/>
    <d v="2024-12-06T00:00:00"/>
    <s v="CUST-00390"/>
    <x v="3"/>
    <x v="1"/>
    <s v="Laptop"/>
    <s v="AirBook Slim"/>
    <n v="4"/>
    <n v="78965.84"/>
    <n v="0.15"/>
    <n v="268483.86"/>
    <n v="4519.5200000000004"/>
    <s v="UPI"/>
    <s v="2024-12"/>
    <s v="11-15%"/>
    <n v="1.6833488612686069E-2"/>
    <s v="No"/>
  </r>
  <r>
    <s v="ORD-100526"/>
    <d v="2024-12-06T00:00:00"/>
    <s v="CUST-00103"/>
    <x v="3"/>
    <x v="4"/>
    <s v="Outdoor"/>
    <s v="AllWeather Tent 4P"/>
    <n v="3"/>
    <n v="11495.16"/>
    <n v="0"/>
    <n v="34485.480000000003"/>
    <n v="13875.46"/>
    <s v="Debit Card"/>
    <s v="2024-12"/>
    <s v="No discount"/>
    <n v="0.40235658601823138"/>
    <s v="No"/>
  </r>
  <r>
    <s v="ORD-101035"/>
    <d v="2024-12-06T00:00:00"/>
    <s v="CUST-00134"/>
    <x v="2"/>
    <x v="1"/>
    <s v="Audio"/>
    <s v="SoundPods Pro"/>
    <n v="2"/>
    <n v="5247.03"/>
    <n v="0"/>
    <n v="10494.06"/>
    <n v="1752.52"/>
    <s v="Cash on Delivery"/>
    <s v="2024-12"/>
    <s v="No discount"/>
    <n v="0.16700114159819937"/>
    <s v="No"/>
  </r>
  <r>
    <s v="ORD-100389"/>
    <d v="2024-12-07T00:00:00"/>
    <s v="CUST-00161"/>
    <x v="2"/>
    <x v="1"/>
    <s v="Mobile"/>
    <s v="Galaxy Nova X5"/>
    <n v="1"/>
    <n v="26064.83"/>
    <n v="0.05"/>
    <n v="24761.59"/>
    <n v="2085.4"/>
    <s v="Credit Card"/>
    <s v="2024-12"/>
    <s v="1-10%"/>
    <n v="8.4219147478009293E-2"/>
    <s v="No"/>
  </r>
  <r>
    <s v="ORD-100722"/>
    <d v="2024-12-07T00:00:00"/>
    <s v="CUST-00252"/>
    <x v="3"/>
    <x v="3"/>
    <s v="Men"/>
    <s v="Oxford Casual Shirt"/>
    <n v="5"/>
    <n v="1284.06"/>
    <n v="0"/>
    <n v="6420.3"/>
    <n v="2603.7199999999998"/>
    <s v="Credit Card"/>
    <s v="2024-12"/>
    <s v="No discount"/>
    <n v="0.40554491223151562"/>
    <s v="No"/>
  </r>
  <r>
    <s v="ORD-101660"/>
    <d v="2024-12-07T00:00:00"/>
    <s v="CUST-00368"/>
    <x v="2"/>
    <x v="0"/>
    <s v="Skincare"/>
    <s v="Vitamin C Serum"/>
    <n v="1"/>
    <n v="913.88"/>
    <n v="0.15"/>
    <n v="776.8"/>
    <n v="321.83"/>
    <s v="Net Banking"/>
    <s v="2024-12"/>
    <s v="11-15%"/>
    <n v="0.41430226570545831"/>
    <s v="No"/>
  </r>
  <r>
    <s v="ORD-100346"/>
    <d v="2024-12-08T00:00:00"/>
    <s v="CUST-00369"/>
    <x v="1"/>
    <x v="1"/>
    <s v="Laptop"/>
    <s v="ThinkPro 14"/>
    <n v="2"/>
    <n v="56724.97"/>
    <n v="0"/>
    <n v="113449.94"/>
    <n v="20208.060000000001"/>
    <s v="Credit Card"/>
    <s v="2024-12"/>
    <s v="No discount"/>
    <n v="0.17812314400518856"/>
    <s v="No"/>
  </r>
  <r>
    <s v="ORD-100566"/>
    <d v="2024-12-08T00:00:00"/>
    <s v="CUST-00130"/>
    <x v="3"/>
    <x v="0"/>
    <s v="Makeup"/>
    <s v="HD Foundation Kit"/>
    <n v="3"/>
    <n v="1484.69"/>
    <n v="0.15"/>
    <n v="3785.96"/>
    <n v="1337.52"/>
    <s v="UPI"/>
    <s v="2024-12"/>
    <s v="11-15%"/>
    <n v="0.35328423966444439"/>
    <s v="No"/>
  </r>
  <r>
    <s v="ORD-101167"/>
    <d v="2024-12-08T00:00:00"/>
    <s v="CUST-00583"/>
    <x v="0"/>
    <x v="1"/>
    <s v="Laptop"/>
    <s v="AirBook Slim"/>
    <n v="1"/>
    <n v="76303.61"/>
    <n v="0"/>
    <n v="76303.61"/>
    <n v="16418.439999999999"/>
    <s v="UPI"/>
    <s v="2024-12"/>
    <s v="No discount"/>
    <n v="0.21517251936048634"/>
    <s v="No"/>
  </r>
  <r>
    <s v="ORD-101232"/>
    <d v="2024-12-08T00:00:00"/>
    <s v="CUST-00027"/>
    <x v="2"/>
    <x v="4"/>
    <s v="Fitness"/>
    <s v="ProYoga Mat"/>
    <n v="1"/>
    <n v="1284.3499999999999"/>
    <n v="0.3"/>
    <n v="899.04"/>
    <n v="10.039999999999999"/>
    <s v="UPI"/>
    <s v="2024-12"/>
    <s v="21%+"/>
    <n v="1.1167467520911193E-2"/>
    <s v="No"/>
  </r>
  <r>
    <s v="ORD-101391"/>
    <d v="2024-12-08T00:00:00"/>
    <s v="CUST-00224"/>
    <x v="1"/>
    <x v="2"/>
    <s v="Decor"/>
    <s v="LED Wall Lamp"/>
    <n v="3"/>
    <n v="988.27"/>
    <n v="0"/>
    <n v="2964.81"/>
    <n v="968.54"/>
    <s v="Debit Card"/>
    <s v="2024-12"/>
    <s v="No discount"/>
    <n v="0.32667860672353372"/>
    <s v="No"/>
  </r>
  <r>
    <s v="ORD-101815"/>
    <d v="2024-12-08T00:00:00"/>
    <s v="CUST-00162"/>
    <x v="1"/>
    <x v="3"/>
    <s v="Women"/>
    <s v="Floral Summer Dress"/>
    <n v="1"/>
    <n v="1814.21"/>
    <n v="0"/>
    <n v="1814.21"/>
    <n v="798.32"/>
    <s v="Credit Card"/>
    <s v="2024-12"/>
    <s v="No discount"/>
    <n v="0.44003726139752292"/>
    <s v="No"/>
  </r>
  <r>
    <s v="ORD-100032"/>
    <d v="2024-12-09T00:00:00"/>
    <s v="CUST-00241"/>
    <x v="2"/>
    <x v="3"/>
    <s v="Footwear"/>
    <s v="UrbanLoafers"/>
    <n v="3"/>
    <n v="3581.56"/>
    <n v="0.3"/>
    <n v="7521.28"/>
    <n v="659.68"/>
    <s v="Credit Card"/>
    <s v="2024-12"/>
    <s v="21%+"/>
    <n v="8.7708475153165419E-2"/>
    <s v="No"/>
  </r>
  <r>
    <s v="ORD-100150"/>
    <d v="2024-12-09T00:00:00"/>
    <s v="CUST-00557"/>
    <x v="2"/>
    <x v="1"/>
    <s v="Laptop"/>
    <s v="AirBook Slim"/>
    <n v="1"/>
    <n v="81940.06"/>
    <n v="0.15"/>
    <n v="69649.05"/>
    <n v="-650.71"/>
    <s v="UPI"/>
    <s v="2024-12"/>
    <s v="11-15%"/>
    <n v="-9.3426974237265266E-3"/>
    <s v="Yes"/>
  </r>
  <r>
    <s v="ORD-100243"/>
    <d v="2024-12-09T00:00:00"/>
    <s v="CUST-00272"/>
    <x v="0"/>
    <x v="0"/>
    <s v="Skincare"/>
    <s v="Vitamin C Serum"/>
    <n v="4"/>
    <n v="921.06"/>
    <n v="0"/>
    <n v="3684.24"/>
    <n v="1949.11"/>
    <s v="UPI"/>
    <s v="2024-12"/>
    <s v="No discount"/>
    <n v="0.52903991053785859"/>
    <s v="No"/>
  </r>
  <r>
    <s v="ORD-100268"/>
    <d v="2024-12-09T00:00:00"/>
    <s v="CUST-00228"/>
    <x v="1"/>
    <x v="0"/>
    <s v="Skincare"/>
    <s v="HydraBoost Moisturizer"/>
    <n v="1"/>
    <n v="1170.06"/>
    <n v="0"/>
    <n v="1170.06"/>
    <n v="672.4"/>
    <s v="UPI"/>
    <s v="2024-12"/>
    <s v="No discount"/>
    <n v="0.57467138437345089"/>
    <s v="No"/>
  </r>
  <r>
    <s v="ORD-100730"/>
    <d v="2024-12-09T00:00:00"/>
    <s v="CUST-00289"/>
    <x v="2"/>
    <x v="4"/>
    <s v="Fitness"/>
    <s v="ProYoga Mat"/>
    <n v="3"/>
    <n v="1259.3499999999999"/>
    <n v="0.1"/>
    <n v="3400.24"/>
    <n v="794.54"/>
    <s v="Credit Card"/>
    <s v="2024-12"/>
    <s v="1-10%"/>
    <n v="0.23367174081829517"/>
    <s v="No"/>
  </r>
  <r>
    <s v="ORD-100849"/>
    <d v="2024-12-09T00:00:00"/>
    <s v="CUST-00526"/>
    <x v="2"/>
    <x v="2"/>
    <s v="Appliances"/>
    <s v="AirFryer Deluxe"/>
    <n v="5"/>
    <n v="8194.4"/>
    <n v="0.15"/>
    <n v="34826.199999999997"/>
    <n v="4711.82"/>
    <s v="UPI"/>
    <s v="2024-12"/>
    <s v="11-15%"/>
    <n v="0.1352952662076253"/>
    <s v="No"/>
  </r>
  <r>
    <s v="ORD-101455"/>
    <d v="2024-12-09T00:00:00"/>
    <s v="CUST-00358"/>
    <x v="0"/>
    <x v="1"/>
    <s v="Mobile"/>
    <s v="iPhone Zeta"/>
    <n v="1"/>
    <n v="67943.62"/>
    <n v="0.05"/>
    <n v="64546.44"/>
    <n v="6872.7"/>
    <s v="Net Banking"/>
    <s v="2024-12"/>
    <s v="1-10%"/>
    <n v="0.10647682505805121"/>
    <s v="No"/>
  </r>
  <r>
    <s v="ORD-101856"/>
    <d v="2024-12-09T00:00:00"/>
    <s v="CUST-00053"/>
    <x v="1"/>
    <x v="2"/>
    <s v="Furniture"/>
    <s v="Oakwood Study Desk"/>
    <n v="2"/>
    <n v="12718.17"/>
    <n v="0"/>
    <n v="25436.34"/>
    <n v="7473.98"/>
    <s v="UPI"/>
    <s v="2024-12"/>
    <s v="No discount"/>
    <n v="0.29383079483919461"/>
    <s v="No"/>
  </r>
  <r>
    <s v="ORD-101917"/>
    <d v="2024-12-09T00:00:00"/>
    <s v="CUST-00069"/>
    <x v="0"/>
    <x v="3"/>
    <s v="Footwear"/>
    <s v="RunFlex Sneakers"/>
    <n v="1"/>
    <n v="3046.82"/>
    <n v="0.05"/>
    <n v="2894.48"/>
    <n v="955.3"/>
    <s v="Debit Card"/>
    <s v="2024-12"/>
    <s v="1-10%"/>
    <n v="0.33004201100024871"/>
    <s v="No"/>
  </r>
  <r>
    <s v="ORD-100108"/>
    <d v="2024-12-10T00:00:00"/>
    <s v="CUST-00135"/>
    <x v="0"/>
    <x v="3"/>
    <s v="Men"/>
    <s v="Oxford Casual Shirt"/>
    <n v="3"/>
    <n v="1334.19"/>
    <n v="0"/>
    <n v="4002.57"/>
    <n v="1788.39"/>
    <s v="UPI"/>
    <s v="2024-12"/>
    <s v="No discount"/>
    <n v="0.44681042430238571"/>
    <s v="No"/>
  </r>
  <r>
    <s v="ORD-100825"/>
    <d v="2024-12-10T00:00:00"/>
    <s v="CUST-00269"/>
    <x v="3"/>
    <x v="3"/>
    <s v="Men"/>
    <s v="Oxford Casual Shirt"/>
    <n v="1"/>
    <n v="1240.8399999999999"/>
    <n v="0.05"/>
    <n v="1178.8"/>
    <n v="408.94"/>
    <s v="UPI"/>
    <s v="2024-12"/>
    <s v="1-10%"/>
    <n v="0.34691211401425182"/>
    <s v="No"/>
  </r>
  <r>
    <s v="ORD-101780"/>
    <d v="2024-12-10T00:00:00"/>
    <s v="CUST-00562"/>
    <x v="2"/>
    <x v="4"/>
    <s v="Outdoor"/>
    <s v="TrailHike Backpack 60L"/>
    <n v="2"/>
    <n v="3547.69"/>
    <n v="0.05"/>
    <n v="6740.61"/>
    <n v="2024.35"/>
    <s v="UPI"/>
    <s v="2024-12"/>
    <s v="1-10%"/>
    <n v="0.30032148425735949"/>
    <s v="No"/>
  </r>
  <r>
    <s v="ORD-100131"/>
    <d v="2024-12-11T00:00:00"/>
    <s v="CUST-00578"/>
    <x v="1"/>
    <x v="2"/>
    <s v="Furniture"/>
    <s v="ErgoComfort Chair"/>
    <n v="2"/>
    <n v="9125.8700000000008"/>
    <n v="0"/>
    <n v="18251.740000000002"/>
    <n v="6157.13"/>
    <s v="UPI"/>
    <s v="2024-12"/>
    <s v="No discount"/>
    <n v="0.33734482301413454"/>
    <s v="No"/>
  </r>
  <r>
    <s v="ORD-100348"/>
    <d v="2024-12-11T00:00:00"/>
    <s v="CUST-00586"/>
    <x v="2"/>
    <x v="4"/>
    <s v="Outdoor"/>
    <s v="TrailHike Backpack 60L"/>
    <n v="1"/>
    <n v="3545.09"/>
    <n v="0"/>
    <n v="3545.09"/>
    <n v="1246.4100000000001"/>
    <s v="Debit Card"/>
    <s v="2024-12"/>
    <s v="No discount"/>
    <n v="0.35158768888801134"/>
    <s v="No"/>
  </r>
  <r>
    <s v="ORD-101156"/>
    <d v="2024-12-11T00:00:00"/>
    <s v="CUST-00548"/>
    <x v="2"/>
    <x v="1"/>
    <s v="Mobile"/>
    <s v="Galaxy Nova X5"/>
    <n v="1"/>
    <n v="25645.09"/>
    <n v="0.15"/>
    <n v="21798.33"/>
    <n v="-237.51"/>
    <s v="Debit Card"/>
    <s v="2024-12"/>
    <s v="11-15%"/>
    <n v="-1.0895788805839713E-2"/>
    <s v="Yes"/>
  </r>
  <r>
    <s v="ORD-101384"/>
    <d v="2024-12-11T00:00:00"/>
    <s v="CUST-00188"/>
    <x v="2"/>
    <x v="0"/>
    <s v="Makeup"/>
    <s v="Matte Lipstick Set"/>
    <n v="1"/>
    <n v="1024.93"/>
    <n v="0.2"/>
    <n v="819.94"/>
    <n v="275.48"/>
    <s v="UPI"/>
    <s v="2024-12"/>
    <s v="16-20%"/>
    <n v="0.33597580310754444"/>
    <s v="No"/>
  </r>
  <r>
    <s v="ORD-101463"/>
    <d v="2024-12-11T00:00:00"/>
    <s v="CUST-00483"/>
    <x v="3"/>
    <x v="3"/>
    <s v="Footwear"/>
    <s v="UrbanLoafers"/>
    <n v="1"/>
    <n v="3448.7"/>
    <n v="0.05"/>
    <n v="3276.26"/>
    <n v="1241.8900000000001"/>
    <s v="UPI"/>
    <s v="2024-12"/>
    <s v="1-10%"/>
    <n v="0.37905721768113643"/>
    <s v="No"/>
  </r>
  <r>
    <s v="ORD-100283"/>
    <d v="2024-12-12T00:00:00"/>
    <s v="CUST-00098"/>
    <x v="1"/>
    <x v="1"/>
    <s v="Laptop"/>
    <s v="AirBook Slim"/>
    <n v="1"/>
    <n v="77531.5"/>
    <n v="0"/>
    <n v="77531.5"/>
    <n v="15224.51"/>
    <s v="Debit Card"/>
    <s v="2024-12"/>
    <s v="No discount"/>
    <n v="0.19636547725763076"/>
    <s v="No"/>
  </r>
  <r>
    <s v="ORD-100015"/>
    <d v="2024-12-13T00:00:00"/>
    <s v="CUST-00112"/>
    <x v="1"/>
    <x v="4"/>
    <s v="Outdoor"/>
    <s v="AllWeather Tent 4P"/>
    <n v="1"/>
    <n v="11464.05"/>
    <n v="0.2"/>
    <n v="9171.24"/>
    <n v="1488.28"/>
    <s v="UPI"/>
    <s v="2024-12"/>
    <s v="16-20%"/>
    <n v="0.16227685678272513"/>
    <s v="No"/>
  </r>
  <r>
    <s v="ORD-100555"/>
    <d v="2024-12-13T00:00:00"/>
    <s v="CUST-00480"/>
    <x v="3"/>
    <x v="4"/>
    <s v="Outdoor"/>
    <s v="TrailHike Backpack 60L"/>
    <n v="1"/>
    <n v="3488.24"/>
    <n v="0.15"/>
    <n v="2965"/>
    <n v="600.55999999999995"/>
    <s v="Credit Card"/>
    <s v="2024-12"/>
    <s v="11-15%"/>
    <n v="0.20254974704890386"/>
    <s v="No"/>
  </r>
  <r>
    <s v="ORD-100607"/>
    <d v="2024-12-13T00:00:00"/>
    <s v="CUST-00252"/>
    <x v="0"/>
    <x v="3"/>
    <s v="Footwear"/>
    <s v="UrbanLoafers"/>
    <n v="1"/>
    <n v="3393.27"/>
    <n v="0"/>
    <n v="3393.27"/>
    <n v="1336.72"/>
    <s v="Debit Card"/>
    <s v="2024-12"/>
    <s v="No discount"/>
    <n v="0.39393269618981103"/>
    <s v="No"/>
  </r>
  <r>
    <s v="ORD-101490"/>
    <d v="2024-12-13T00:00:00"/>
    <s v="CUST-00210"/>
    <x v="3"/>
    <x v="0"/>
    <s v="Makeup"/>
    <s v="Matte Lipstick Set"/>
    <n v="1"/>
    <n v="982.54"/>
    <n v="0.05"/>
    <n v="933.41"/>
    <n v="441.72"/>
    <s v="Credit Card"/>
    <s v="2024-12"/>
    <s v="1-10%"/>
    <n v="0.47323255589719421"/>
    <s v="No"/>
  </r>
  <r>
    <s v="ORD-100052"/>
    <d v="2024-12-14T00:00:00"/>
    <s v="CUST-00053"/>
    <x v="2"/>
    <x v="0"/>
    <s v="Makeup"/>
    <s v="Matte Lipstick Set"/>
    <n v="2"/>
    <n v="959.3"/>
    <n v="0.15"/>
    <n v="1630.81"/>
    <n v="552"/>
    <s v="Credit Card"/>
    <s v="2024-12"/>
    <s v="11-15%"/>
    <n v="0.33848210398513623"/>
    <s v="No"/>
  </r>
  <r>
    <s v="ORD-100425"/>
    <d v="2024-12-14T00:00:00"/>
    <s v="CUST-00442"/>
    <x v="0"/>
    <x v="2"/>
    <s v="Appliances"/>
    <s v="ColdBrew Coffee Maker"/>
    <n v="1"/>
    <n v="6577.56"/>
    <n v="0.05"/>
    <n v="6248.68"/>
    <n v="1726.73"/>
    <s v="UPI"/>
    <s v="2024-12"/>
    <s v="1-10%"/>
    <n v="0.2763351619862115"/>
    <s v="No"/>
  </r>
  <r>
    <s v="ORD-101052"/>
    <d v="2024-12-14T00:00:00"/>
    <s v="CUST-00340"/>
    <x v="0"/>
    <x v="1"/>
    <s v="Mobile"/>
    <s v="Pixel Aura 12"/>
    <n v="1"/>
    <n v="34466.06"/>
    <n v="0"/>
    <n v="34466.06"/>
    <n v="6723.04"/>
    <s v="Net Banking"/>
    <s v="2024-12"/>
    <s v="No discount"/>
    <n v="0.1950626210248575"/>
    <s v="No"/>
  </r>
  <r>
    <s v="ORD-101673"/>
    <d v="2024-12-14T00:00:00"/>
    <s v="CUST-00564"/>
    <x v="0"/>
    <x v="2"/>
    <s v="Appliances"/>
    <s v="ColdBrew Coffee Maker"/>
    <n v="1"/>
    <n v="6706.18"/>
    <n v="0.3"/>
    <n v="4694.33"/>
    <n v="72.290000000000006"/>
    <s v="Credit Card"/>
    <s v="2024-12"/>
    <s v="21%+"/>
    <n v="1.5399428672462313E-2"/>
    <s v="No"/>
  </r>
  <r>
    <s v="ORD-101692"/>
    <d v="2024-12-14T00:00:00"/>
    <s v="CUST-00450"/>
    <x v="3"/>
    <x v="1"/>
    <s v="Laptop"/>
    <s v="AirBook Slim"/>
    <n v="3"/>
    <n v="78355.53"/>
    <n v="0.1"/>
    <n v="211559.93"/>
    <n v="5742.31"/>
    <s v="UPI"/>
    <s v="2024-12"/>
    <s v="1-10%"/>
    <n v="2.7142710814850434E-2"/>
    <s v="No"/>
  </r>
  <r>
    <s v="ORD-101787"/>
    <d v="2024-12-14T00:00:00"/>
    <s v="CUST-00425"/>
    <x v="3"/>
    <x v="2"/>
    <s v="Furniture"/>
    <s v="Oakwood Study Desk"/>
    <n v="1"/>
    <n v="12732.39"/>
    <n v="0.05"/>
    <n v="12095.77"/>
    <n v="2954.2"/>
    <s v="UPI"/>
    <s v="2024-12"/>
    <s v="1-10%"/>
    <n v="0.24423414135685448"/>
    <s v="No"/>
  </r>
  <r>
    <s v="ORD-100510"/>
    <d v="2024-12-15T00:00:00"/>
    <s v="CUST-00439"/>
    <x v="3"/>
    <x v="0"/>
    <s v="Makeup"/>
    <s v="HD Foundation Kit"/>
    <n v="1"/>
    <n v="1430.81"/>
    <n v="0"/>
    <n v="1430.81"/>
    <n v="825.51"/>
    <s v="Debit Card"/>
    <s v="2024-12"/>
    <s v="No discount"/>
    <n v="0.57695291478253574"/>
    <s v="No"/>
  </r>
  <r>
    <s v="ORD-100604"/>
    <d v="2024-12-15T00:00:00"/>
    <s v="CUST-00488"/>
    <x v="0"/>
    <x v="1"/>
    <s v="Mobile"/>
    <s v="iPhone Zeta"/>
    <n v="3"/>
    <n v="66881.3"/>
    <n v="0.1"/>
    <n v="180579.51"/>
    <n v="9481.3799999999992"/>
    <s v="Credit Card"/>
    <s v="2024-12"/>
    <s v="1-10%"/>
    <n v="5.2505292543987954E-2"/>
    <s v="No"/>
  </r>
  <r>
    <s v="ORD-100968"/>
    <d v="2024-12-15T00:00:00"/>
    <s v="CUST-00500"/>
    <x v="0"/>
    <x v="0"/>
    <s v="Makeup"/>
    <s v="Matte Lipstick Set"/>
    <n v="2"/>
    <n v="1000.45"/>
    <n v="0.1"/>
    <n v="1800.81"/>
    <n v="759.92"/>
    <s v="UPI"/>
    <s v="2024-12"/>
    <s v="1-10%"/>
    <n v="0.4219878832303241"/>
    <s v="No"/>
  </r>
  <r>
    <s v="ORD-100977"/>
    <d v="2024-12-15T00:00:00"/>
    <s v="CUST-00042"/>
    <x v="2"/>
    <x v="3"/>
    <s v="Footwear"/>
    <s v="UrbanLoafers"/>
    <n v="1"/>
    <n v="3583.99"/>
    <n v="0"/>
    <n v="3583.99"/>
    <n v="1492.19"/>
    <s v="Cash on Delivery"/>
    <s v="2024-12"/>
    <s v="No discount"/>
    <n v="0.41634881793755008"/>
    <s v="No"/>
  </r>
  <r>
    <s v="ORD-100144"/>
    <d v="2024-12-16T00:00:00"/>
    <s v="CUST-00271"/>
    <x v="3"/>
    <x v="1"/>
    <s v="Audio"/>
    <s v="SoundPods Pro"/>
    <n v="1"/>
    <n v="5248.01"/>
    <n v="0.1"/>
    <n v="4723.21"/>
    <n v="298.83999999999997"/>
    <s v="Cash on Delivery"/>
    <s v="2024-12"/>
    <s v="1-10%"/>
    <n v="6.3270529999724753E-2"/>
    <s v="No"/>
  </r>
  <r>
    <s v="ORD-100245"/>
    <d v="2024-12-16T00:00:00"/>
    <s v="CUST-00385"/>
    <x v="2"/>
    <x v="4"/>
    <s v="Fitness"/>
    <s v="ProYoga Mat"/>
    <n v="1"/>
    <n v="1238.3900000000001"/>
    <n v="0.15"/>
    <n v="1052.6300000000001"/>
    <n v="178.01"/>
    <s v="UPI"/>
    <s v="2024-12"/>
    <s v="11-15%"/>
    <n v="0.16910975366463046"/>
    <s v="No"/>
  </r>
  <r>
    <s v="ORD-100495"/>
    <d v="2024-12-16T00:00:00"/>
    <s v="CUST-00312"/>
    <x v="1"/>
    <x v="4"/>
    <s v="Outdoor"/>
    <s v="TrailHike Backpack 60L"/>
    <n v="1"/>
    <n v="3330.13"/>
    <n v="0"/>
    <n v="3330.13"/>
    <n v="1225.01"/>
    <s v="UPI"/>
    <s v="2024-12"/>
    <s v="No discount"/>
    <n v="0.36785651010621206"/>
    <s v="No"/>
  </r>
  <r>
    <s v="ORD-101220"/>
    <d v="2024-12-16T00:00:00"/>
    <s v="CUST-00489"/>
    <x v="0"/>
    <x v="2"/>
    <s v="Decor"/>
    <s v="Ceramic Vase Set"/>
    <n v="1"/>
    <n v="1507.17"/>
    <n v="0.05"/>
    <n v="1431.81"/>
    <n v="423.82"/>
    <s v="Debit Card"/>
    <s v="2024-12"/>
    <s v="1-10%"/>
    <n v="0.2960029612867629"/>
    <s v="No"/>
  </r>
  <r>
    <s v="ORD-101340"/>
    <d v="2024-12-16T00:00:00"/>
    <s v="CUST-00355"/>
    <x v="1"/>
    <x v="1"/>
    <s v="Mobile"/>
    <s v="iPhone Zeta"/>
    <n v="1"/>
    <n v="67926.27"/>
    <n v="0"/>
    <n v="67926.27"/>
    <n v="10874.88"/>
    <s v="Net Banking"/>
    <s v="2024-12"/>
    <s v="No discount"/>
    <n v="0.16009829481289048"/>
    <s v="No"/>
  </r>
  <r>
    <s v="ORD-101078"/>
    <d v="2024-12-17T00:00:00"/>
    <s v="CUST-00149"/>
    <x v="1"/>
    <x v="1"/>
    <s v="Audio"/>
    <s v="BassBoom Speaker"/>
    <n v="3"/>
    <n v="8871.82"/>
    <n v="0.05"/>
    <n v="25284.69"/>
    <n v="3029.72"/>
    <s v="Net Banking"/>
    <s v="2024-12"/>
    <s v="1-10%"/>
    <n v="0.11982428892741022"/>
    <s v="No"/>
  </r>
  <r>
    <s v="ORD-101147"/>
    <d v="2024-12-17T00:00:00"/>
    <s v="CUST-00382"/>
    <x v="1"/>
    <x v="3"/>
    <s v="Footwear"/>
    <s v="UrbanLoafers"/>
    <n v="4"/>
    <n v="3576.25"/>
    <n v="0.25"/>
    <n v="10728.75"/>
    <n v="1351.07"/>
    <s v="Credit Card"/>
    <s v="2024-12"/>
    <s v="21%+"/>
    <n v="0.12592986135383899"/>
    <s v="No"/>
  </r>
  <r>
    <s v="ORD-100309"/>
    <d v="2024-12-18T00:00:00"/>
    <s v="CUST-00525"/>
    <x v="3"/>
    <x v="3"/>
    <s v="Men"/>
    <s v="SlimFit Denim Jeans"/>
    <n v="1"/>
    <n v="2006.43"/>
    <n v="0.1"/>
    <n v="1805.79"/>
    <n v="615.34"/>
    <s v="Debit Card"/>
    <s v="2024-12"/>
    <s v="1-10%"/>
    <n v="0.34075944600424196"/>
    <s v="No"/>
  </r>
  <r>
    <s v="ORD-100354"/>
    <d v="2024-12-18T00:00:00"/>
    <s v="CUST-00548"/>
    <x v="0"/>
    <x v="1"/>
    <s v="Laptop"/>
    <s v="AirBook Slim"/>
    <n v="1"/>
    <n v="77447.25"/>
    <n v="0"/>
    <n v="77447.25"/>
    <n v="10843.19"/>
    <s v="Debit Card"/>
    <s v="2024-12"/>
    <s v="No discount"/>
    <n v="0.14000742440822625"/>
    <s v="No"/>
  </r>
  <r>
    <s v="ORD-100429"/>
    <d v="2024-12-18T00:00:00"/>
    <s v="CUST-00597"/>
    <x v="3"/>
    <x v="4"/>
    <s v="Fitness"/>
    <s v="ProYoga Mat"/>
    <n v="2"/>
    <n v="1308.1300000000001"/>
    <n v="0.05"/>
    <n v="2485.4499999999998"/>
    <n v="883.72"/>
    <s v="Cash on Delivery"/>
    <s v="2024-12"/>
    <s v="1-10%"/>
    <n v="0.35555734374057013"/>
    <s v="No"/>
  </r>
  <r>
    <s v="ORD-100983"/>
    <d v="2024-12-18T00:00:00"/>
    <s v="CUST-00255"/>
    <x v="0"/>
    <x v="1"/>
    <s v="Audio"/>
    <s v="BassBoom Speaker"/>
    <n v="1"/>
    <n v="9270.68"/>
    <n v="0.25"/>
    <n v="6953.01"/>
    <n v="-620.04"/>
    <s v="UPI"/>
    <s v="2024-12"/>
    <s v="21%+"/>
    <n v="-8.9175767041899834E-2"/>
    <s v="Yes"/>
  </r>
  <r>
    <s v="ORD-101227"/>
    <d v="2024-12-18T00:00:00"/>
    <s v="CUST-00121"/>
    <x v="2"/>
    <x v="3"/>
    <s v="Footwear"/>
    <s v="RunFlex Sneakers"/>
    <n v="2"/>
    <n v="2854.3"/>
    <n v="0.1"/>
    <n v="5137.74"/>
    <n v="1698.03"/>
    <s v="UPI"/>
    <s v="2024-12"/>
    <s v="1-10%"/>
    <n v="0.33050134884209792"/>
    <s v="No"/>
  </r>
  <r>
    <s v="ORD-101522"/>
    <d v="2024-12-18T00:00:00"/>
    <s v="CUST-00447"/>
    <x v="2"/>
    <x v="4"/>
    <s v="Outdoor"/>
    <s v="AllWeather Tent 4P"/>
    <n v="1"/>
    <n v="11852.41"/>
    <n v="0.25"/>
    <n v="8889.31"/>
    <n v="1026.6400000000001"/>
    <s v="UPI"/>
    <s v="2024-12"/>
    <s v="21%+"/>
    <n v="0.11549152858883312"/>
    <s v="No"/>
  </r>
  <r>
    <s v="ORD-101870"/>
    <d v="2024-12-18T00:00:00"/>
    <s v="CUST-00573"/>
    <x v="2"/>
    <x v="0"/>
    <s v="Skincare"/>
    <s v="Vitamin C Serum"/>
    <n v="1"/>
    <n v="903.99"/>
    <n v="0.05"/>
    <n v="858.79"/>
    <n v="430.53"/>
    <s v="UPI"/>
    <s v="2024-12"/>
    <s v="1-10%"/>
    <n v="0.50132162694022986"/>
    <s v="No"/>
  </r>
  <r>
    <s v="ORD-101964"/>
    <d v="2024-12-18T00:00:00"/>
    <s v="CUST-00053"/>
    <x v="1"/>
    <x v="4"/>
    <s v="Outdoor"/>
    <s v="TrailHike Backpack 60L"/>
    <n v="3"/>
    <n v="3376.18"/>
    <n v="0.15"/>
    <n v="8609.26"/>
    <n v="1741.05"/>
    <s v="Net Banking"/>
    <s v="2024-12"/>
    <s v="11-15%"/>
    <n v="0.20222992452312974"/>
    <s v="No"/>
  </r>
  <r>
    <s v="ORD-100293"/>
    <d v="2024-12-19T00:00:00"/>
    <s v="CUST-00136"/>
    <x v="1"/>
    <x v="2"/>
    <s v="Appliances"/>
    <s v="ColdBrew Coffee Maker"/>
    <n v="2"/>
    <n v="6585.17"/>
    <n v="0.25"/>
    <n v="9877.76"/>
    <n v="183.44"/>
    <s v="UPI"/>
    <s v="2024-12"/>
    <s v="21%+"/>
    <n v="1.8571012051315276E-2"/>
    <s v="No"/>
  </r>
  <r>
    <s v="ORD-100688"/>
    <d v="2024-12-19T00:00:00"/>
    <s v="CUST-00541"/>
    <x v="3"/>
    <x v="0"/>
    <s v="Skincare"/>
    <s v="HydraBoost Moisturizer"/>
    <n v="1"/>
    <n v="1238.73"/>
    <n v="0"/>
    <n v="1238.73"/>
    <n v="632.47"/>
    <s v="Credit Card"/>
    <s v="2024-12"/>
    <s v="No discount"/>
    <n v="0.51057938372365241"/>
    <s v="No"/>
  </r>
  <r>
    <s v="ORD-100872"/>
    <d v="2024-12-19T00:00:00"/>
    <s v="CUST-00198"/>
    <x v="1"/>
    <x v="0"/>
    <s v="Makeup"/>
    <s v="HD Foundation Kit"/>
    <n v="1"/>
    <n v="1513.16"/>
    <n v="0.1"/>
    <n v="1361.84"/>
    <n v="545.20000000000005"/>
    <s v="Net Banking"/>
    <s v="2024-12"/>
    <s v="1-10%"/>
    <n v="0.4003407155025554"/>
    <s v="No"/>
  </r>
  <r>
    <s v="ORD-101043"/>
    <d v="2024-12-19T00:00:00"/>
    <s v="CUST-00544"/>
    <x v="2"/>
    <x v="3"/>
    <s v="Men"/>
    <s v="Oxford Casual Shirt"/>
    <n v="2"/>
    <n v="1312.19"/>
    <n v="0.1"/>
    <n v="2361.94"/>
    <n v="721.65"/>
    <s v="Credit Card"/>
    <s v="2024-12"/>
    <s v="1-10%"/>
    <n v="0.30553274003573333"/>
    <s v="No"/>
  </r>
  <r>
    <s v="ORD-100179"/>
    <d v="2024-12-20T00:00:00"/>
    <s v="CUST-00448"/>
    <x v="2"/>
    <x v="0"/>
    <s v="Makeup"/>
    <s v="HD Foundation Kit"/>
    <n v="1"/>
    <n v="1542.55"/>
    <n v="0.15"/>
    <n v="1311.17"/>
    <n v="514.82000000000005"/>
    <s v="Debit Card"/>
    <s v="2024-12"/>
    <s v="11-15%"/>
    <n v="0.39264168643272807"/>
    <s v="No"/>
  </r>
  <r>
    <s v="ORD-100878"/>
    <d v="2024-12-20T00:00:00"/>
    <s v="CUST-00219"/>
    <x v="1"/>
    <x v="0"/>
    <s v="Makeup"/>
    <s v="HD Foundation Kit"/>
    <n v="2"/>
    <n v="1442.07"/>
    <n v="0"/>
    <n v="2884.14"/>
    <n v="1678.51"/>
    <s v="UPI"/>
    <s v="2024-12"/>
    <s v="No discount"/>
    <n v="0.58197937686797452"/>
    <s v="No"/>
  </r>
  <r>
    <s v="ORD-100341"/>
    <d v="2024-12-21T00:00:00"/>
    <s v="CUST-00179"/>
    <x v="0"/>
    <x v="2"/>
    <s v="Decor"/>
    <s v="Ceramic Vase Set"/>
    <n v="2"/>
    <n v="1502.86"/>
    <n v="0"/>
    <n v="3005.72"/>
    <n v="973.41"/>
    <s v="UPI"/>
    <s v="2024-12"/>
    <s v="No discount"/>
    <n v="0.32385252119292551"/>
    <s v="No"/>
  </r>
  <r>
    <s v="ORD-100353"/>
    <d v="2024-12-21T00:00:00"/>
    <s v="CUST-00233"/>
    <x v="1"/>
    <x v="0"/>
    <s v="Skincare"/>
    <s v="HydraBoost Moisturizer"/>
    <n v="2"/>
    <n v="1206.67"/>
    <n v="0.1"/>
    <n v="2172.0100000000002"/>
    <n v="948.9"/>
    <s v="UPI"/>
    <s v="2024-12"/>
    <s v="1-10%"/>
    <n v="0.43687644163700901"/>
    <s v="No"/>
  </r>
  <r>
    <s v="ORD-101335"/>
    <d v="2024-12-21T00:00:00"/>
    <s v="CUST-00055"/>
    <x v="1"/>
    <x v="4"/>
    <s v="Fitness"/>
    <s v="ProYoga Mat"/>
    <n v="3"/>
    <n v="1271.6199999999999"/>
    <n v="0.05"/>
    <n v="3624.12"/>
    <n v="1055.24"/>
    <s v="Credit Card"/>
    <s v="2024-12"/>
    <s v="1-10%"/>
    <n v="0.29117137401631293"/>
    <s v="No"/>
  </r>
  <r>
    <s v="ORD-101551"/>
    <d v="2024-12-21T00:00:00"/>
    <s v="CUST-00119"/>
    <x v="3"/>
    <x v="4"/>
    <s v="Fitness"/>
    <s v="ProYoga Mat"/>
    <n v="2"/>
    <n v="1340.62"/>
    <n v="0.2"/>
    <n v="2144.9899999999998"/>
    <n v="277.02999999999997"/>
    <s v="UPI"/>
    <s v="2024-12"/>
    <s v="16-20%"/>
    <n v="0.12915211725928794"/>
    <s v="No"/>
  </r>
  <r>
    <s v="ORD-101722"/>
    <d v="2024-12-21T00:00:00"/>
    <s v="CUST-00361"/>
    <x v="0"/>
    <x v="0"/>
    <s v="Skincare"/>
    <s v="HydraBoost Moisturizer"/>
    <n v="2"/>
    <n v="1221.55"/>
    <n v="0.3"/>
    <n v="1710.17"/>
    <n v="398.93"/>
    <s v="UPI"/>
    <s v="2024-12"/>
    <s v="21%+"/>
    <n v="0.23326920715484425"/>
    <s v="No"/>
  </r>
  <r>
    <s v="ORD-100192"/>
    <d v="2024-12-22T00:00:00"/>
    <s v="CUST-00467"/>
    <x v="0"/>
    <x v="3"/>
    <s v="Women"/>
    <s v="Floral Summer Dress"/>
    <n v="1"/>
    <n v="1874.66"/>
    <n v="0"/>
    <n v="1874.66"/>
    <n v="725.25"/>
    <s v="Debit Card"/>
    <s v="2024-12"/>
    <s v="No discount"/>
    <n v="0.38687015245431172"/>
    <s v="No"/>
  </r>
  <r>
    <s v="ORD-100498"/>
    <d v="2024-12-22T00:00:00"/>
    <s v="CUST-00513"/>
    <x v="2"/>
    <x v="1"/>
    <s v="Mobile"/>
    <s v="iPhone Zeta"/>
    <n v="1"/>
    <n v="67792.5"/>
    <n v="0.25"/>
    <n v="50844.38"/>
    <n v="-6069.67"/>
    <s v="Debit Card"/>
    <s v="2024-12"/>
    <s v="21%+"/>
    <n v="-0.11937740218289614"/>
    <s v="Yes"/>
  </r>
  <r>
    <s v="ORD-100953"/>
    <d v="2024-12-22T00:00:00"/>
    <s v="CUST-00336"/>
    <x v="0"/>
    <x v="3"/>
    <s v="Men"/>
    <s v="SlimFit Denim Jeans"/>
    <n v="1"/>
    <n v="1904.29"/>
    <n v="0"/>
    <n v="1904.29"/>
    <n v="815.33"/>
    <s v="Debit Card"/>
    <s v="2024-12"/>
    <s v="No discount"/>
    <n v="0.42815432523407676"/>
    <s v="No"/>
  </r>
  <r>
    <s v="ORD-101525"/>
    <d v="2024-12-22T00:00:00"/>
    <s v="CUST-00171"/>
    <x v="2"/>
    <x v="3"/>
    <s v="Men"/>
    <s v="SlimFit Denim Jeans"/>
    <n v="1"/>
    <n v="1996.82"/>
    <n v="0.05"/>
    <n v="1896.98"/>
    <n v="624.20000000000005"/>
    <s v="UPI"/>
    <s v="2024-12"/>
    <s v="1-10%"/>
    <n v="0.32904933104197198"/>
    <s v="No"/>
  </r>
  <r>
    <s v="ORD-101809"/>
    <d v="2024-12-22T00:00:00"/>
    <s v="CUST-00031"/>
    <x v="0"/>
    <x v="0"/>
    <s v="Skincare"/>
    <s v="HydraBoost Moisturizer"/>
    <n v="1"/>
    <n v="1167.99"/>
    <n v="0.1"/>
    <n v="1051.19"/>
    <n v="432.15"/>
    <s v="Debit Card"/>
    <s v="2024-12"/>
    <s v="1-10%"/>
    <n v="0.41110550899456799"/>
    <s v="No"/>
  </r>
  <r>
    <s v="ORD-101291"/>
    <d v="2024-12-24T00:00:00"/>
    <s v="CUST-00068"/>
    <x v="0"/>
    <x v="3"/>
    <s v="Men"/>
    <s v="Oxford Casual Shirt"/>
    <n v="1"/>
    <n v="1340.99"/>
    <n v="0"/>
    <n v="1340.99"/>
    <n v="530.35"/>
    <s v="Cash on Delivery"/>
    <s v="2024-12"/>
    <s v="No discount"/>
    <n v="0.3954913906889686"/>
    <s v="No"/>
  </r>
  <r>
    <s v="ORD-101507"/>
    <d v="2024-12-24T00:00:00"/>
    <s v="CUST-00183"/>
    <x v="2"/>
    <x v="1"/>
    <s v="Laptop"/>
    <s v="ThinkPro 14"/>
    <n v="1"/>
    <n v="55436.55"/>
    <n v="0.1"/>
    <n v="49892.9"/>
    <n v="3375.72"/>
    <s v="Credit Card"/>
    <s v="2024-12"/>
    <s v="1-10%"/>
    <n v="6.7659326276885076E-2"/>
    <s v="No"/>
  </r>
  <r>
    <s v="ORD-100099"/>
    <d v="2024-12-25T00:00:00"/>
    <s v="CUST-00152"/>
    <x v="2"/>
    <x v="2"/>
    <s v="Furniture"/>
    <s v="ErgoComfort Chair"/>
    <n v="3"/>
    <n v="9118.89"/>
    <n v="0"/>
    <n v="27356.67"/>
    <n v="9094.68"/>
    <s v="Debit Card"/>
    <s v="2024-12"/>
    <s v="No discount"/>
    <n v="0.33244835720136995"/>
    <s v="No"/>
  </r>
  <r>
    <s v="ORD-100244"/>
    <d v="2024-12-25T00:00:00"/>
    <s v="CUST-00104"/>
    <x v="3"/>
    <x v="3"/>
    <s v="Men"/>
    <s v="SlimFit Denim Jeans"/>
    <n v="1"/>
    <n v="2043.06"/>
    <n v="0.15"/>
    <n v="1736.6"/>
    <n v="367.03"/>
    <s v="UPI"/>
    <s v="2024-12"/>
    <s v="11-15%"/>
    <n v="0.21134976390648394"/>
    <s v="No"/>
  </r>
  <r>
    <s v="ORD-100586"/>
    <d v="2024-12-25T00:00:00"/>
    <s v="CUST-00218"/>
    <x v="0"/>
    <x v="0"/>
    <s v="Makeup"/>
    <s v="Matte Lipstick Set"/>
    <n v="1"/>
    <n v="997.22"/>
    <n v="0.25"/>
    <n v="747.91"/>
    <n v="202.18"/>
    <s v="UPI"/>
    <s v="2024-12"/>
    <s v="21%+"/>
    <n v="0.27032664358010994"/>
    <s v="No"/>
  </r>
  <r>
    <s v="ORD-100701"/>
    <d v="2024-12-25T00:00:00"/>
    <s v="CUST-00253"/>
    <x v="2"/>
    <x v="3"/>
    <s v="Women"/>
    <s v="Knit Winter Sweater"/>
    <n v="1"/>
    <n v="2230.64"/>
    <n v="0.05"/>
    <n v="2119.11"/>
    <n v="735"/>
    <s v="UPI"/>
    <s v="2024-12"/>
    <s v="1-10%"/>
    <n v="0.34684372212862946"/>
    <s v="No"/>
  </r>
  <r>
    <s v="ORD-101085"/>
    <d v="2024-12-25T00:00:00"/>
    <s v="CUST-00503"/>
    <x v="1"/>
    <x v="1"/>
    <s v="Laptop"/>
    <s v="AirBook Slim"/>
    <n v="3"/>
    <n v="79307.23"/>
    <n v="0.05"/>
    <n v="226025.61"/>
    <n v="20419.28"/>
    <s v="Credit Card"/>
    <s v="2024-12"/>
    <s v="1-10%"/>
    <n v="9.0340559195924749E-2"/>
    <s v="No"/>
  </r>
  <r>
    <s v="ORD-101158"/>
    <d v="2024-12-25T00:00:00"/>
    <s v="CUST-00399"/>
    <x v="1"/>
    <x v="1"/>
    <s v="Audio"/>
    <s v="SoundPods Pro"/>
    <n v="5"/>
    <n v="4920.07"/>
    <n v="0"/>
    <n v="24600.35"/>
    <n v="4471.53"/>
    <s v="UPI"/>
    <s v="2024-12"/>
    <s v="No discount"/>
    <n v="0.18176692608032"/>
    <s v="No"/>
  </r>
  <r>
    <s v="ORD-101863"/>
    <d v="2024-12-25T00:00:00"/>
    <s v="CUST-00166"/>
    <x v="3"/>
    <x v="2"/>
    <s v="Furniture"/>
    <s v="ErgoComfort Chair"/>
    <n v="1"/>
    <n v="8973.5400000000009"/>
    <n v="0"/>
    <n v="8973.5400000000009"/>
    <n v="2723.29"/>
    <s v="UPI"/>
    <s v="2024-12"/>
    <s v="No discount"/>
    <n v="0.30348000900425026"/>
    <s v="No"/>
  </r>
  <r>
    <s v="ORD-100074"/>
    <d v="2024-12-26T00:00:00"/>
    <s v="CUST-00195"/>
    <x v="1"/>
    <x v="2"/>
    <s v="Furniture"/>
    <s v="Oakwood Study Desk"/>
    <n v="4"/>
    <n v="13431.66"/>
    <n v="0.15"/>
    <n v="45667.64"/>
    <n v="8664.74"/>
    <s v="UPI"/>
    <s v="2024-12"/>
    <s v="11-15%"/>
    <n v="0.18973478813444267"/>
    <s v="No"/>
  </r>
  <r>
    <s v="ORD-100748"/>
    <d v="2024-12-26T00:00:00"/>
    <s v="CUST-00437"/>
    <x v="3"/>
    <x v="1"/>
    <s v="Laptop"/>
    <s v="AirBook Slim"/>
    <n v="1"/>
    <n v="80573.59"/>
    <n v="0.2"/>
    <n v="64458.87"/>
    <n v="-2455.0500000000002"/>
    <s v="UPI"/>
    <s v="2024-12"/>
    <s v="16-20%"/>
    <n v="-3.8087077852900615E-2"/>
    <s v="Yes"/>
  </r>
  <r>
    <s v="ORD-101948"/>
    <d v="2024-12-26T00:00:00"/>
    <s v="CUST-00360"/>
    <x v="2"/>
    <x v="1"/>
    <s v="Laptop"/>
    <s v="AirBook Slim"/>
    <n v="1"/>
    <n v="79565.08"/>
    <n v="0.1"/>
    <n v="71608.570000000007"/>
    <n v="7251.93"/>
    <s v="Cash on Delivery"/>
    <s v="2024-12"/>
    <s v="1-10%"/>
    <n v="0.10127181704647921"/>
    <s v="No"/>
  </r>
  <r>
    <s v="ORD-100122"/>
    <d v="2024-12-27T00:00:00"/>
    <s v="CUST-00446"/>
    <x v="1"/>
    <x v="1"/>
    <s v="Mobile"/>
    <s v="Pixel Aura 12"/>
    <n v="2"/>
    <n v="33337.64"/>
    <n v="0.05"/>
    <n v="63341.52"/>
    <n v="7384.94"/>
    <s v="UPI"/>
    <s v="2024-12"/>
    <s v="1-10%"/>
    <n v="0.11658924509547608"/>
    <s v="No"/>
  </r>
  <r>
    <s v="ORD-101046"/>
    <d v="2024-12-27T00:00:00"/>
    <s v="CUST-00473"/>
    <x v="1"/>
    <x v="2"/>
    <s v="Decor"/>
    <s v="LED Wall Lamp"/>
    <n v="2"/>
    <n v="1048.8599999999999"/>
    <n v="0.05"/>
    <n v="1992.83"/>
    <n v="493.67"/>
    <s v="UPI"/>
    <s v="2024-12"/>
    <s v="1-10%"/>
    <n v="0.24772308726785527"/>
    <s v="No"/>
  </r>
  <r>
    <s v="ORD-101895"/>
    <d v="2024-12-27T00:00:00"/>
    <s v="CUST-00439"/>
    <x v="3"/>
    <x v="4"/>
    <s v="Outdoor"/>
    <s v="AllWeather Tent 4P"/>
    <n v="2"/>
    <n v="11808.01"/>
    <n v="0.2"/>
    <n v="18892.82"/>
    <n v="2396.08"/>
    <s v="UPI"/>
    <s v="2024-12"/>
    <s v="16-20%"/>
    <n v="0.1268248996179501"/>
    <s v="No"/>
  </r>
  <r>
    <s v="ORD-101107"/>
    <d v="2024-12-28T00:00:00"/>
    <s v="CUST-00156"/>
    <x v="2"/>
    <x v="1"/>
    <s v="Mobile"/>
    <s v="Galaxy Nova X5"/>
    <n v="1"/>
    <n v="24441.96"/>
    <n v="0.1"/>
    <n v="21997.759999999998"/>
    <n v="1306.32"/>
    <s v="Credit Card"/>
    <s v="2024-12"/>
    <s v="1-10%"/>
    <n v="5.9384228212327077E-2"/>
    <s v="No"/>
  </r>
  <r>
    <s v="ORD-101436"/>
    <d v="2024-12-28T00:00:00"/>
    <s v="CUST-00567"/>
    <x v="2"/>
    <x v="1"/>
    <s v="Audio"/>
    <s v="SoundPods Pro"/>
    <n v="3"/>
    <n v="4768.33"/>
    <n v="0"/>
    <n v="14304.99"/>
    <n v="2018.9"/>
    <s v="UPI"/>
    <s v="2024-12"/>
    <s v="No discount"/>
    <n v="0.14113256982353711"/>
    <s v="No"/>
  </r>
  <r>
    <s v="ORD-101508"/>
    <d v="2024-12-28T00:00:00"/>
    <s v="CUST-00097"/>
    <x v="3"/>
    <x v="1"/>
    <s v="Audio"/>
    <s v="SoundPods Pro"/>
    <n v="2"/>
    <n v="5096.95"/>
    <n v="0.05"/>
    <n v="9684.2000000000007"/>
    <n v="1435.76"/>
    <s v="Debit Card"/>
    <s v="2024-12"/>
    <s v="1-10%"/>
    <n v="0.14825798723694264"/>
    <s v="No"/>
  </r>
  <r>
    <s v="ORD-100952"/>
    <d v="2024-12-29T00:00:00"/>
    <s v="CUST-00591"/>
    <x v="1"/>
    <x v="1"/>
    <s v="Mobile"/>
    <s v="Galaxy Nova X5"/>
    <n v="1"/>
    <n v="25887.9"/>
    <n v="0"/>
    <n v="25887.9"/>
    <n v="4834.57"/>
    <s v="Credit Card"/>
    <s v="2024-12"/>
    <s v="No discount"/>
    <n v="0.18675018058629705"/>
    <s v="No"/>
  </r>
  <r>
    <s v="ORD-101207"/>
    <d v="2024-12-29T00:00:00"/>
    <s v="CUST-00539"/>
    <x v="0"/>
    <x v="2"/>
    <s v="Furniture"/>
    <s v="ErgoComfort Chair"/>
    <n v="2"/>
    <n v="9316.6299999999992"/>
    <n v="0"/>
    <n v="18633.259999999998"/>
    <n v="5759.64"/>
    <s v="UPI"/>
    <s v="2024-12"/>
    <s v="No discount"/>
    <n v="0.30910533100488058"/>
    <s v="No"/>
  </r>
  <r>
    <s v="ORD-101610"/>
    <d v="2024-12-29T00:00:00"/>
    <s v="CUST-00053"/>
    <x v="0"/>
    <x v="1"/>
    <s v="Audio"/>
    <s v="BassBoom Speaker"/>
    <n v="2"/>
    <n v="8590.07"/>
    <n v="0.1"/>
    <n v="15462.13"/>
    <n v="1313.31"/>
    <s v="Debit Card"/>
    <s v="2024-12"/>
    <s v="1-10%"/>
    <n v="8.4937198173860917E-2"/>
    <s v="No"/>
  </r>
  <r>
    <s v="ORD-101462"/>
    <d v="2024-12-30T00:00:00"/>
    <s v="CUST-00118"/>
    <x v="1"/>
    <x v="1"/>
    <s v="Laptop"/>
    <s v="AirBook Slim"/>
    <n v="2"/>
    <n v="78062.87"/>
    <n v="0.2"/>
    <n v="124900.59"/>
    <n v="-10600.68"/>
    <s v="UPI"/>
    <s v="2024-12"/>
    <s v="16-20%"/>
    <n v="-8.4872937749933777E-2"/>
    <s v="Yes"/>
  </r>
  <r>
    <s v="ORD-101563"/>
    <d v="2024-12-30T00:00:00"/>
    <s v="CUST-00138"/>
    <x v="2"/>
    <x v="1"/>
    <s v="Mobile"/>
    <s v="iPhone Zeta"/>
    <n v="1"/>
    <n v="68350.58"/>
    <n v="0"/>
    <n v="68350.58"/>
    <n v="10481.469999999999"/>
    <s v="UPI"/>
    <s v="2024-12"/>
    <s v="No discount"/>
    <n v="0.15334866214741702"/>
    <s v="No"/>
  </r>
  <r>
    <s v="ORD-101603"/>
    <d v="2024-12-30T00:00:00"/>
    <s v="CUST-00263"/>
    <x v="0"/>
    <x v="4"/>
    <s v="Outdoor"/>
    <s v="TrailHike Backpack 60L"/>
    <n v="4"/>
    <n v="3441.71"/>
    <n v="0"/>
    <n v="13766.84"/>
    <n v="5382.5"/>
    <s v="Credit Card"/>
    <s v="2024-12"/>
    <s v="No discount"/>
    <n v="0.39097570684340049"/>
    <s v="No"/>
  </r>
  <r>
    <s v="ORD-101771"/>
    <d v="2024-12-30T00:00:00"/>
    <s v="CUST-00461"/>
    <x v="2"/>
    <x v="1"/>
    <s v="Audio"/>
    <s v="SoundPods Pro"/>
    <n v="2"/>
    <n v="4790.88"/>
    <n v="0"/>
    <n v="9581.76"/>
    <n v="1648.66"/>
    <s v="UPI"/>
    <s v="2024-12"/>
    <s v="No discount"/>
    <n v="0.17206233510336305"/>
    <s v="No"/>
  </r>
  <r>
    <s v="ORD-101941"/>
    <d v="2024-12-30T00:00:00"/>
    <s v="CUST-00107"/>
    <x v="0"/>
    <x v="3"/>
    <s v="Men"/>
    <s v="SlimFit Denim Jeans"/>
    <n v="2"/>
    <n v="1983.45"/>
    <n v="0"/>
    <n v="3966.9"/>
    <n v="1581.3"/>
    <s v="Debit Card"/>
    <s v="2024-12"/>
    <s v="No discount"/>
    <n v="0.39862361037586025"/>
    <s v="No"/>
  </r>
  <r>
    <s v="ORD-101028"/>
    <d v="2024-12-31T00:00:00"/>
    <s v="CUST-00155"/>
    <x v="2"/>
    <x v="1"/>
    <s v="Audio"/>
    <s v="SoundPods Pro"/>
    <n v="3"/>
    <n v="4753.38"/>
    <n v="0"/>
    <n v="14260.14"/>
    <n v="2980.08"/>
    <s v="Net Banking"/>
    <s v="2024-12"/>
    <s v="No discount"/>
    <n v="0.20897971548666422"/>
    <s v="No"/>
  </r>
  <r>
    <s v="ORD-101139"/>
    <d v="2024-12-31T00:00:00"/>
    <s v="CUST-00090"/>
    <x v="0"/>
    <x v="4"/>
    <s v="Fitness"/>
    <s v="ProYoga Mat"/>
    <n v="5"/>
    <n v="1257.1199999999999"/>
    <n v="0"/>
    <n v="6285.6"/>
    <n v="2204.23"/>
    <s v="UPI"/>
    <s v="2024-12"/>
    <s v="No discount"/>
    <n v="0.35067933053328243"/>
    <s v="No"/>
  </r>
  <r>
    <s v="ORD-101179"/>
    <d v="2024-12-31T00:00:00"/>
    <s v="CUST-00484"/>
    <x v="0"/>
    <x v="4"/>
    <s v="Fitness"/>
    <s v="ProYoga Mat"/>
    <n v="1"/>
    <n v="1333.31"/>
    <n v="0.05"/>
    <n v="1266.6400000000001"/>
    <n v="383.28"/>
    <s v="Credit Card"/>
    <s v="2024-12"/>
    <s v="1-10%"/>
    <n v="0.30259584412303414"/>
    <s v="No"/>
  </r>
  <r>
    <s v="ORD-101429"/>
    <d v="2024-12-31T00:00:00"/>
    <s v="CUST-00450"/>
    <x v="3"/>
    <x v="4"/>
    <s v="Outdoor"/>
    <s v="TrailHike Backpack 60L"/>
    <n v="2"/>
    <n v="3437.39"/>
    <n v="0.05"/>
    <n v="6531.04"/>
    <n v="1943.4"/>
    <s v="UPI"/>
    <s v="2024-12"/>
    <s v="1-10%"/>
    <n v="0.29756363458193491"/>
    <s v="No"/>
  </r>
  <r>
    <s v="ORD-101617"/>
    <d v="2024-12-31T00:00:00"/>
    <s v="CUST-00122"/>
    <x v="0"/>
    <x v="4"/>
    <s v="Outdoor"/>
    <s v="AllWeather Tent 4P"/>
    <n v="3"/>
    <n v="12198.64"/>
    <n v="0"/>
    <n v="36595.919999999998"/>
    <n v="12500.94"/>
    <s v="Credit Card"/>
    <s v="2024-12"/>
    <s v="No discount"/>
    <n v="0.34159381701566738"/>
    <s v="No"/>
  </r>
  <r>
    <s v="ORD-100755"/>
    <d v="2025-01-01T00:00:00"/>
    <s v="CUST-00228"/>
    <x v="3"/>
    <x v="4"/>
    <s v="Fitness"/>
    <s v="ProYoga Mat"/>
    <n v="1"/>
    <n v="1353.64"/>
    <n v="0.15"/>
    <n v="1150.5899999999999"/>
    <n v="199.97"/>
    <s v="Debit Card"/>
    <s v="2025-01"/>
    <s v="11-15%"/>
    <n v="0.17379779069868503"/>
    <s v="No"/>
  </r>
  <r>
    <s v="ORD-100795"/>
    <d v="2025-01-01T00:00:00"/>
    <s v="CUST-00438"/>
    <x v="1"/>
    <x v="4"/>
    <s v="Fitness"/>
    <s v="Adjustable Dumbbell 24kg"/>
    <n v="3"/>
    <n v="9595.08"/>
    <n v="0.2"/>
    <n v="23028.19"/>
    <n v="3503.18"/>
    <s v="Credit Card"/>
    <s v="2025-01"/>
    <s v="16-20%"/>
    <n v="0.15212572069276831"/>
    <s v="No"/>
  </r>
  <r>
    <s v="ORD-101518"/>
    <d v="2025-01-01T00:00:00"/>
    <s v="CUST-00100"/>
    <x v="1"/>
    <x v="2"/>
    <s v="Appliances"/>
    <s v="ColdBrew Coffee Maker"/>
    <n v="2"/>
    <n v="6558.9"/>
    <n v="0.05"/>
    <n v="12461.91"/>
    <n v="3764.18"/>
    <s v="Credit Card"/>
    <s v="2025-01"/>
    <s v="1-10%"/>
    <n v="0.3020548214519283"/>
    <s v="No"/>
  </r>
  <r>
    <s v="ORD-101883"/>
    <d v="2025-01-01T00:00:00"/>
    <s v="CUST-00155"/>
    <x v="3"/>
    <x v="2"/>
    <s v="Furniture"/>
    <s v="Oakwood Study Desk"/>
    <n v="1"/>
    <n v="12552.99"/>
    <n v="0"/>
    <n v="12552.99"/>
    <n v="3685.72"/>
    <s v="Cash on Delivery"/>
    <s v="2025-01"/>
    <s v="No discount"/>
    <n v="0.2936129161259588"/>
    <s v="No"/>
  </r>
  <r>
    <s v="ORD-101930"/>
    <d v="2025-01-01T00:00:00"/>
    <s v="CUST-00092"/>
    <x v="3"/>
    <x v="2"/>
    <s v="Appliances"/>
    <s v="ColdBrew Coffee Maker"/>
    <n v="3"/>
    <n v="6306.18"/>
    <n v="0.25"/>
    <n v="14188.91"/>
    <n v="397.17"/>
    <s v="Debit Card"/>
    <s v="2025-01"/>
    <s v="21%+"/>
    <n v="2.7991579339075378E-2"/>
    <s v="No"/>
  </r>
  <r>
    <s v="ORD-101966"/>
    <d v="2025-01-01T00:00:00"/>
    <s v="CUST-00226"/>
    <x v="0"/>
    <x v="1"/>
    <s v="Audio"/>
    <s v="SoundPods Pro"/>
    <n v="2"/>
    <n v="4788.24"/>
    <n v="0.05"/>
    <n v="9097.66"/>
    <n v="1234.96"/>
    <s v="UPI"/>
    <s v="2025-01"/>
    <s v="1-10%"/>
    <n v="0.13574479591455385"/>
    <s v="No"/>
  </r>
  <r>
    <s v="ORD-100081"/>
    <d v="2025-01-02T00:00:00"/>
    <s v="CUST-00283"/>
    <x v="0"/>
    <x v="1"/>
    <s v="Audio"/>
    <s v="BassBoom Speaker"/>
    <n v="1"/>
    <n v="8761.5300000000007"/>
    <n v="0.05"/>
    <n v="8323.4500000000007"/>
    <n v="928.19"/>
    <s v="UPI"/>
    <s v="2025-01"/>
    <s v="1-10%"/>
    <n v="0.11151505685743292"/>
    <s v="No"/>
  </r>
  <r>
    <s v="ORD-100430"/>
    <d v="2025-01-02T00:00:00"/>
    <s v="CUST-00289"/>
    <x v="0"/>
    <x v="1"/>
    <s v="Audio"/>
    <s v="BassBoom Speaker"/>
    <n v="3"/>
    <n v="8605.2099999999991"/>
    <n v="0.2"/>
    <n v="20652.5"/>
    <n v="-369.97"/>
    <s v="UPI"/>
    <s v="2025-01"/>
    <s v="16-20%"/>
    <n v="-1.7914053988621233E-2"/>
    <s v="Yes"/>
  </r>
  <r>
    <s v="ORD-101388"/>
    <d v="2025-01-02T00:00:00"/>
    <s v="CUST-00250"/>
    <x v="0"/>
    <x v="2"/>
    <s v="Appliances"/>
    <s v="AirFryer Deluxe"/>
    <n v="4"/>
    <n v="7868.46"/>
    <n v="0.4"/>
    <n v="18884.3"/>
    <n v="-2280.66"/>
    <s v="Cash on Delivery"/>
    <s v="2025-01"/>
    <s v="21%+"/>
    <n v="-0.12077016357503323"/>
    <s v="Yes"/>
  </r>
  <r>
    <s v="ORD-101858"/>
    <d v="2025-01-02T00:00:00"/>
    <s v="CUST-00290"/>
    <x v="2"/>
    <x v="2"/>
    <s v="Decor"/>
    <s v="Ceramic Vase Set"/>
    <n v="4"/>
    <n v="1505.42"/>
    <n v="0.05"/>
    <n v="5720.6"/>
    <n v="1652.58"/>
    <s v="Credit Card"/>
    <s v="2025-01"/>
    <s v="1-10%"/>
    <n v="0.28888228507499208"/>
    <s v="No"/>
  </r>
  <r>
    <s v="ORD-100220"/>
    <d v="2025-01-03T00:00:00"/>
    <s v="CUST-00581"/>
    <x v="2"/>
    <x v="1"/>
    <s v="Laptop"/>
    <s v="AirBook Slim"/>
    <n v="1"/>
    <n v="80676.33"/>
    <n v="0"/>
    <n v="80676.33"/>
    <n v="15016.46"/>
    <s v="Credit Card"/>
    <s v="2025-01"/>
    <s v="No discount"/>
    <n v="0.18613216540712746"/>
    <s v="No"/>
  </r>
  <r>
    <s v="ORD-100491"/>
    <d v="2025-01-04T00:00:00"/>
    <s v="CUST-00365"/>
    <x v="3"/>
    <x v="1"/>
    <s v="Laptop"/>
    <s v="ThinkPro 14"/>
    <n v="2"/>
    <n v="54784.75"/>
    <n v="0"/>
    <n v="109569.5"/>
    <n v="21416.74"/>
    <s v="UPI"/>
    <s v="2025-01"/>
    <s v="No discount"/>
    <n v="0.19546260592591919"/>
    <s v="No"/>
  </r>
  <r>
    <s v="ORD-101363"/>
    <d v="2025-01-04T00:00:00"/>
    <s v="CUST-00322"/>
    <x v="0"/>
    <x v="3"/>
    <s v="Women"/>
    <s v="Knit Winter Sweater"/>
    <n v="1"/>
    <n v="2203.83"/>
    <n v="0.3"/>
    <n v="1542.68"/>
    <n v="122.99"/>
    <s v="UPI"/>
    <s v="2025-01"/>
    <s v="21%+"/>
    <n v="7.9724894339720478E-2"/>
    <s v="No"/>
  </r>
  <r>
    <s v="ORD-101412"/>
    <d v="2025-01-05T00:00:00"/>
    <s v="CUST-00311"/>
    <x v="3"/>
    <x v="4"/>
    <s v="Outdoor"/>
    <s v="AllWeather Tent 4P"/>
    <n v="4"/>
    <n v="11447.74"/>
    <n v="0.2"/>
    <n v="36632.769999999997"/>
    <n v="4714.9799999999996"/>
    <s v="UPI"/>
    <s v="2025-01"/>
    <s v="16-20%"/>
    <n v="0.12870934957962502"/>
    <s v="No"/>
  </r>
  <r>
    <s v="ORD-101601"/>
    <d v="2025-01-05T00:00:00"/>
    <s v="CUST-00423"/>
    <x v="1"/>
    <x v="0"/>
    <s v="Makeup"/>
    <s v="HD Foundation Kit"/>
    <n v="3"/>
    <n v="1552.4"/>
    <n v="0.05"/>
    <n v="4424.34"/>
    <n v="2097.42"/>
    <s v="Credit Card"/>
    <s v="2025-01"/>
    <s v="1-10%"/>
    <n v="0.47406392817911824"/>
    <s v="No"/>
  </r>
  <r>
    <s v="ORD-101860"/>
    <d v="2025-01-05T00:00:00"/>
    <s v="CUST-00027"/>
    <x v="2"/>
    <x v="0"/>
    <s v="Makeup"/>
    <s v="Matte Lipstick Set"/>
    <n v="3"/>
    <n v="1012.8"/>
    <n v="0"/>
    <n v="3038.4"/>
    <n v="1570.59"/>
    <s v="UPI"/>
    <s v="2025-01"/>
    <s v="No discount"/>
    <n v="0.51691350710900474"/>
    <s v="No"/>
  </r>
  <r>
    <s v="ORD-100462"/>
    <d v="2025-01-07T00:00:00"/>
    <s v="CUST-00446"/>
    <x v="0"/>
    <x v="1"/>
    <s v="Mobile"/>
    <s v="iPhone Zeta"/>
    <n v="3"/>
    <n v="69981.600000000006"/>
    <n v="0.25"/>
    <n v="157458.6"/>
    <n v="-21212.7"/>
    <s v="UPI"/>
    <s v="2025-01"/>
    <s v="21%+"/>
    <n v="-0.13471922143344345"/>
    <s v="Yes"/>
  </r>
  <r>
    <s v="ORD-100561"/>
    <d v="2025-01-07T00:00:00"/>
    <s v="CUST-00142"/>
    <x v="1"/>
    <x v="1"/>
    <s v="Mobile"/>
    <s v="Pixel Aura 12"/>
    <n v="1"/>
    <n v="32806.01"/>
    <n v="0"/>
    <n v="32806.01"/>
    <n v="5920.56"/>
    <s v="UPI"/>
    <s v="2025-01"/>
    <s v="No discount"/>
    <n v="0.18047180989093156"/>
    <s v="No"/>
  </r>
  <r>
    <s v="ORD-101989"/>
    <d v="2025-01-07T00:00:00"/>
    <s v="CUST-00484"/>
    <x v="1"/>
    <x v="2"/>
    <s v="Furniture"/>
    <s v="Oakwood Study Desk"/>
    <n v="3"/>
    <n v="12453.7"/>
    <n v="0.1"/>
    <n v="33624.99"/>
    <n v="6596.77"/>
    <s v="UPI"/>
    <s v="2025-01"/>
    <s v="1-10%"/>
    <n v="0.19618652674692247"/>
    <s v="No"/>
  </r>
  <r>
    <s v="ORD-101417"/>
    <d v="2025-01-08T00:00:00"/>
    <s v="CUST-00231"/>
    <x v="3"/>
    <x v="0"/>
    <s v="Makeup"/>
    <s v="Matte Lipstick Set"/>
    <n v="3"/>
    <n v="1045.19"/>
    <n v="0.15"/>
    <n v="2665.23"/>
    <n v="959.59"/>
    <s v="Cash on Delivery"/>
    <s v="2025-01"/>
    <s v="11-15%"/>
    <n v="0.3600402216694244"/>
    <s v="No"/>
  </r>
  <r>
    <s v="ORD-101716"/>
    <d v="2025-01-08T00:00:00"/>
    <s v="CUST-00003"/>
    <x v="2"/>
    <x v="3"/>
    <s v="Footwear"/>
    <s v="RunFlex Sneakers"/>
    <n v="2"/>
    <n v="2969.7"/>
    <n v="0.2"/>
    <n v="4751.5200000000004"/>
    <n v="762.79"/>
    <s v="Credit Card"/>
    <s v="2025-01"/>
    <s v="16-20%"/>
    <n v="0.16053599690204395"/>
    <s v="No"/>
  </r>
  <r>
    <s v="ORD-101926"/>
    <d v="2025-01-08T00:00:00"/>
    <s v="CUST-00470"/>
    <x v="0"/>
    <x v="3"/>
    <s v="Women"/>
    <s v="Knit Winter Sweater"/>
    <n v="1"/>
    <n v="2169.6799999999998"/>
    <n v="0.1"/>
    <n v="1952.71"/>
    <n v="542.69000000000005"/>
    <s v="UPI"/>
    <s v="2025-01"/>
    <s v="1-10%"/>
    <n v="0.27791633166215157"/>
    <s v="No"/>
  </r>
  <r>
    <s v="ORD-100077"/>
    <d v="2025-01-09T00:00:00"/>
    <s v="CUST-00405"/>
    <x v="2"/>
    <x v="2"/>
    <s v="Appliances"/>
    <s v="ColdBrew Coffee Maker"/>
    <n v="3"/>
    <n v="6222.99"/>
    <n v="0.05"/>
    <n v="17735.52"/>
    <n v="5193.53"/>
    <s v="Credit Card"/>
    <s v="2025-01"/>
    <s v="1-10%"/>
    <n v="0.29283212445984103"/>
    <s v="No"/>
  </r>
  <r>
    <s v="ORD-101198"/>
    <d v="2025-01-09T00:00:00"/>
    <s v="CUST-00175"/>
    <x v="2"/>
    <x v="1"/>
    <s v="Laptop"/>
    <s v="AirBook Slim"/>
    <n v="1"/>
    <n v="79496.710000000006"/>
    <n v="0.05"/>
    <n v="75521.87"/>
    <n v="7655.21"/>
    <s v="UPI"/>
    <s v="2025-01"/>
    <s v="1-10%"/>
    <n v="0.10136414789517262"/>
    <s v="No"/>
  </r>
  <r>
    <s v="ORD-101246"/>
    <d v="2025-01-09T00:00:00"/>
    <s v="CUST-00344"/>
    <x v="1"/>
    <x v="4"/>
    <s v="Fitness"/>
    <s v="ProYoga Mat"/>
    <n v="2"/>
    <n v="1263.1400000000001"/>
    <n v="0"/>
    <n v="2526.2800000000002"/>
    <n v="929.53"/>
    <s v="UPI"/>
    <s v="2025-01"/>
    <s v="No discount"/>
    <n v="0.36794417087575404"/>
    <s v="No"/>
  </r>
  <r>
    <s v="ORD-100883"/>
    <d v="2025-01-10T00:00:00"/>
    <s v="CUST-00413"/>
    <x v="2"/>
    <x v="2"/>
    <s v="Furniture"/>
    <s v="Oakwood Study Desk"/>
    <n v="1"/>
    <n v="13518.53"/>
    <n v="0.1"/>
    <n v="12166.68"/>
    <n v="3002.97"/>
    <s v="Cash on Delivery"/>
    <s v="2025-01"/>
    <s v="1-10%"/>
    <n v="0.24681918156802019"/>
    <s v="No"/>
  </r>
  <r>
    <s v="ORD-101411"/>
    <d v="2025-01-10T00:00:00"/>
    <s v="CUST-00378"/>
    <x v="3"/>
    <x v="4"/>
    <s v="Fitness"/>
    <s v="ProYoga Mat"/>
    <n v="2"/>
    <n v="1260.42"/>
    <n v="0.15"/>
    <n v="2142.71"/>
    <n v="379.22"/>
    <s v="Credit Card"/>
    <s v="2025-01"/>
    <s v="11-15%"/>
    <n v="0.17698148606204295"/>
    <s v="No"/>
  </r>
  <r>
    <s v="ORD-100090"/>
    <d v="2025-01-11T00:00:00"/>
    <s v="CUST-00286"/>
    <x v="2"/>
    <x v="1"/>
    <s v="Laptop"/>
    <s v="AirBook Slim"/>
    <n v="1"/>
    <n v="76729.67"/>
    <n v="0.1"/>
    <n v="69056.7"/>
    <n v="5354.58"/>
    <s v="UPI"/>
    <s v="2025-01"/>
    <s v="1-10%"/>
    <n v="7.7538891954003014E-2"/>
    <s v="No"/>
  </r>
  <r>
    <s v="ORD-100502"/>
    <d v="2025-01-11T00:00:00"/>
    <s v="CUST-00504"/>
    <x v="0"/>
    <x v="4"/>
    <s v="Fitness"/>
    <s v="Adjustable Dumbbell 24kg"/>
    <n v="1"/>
    <n v="9687.82"/>
    <n v="0.2"/>
    <n v="7750.26"/>
    <n v="895.69"/>
    <s v="Credit Card"/>
    <s v="2025-01"/>
    <s v="16-20%"/>
    <n v="0.11556902607138342"/>
    <s v="No"/>
  </r>
  <r>
    <s v="ORD-101204"/>
    <d v="2025-01-12T00:00:00"/>
    <s v="CUST-00192"/>
    <x v="0"/>
    <x v="4"/>
    <s v="Outdoor"/>
    <s v="AllWeather Tent 4P"/>
    <n v="1"/>
    <n v="11847.41"/>
    <n v="0.25"/>
    <n v="8885.56"/>
    <n v="673.07"/>
    <s v="UPI"/>
    <s v="2025-01"/>
    <s v="21%+"/>
    <n v="7.5748742904217639E-2"/>
    <s v="No"/>
  </r>
  <r>
    <s v="ORD-101270"/>
    <d v="2025-01-12T00:00:00"/>
    <s v="CUST-00072"/>
    <x v="1"/>
    <x v="2"/>
    <s v="Appliances"/>
    <s v="ColdBrew Coffee Maker"/>
    <n v="1"/>
    <n v="6412.1"/>
    <n v="0"/>
    <n v="6412.1"/>
    <n v="2123.85"/>
    <s v="UPI"/>
    <s v="2025-01"/>
    <s v="No discount"/>
    <n v="0.33122533959233319"/>
    <s v="No"/>
  </r>
  <r>
    <s v="ORD-101854"/>
    <d v="2025-01-12T00:00:00"/>
    <s v="CUST-00302"/>
    <x v="2"/>
    <x v="2"/>
    <s v="Furniture"/>
    <s v="Oakwood Study Desk"/>
    <n v="1"/>
    <n v="13455.37"/>
    <n v="0.1"/>
    <n v="12109.83"/>
    <n v="2408.96"/>
    <s v="Credit Card"/>
    <s v="2025-01"/>
    <s v="1-10%"/>
    <n v="0.19892599648384826"/>
    <s v="No"/>
  </r>
  <r>
    <s v="ORD-100021"/>
    <d v="2025-01-13T00:00:00"/>
    <s v="CUST-00449"/>
    <x v="3"/>
    <x v="4"/>
    <s v="Outdoor"/>
    <s v="TrailHike Backpack 60L"/>
    <n v="1"/>
    <n v="3521.04"/>
    <n v="0.1"/>
    <n v="3168.94"/>
    <n v="738.36"/>
    <s v="Credit Card"/>
    <s v="2025-01"/>
    <s v="1-10%"/>
    <n v="0.2329990469999432"/>
    <s v="No"/>
  </r>
  <r>
    <s v="ORD-101032"/>
    <d v="2025-01-13T00:00:00"/>
    <s v="CUST-00139"/>
    <x v="0"/>
    <x v="4"/>
    <s v="Fitness"/>
    <s v="Adjustable Dumbbell 24kg"/>
    <n v="4"/>
    <n v="10445.56"/>
    <n v="0.3"/>
    <n v="29247.57"/>
    <n v="1179.92"/>
    <s v="Cash on Delivery"/>
    <s v="2025-01"/>
    <s v="21%+"/>
    <n v="4.0342496829651152E-2"/>
    <s v="No"/>
  </r>
  <r>
    <s v="ORD-101334"/>
    <d v="2025-01-13T00:00:00"/>
    <s v="CUST-00415"/>
    <x v="1"/>
    <x v="0"/>
    <s v="Makeup"/>
    <s v="HD Foundation Kit"/>
    <n v="2"/>
    <n v="1452.87"/>
    <n v="0.3"/>
    <n v="2034.02"/>
    <n v="418.02"/>
    <s v="Credit Card"/>
    <s v="2025-01"/>
    <s v="21%+"/>
    <n v="0.20551420340016321"/>
    <s v="No"/>
  </r>
  <r>
    <s v="ORD-101916"/>
    <d v="2025-01-13T00:00:00"/>
    <s v="CUST-00246"/>
    <x v="3"/>
    <x v="3"/>
    <s v="Women"/>
    <s v="Floral Summer Dress"/>
    <n v="1"/>
    <n v="1721.1"/>
    <n v="0.1"/>
    <n v="1548.99"/>
    <n v="453.58"/>
    <s v="Debit Card"/>
    <s v="2025-01"/>
    <s v="1-10%"/>
    <n v="0.29282306535226177"/>
    <s v="No"/>
  </r>
  <r>
    <s v="ORD-100134"/>
    <d v="2025-01-14T00:00:00"/>
    <s v="CUST-00109"/>
    <x v="0"/>
    <x v="3"/>
    <s v="Women"/>
    <s v="Floral Summer Dress"/>
    <n v="1"/>
    <n v="1841.13"/>
    <n v="0.15"/>
    <n v="1564.96"/>
    <n v="432.5"/>
    <s v="UPI"/>
    <s v="2025-01"/>
    <s v="11-15%"/>
    <n v="0.27636489111542789"/>
    <s v="No"/>
  </r>
  <r>
    <s v="ORD-100920"/>
    <d v="2025-01-14T00:00:00"/>
    <s v="CUST-00399"/>
    <x v="3"/>
    <x v="1"/>
    <s v="Audio"/>
    <s v="BassBoom Speaker"/>
    <n v="4"/>
    <n v="8773.9699999999993"/>
    <n v="0.05"/>
    <n v="33341.089999999997"/>
    <n v="4269.1400000000003"/>
    <s v="UPI"/>
    <s v="2025-01"/>
    <s v="1-10%"/>
    <n v="0.1280444040671736"/>
    <s v="No"/>
  </r>
  <r>
    <s v="ORD-101742"/>
    <d v="2025-01-14T00:00:00"/>
    <s v="CUST-00506"/>
    <x v="3"/>
    <x v="0"/>
    <s v="Skincare"/>
    <s v="HydraBoost Moisturizer"/>
    <n v="3"/>
    <n v="1230.42"/>
    <n v="0.2"/>
    <n v="2953.01"/>
    <n v="920.9"/>
    <s v="Net Banking"/>
    <s v="2025-01"/>
    <s v="16-20%"/>
    <n v="0.31185129748967999"/>
    <s v="No"/>
  </r>
  <r>
    <s v="ORD-101973"/>
    <d v="2025-01-14T00:00:00"/>
    <s v="CUST-00478"/>
    <x v="2"/>
    <x v="1"/>
    <s v="Audio"/>
    <s v="SoundPods Pro"/>
    <n v="2"/>
    <n v="4867.8"/>
    <n v="0.15"/>
    <n v="8275.26"/>
    <n v="-105.88"/>
    <s v="UPI"/>
    <s v="2025-01"/>
    <s v="11-15%"/>
    <n v="-1.2794764152425421E-2"/>
    <s v="Yes"/>
  </r>
  <r>
    <s v="ORD-100869"/>
    <d v="2025-01-15T00:00:00"/>
    <s v="CUST-00170"/>
    <x v="1"/>
    <x v="4"/>
    <s v="Outdoor"/>
    <s v="TrailHike Backpack 60L"/>
    <n v="1"/>
    <n v="3427"/>
    <n v="0.05"/>
    <n v="3255.65"/>
    <n v="1159.8499999999999"/>
    <s v="Credit Card"/>
    <s v="2025-01"/>
    <s v="1-10%"/>
    <n v="0.35625758297114246"/>
    <s v="No"/>
  </r>
  <r>
    <s v="ORD-100256"/>
    <d v="2025-01-16T00:00:00"/>
    <s v="CUST-00311"/>
    <x v="1"/>
    <x v="4"/>
    <s v="Fitness"/>
    <s v="Adjustable Dumbbell 24kg"/>
    <n v="1"/>
    <n v="9830.51"/>
    <n v="0.2"/>
    <n v="7864.41"/>
    <n v="1014.56"/>
    <s v="Net Banking"/>
    <s v="2025-01"/>
    <s v="16-20%"/>
    <n v="0.12900649889820087"/>
    <s v="No"/>
  </r>
  <r>
    <s v="ORD-100260"/>
    <d v="2025-01-16T00:00:00"/>
    <s v="CUST-00457"/>
    <x v="2"/>
    <x v="1"/>
    <s v="Laptop"/>
    <s v="ThinkPro 14"/>
    <n v="1"/>
    <n v="55027.19"/>
    <n v="0.2"/>
    <n v="44021.75"/>
    <n v="-1724.21"/>
    <s v="UPI"/>
    <s v="2025-01"/>
    <s v="16-20%"/>
    <n v="-3.9167229835251893E-2"/>
    <s v="Yes"/>
  </r>
  <r>
    <s v="ORD-101366"/>
    <d v="2025-01-16T00:00:00"/>
    <s v="CUST-00047"/>
    <x v="3"/>
    <x v="4"/>
    <s v="Fitness"/>
    <s v="Adjustable Dumbbell 24kg"/>
    <n v="2"/>
    <n v="10415.209999999999"/>
    <n v="0.05"/>
    <n v="19788.900000000001"/>
    <n v="5756.96"/>
    <s v="Credit Card"/>
    <s v="2025-01"/>
    <s v="1-10%"/>
    <n v="0.29091864631182124"/>
    <s v="No"/>
  </r>
  <r>
    <s v="ORD-100395"/>
    <d v="2025-01-17T00:00:00"/>
    <s v="CUST-00397"/>
    <x v="1"/>
    <x v="0"/>
    <s v="Makeup"/>
    <s v="Matte Lipstick Set"/>
    <n v="2"/>
    <n v="951.66"/>
    <n v="0"/>
    <n v="1903.32"/>
    <n v="982.79"/>
    <s v="UPI"/>
    <s v="2025-01"/>
    <s v="No discount"/>
    <n v="0.51635563121282813"/>
    <s v="No"/>
  </r>
  <r>
    <s v="ORD-100948"/>
    <d v="2025-01-17T00:00:00"/>
    <s v="CUST-00448"/>
    <x v="2"/>
    <x v="3"/>
    <s v="Men"/>
    <s v="Oxford Casual Shirt"/>
    <n v="1"/>
    <n v="1337.72"/>
    <n v="0.15"/>
    <n v="1137.06"/>
    <n v="311.58999999999997"/>
    <s v="Cash on Delivery"/>
    <s v="2025-01"/>
    <s v="11-15%"/>
    <n v="0.27403127363551616"/>
    <s v="No"/>
  </r>
  <r>
    <s v="ORD-101092"/>
    <d v="2025-01-17T00:00:00"/>
    <s v="CUST-00490"/>
    <x v="1"/>
    <x v="4"/>
    <s v="Outdoor"/>
    <s v="TrailHike Backpack 60L"/>
    <n v="4"/>
    <n v="3366.39"/>
    <n v="0.2"/>
    <n v="10772.45"/>
    <n v="1324.58"/>
    <s v="Credit Card"/>
    <s v="2025-01"/>
    <s v="16-20%"/>
    <n v="0.12295995804111412"/>
    <s v="No"/>
  </r>
  <r>
    <s v="ORD-101475"/>
    <d v="2025-01-17T00:00:00"/>
    <s v="CUST-00424"/>
    <x v="2"/>
    <x v="4"/>
    <s v="Fitness"/>
    <s v="ProYoga Mat"/>
    <n v="1"/>
    <n v="1358.44"/>
    <n v="0.15"/>
    <n v="1154.67"/>
    <n v="254.55"/>
    <s v="UPI"/>
    <s v="2025-01"/>
    <s v="11-15%"/>
    <n v="0.22045259684585206"/>
    <s v="No"/>
  </r>
  <r>
    <s v="ORD-101566"/>
    <d v="2025-01-17T00:00:00"/>
    <s v="CUST-00508"/>
    <x v="3"/>
    <x v="1"/>
    <s v="Audio"/>
    <s v="BassBoom Speaker"/>
    <n v="1"/>
    <n v="8779.2099999999991"/>
    <n v="0.05"/>
    <n v="8340.25"/>
    <n v="1310.79"/>
    <s v="UPI"/>
    <s v="2025-01"/>
    <s v="1-10%"/>
    <n v="0.15716435358652317"/>
    <s v="No"/>
  </r>
  <r>
    <s v="ORD-101820"/>
    <d v="2025-01-17T00:00:00"/>
    <s v="CUST-00062"/>
    <x v="3"/>
    <x v="1"/>
    <s v="Laptop"/>
    <s v="ThinkPro 14"/>
    <n v="2"/>
    <n v="54673.47"/>
    <n v="0"/>
    <n v="109346.94"/>
    <n v="21000.14"/>
    <s v="Credit Card"/>
    <s v="2025-01"/>
    <s v="No discount"/>
    <n v="0.19205055029432008"/>
    <s v="No"/>
  </r>
  <r>
    <s v="ORD-100613"/>
    <d v="2025-01-18T00:00:00"/>
    <s v="CUST-00087"/>
    <x v="3"/>
    <x v="0"/>
    <s v="Skincare"/>
    <s v="Vitamin C Serum"/>
    <n v="1"/>
    <n v="931.65"/>
    <n v="0"/>
    <n v="931.65"/>
    <n v="504.65"/>
    <s v="Net Banking"/>
    <s v="2025-01"/>
    <s v="No discount"/>
    <n v="0.54167337519454728"/>
    <s v="No"/>
  </r>
  <r>
    <s v="ORD-100646"/>
    <d v="2025-01-18T00:00:00"/>
    <s v="CUST-00426"/>
    <x v="0"/>
    <x v="1"/>
    <s v="Laptop"/>
    <s v="ThinkPro 14"/>
    <n v="2"/>
    <n v="57287.68"/>
    <n v="0"/>
    <n v="114575.36"/>
    <n v="16078.87"/>
    <s v="Debit Card"/>
    <s v="2025-01"/>
    <s v="No discount"/>
    <n v="0.14033444887277685"/>
    <s v="No"/>
  </r>
  <r>
    <s v="ORD-100833"/>
    <d v="2025-01-18T00:00:00"/>
    <s v="CUST-00302"/>
    <x v="1"/>
    <x v="0"/>
    <s v="Makeup"/>
    <s v="HD Foundation Kit"/>
    <n v="1"/>
    <n v="1466.48"/>
    <n v="0.05"/>
    <n v="1393.16"/>
    <n v="633.16"/>
    <s v="UPI"/>
    <s v="2025-01"/>
    <s v="1-10%"/>
    <n v="0.45447759051365239"/>
    <s v="No"/>
  </r>
  <r>
    <s v="ORD-100886"/>
    <d v="2025-01-18T00:00:00"/>
    <s v="CUST-00253"/>
    <x v="1"/>
    <x v="3"/>
    <s v="Footwear"/>
    <s v="RunFlex Sneakers"/>
    <n v="1"/>
    <n v="3138.68"/>
    <n v="0.1"/>
    <n v="2824.81"/>
    <n v="921.84"/>
    <s v="UPI"/>
    <s v="2025-01"/>
    <s v="1-10%"/>
    <n v="0.3263369925764919"/>
    <s v="No"/>
  </r>
  <r>
    <s v="ORD-100896"/>
    <d v="2025-01-18T00:00:00"/>
    <s v="CUST-00164"/>
    <x v="2"/>
    <x v="3"/>
    <s v="Men"/>
    <s v="SlimFit Denim Jeans"/>
    <n v="1"/>
    <n v="1946.26"/>
    <n v="0"/>
    <n v="1946.26"/>
    <n v="771.24"/>
    <s v="UPI"/>
    <s v="2025-01"/>
    <s v="No discount"/>
    <n v="0.39626771346068873"/>
    <s v="No"/>
  </r>
  <r>
    <s v="ORD-101994"/>
    <d v="2025-01-18T00:00:00"/>
    <s v="CUST-00524"/>
    <x v="2"/>
    <x v="1"/>
    <s v="Laptop"/>
    <s v="ThinkPro 14"/>
    <n v="1"/>
    <n v="56534.22"/>
    <n v="0.05"/>
    <n v="53707.51"/>
    <n v="7370.59"/>
    <s v="Credit Card"/>
    <s v="2025-01"/>
    <s v="1-10%"/>
    <n v="0.13723574226397761"/>
    <s v="No"/>
  </r>
  <r>
    <s v="ORD-100645"/>
    <d v="2025-01-19T00:00:00"/>
    <s v="CUST-00493"/>
    <x v="3"/>
    <x v="4"/>
    <s v="Fitness"/>
    <s v="Adjustable Dumbbell 24kg"/>
    <n v="2"/>
    <n v="10225.629999999999"/>
    <n v="0"/>
    <n v="20451.259999999998"/>
    <n v="7374.38"/>
    <s v="Credit Card"/>
    <s v="2025-01"/>
    <s v="No discount"/>
    <n v="0.36058316211323904"/>
    <s v="No"/>
  </r>
  <r>
    <s v="ORD-101036"/>
    <d v="2025-01-19T00:00:00"/>
    <s v="CUST-00525"/>
    <x v="1"/>
    <x v="0"/>
    <s v="Skincare"/>
    <s v="Vitamin C Serum"/>
    <n v="1"/>
    <n v="896.31"/>
    <n v="0"/>
    <n v="896.31"/>
    <n v="484.97"/>
    <s v="UPI"/>
    <s v="2025-01"/>
    <s v="No discount"/>
    <n v="0.5410739587865806"/>
    <s v="No"/>
  </r>
  <r>
    <s v="ORD-101239"/>
    <d v="2025-01-20T00:00:00"/>
    <s v="CUST-00224"/>
    <x v="3"/>
    <x v="3"/>
    <s v="Women"/>
    <s v="Floral Summer Dress"/>
    <n v="3"/>
    <n v="1766.21"/>
    <n v="0.3"/>
    <n v="3709.04"/>
    <n v="268.60000000000002"/>
    <s v="Cash on Delivery"/>
    <s v="2025-01"/>
    <s v="21%+"/>
    <n v="7.2417660634557735E-2"/>
    <s v="No"/>
  </r>
  <r>
    <s v="ORD-100512"/>
    <d v="2025-01-21T00:00:00"/>
    <s v="CUST-00331"/>
    <x v="2"/>
    <x v="0"/>
    <s v="Makeup"/>
    <s v="Matte Lipstick Set"/>
    <n v="1"/>
    <n v="1005.8"/>
    <n v="0.2"/>
    <n v="804.64"/>
    <n v="283.32"/>
    <s v="Credit Card"/>
    <s v="2025-01"/>
    <s v="16-20%"/>
    <n v="0.35210777490554784"/>
    <s v="No"/>
  </r>
  <r>
    <s v="ORD-101005"/>
    <d v="2025-01-21T00:00:00"/>
    <s v="CUST-00025"/>
    <x v="1"/>
    <x v="0"/>
    <s v="Makeup"/>
    <s v="Matte Lipstick Set"/>
    <n v="1"/>
    <n v="1025.33"/>
    <n v="0"/>
    <n v="1025.33"/>
    <n v="546.95000000000005"/>
    <s v="UPI"/>
    <s v="2025-01"/>
    <s v="No discount"/>
    <n v="0.53343801507807254"/>
    <s v="No"/>
  </r>
  <r>
    <s v="ORD-101925"/>
    <d v="2025-01-21T00:00:00"/>
    <s v="CUST-00241"/>
    <x v="1"/>
    <x v="0"/>
    <s v="Makeup"/>
    <s v="HD Foundation Kit"/>
    <n v="3"/>
    <n v="1492.29"/>
    <n v="0.05"/>
    <n v="4253.03"/>
    <n v="2025.21"/>
    <s v="Debit Card"/>
    <s v="2025-01"/>
    <s v="1-10%"/>
    <n v="0.47618051130605715"/>
    <s v="No"/>
  </r>
  <r>
    <s v="ORD-100002"/>
    <d v="2025-01-22T00:00:00"/>
    <s v="CUST-00301"/>
    <x v="0"/>
    <x v="2"/>
    <s v="Furniture"/>
    <s v="Oakwood Study Desk"/>
    <n v="4"/>
    <n v="12469.61"/>
    <n v="0.05"/>
    <n v="47384.52"/>
    <n v="11383.53"/>
    <s v="Credit Card"/>
    <s v="2025-01"/>
    <s v="1-10%"/>
    <n v="0.24023731801018564"/>
    <s v="No"/>
  </r>
  <r>
    <s v="ORD-100684"/>
    <d v="2025-01-22T00:00:00"/>
    <s v="CUST-00274"/>
    <x v="2"/>
    <x v="3"/>
    <s v="Women"/>
    <s v="Knit Winter Sweater"/>
    <n v="1"/>
    <n v="2091.14"/>
    <n v="0"/>
    <n v="2091.14"/>
    <n v="880.55"/>
    <s v="UPI"/>
    <s v="2025-01"/>
    <s v="No discount"/>
    <n v="0.42108610614306075"/>
    <s v="No"/>
  </r>
  <r>
    <s v="ORD-100857"/>
    <d v="2025-01-23T00:00:00"/>
    <s v="CUST-00342"/>
    <x v="2"/>
    <x v="0"/>
    <s v="Skincare"/>
    <s v="Vitamin C Serum"/>
    <n v="4"/>
    <n v="883.69"/>
    <n v="0.1"/>
    <n v="3181.28"/>
    <n v="1410.57"/>
    <s v="Debit Card"/>
    <s v="2025-01"/>
    <s v="1-10%"/>
    <n v="0.44339699743499467"/>
    <s v="No"/>
  </r>
  <r>
    <s v="ORD-101354"/>
    <d v="2025-01-23T00:00:00"/>
    <s v="CUST-00031"/>
    <x v="3"/>
    <x v="1"/>
    <s v="Mobile"/>
    <s v="Galaxy Nova X5"/>
    <n v="1"/>
    <n v="23754.33"/>
    <n v="0"/>
    <n v="23754.33"/>
    <n v="3445.39"/>
    <s v="Credit Card"/>
    <s v="2025-01"/>
    <s v="No discount"/>
    <n v="0.14504260907379832"/>
    <s v="No"/>
  </r>
  <r>
    <s v="ORD-101357"/>
    <d v="2025-01-23T00:00:00"/>
    <s v="CUST-00077"/>
    <x v="0"/>
    <x v="1"/>
    <s v="Mobile"/>
    <s v="Galaxy Nova X5"/>
    <n v="2"/>
    <n v="24891.61"/>
    <n v="0.4"/>
    <n v="29869.93"/>
    <n v="-7762.37"/>
    <s v="UPI"/>
    <s v="2025-01"/>
    <s v="21%+"/>
    <n v="-0.25987238671131802"/>
    <s v="Yes"/>
  </r>
  <r>
    <s v="ORD-101855"/>
    <d v="2025-01-23T00:00:00"/>
    <s v="CUST-00592"/>
    <x v="3"/>
    <x v="4"/>
    <s v="Fitness"/>
    <s v="ProYoga Mat"/>
    <n v="1"/>
    <n v="1244.4000000000001"/>
    <n v="0.15"/>
    <n v="1057.74"/>
    <n v="254.85"/>
    <s v="Credit Card"/>
    <s v="2025-01"/>
    <s v="11-15%"/>
    <n v="0.24093822678541041"/>
    <s v="No"/>
  </r>
  <r>
    <s v="ORD-100038"/>
    <d v="2025-01-24T00:00:00"/>
    <s v="CUST-00361"/>
    <x v="1"/>
    <x v="2"/>
    <s v="Appliances"/>
    <s v="ColdBrew Coffee Maker"/>
    <n v="1"/>
    <n v="6447.1"/>
    <n v="0"/>
    <n v="6447.1"/>
    <n v="2336.35"/>
    <s v="Credit Card"/>
    <s v="2025-01"/>
    <s v="No discount"/>
    <n v="0.36238774022428688"/>
    <s v="No"/>
  </r>
  <r>
    <s v="ORD-101110"/>
    <d v="2025-01-24T00:00:00"/>
    <s v="CUST-00279"/>
    <x v="3"/>
    <x v="2"/>
    <s v="Decor"/>
    <s v="LED Wall Lamp"/>
    <n v="1"/>
    <n v="1033.69"/>
    <n v="0"/>
    <n v="1033.69"/>
    <n v="333.55"/>
    <s v="UPI"/>
    <s v="2025-01"/>
    <s v="No discount"/>
    <n v="0.32267894629918059"/>
    <s v="No"/>
  </r>
  <r>
    <s v="ORD-101315"/>
    <d v="2025-01-24T00:00:00"/>
    <s v="CUST-00307"/>
    <x v="3"/>
    <x v="0"/>
    <s v="Skincare"/>
    <s v="Vitamin C Serum"/>
    <n v="3"/>
    <n v="858.26"/>
    <n v="0"/>
    <n v="2574.7800000000002"/>
    <n v="1410.84"/>
    <s v="UPI"/>
    <s v="2025-01"/>
    <s v="No discount"/>
    <n v="0.54794584391676171"/>
    <s v="No"/>
  </r>
  <r>
    <s v="ORD-101416"/>
    <d v="2025-01-24T00:00:00"/>
    <s v="CUST-00206"/>
    <x v="3"/>
    <x v="0"/>
    <s v="Makeup"/>
    <s v="Matte Lipstick Set"/>
    <n v="2"/>
    <n v="963.79"/>
    <n v="0.25"/>
    <n v="1445.68"/>
    <n v="349.43"/>
    <s v="Debit Card"/>
    <s v="2025-01"/>
    <s v="21%+"/>
    <n v="0.24170632505118697"/>
    <s v="No"/>
  </r>
  <r>
    <s v="ORD-101571"/>
    <d v="2025-01-24T00:00:00"/>
    <s v="CUST-00522"/>
    <x v="2"/>
    <x v="3"/>
    <s v="Footwear"/>
    <s v="UrbanLoafers"/>
    <n v="1"/>
    <n v="3336.16"/>
    <n v="0.15"/>
    <n v="2835.74"/>
    <n v="690.84"/>
    <s v="UPI"/>
    <s v="2025-01"/>
    <s v="11-15%"/>
    <n v="0.24361894955108723"/>
    <s v="No"/>
  </r>
  <r>
    <s v="ORD-101535"/>
    <d v="2025-01-25T00:00:00"/>
    <s v="CUST-00491"/>
    <x v="2"/>
    <x v="0"/>
    <s v="Skincare"/>
    <s v="Vitamin C Serum"/>
    <n v="1"/>
    <n v="886.08"/>
    <n v="0.2"/>
    <n v="708.86"/>
    <n v="237.36"/>
    <s v="UPI"/>
    <s v="2025-01"/>
    <s v="16-20%"/>
    <n v="0.33484750162232318"/>
    <s v="No"/>
  </r>
  <r>
    <s v="ORD-101906"/>
    <d v="2025-01-25T00:00:00"/>
    <s v="CUST-00522"/>
    <x v="2"/>
    <x v="3"/>
    <s v="Women"/>
    <s v="Knit Winter Sweater"/>
    <n v="3"/>
    <n v="2133.81"/>
    <n v="0.2"/>
    <n v="5121.1400000000003"/>
    <n v="1174.93"/>
    <s v="Debit Card"/>
    <s v="2025-01"/>
    <s v="16-20%"/>
    <n v="0.22942743217330516"/>
    <s v="No"/>
  </r>
  <r>
    <s v="ORD-101912"/>
    <d v="2025-01-25T00:00:00"/>
    <s v="CUST-00113"/>
    <x v="2"/>
    <x v="2"/>
    <s v="Appliances"/>
    <s v="AirFryer Deluxe"/>
    <n v="1"/>
    <n v="7880.83"/>
    <n v="0.05"/>
    <n v="7486.79"/>
    <n v="1770.59"/>
    <s v="Credit Card"/>
    <s v="2025-01"/>
    <s v="1-10%"/>
    <n v="0.2364952135695004"/>
    <s v="No"/>
  </r>
  <r>
    <s v="ORD-100379"/>
    <d v="2025-01-26T00:00:00"/>
    <s v="CUST-00537"/>
    <x v="0"/>
    <x v="1"/>
    <s v="Audio"/>
    <s v="BassBoom Speaker"/>
    <n v="1"/>
    <n v="9242.7800000000007"/>
    <n v="0"/>
    <n v="9242.7800000000007"/>
    <n v="1551.26"/>
    <s v="UPI"/>
    <s v="2025-01"/>
    <s v="No discount"/>
    <n v="0.16783478563808724"/>
    <s v="No"/>
  </r>
  <r>
    <s v="ORD-100672"/>
    <d v="2025-01-26T00:00:00"/>
    <s v="CUST-00456"/>
    <x v="1"/>
    <x v="3"/>
    <s v="Women"/>
    <s v="Knit Winter Sweater"/>
    <n v="1"/>
    <n v="2126.98"/>
    <n v="0.1"/>
    <n v="1914.28"/>
    <n v="621.41"/>
    <s v="Cash on Delivery"/>
    <s v="2025-01"/>
    <s v="1-10%"/>
    <n v="0.32461813318845728"/>
    <s v="No"/>
  </r>
  <r>
    <s v="ORD-100824"/>
    <d v="2025-01-26T00:00:00"/>
    <s v="CUST-00046"/>
    <x v="3"/>
    <x v="2"/>
    <s v="Decor"/>
    <s v="LED Wall Lamp"/>
    <n v="1"/>
    <n v="955.02"/>
    <n v="0.3"/>
    <n v="668.51"/>
    <n v="8.94"/>
    <s v="UPI"/>
    <s v="2025-01"/>
    <s v="21%+"/>
    <n v="1.3373023589774274E-2"/>
    <s v="No"/>
  </r>
  <r>
    <s v="ORD-100033"/>
    <d v="2025-01-28T00:00:00"/>
    <s v="CUST-00250"/>
    <x v="1"/>
    <x v="2"/>
    <s v="Furniture"/>
    <s v="Oakwood Study Desk"/>
    <n v="1"/>
    <n v="13628.07"/>
    <n v="0"/>
    <n v="13628.07"/>
    <n v="4618.58"/>
    <s v="Credit Card"/>
    <s v="2025-01"/>
    <s v="No discount"/>
    <n v="0.33890198685507195"/>
    <s v="No"/>
  </r>
  <r>
    <s v="ORD-100524"/>
    <d v="2025-01-28T00:00:00"/>
    <s v="CUST-00372"/>
    <x v="1"/>
    <x v="2"/>
    <s v="Furniture"/>
    <s v="Oakwood Study Desk"/>
    <n v="3"/>
    <n v="13572.06"/>
    <n v="0.1"/>
    <n v="36644.559999999998"/>
    <n v="8437.58"/>
    <s v="UPI"/>
    <s v="2025-01"/>
    <s v="1-10%"/>
    <n v="0.2302546407979793"/>
    <s v="No"/>
  </r>
  <r>
    <s v="ORD-100928"/>
    <d v="2025-01-28T00:00:00"/>
    <s v="CUST-00234"/>
    <x v="2"/>
    <x v="0"/>
    <s v="Makeup"/>
    <s v="HD Foundation Kit"/>
    <n v="2"/>
    <n v="1447.2"/>
    <n v="0.1"/>
    <n v="2604.96"/>
    <n v="1196.76"/>
    <s v="Credit Card"/>
    <s v="2025-01"/>
    <s v="1-10%"/>
    <n v="0.45941588354523677"/>
    <s v="No"/>
  </r>
  <r>
    <s v="ORD-100007"/>
    <d v="2025-01-29T00:00:00"/>
    <s v="CUST-00480"/>
    <x v="1"/>
    <x v="0"/>
    <s v="Makeup"/>
    <s v="Matte Lipstick Set"/>
    <n v="2"/>
    <n v="964.32"/>
    <n v="0.2"/>
    <n v="1542.91"/>
    <n v="451.76"/>
    <s v="Credit Card"/>
    <s v="2025-01"/>
    <s v="16-20%"/>
    <n v="0.29279737638617936"/>
    <s v="No"/>
  </r>
  <r>
    <s v="ORD-101505"/>
    <d v="2025-01-29T00:00:00"/>
    <s v="CUST-00045"/>
    <x v="0"/>
    <x v="0"/>
    <s v="Makeup"/>
    <s v="HD Foundation Kit"/>
    <n v="2"/>
    <n v="1565.1"/>
    <n v="0.15"/>
    <n v="2660.67"/>
    <n v="902.19"/>
    <s v="Credit Card"/>
    <s v="2025-01"/>
    <s v="11-15%"/>
    <n v="0.33908376461567952"/>
    <s v="No"/>
  </r>
  <r>
    <s v="ORD-101967"/>
    <d v="2025-01-29T00:00:00"/>
    <s v="CUST-00144"/>
    <x v="2"/>
    <x v="4"/>
    <s v="Fitness"/>
    <s v="Adjustable Dumbbell 24kg"/>
    <n v="1"/>
    <n v="10344.17"/>
    <n v="0"/>
    <n v="10344.17"/>
    <n v="3861.05"/>
    <s v="Credit Card"/>
    <s v="2025-01"/>
    <s v="No discount"/>
    <n v="0.37325856013580599"/>
    <s v="No"/>
  </r>
  <r>
    <s v="ORD-100120"/>
    <d v="2025-01-30T00:00:00"/>
    <s v="CUST-00192"/>
    <x v="0"/>
    <x v="2"/>
    <s v="Decor"/>
    <s v="Ceramic Vase Set"/>
    <n v="3"/>
    <n v="1442.71"/>
    <n v="0.05"/>
    <n v="4111.72"/>
    <n v="1077.03"/>
    <s v="Debit Card"/>
    <s v="2025-01"/>
    <s v="1-10%"/>
    <n v="0.26194147461403011"/>
    <s v="No"/>
  </r>
  <r>
    <s v="ORD-100735"/>
    <d v="2025-01-31T00:00:00"/>
    <s v="CUST-00077"/>
    <x v="0"/>
    <x v="2"/>
    <s v="Decor"/>
    <s v="Ceramic Vase Set"/>
    <n v="1"/>
    <n v="1552.36"/>
    <n v="0.05"/>
    <n v="1474.74"/>
    <n v="393.71"/>
    <s v="Debit Card"/>
    <s v="2025-01"/>
    <s v="1-10%"/>
    <n v="0.26696909285704595"/>
    <s v="No"/>
  </r>
  <r>
    <s v="ORD-100296"/>
    <d v="2025-02-02T00:00:00"/>
    <s v="CUST-00295"/>
    <x v="1"/>
    <x v="1"/>
    <s v="Audio"/>
    <s v="BassBoom Speaker"/>
    <n v="1"/>
    <n v="8871.83"/>
    <n v="0.1"/>
    <n v="7984.65"/>
    <n v="488.72"/>
    <s v="Credit Card"/>
    <s v="2025-02"/>
    <s v="1-10%"/>
    <n v="6.1207441778913296E-2"/>
    <s v="No"/>
  </r>
  <r>
    <s v="ORD-100696"/>
    <d v="2025-02-02T00:00:00"/>
    <s v="CUST-00111"/>
    <x v="0"/>
    <x v="0"/>
    <s v="Makeup"/>
    <s v="Matte Lipstick Set"/>
    <n v="1"/>
    <n v="1037.1400000000001"/>
    <n v="0.15"/>
    <n v="881.57"/>
    <n v="332.92"/>
    <s v="Debit Card"/>
    <s v="2025-02"/>
    <s v="11-15%"/>
    <n v="0.37764442982406388"/>
    <s v="No"/>
  </r>
  <r>
    <s v="ORD-101210"/>
    <d v="2025-02-02T00:00:00"/>
    <s v="CUST-00513"/>
    <x v="1"/>
    <x v="1"/>
    <s v="Audio"/>
    <s v="SoundPods Pro"/>
    <n v="4"/>
    <n v="5054.93"/>
    <n v="0.25"/>
    <n v="15164.79"/>
    <n v="-1624.29"/>
    <s v="UPI"/>
    <s v="2025-02"/>
    <s v="21%+"/>
    <n v="-0.10710929726029836"/>
    <s v="Yes"/>
  </r>
  <r>
    <s v="ORD-101741"/>
    <d v="2025-02-02T00:00:00"/>
    <s v="CUST-00359"/>
    <x v="1"/>
    <x v="0"/>
    <s v="Makeup"/>
    <s v="HD Foundation Kit"/>
    <n v="4"/>
    <n v="1437.63"/>
    <n v="0"/>
    <n v="5750.52"/>
    <n v="3189.21"/>
    <s v="UPI"/>
    <s v="2025-02"/>
    <s v="No discount"/>
    <n v="0.55459506270737247"/>
    <s v="No"/>
  </r>
  <r>
    <s v="ORD-101845"/>
    <d v="2025-02-02T00:00:00"/>
    <s v="CUST-00359"/>
    <x v="2"/>
    <x v="4"/>
    <s v="Fitness"/>
    <s v="Adjustable Dumbbell 24kg"/>
    <n v="2"/>
    <n v="9717.48"/>
    <n v="0.1"/>
    <n v="17491.46"/>
    <n v="4244.37"/>
    <s v="UPI"/>
    <s v="2025-02"/>
    <s v="1-10%"/>
    <n v="0.24265384364712839"/>
    <s v="No"/>
  </r>
  <r>
    <s v="ORD-100017"/>
    <d v="2025-02-03T00:00:00"/>
    <s v="CUST-00466"/>
    <x v="2"/>
    <x v="1"/>
    <s v="Mobile"/>
    <s v="Galaxy Nova X5"/>
    <n v="1"/>
    <n v="24283.4"/>
    <n v="0.05"/>
    <n v="23069.23"/>
    <n v="2643.35"/>
    <s v="UPI"/>
    <s v="2025-02"/>
    <s v="1-10%"/>
    <n v="0.11458336494109253"/>
    <s v="No"/>
  </r>
  <r>
    <s v="ORD-101175"/>
    <d v="2025-02-03T00:00:00"/>
    <s v="CUST-00492"/>
    <x v="1"/>
    <x v="4"/>
    <s v="Fitness"/>
    <s v="Adjustable Dumbbell 24kg"/>
    <n v="3"/>
    <n v="10085.48"/>
    <n v="0.1"/>
    <n v="27230.799999999999"/>
    <n v="6884.69"/>
    <s v="Credit Card"/>
    <s v="2025-02"/>
    <s v="1-10%"/>
    <n v="0.2528273131894766"/>
    <s v="No"/>
  </r>
  <r>
    <s v="ORD-101250"/>
    <d v="2025-02-03T00:00:00"/>
    <s v="CUST-00553"/>
    <x v="0"/>
    <x v="0"/>
    <s v="Makeup"/>
    <s v="Matte Lipstick Set"/>
    <n v="2"/>
    <n v="984.71"/>
    <n v="0.05"/>
    <n v="1870.95"/>
    <n v="873.4"/>
    <s v="UPI"/>
    <s v="2025-02"/>
    <s v="1-10%"/>
    <n v="0.46682166813650816"/>
    <s v="No"/>
  </r>
  <r>
    <s v="ORD-101253"/>
    <d v="2025-02-03T00:00:00"/>
    <s v="CUST-00340"/>
    <x v="0"/>
    <x v="1"/>
    <s v="Laptop"/>
    <s v="ThinkPro 14"/>
    <n v="2"/>
    <n v="54276.76"/>
    <n v="0.15"/>
    <n v="92270.49"/>
    <n v="2135.15"/>
    <s v="Credit Card"/>
    <s v="2025-02"/>
    <s v="11-15%"/>
    <n v="2.314011771260779E-2"/>
    <s v="No"/>
  </r>
  <r>
    <s v="ORD-100191"/>
    <d v="2025-02-04T00:00:00"/>
    <s v="CUST-00513"/>
    <x v="1"/>
    <x v="1"/>
    <s v="Mobile"/>
    <s v="Galaxy Nova X5"/>
    <n v="1"/>
    <n v="25045.99"/>
    <n v="0.05"/>
    <n v="23793.69"/>
    <n v="3067.99"/>
    <s v="Credit Card"/>
    <s v="2025-02"/>
    <s v="1-10%"/>
    <n v="0.12894132856232052"/>
    <s v="No"/>
  </r>
  <r>
    <s v="ORD-100509"/>
    <d v="2025-02-04T00:00:00"/>
    <s v="CUST-00387"/>
    <x v="0"/>
    <x v="4"/>
    <s v="Fitness"/>
    <s v="Adjustable Dumbbell 24kg"/>
    <n v="2"/>
    <n v="10071.200000000001"/>
    <n v="0.1"/>
    <n v="18128.16"/>
    <n v="4769.03"/>
    <s v="Credit Card"/>
    <s v="2025-02"/>
    <s v="1-10%"/>
    <n v="0.26307303112946928"/>
    <s v="No"/>
  </r>
  <r>
    <s v="ORD-100621"/>
    <d v="2025-02-04T00:00:00"/>
    <s v="CUST-00396"/>
    <x v="3"/>
    <x v="3"/>
    <s v="Men"/>
    <s v="Oxford Casual Shirt"/>
    <n v="2"/>
    <n v="1352.75"/>
    <n v="0.15"/>
    <n v="2299.67"/>
    <n v="582.76"/>
    <s v="UPI"/>
    <s v="2025-02"/>
    <s v="11-15%"/>
    <n v="0.25341027190857818"/>
    <s v="No"/>
  </r>
  <r>
    <s v="ORD-101093"/>
    <d v="2025-02-04T00:00:00"/>
    <s v="CUST-00062"/>
    <x v="3"/>
    <x v="1"/>
    <s v="Audio"/>
    <s v="SoundPods Pro"/>
    <n v="2"/>
    <n v="4768.92"/>
    <n v="0"/>
    <n v="9537.84"/>
    <n v="1489.77"/>
    <s v="Debit Card"/>
    <s v="2025-02"/>
    <s v="No discount"/>
    <n v="0.15619574243224882"/>
    <s v="No"/>
  </r>
  <r>
    <s v="ORD-100667"/>
    <d v="2025-02-05T00:00:00"/>
    <s v="CUST-00164"/>
    <x v="2"/>
    <x v="2"/>
    <s v="Appliances"/>
    <s v="ColdBrew Coffee Maker"/>
    <n v="2"/>
    <n v="6363.49"/>
    <n v="0"/>
    <n v="12726.98"/>
    <n v="4674.87"/>
    <s v="Debit Card"/>
    <s v="2025-02"/>
    <s v="No discount"/>
    <n v="0.36731966263795496"/>
    <s v="No"/>
  </r>
  <r>
    <s v="ORD-101274"/>
    <d v="2025-02-05T00:00:00"/>
    <s v="CUST-00187"/>
    <x v="1"/>
    <x v="0"/>
    <s v="Skincare"/>
    <s v="HydraBoost Moisturizer"/>
    <n v="1"/>
    <n v="1236.97"/>
    <n v="0"/>
    <n v="1236.97"/>
    <n v="715.45"/>
    <s v="UPI"/>
    <s v="2025-02"/>
    <s v="No discount"/>
    <n v="0.57838912827311906"/>
    <s v="No"/>
  </r>
  <r>
    <s v="ORD-101662"/>
    <d v="2025-02-05T00:00:00"/>
    <s v="CUST-00163"/>
    <x v="1"/>
    <x v="0"/>
    <s v="Skincare"/>
    <s v="HydraBoost Moisturizer"/>
    <n v="1"/>
    <n v="1232.5899999999999"/>
    <n v="0"/>
    <n v="1232.5899999999999"/>
    <n v="714.89"/>
    <s v="UPI"/>
    <s v="2025-02"/>
    <s v="No discount"/>
    <n v="0.57999010214264279"/>
    <s v="No"/>
  </r>
  <r>
    <s v="ORD-100187"/>
    <d v="2025-02-06T00:00:00"/>
    <s v="CUST-00578"/>
    <x v="3"/>
    <x v="4"/>
    <s v="Outdoor"/>
    <s v="AllWeather Tent 4P"/>
    <n v="2"/>
    <n v="12560.27"/>
    <n v="0.1"/>
    <n v="22608.49"/>
    <n v="6501.25"/>
    <s v="UPI"/>
    <s v="2025-02"/>
    <s v="1-10%"/>
    <n v="0.28755790413247412"/>
    <s v="No"/>
  </r>
  <r>
    <s v="ORD-100289"/>
    <d v="2025-02-06T00:00:00"/>
    <s v="CUST-00196"/>
    <x v="2"/>
    <x v="1"/>
    <s v="Mobile"/>
    <s v="Galaxy Nova X5"/>
    <n v="1"/>
    <n v="25605.25"/>
    <n v="0.2"/>
    <n v="20484.2"/>
    <n v="-1172.99"/>
    <s v="UPI"/>
    <s v="2025-02"/>
    <s v="16-20%"/>
    <n v="-5.7263158922486596E-2"/>
    <s v="Yes"/>
  </r>
  <r>
    <s v="ORD-100548"/>
    <d v="2025-02-06T00:00:00"/>
    <s v="CUST-00427"/>
    <x v="3"/>
    <x v="2"/>
    <s v="Decor"/>
    <s v="LED Wall Lamp"/>
    <n v="2"/>
    <n v="950.68"/>
    <n v="0.15"/>
    <n v="1616.16"/>
    <n v="285.64"/>
    <s v="Debit Card"/>
    <s v="2025-02"/>
    <s v="11-15%"/>
    <n v="0.17673992673992672"/>
    <s v="No"/>
  </r>
  <r>
    <s v="ORD-100589"/>
    <d v="2025-02-06T00:00:00"/>
    <s v="CUST-00080"/>
    <x v="1"/>
    <x v="1"/>
    <s v="Audio"/>
    <s v="BassBoom Speaker"/>
    <n v="1"/>
    <n v="8705.2199999999993"/>
    <n v="0"/>
    <n v="8705.2199999999993"/>
    <n v="1605.79"/>
    <s v="Credit Card"/>
    <s v="2025-02"/>
    <s v="No discount"/>
    <n v="0.18446288548709855"/>
    <s v="No"/>
  </r>
  <r>
    <s v="ORD-101420"/>
    <d v="2025-02-06T00:00:00"/>
    <s v="CUST-00515"/>
    <x v="3"/>
    <x v="0"/>
    <s v="Makeup"/>
    <s v="HD Foundation Kit"/>
    <n v="4"/>
    <n v="1460.02"/>
    <n v="0.05"/>
    <n v="5548.08"/>
    <n v="2675.05"/>
    <s v="Net Banking"/>
    <s v="2025-02"/>
    <s v="1-10%"/>
    <n v="0.48215779152427513"/>
    <s v="No"/>
  </r>
  <r>
    <s v="ORD-100484"/>
    <d v="2025-02-07T00:00:00"/>
    <s v="CUST-00326"/>
    <x v="0"/>
    <x v="0"/>
    <s v="Skincare"/>
    <s v="HydraBoost Moisturizer"/>
    <n v="1"/>
    <n v="1240.9000000000001"/>
    <n v="0"/>
    <n v="1240.9000000000001"/>
    <n v="700.07"/>
    <s v="Cash on Delivery"/>
    <s v="2025-02"/>
    <s v="No discount"/>
    <n v="0.56416310742203235"/>
    <s v="No"/>
  </r>
  <r>
    <s v="ORD-101012"/>
    <d v="2025-02-08T00:00:00"/>
    <s v="CUST-00460"/>
    <x v="1"/>
    <x v="4"/>
    <s v="Outdoor"/>
    <s v="AllWeather Tent 4P"/>
    <n v="1"/>
    <n v="12379.04"/>
    <n v="0.25"/>
    <n v="9284.2800000000007"/>
    <n v="850.04"/>
    <s v="Credit Card"/>
    <s v="2025-02"/>
    <s v="21%+"/>
    <n v="9.155691125213801E-2"/>
    <s v="No"/>
  </r>
  <r>
    <s v="ORD-101330"/>
    <d v="2025-02-08T00:00:00"/>
    <s v="CUST-00322"/>
    <x v="3"/>
    <x v="2"/>
    <s v="Furniture"/>
    <s v="ErgoComfort Chair"/>
    <n v="3"/>
    <n v="8651.09"/>
    <n v="0"/>
    <n v="25953.27"/>
    <n v="8511.59"/>
    <s v="Debit Card"/>
    <s v="2025-02"/>
    <s v="No discount"/>
    <n v="0.32795828810781841"/>
    <s v="No"/>
  </r>
  <r>
    <s v="ORD-100592"/>
    <d v="2025-02-09T00:00:00"/>
    <s v="CUST-00285"/>
    <x v="2"/>
    <x v="3"/>
    <s v="Women"/>
    <s v="Knit Winter Sweater"/>
    <n v="1"/>
    <n v="2243.87"/>
    <n v="0.05"/>
    <n v="2131.6799999999998"/>
    <n v="790.82"/>
    <s v="Cash on Delivery"/>
    <s v="2025-02"/>
    <s v="1-10%"/>
    <n v="0.37098438790062305"/>
    <s v="No"/>
  </r>
  <r>
    <s v="ORD-100751"/>
    <d v="2025-02-09T00:00:00"/>
    <s v="CUST-00384"/>
    <x v="0"/>
    <x v="0"/>
    <s v="Makeup"/>
    <s v="Matte Lipstick Set"/>
    <n v="1"/>
    <n v="961.48"/>
    <n v="0.05"/>
    <n v="913.41"/>
    <n v="484.02"/>
    <s v="UPI"/>
    <s v="2025-02"/>
    <s v="1-10%"/>
    <n v="0.52990442408119032"/>
    <s v="No"/>
  </r>
  <r>
    <s v="ORD-100895"/>
    <d v="2025-02-09T00:00:00"/>
    <s v="CUST-00001"/>
    <x v="2"/>
    <x v="3"/>
    <s v="Men"/>
    <s v="Oxford Casual Shirt"/>
    <n v="3"/>
    <n v="1245.79"/>
    <n v="0"/>
    <n v="3737.37"/>
    <n v="1657.26"/>
    <s v="UPI"/>
    <s v="2025-02"/>
    <s v="No discount"/>
    <n v="0.4434294704564975"/>
    <s v="No"/>
  </r>
  <r>
    <s v="ORD-101240"/>
    <d v="2025-02-09T00:00:00"/>
    <s v="CUST-00045"/>
    <x v="1"/>
    <x v="4"/>
    <s v="Fitness"/>
    <s v="Adjustable Dumbbell 24kg"/>
    <n v="1"/>
    <n v="10224.959999999999"/>
    <n v="0.1"/>
    <n v="9202.4599999999991"/>
    <n v="2194.75"/>
    <s v="UPI"/>
    <s v="2025-02"/>
    <s v="1-10%"/>
    <n v="0.23849601084927294"/>
    <s v="No"/>
  </r>
  <r>
    <s v="ORD-101347"/>
    <d v="2025-02-09T00:00:00"/>
    <s v="CUST-00518"/>
    <x v="1"/>
    <x v="2"/>
    <s v="Furniture"/>
    <s v="ErgoComfort Chair"/>
    <n v="1"/>
    <n v="9325.86"/>
    <n v="0.2"/>
    <n v="7460.69"/>
    <n v="917.87"/>
    <s v="Credit Card"/>
    <s v="2025-02"/>
    <s v="16-20%"/>
    <n v="0.12302749477595236"/>
    <s v="No"/>
  </r>
  <r>
    <s v="ORD-100206"/>
    <d v="2025-02-11T00:00:00"/>
    <s v="CUST-00440"/>
    <x v="1"/>
    <x v="2"/>
    <s v="Decor"/>
    <s v="LED Wall Lamp"/>
    <n v="1"/>
    <n v="1026.3900000000001"/>
    <n v="0"/>
    <n v="1026.3900000000001"/>
    <n v="357.82"/>
    <s v="Credit Card"/>
    <s v="2025-02"/>
    <s v="No discount"/>
    <n v="0.34861992030319855"/>
    <s v="No"/>
  </r>
  <r>
    <s v="ORD-100732"/>
    <d v="2025-02-11T00:00:00"/>
    <s v="CUST-00323"/>
    <x v="3"/>
    <x v="0"/>
    <s v="Skincare"/>
    <s v="HydraBoost Moisturizer"/>
    <n v="1"/>
    <n v="1252.18"/>
    <n v="0.05"/>
    <n v="1189.57"/>
    <n v="539.09"/>
    <s v="UPI"/>
    <s v="2025-02"/>
    <s v="1-10%"/>
    <n v="0.45318056104306603"/>
    <s v="No"/>
  </r>
  <r>
    <s v="ORD-101013"/>
    <d v="2025-02-11T00:00:00"/>
    <s v="CUST-00294"/>
    <x v="2"/>
    <x v="3"/>
    <s v="Footwear"/>
    <s v="RunFlex Sneakers"/>
    <n v="1"/>
    <n v="2896.71"/>
    <n v="0"/>
    <n v="2896.71"/>
    <n v="1284.0999999999999"/>
    <s v="Credit Card"/>
    <s v="2025-02"/>
    <s v="No discount"/>
    <n v="0.44329601513441108"/>
    <s v="No"/>
  </r>
  <r>
    <s v="ORD-101319"/>
    <d v="2025-02-11T00:00:00"/>
    <s v="CUST-00047"/>
    <x v="1"/>
    <x v="0"/>
    <s v="Skincare"/>
    <s v="HydraBoost Moisturizer"/>
    <n v="2"/>
    <n v="1232.46"/>
    <n v="0.05"/>
    <n v="2341.67"/>
    <n v="1145.82"/>
    <s v="Debit Card"/>
    <s v="2025-02"/>
    <s v="1-10%"/>
    <n v="0.48931745292889256"/>
    <s v="No"/>
  </r>
  <r>
    <s v="ORD-100006"/>
    <d v="2025-02-12T00:00:00"/>
    <s v="CUST-00142"/>
    <x v="1"/>
    <x v="4"/>
    <s v="Outdoor"/>
    <s v="TrailHike Backpack 60L"/>
    <n v="1"/>
    <n v="3520.47"/>
    <n v="0"/>
    <n v="3520.47"/>
    <n v="1270.96"/>
    <s v="Net Banking"/>
    <s v="2025-02"/>
    <s v="No discount"/>
    <n v="0.3610199774461933"/>
    <s v="No"/>
  </r>
  <r>
    <s v="ORD-101568"/>
    <d v="2025-02-12T00:00:00"/>
    <s v="CUST-00174"/>
    <x v="3"/>
    <x v="1"/>
    <s v="Mobile"/>
    <s v="Pixel Aura 12"/>
    <n v="1"/>
    <n v="33617.870000000003"/>
    <n v="0.05"/>
    <n v="31936.98"/>
    <n v="3184.4"/>
    <s v="UPI"/>
    <s v="2025-02"/>
    <s v="1-10%"/>
    <n v="9.9708864144324227E-2"/>
    <s v="No"/>
  </r>
  <r>
    <s v="ORD-101792"/>
    <d v="2025-02-12T00:00:00"/>
    <s v="CUST-00244"/>
    <x v="2"/>
    <x v="3"/>
    <s v="Women"/>
    <s v="Floral Summer Dress"/>
    <n v="1"/>
    <n v="1788.8"/>
    <n v="0.1"/>
    <n v="1609.92"/>
    <n v="453.08"/>
    <s v="UPI"/>
    <s v="2025-02"/>
    <s v="1-10%"/>
    <n v="0.2814301331743192"/>
    <s v="No"/>
  </r>
  <r>
    <s v="ORD-101817"/>
    <d v="2025-02-12T00:00:00"/>
    <s v="CUST-00185"/>
    <x v="2"/>
    <x v="2"/>
    <s v="Decor"/>
    <s v="Ceramic Vase Set"/>
    <n v="2"/>
    <n v="1548.73"/>
    <n v="0.3"/>
    <n v="2168.2199999999998"/>
    <n v="16.36"/>
    <s v="UPI"/>
    <s v="2025-02"/>
    <s v="21%+"/>
    <n v="7.5453597882133737E-3"/>
    <s v="No"/>
  </r>
  <r>
    <s v="ORD-101142"/>
    <d v="2025-02-14T00:00:00"/>
    <s v="CUST-00241"/>
    <x v="3"/>
    <x v="1"/>
    <s v="Laptop"/>
    <s v="AirBook Slim"/>
    <n v="2"/>
    <n v="81450.11"/>
    <n v="0.1"/>
    <n v="146610.20000000001"/>
    <n v="7872.99"/>
    <s v="UPI"/>
    <s v="2025-02"/>
    <s v="1-10%"/>
    <n v="5.370015183118227E-2"/>
    <s v="No"/>
  </r>
  <r>
    <s v="ORD-100139"/>
    <d v="2025-02-15T00:00:00"/>
    <s v="CUST-00047"/>
    <x v="2"/>
    <x v="3"/>
    <s v="Men"/>
    <s v="Oxford Casual Shirt"/>
    <n v="1"/>
    <n v="1306.51"/>
    <n v="0.4"/>
    <n v="783.91"/>
    <n v="-39.78"/>
    <s v="Credit Card"/>
    <s v="2025-02"/>
    <s v="21%+"/>
    <n v="-5.0745621308568592E-2"/>
    <s v="Yes"/>
  </r>
  <r>
    <s v="ORD-100456"/>
    <d v="2025-02-15T00:00:00"/>
    <s v="CUST-00590"/>
    <x v="3"/>
    <x v="1"/>
    <s v="Mobile"/>
    <s v="Pixel Aura 12"/>
    <n v="2"/>
    <n v="31557.31"/>
    <n v="0.1"/>
    <n v="56803.16"/>
    <n v="2340.9299999999998"/>
    <s v="Debit Card"/>
    <s v="2025-02"/>
    <s v="1-10%"/>
    <n v="4.1211263598715277E-2"/>
    <s v="No"/>
  </r>
  <r>
    <s v="ORD-101010"/>
    <d v="2025-02-15T00:00:00"/>
    <s v="CUST-00146"/>
    <x v="0"/>
    <x v="3"/>
    <s v="Footwear"/>
    <s v="RunFlex Sneakers"/>
    <n v="4"/>
    <n v="2921.14"/>
    <n v="0"/>
    <n v="11684.56"/>
    <n v="5200.6899999999996"/>
    <s v="Cash on Delivery"/>
    <s v="2025-02"/>
    <s v="No discount"/>
    <n v="0.44509078647377393"/>
    <s v="No"/>
  </r>
  <r>
    <s v="ORD-101826"/>
    <d v="2025-02-15T00:00:00"/>
    <s v="CUST-00256"/>
    <x v="2"/>
    <x v="4"/>
    <s v="Fitness"/>
    <s v="ProYoga Mat"/>
    <n v="1"/>
    <n v="1329.99"/>
    <n v="0"/>
    <n v="1329.99"/>
    <n v="512.46"/>
    <s v="Cash on Delivery"/>
    <s v="2025-02"/>
    <s v="No discount"/>
    <n v="0.385311167753141"/>
    <s v="No"/>
  </r>
  <r>
    <s v="ORD-101859"/>
    <d v="2025-02-15T00:00:00"/>
    <s v="CUST-00373"/>
    <x v="3"/>
    <x v="0"/>
    <s v="Skincare"/>
    <s v="Vitamin C Serum"/>
    <n v="1"/>
    <n v="943.09"/>
    <n v="0"/>
    <n v="943.09"/>
    <n v="533.85"/>
    <s v="Credit Card"/>
    <s v="2025-02"/>
    <s v="No discount"/>
    <n v="0.56606474461610234"/>
    <s v="No"/>
  </r>
  <r>
    <s v="ORD-101376"/>
    <d v="2025-02-16T00:00:00"/>
    <s v="CUST-00188"/>
    <x v="2"/>
    <x v="0"/>
    <s v="Skincare"/>
    <s v="Vitamin C Serum"/>
    <n v="4"/>
    <n v="860.41"/>
    <n v="0.15"/>
    <n v="2925.39"/>
    <n v="1047.6600000000001"/>
    <s v="UPI"/>
    <s v="2025-02"/>
    <s v="11-15%"/>
    <n v="0.35812660875985769"/>
    <s v="No"/>
  </r>
  <r>
    <s v="ORD-101583"/>
    <d v="2025-02-16T00:00:00"/>
    <s v="CUST-00114"/>
    <x v="2"/>
    <x v="1"/>
    <s v="Laptop"/>
    <s v="AirBook Slim"/>
    <n v="1"/>
    <n v="76769.679999999993"/>
    <n v="0"/>
    <n v="76769.679999999993"/>
    <n v="11122.14"/>
    <s v="Credit Card"/>
    <s v="2025-02"/>
    <s v="No discount"/>
    <n v="0.14487672737466145"/>
    <s v="No"/>
  </r>
  <r>
    <s v="ORD-100274"/>
    <d v="2025-02-17T00:00:00"/>
    <s v="CUST-00230"/>
    <x v="3"/>
    <x v="0"/>
    <s v="Makeup"/>
    <s v="HD Foundation Kit"/>
    <n v="3"/>
    <n v="1475.43"/>
    <n v="0.4"/>
    <n v="2655.77"/>
    <n v="324.3"/>
    <s v="UPI"/>
    <s v="2025-02"/>
    <s v="21%+"/>
    <n v="0.12211147802708819"/>
    <s v="No"/>
  </r>
  <r>
    <s v="ORD-100671"/>
    <d v="2025-02-17T00:00:00"/>
    <s v="CUST-00122"/>
    <x v="3"/>
    <x v="3"/>
    <s v="Men"/>
    <s v="SlimFit Denim Jeans"/>
    <n v="1"/>
    <n v="2087.9699999999998"/>
    <n v="0.05"/>
    <n v="1983.57"/>
    <n v="658.32"/>
    <s v="UPI"/>
    <s v="2025-02"/>
    <s v="1-10%"/>
    <n v="0.33188644716344778"/>
    <s v="No"/>
  </r>
  <r>
    <s v="ORD-100942"/>
    <d v="2025-02-17T00:00:00"/>
    <s v="CUST-00419"/>
    <x v="3"/>
    <x v="4"/>
    <s v="Outdoor"/>
    <s v="AllWeather Tent 4P"/>
    <n v="1"/>
    <n v="11823.73"/>
    <n v="0.05"/>
    <n v="11232.54"/>
    <n v="3842.84"/>
    <s v="Credit Card"/>
    <s v="2025-02"/>
    <s v="1-10%"/>
    <n v="0.3421167429628561"/>
    <s v="No"/>
  </r>
  <r>
    <s v="ORD-101446"/>
    <d v="2025-02-17T00:00:00"/>
    <s v="CUST-00581"/>
    <x v="1"/>
    <x v="3"/>
    <s v="Footwear"/>
    <s v="RunFlex Sneakers"/>
    <n v="1"/>
    <n v="2997.84"/>
    <n v="0.2"/>
    <n v="2398.27"/>
    <n v="385.83"/>
    <s v="UPI"/>
    <s v="2025-02"/>
    <s v="16-20%"/>
    <n v="0.16087846656131294"/>
    <s v="No"/>
  </r>
  <r>
    <s v="ORD-101832"/>
    <d v="2025-02-17T00:00:00"/>
    <s v="CUST-00341"/>
    <x v="1"/>
    <x v="2"/>
    <s v="Appliances"/>
    <s v="ColdBrew Coffee Maker"/>
    <n v="1"/>
    <n v="6324.86"/>
    <n v="0.05"/>
    <n v="6008.62"/>
    <n v="1591.57"/>
    <s v="UPI"/>
    <s v="2025-02"/>
    <s v="1-10%"/>
    <n v="0.26488112078979864"/>
    <s v="No"/>
  </r>
  <r>
    <s v="ORD-101112"/>
    <d v="2025-02-18T00:00:00"/>
    <s v="CUST-00298"/>
    <x v="2"/>
    <x v="3"/>
    <s v="Footwear"/>
    <s v="RunFlex Sneakers"/>
    <n v="2"/>
    <n v="2962.31"/>
    <n v="0.1"/>
    <n v="5332.16"/>
    <n v="1749.19"/>
    <s v="UPI"/>
    <s v="2025-02"/>
    <s v="1-10%"/>
    <n v="0.32804529496489232"/>
    <s v="No"/>
  </r>
  <r>
    <s v="ORD-101360"/>
    <d v="2025-02-18T00:00:00"/>
    <s v="CUST-00471"/>
    <x v="3"/>
    <x v="2"/>
    <s v="Appliances"/>
    <s v="AirFryer Deluxe"/>
    <n v="1"/>
    <n v="7834.38"/>
    <n v="0.1"/>
    <n v="7050.94"/>
    <n v="1313.35"/>
    <s v="Credit Card"/>
    <s v="2025-02"/>
    <s v="1-10%"/>
    <n v="0.18626594468255298"/>
    <s v="No"/>
  </r>
  <r>
    <s v="ORD-101718"/>
    <d v="2025-02-18T00:00:00"/>
    <s v="CUST-00054"/>
    <x v="3"/>
    <x v="4"/>
    <s v="Outdoor"/>
    <s v="TrailHike Backpack 60L"/>
    <n v="2"/>
    <n v="3661.48"/>
    <n v="0.05"/>
    <n v="6956.81"/>
    <n v="2330.75"/>
    <s v="Credit Card"/>
    <s v="2025-02"/>
    <s v="1-10%"/>
    <n v="0.33503142963513449"/>
    <s v="No"/>
  </r>
  <r>
    <s v="ORD-100175"/>
    <d v="2025-02-19T00:00:00"/>
    <s v="CUST-00250"/>
    <x v="3"/>
    <x v="0"/>
    <s v="Skincare"/>
    <s v="Vitamin C Serum"/>
    <n v="1"/>
    <n v="927.34"/>
    <n v="0.1"/>
    <n v="834.61"/>
    <n v="347.52"/>
    <s v="UPI"/>
    <s v="2025-02"/>
    <s v="1-10%"/>
    <n v="0.41638609650016173"/>
    <s v="No"/>
  </r>
  <r>
    <s v="ORD-100470"/>
    <d v="2025-02-19T00:00:00"/>
    <s v="CUST-00380"/>
    <x v="1"/>
    <x v="1"/>
    <s v="Mobile"/>
    <s v="Pixel Aura 12"/>
    <n v="2"/>
    <n v="32864.639999999999"/>
    <n v="0"/>
    <n v="65729.279999999999"/>
    <n v="12201.36"/>
    <s v="Cash on Delivery"/>
    <s v="2025-02"/>
    <s v="No discount"/>
    <n v="0.18563051352456622"/>
    <s v="No"/>
  </r>
  <r>
    <s v="ORD-100929"/>
    <d v="2025-02-19T00:00:00"/>
    <s v="CUST-00175"/>
    <x v="1"/>
    <x v="1"/>
    <s v="Mobile"/>
    <s v="iPhone Zeta"/>
    <n v="1"/>
    <n v="68314.97"/>
    <n v="0.1"/>
    <n v="61483.47"/>
    <n v="5084.1400000000003"/>
    <s v="Cash on Delivery"/>
    <s v="2025-02"/>
    <s v="1-10%"/>
    <n v="8.2691168862134817E-2"/>
    <s v="No"/>
  </r>
  <r>
    <s v="ORD-101137"/>
    <d v="2025-02-19T00:00:00"/>
    <s v="CUST-00241"/>
    <x v="3"/>
    <x v="3"/>
    <s v="Women"/>
    <s v="Knit Winter Sweater"/>
    <n v="5"/>
    <n v="2170.5"/>
    <n v="0.05"/>
    <n v="10309.879999999999"/>
    <n v="3578.98"/>
    <s v="Cash on Delivery"/>
    <s v="2025-02"/>
    <s v="1-10%"/>
    <n v="0.3471408008628617"/>
    <s v="No"/>
  </r>
  <r>
    <s v="ORD-100014"/>
    <d v="2025-02-20T00:00:00"/>
    <s v="CUST-00100"/>
    <x v="3"/>
    <x v="2"/>
    <s v="Appliances"/>
    <s v="ColdBrew Coffee Maker"/>
    <n v="1"/>
    <n v="6782.04"/>
    <n v="0"/>
    <n v="6782.04"/>
    <n v="2276.62"/>
    <s v="Debit Card"/>
    <s v="2025-02"/>
    <s v="No discount"/>
    <n v="0.3356836586041958"/>
    <s v="No"/>
  </r>
  <r>
    <s v="ORD-100048"/>
    <d v="2025-02-20T00:00:00"/>
    <s v="CUST-00247"/>
    <x v="0"/>
    <x v="2"/>
    <s v="Decor"/>
    <s v="LED Wall Lamp"/>
    <n v="3"/>
    <n v="976.65"/>
    <n v="0.15"/>
    <n v="2490.46"/>
    <n v="294.64999999999998"/>
    <s v="UPI"/>
    <s v="2025-02"/>
    <s v="11-15%"/>
    <n v="0.11831147659468531"/>
    <s v="No"/>
  </r>
  <r>
    <s v="ORD-100584"/>
    <d v="2025-02-20T00:00:00"/>
    <s v="CUST-00513"/>
    <x v="1"/>
    <x v="3"/>
    <s v="Men"/>
    <s v="Oxford Casual Shirt"/>
    <n v="2"/>
    <n v="1247.24"/>
    <n v="0.1"/>
    <n v="2245.0300000000002"/>
    <n v="731.97"/>
    <s v="UPI"/>
    <s v="2025-02"/>
    <s v="1-10%"/>
    <n v="0.32604018654539135"/>
    <s v="No"/>
  </r>
  <r>
    <s v="ORD-100681"/>
    <d v="2025-02-20T00:00:00"/>
    <s v="CUST-00092"/>
    <x v="3"/>
    <x v="3"/>
    <s v="Women"/>
    <s v="Knit Winter Sweater"/>
    <n v="1"/>
    <n v="2143.4699999999998"/>
    <n v="0.3"/>
    <n v="1500.43"/>
    <n v="84.94"/>
    <s v="Credit Card"/>
    <s v="2025-02"/>
    <s v="21%+"/>
    <n v="5.6610438341008908E-2"/>
    <s v="No"/>
  </r>
  <r>
    <s v="ORD-101321"/>
    <d v="2025-02-20T00:00:00"/>
    <s v="CUST-00560"/>
    <x v="0"/>
    <x v="3"/>
    <s v="Men"/>
    <s v="Oxford Casual Shirt"/>
    <n v="1"/>
    <n v="1247.33"/>
    <n v="0.1"/>
    <n v="1122.5999999999999"/>
    <n v="310.27"/>
    <s v="UPI"/>
    <s v="2025-02"/>
    <s v="1-10%"/>
    <n v="0.27638517726705863"/>
    <s v="No"/>
  </r>
  <r>
    <s v="ORD-101573"/>
    <d v="2025-02-20T00:00:00"/>
    <s v="CUST-00149"/>
    <x v="3"/>
    <x v="4"/>
    <s v="Fitness"/>
    <s v="ProYoga Mat"/>
    <n v="1"/>
    <n v="1242.94"/>
    <n v="0.4"/>
    <n v="745.76"/>
    <n v="-39.72"/>
    <s v="UPI"/>
    <s v="2025-02"/>
    <s v="21%+"/>
    <n v="-5.326110276764643E-2"/>
    <s v="Yes"/>
  </r>
  <r>
    <s v="ORD-101077"/>
    <d v="2025-02-21T00:00:00"/>
    <s v="CUST-00443"/>
    <x v="1"/>
    <x v="4"/>
    <s v="Fitness"/>
    <s v="Adjustable Dumbbell 24kg"/>
    <n v="1"/>
    <n v="10266.290000000001"/>
    <n v="0.4"/>
    <n v="6159.77"/>
    <n v="-666.42"/>
    <s v="Net Banking"/>
    <s v="2025-02"/>
    <s v="21%+"/>
    <n v="-0.10818910446331599"/>
    <s v="Yes"/>
  </r>
  <r>
    <s v="ORD-101709"/>
    <d v="2025-02-21T00:00:00"/>
    <s v="CUST-00354"/>
    <x v="3"/>
    <x v="2"/>
    <s v="Furniture"/>
    <s v="ErgoComfort Chair"/>
    <n v="1"/>
    <n v="9056.2999999999993"/>
    <n v="0.3"/>
    <n v="6339.41"/>
    <n v="-283.33999999999997"/>
    <s v="UPI"/>
    <s v="2025-02"/>
    <s v="21%+"/>
    <n v="-4.4695011049924203E-2"/>
    <s v="Yes"/>
  </r>
  <r>
    <s v="ORD-101835"/>
    <d v="2025-02-21T00:00:00"/>
    <s v="CUST-00591"/>
    <x v="1"/>
    <x v="2"/>
    <s v="Decor"/>
    <s v="LED Wall Lamp"/>
    <n v="2"/>
    <n v="982.82"/>
    <n v="0.1"/>
    <n v="1769.08"/>
    <n v="389.01"/>
    <s v="Credit Card"/>
    <s v="2025-02"/>
    <s v="1-10%"/>
    <n v="0.21989395618061366"/>
    <s v="No"/>
  </r>
  <r>
    <s v="ORD-101931"/>
    <d v="2025-02-21T00:00:00"/>
    <s v="CUST-00150"/>
    <x v="3"/>
    <x v="0"/>
    <s v="Skincare"/>
    <s v="Vitamin C Serum"/>
    <n v="1"/>
    <n v="905.31"/>
    <n v="0.05"/>
    <n v="860.04"/>
    <n v="445.46"/>
    <s v="Cash on Delivery"/>
    <s v="2025-02"/>
    <s v="1-10%"/>
    <n v="0.51795265336495977"/>
    <s v="No"/>
  </r>
  <r>
    <s v="ORD-100055"/>
    <d v="2025-02-22T00:00:00"/>
    <s v="CUST-00482"/>
    <x v="3"/>
    <x v="0"/>
    <s v="Skincare"/>
    <s v="Vitamin C Serum"/>
    <n v="2"/>
    <n v="861.35"/>
    <n v="0"/>
    <n v="1722.7"/>
    <n v="911.63"/>
    <s v="UPI"/>
    <s v="2025-02"/>
    <s v="No discount"/>
    <n v="0.52918674174261338"/>
    <s v="No"/>
  </r>
  <r>
    <s v="ORD-100839"/>
    <d v="2025-02-22T00:00:00"/>
    <s v="CUST-00152"/>
    <x v="3"/>
    <x v="0"/>
    <s v="Skincare"/>
    <s v="HydraBoost Moisturizer"/>
    <n v="2"/>
    <n v="1211.6500000000001"/>
    <n v="0.1"/>
    <n v="2180.9699999999998"/>
    <n v="1000.34"/>
    <s v="UPI"/>
    <s v="2025-02"/>
    <s v="1-10%"/>
    <n v="0.45866747364704702"/>
    <s v="No"/>
  </r>
  <r>
    <s v="ORD-101024"/>
    <d v="2025-02-22T00:00:00"/>
    <s v="CUST-00315"/>
    <x v="2"/>
    <x v="4"/>
    <s v="Outdoor"/>
    <s v="AllWeather Tent 4P"/>
    <n v="1"/>
    <n v="12266.95"/>
    <n v="0.05"/>
    <n v="11653.6"/>
    <n v="3484.11"/>
    <s v="UPI"/>
    <s v="2025-02"/>
    <s v="1-10%"/>
    <n v="0.29897284959154252"/>
    <s v="No"/>
  </r>
  <r>
    <s v="ORD-100856"/>
    <d v="2025-02-23T00:00:00"/>
    <s v="CUST-00171"/>
    <x v="0"/>
    <x v="4"/>
    <s v="Outdoor"/>
    <s v="AllWeather Tent 4P"/>
    <n v="4"/>
    <n v="12272.8"/>
    <n v="0"/>
    <n v="49091.199999999997"/>
    <n v="18025.669999999998"/>
    <s v="UPI"/>
    <s v="2025-02"/>
    <s v="No discount"/>
    <n v="0.36718739814875168"/>
    <s v="No"/>
  </r>
  <r>
    <s v="ORD-100066"/>
    <d v="2025-02-24T00:00:00"/>
    <s v="CUST-00485"/>
    <x v="1"/>
    <x v="2"/>
    <s v="Decor"/>
    <s v="LED Wall Lamp"/>
    <n v="1"/>
    <n v="967.9"/>
    <n v="0.05"/>
    <n v="919.5"/>
    <n v="265.08999999999997"/>
    <s v="UPI"/>
    <s v="2025-02"/>
    <s v="1-10%"/>
    <n v="0.28829798803697659"/>
    <s v="No"/>
  </r>
  <r>
    <s v="ORD-100109"/>
    <d v="2025-02-24T00:00:00"/>
    <s v="CUST-00244"/>
    <x v="2"/>
    <x v="0"/>
    <s v="Makeup"/>
    <s v="Matte Lipstick Set"/>
    <n v="1"/>
    <n v="1026.08"/>
    <n v="0.2"/>
    <n v="820.86"/>
    <n v="282.97000000000003"/>
    <s v="Credit Card"/>
    <s v="2025-02"/>
    <s v="16-20%"/>
    <n v="0.34472382623102604"/>
    <s v="No"/>
  </r>
  <r>
    <s v="ORD-100974"/>
    <d v="2025-02-24T00:00:00"/>
    <s v="CUST-00493"/>
    <x v="1"/>
    <x v="1"/>
    <s v="Mobile"/>
    <s v="Pixel Aura 12"/>
    <n v="2"/>
    <n v="32037.919999999998"/>
    <n v="0.1"/>
    <n v="57668.26"/>
    <n v="4825.5"/>
    <s v="UPI"/>
    <s v="2025-02"/>
    <s v="1-10%"/>
    <n v="8.3676878754448278E-2"/>
    <s v="No"/>
  </r>
  <r>
    <s v="ORD-101670"/>
    <d v="2025-02-24T00:00:00"/>
    <s v="CUST-00266"/>
    <x v="0"/>
    <x v="1"/>
    <s v="Laptop"/>
    <s v="AirBook Slim"/>
    <n v="2"/>
    <n v="80368.03"/>
    <n v="0.2"/>
    <n v="128588.85"/>
    <n v="-9458.11"/>
    <s v="UPI"/>
    <s v="2025-02"/>
    <s v="16-20%"/>
    <n v="-7.3553111331192397E-2"/>
    <s v="Yes"/>
  </r>
  <r>
    <s v="ORD-101897"/>
    <d v="2025-02-24T00:00:00"/>
    <s v="CUST-00452"/>
    <x v="1"/>
    <x v="2"/>
    <s v="Decor"/>
    <s v="Ceramic Vase Set"/>
    <n v="5"/>
    <n v="1497.35"/>
    <n v="0.25"/>
    <n v="5615.06"/>
    <n v="388.86"/>
    <s v="UPI"/>
    <s v="2025-02"/>
    <s v="21%+"/>
    <n v="6.9253044491065091E-2"/>
    <s v="No"/>
  </r>
  <r>
    <s v="ORD-101862"/>
    <d v="2025-02-25T00:00:00"/>
    <s v="CUST-00061"/>
    <x v="2"/>
    <x v="0"/>
    <s v="Makeup"/>
    <s v="Matte Lipstick Set"/>
    <n v="1"/>
    <n v="1000.19"/>
    <n v="0.15"/>
    <n v="850.16"/>
    <n v="339.84"/>
    <s v="UPI"/>
    <s v="2025-02"/>
    <s v="11-15%"/>
    <n v="0.39973652018443584"/>
    <s v="No"/>
  </r>
  <r>
    <s v="ORD-100172"/>
    <d v="2025-02-26T00:00:00"/>
    <s v="CUST-00237"/>
    <x v="3"/>
    <x v="3"/>
    <s v="Men"/>
    <s v="Oxford Casual Shirt"/>
    <n v="1"/>
    <n v="1362.69"/>
    <n v="0.2"/>
    <n v="1090.1500000000001"/>
    <n v="247.01"/>
    <s v="Debit Card"/>
    <s v="2025-02"/>
    <s v="16-20%"/>
    <n v="0.22658349768380495"/>
    <s v="No"/>
  </r>
  <r>
    <s v="ORD-101025"/>
    <d v="2025-02-26T00:00:00"/>
    <s v="CUST-00223"/>
    <x v="0"/>
    <x v="3"/>
    <s v="Women"/>
    <s v="Floral Summer Dress"/>
    <n v="1"/>
    <n v="1790.42"/>
    <n v="0.1"/>
    <n v="1611.38"/>
    <n v="543.64"/>
    <s v="Net Banking"/>
    <s v="2025-02"/>
    <s v="1-10%"/>
    <n v="0.33737541734413978"/>
    <s v="No"/>
  </r>
  <r>
    <s v="ORD-101123"/>
    <d v="2025-02-26T00:00:00"/>
    <s v="CUST-00307"/>
    <x v="0"/>
    <x v="3"/>
    <s v="Footwear"/>
    <s v="UrbanLoafers"/>
    <n v="1"/>
    <n v="3349.74"/>
    <n v="0"/>
    <n v="3349.74"/>
    <n v="1539.46"/>
    <s v="UPI"/>
    <s v="2025-02"/>
    <s v="No discount"/>
    <n v="0.45957596708998316"/>
    <s v="No"/>
  </r>
  <r>
    <s v="ORD-101295"/>
    <d v="2025-02-26T00:00:00"/>
    <s v="CUST-00130"/>
    <x v="3"/>
    <x v="1"/>
    <s v="Mobile"/>
    <s v="iPhone Zeta"/>
    <n v="2"/>
    <n v="71549.81"/>
    <n v="0.05"/>
    <n v="135944.64000000001"/>
    <n v="12143.92"/>
    <s v="Credit Card"/>
    <s v="2025-02"/>
    <s v="1-10%"/>
    <n v="8.932989193248074E-2"/>
    <s v="No"/>
  </r>
  <r>
    <s v="ORD-101374"/>
    <d v="2025-02-26T00:00:00"/>
    <s v="CUST-00264"/>
    <x v="3"/>
    <x v="0"/>
    <s v="Makeup"/>
    <s v="HD Foundation Kit"/>
    <n v="1"/>
    <n v="1543.59"/>
    <n v="0.1"/>
    <n v="1389.23"/>
    <n v="606.75"/>
    <s v="Credit Card"/>
    <s v="2025-02"/>
    <s v="1-10%"/>
    <n v="0.43675273352864535"/>
    <s v="No"/>
  </r>
  <r>
    <s v="ORD-100349"/>
    <d v="2025-02-27T00:00:00"/>
    <s v="CUST-00024"/>
    <x v="2"/>
    <x v="4"/>
    <s v="Fitness"/>
    <s v="ProYoga Mat"/>
    <n v="1"/>
    <n v="1275.21"/>
    <n v="0"/>
    <n v="1275.21"/>
    <n v="463.29"/>
    <s v="Credit Card"/>
    <s v="2025-02"/>
    <s v="No discount"/>
    <n v="0.36330486743359919"/>
    <s v="No"/>
  </r>
  <r>
    <s v="ORD-100112"/>
    <d v="2025-02-28T00:00:00"/>
    <s v="CUST-00515"/>
    <x v="0"/>
    <x v="2"/>
    <s v="Decor"/>
    <s v="Ceramic Vase Set"/>
    <n v="3"/>
    <n v="1560.53"/>
    <n v="0"/>
    <n v="4681.59"/>
    <n v="1663.54"/>
    <s v="Cash on Delivery"/>
    <s v="2025-02"/>
    <s v="No discount"/>
    <n v="0.35533654164503936"/>
    <s v="No"/>
  </r>
  <r>
    <s v="ORD-100752"/>
    <d v="2025-02-28T00:00:00"/>
    <s v="CUST-00027"/>
    <x v="0"/>
    <x v="3"/>
    <s v="Footwear"/>
    <s v="UrbanLoafers"/>
    <n v="1"/>
    <n v="3431.61"/>
    <n v="0.1"/>
    <n v="3088.45"/>
    <n v="1041.47"/>
    <s v="Credit Card"/>
    <s v="2025-02"/>
    <s v="1-10%"/>
    <n v="0.33721446032799629"/>
    <s v="No"/>
  </r>
  <r>
    <s v="ORD-101211"/>
    <d v="2025-02-28T00:00:00"/>
    <s v="CUST-00131"/>
    <x v="1"/>
    <x v="4"/>
    <s v="Fitness"/>
    <s v="ProYoga Mat"/>
    <n v="4"/>
    <n v="1237.5"/>
    <n v="0"/>
    <n v="4950"/>
    <n v="2004.03"/>
    <s v="UPI"/>
    <s v="2025-02"/>
    <s v="No discount"/>
    <n v="0.40485454545454547"/>
    <s v="No"/>
  </r>
  <r>
    <s v="ORD-101686"/>
    <d v="2025-02-28T00:00:00"/>
    <s v="CUST-00174"/>
    <x v="3"/>
    <x v="4"/>
    <s v="Outdoor"/>
    <s v="TrailHike Backpack 60L"/>
    <n v="1"/>
    <n v="3533.22"/>
    <n v="0.05"/>
    <n v="3356.56"/>
    <n v="1170.1500000000001"/>
    <s v="Debit Card"/>
    <s v="2025-02"/>
    <s v="1-10%"/>
    <n v="0.34861584479347907"/>
    <s v="No"/>
  </r>
  <r>
    <s v="ORD-100216"/>
    <d v="2025-03-01T00:00:00"/>
    <s v="CUST-00412"/>
    <x v="1"/>
    <x v="1"/>
    <s v="Laptop"/>
    <s v="ThinkPro 14"/>
    <n v="1"/>
    <n v="56590.07"/>
    <n v="0"/>
    <n v="56590.07"/>
    <n v="10216.14"/>
    <s v="Credit Card"/>
    <s v="2025-03"/>
    <s v="No discount"/>
    <n v="0.18052884543171618"/>
    <s v="No"/>
  </r>
  <r>
    <s v="ORD-100634"/>
    <d v="2025-03-01T00:00:00"/>
    <s v="CUST-00335"/>
    <x v="2"/>
    <x v="2"/>
    <s v="Furniture"/>
    <s v="Oakwood Study Desk"/>
    <n v="1"/>
    <n v="13384.97"/>
    <n v="0.2"/>
    <n v="10707.98"/>
    <n v="1353.87"/>
    <s v="UPI"/>
    <s v="2025-03"/>
    <s v="16-20%"/>
    <n v="0.12643561157193045"/>
    <s v="No"/>
  </r>
  <r>
    <s v="ORD-101680"/>
    <d v="2025-03-01T00:00:00"/>
    <s v="CUST-00425"/>
    <x v="0"/>
    <x v="4"/>
    <s v="Fitness"/>
    <s v="Adjustable Dumbbell 24kg"/>
    <n v="2"/>
    <n v="10251.42"/>
    <n v="0"/>
    <n v="20502.84"/>
    <n v="8354.07"/>
    <s v="UPI"/>
    <s v="2025-03"/>
    <s v="No discount"/>
    <n v="0.40745916175515196"/>
    <s v="No"/>
  </r>
  <r>
    <s v="ORD-101810"/>
    <d v="2025-03-01T00:00:00"/>
    <s v="CUST-00080"/>
    <x v="2"/>
    <x v="0"/>
    <s v="Makeup"/>
    <s v="Matte Lipstick Set"/>
    <n v="1"/>
    <n v="990.57"/>
    <n v="0.2"/>
    <n v="792.46"/>
    <n v="250.57"/>
    <s v="Debit Card"/>
    <s v="2025-03"/>
    <s v="16-20%"/>
    <n v="0.31619261540014637"/>
    <s v="No"/>
  </r>
  <r>
    <s v="ORD-100726"/>
    <d v="2025-03-02T00:00:00"/>
    <s v="CUST-00187"/>
    <x v="2"/>
    <x v="0"/>
    <s v="Skincare"/>
    <s v="HydraBoost Moisturizer"/>
    <n v="3"/>
    <n v="1142.67"/>
    <n v="0.2"/>
    <n v="2742.41"/>
    <n v="848.01"/>
    <s v="UPI"/>
    <s v="2025-03"/>
    <s v="16-20%"/>
    <n v="0.30922072191977129"/>
    <s v="No"/>
  </r>
  <r>
    <s v="ORD-101152"/>
    <d v="2025-03-02T00:00:00"/>
    <s v="CUST-00314"/>
    <x v="2"/>
    <x v="3"/>
    <s v="Women"/>
    <s v="Floral Summer Dress"/>
    <n v="1"/>
    <n v="1881.51"/>
    <n v="0.05"/>
    <n v="1787.43"/>
    <n v="691.18"/>
    <s v="Debit Card"/>
    <s v="2025-03"/>
    <s v="1-10%"/>
    <n v="0.38668926895039241"/>
    <s v="No"/>
  </r>
  <r>
    <s v="ORD-101264"/>
    <d v="2025-03-02T00:00:00"/>
    <s v="CUST-00333"/>
    <x v="0"/>
    <x v="3"/>
    <s v="Footwear"/>
    <s v="UrbanLoafers"/>
    <n v="1"/>
    <n v="3651.27"/>
    <n v="0.2"/>
    <n v="2921.02"/>
    <n v="568.41"/>
    <s v="Debit Card"/>
    <s v="2025-03"/>
    <s v="16-20%"/>
    <n v="0.19459298464235095"/>
    <s v="No"/>
  </r>
  <r>
    <s v="ORD-101413"/>
    <d v="2025-03-02T00:00:00"/>
    <s v="CUST-00310"/>
    <x v="2"/>
    <x v="0"/>
    <s v="Makeup"/>
    <s v="HD Foundation Kit"/>
    <n v="1"/>
    <n v="1568.75"/>
    <n v="0"/>
    <n v="1568.75"/>
    <n v="849.2"/>
    <s v="UPI"/>
    <s v="2025-03"/>
    <s v="No discount"/>
    <n v="0.54132270916334668"/>
    <s v="No"/>
  </r>
  <r>
    <s v="ORD-100170"/>
    <d v="2025-03-03T00:00:00"/>
    <s v="CUST-00201"/>
    <x v="0"/>
    <x v="2"/>
    <s v="Decor"/>
    <s v="Ceramic Vase Set"/>
    <n v="2"/>
    <n v="1445.92"/>
    <n v="0"/>
    <n v="2891.84"/>
    <n v="898.96"/>
    <s v="Credit Card"/>
    <s v="2025-03"/>
    <s v="No discount"/>
    <n v="0.31086090516764414"/>
    <s v="No"/>
  </r>
  <r>
    <s v="ORD-100905"/>
    <d v="2025-03-03T00:00:00"/>
    <s v="CUST-00333"/>
    <x v="2"/>
    <x v="0"/>
    <s v="Makeup"/>
    <s v="HD Foundation Kit"/>
    <n v="1"/>
    <n v="1539"/>
    <n v="0.1"/>
    <n v="1385.1"/>
    <n v="549.72"/>
    <s v="UPI"/>
    <s v="2025-03"/>
    <s v="1-10%"/>
    <n v="0.39688109161793378"/>
    <s v="No"/>
  </r>
  <r>
    <s v="ORD-101492"/>
    <d v="2025-03-03T00:00:00"/>
    <s v="CUST-00412"/>
    <x v="3"/>
    <x v="3"/>
    <s v="Men"/>
    <s v="SlimFit Denim Jeans"/>
    <n v="4"/>
    <n v="1914.3"/>
    <n v="0"/>
    <n v="7657.2"/>
    <n v="3368.67"/>
    <s v="Net Banking"/>
    <s v="2025-03"/>
    <s v="No discount"/>
    <n v="0.43993496317191666"/>
    <s v="No"/>
  </r>
  <r>
    <s v="ORD-100135"/>
    <d v="2025-03-04T00:00:00"/>
    <s v="CUST-00164"/>
    <x v="0"/>
    <x v="2"/>
    <s v="Furniture"/>
    <s v="ErgoComfort Chair"/>
    <n v="1"/>
    <n v="8675.83"/>
    <n v="0.05"/>
    <n v="8242.0400000000009"/>
    <n v="1949.64"/>
    <s v="Net Banking"/>
    <s v="2025-03"/>
    <s v="1-10%"/>
    <n v="0.23654823320440083"/>
    <s v="No"/>
  </r>
  <r>
    <s v="ORD-100189"/>
    <d v="2025-03-04T00:00:00"/>
    <s v="CUST-00369"/>
    <x v="3"/>
    <x v="2"/>
    <s v="Appliances"/>
    <s v="AirFryer Deluxe"/>
    <n v="2"/>
    <n v="7658.21"/>
    <n v="0.15"/>
    <n v="13018.96"/>
    <n v="2561.56"/>
    <s v="UPI"/>
    <s v="2025-03"/>
    <s v="11-15%"/>
    <n v="0.19675611569587739"/>
    <s v="No"/>
  </r>
  <r>
    <s v="ORD-100266"/>
    <d v="2025-03-04T00:00:00"/>
    <s v="CUST-00037"/>
    <x v="0"/>
    <x v="3"/>
    <s v="Men"/>
    <s v="Oxford Casual Shirt"/>
    <n v="2"/>
    <n v="1327.74"/>
    <n v="0.1"/>
    <n v="2389.9299999999998"/>
    <n v="758.64"/>
    <s v="UPI"/>
    <s v="2025-03"/>
    <s v="1-10%"/>
    <n v="0.31743189131062416"/>
    <s v="No"/>
  </r>
  <r>
    <s v="ORD-100460"/>
    <d v="2025-03-04T00:00:00"/>
    <s v="CUST-00242"/>
    <x v="0"/>
    <x v="3"/>
    <s v="Footwear"/>
    <s v="RunFlex Sneakers"/>
    <n v="2"/>
    <n v="3032.6"/>
    <n v="0.15"/>
    <n v="5155.42"/>
    <n v="1106.05"/>
    <s v="UPI"/>
    <s v="2025-03"/>
    <s v="11-15%"/>
    <n v="0.21454120129882726"/>
    <s v="No"/>
  </r>
  <r>
    <s v="ORD-101955"/>
    <d v="2025-03-04T00:00:00"/>
    <s v="CUST-00527"/>
    <x v="3"/>
    <x v="0"/>
    <s v="Makeup"/>
    <s v="Matte Lipstick Set"/>
    <n v="1"/>
    <n v="1042.93"/>
    <n v="0.05"/>
    <n v="990.78"/>
    <n v="465.68"/>
    <s v="UPI"/>
    <s v="2025-03"/>
    <s v="1-10%"/>
    <n v="0.47001352469771296"/>
    <s v="No"/>
  </r>
  <r>
    <s v="ORD-100234"/>
    <d v="2025-03-05T00:00:00"/>
    <s v="CUST-00539"/>
    <x v="2"/>
    <x v="3"/>
    <s v="Men"/>
    <s v="SlimFit Denim Jeans"/>
    <n v="2"/>
    <n v="2075.52"/>
    <n v="0.05"/>
    <n v="3943.49"/>
    <n v="1422.9"/>
    <s v="UPI"/>
    <s v="2025-03"/>
    <s v="1-10%"/>
    <n v="0.36082252015346816"/>
    <s v="No"/>
  </r>
  <r>
    <s v="ORD-100402"/>
    <d v="2025-03-05T00:00:00"/>
    <s v="CUST-00457"/>
    <x v="2"/>
    <x v="1"/>
    <s v="Mobile"/>
    <s v="Pixel Aura 12"/>
    <n v="2"/>
    <n v="31844.33"/>
    <n v="0.1"/>
    <n v="57319.79"/>
    <n v="5417.03"/>
    <s v="Debit Card"/>
    <s v="2025-03"/>
    <s v="1-10%"/>
    <n v="9.4505405550159891E-2"/>
    <s v="No"/>
  </r>
  <r>
    <s v="ORD-100564"/>
    <d v="2025-03-05T00:00:00"/>
    <s v="CUST-00567"/>
    <x v="3"/>
    <x v="0"/>
    <s v="Skincare"/>
    <s v="Vitamin C Serum"/>
    <n v="1"/>
    <n v="923.49"/>
    <n v="0.05"/>
    <n v="877.32"/>
    <n v="427.45"/>
    <s v="UPI"/>
    <s v="2025-03"/>
    <s v="1-10%"/>
    <n v="0.48722245018921256"/>
    <s v="No"/>
  </r>
  <r>
    <s v="ORD-101178"/>
    <d v="2025-03-05T00:00:00"/>
    <s v="CUST-00002"/>
    <x v="3"/>
    <x v="2"/>
    <s v="Furniture"/>
    <s v="Oakwood Study Desk"/>
    <n v="2"/>
    <n v="12353.43"/>
    <n v="0.3"/>
    <n v="17294.8"/>
    <n v="375.12"/>
    <s v="Credit Card"/>
    <s v="2025-03"/>
    <s v="21%+"/>
    <n v="2.168975645858871E-2"/>
    <s v="No"/>
  </r>
  <r>
    <s v="ORD-100750"/>
    <d v="2025-03-06T00:00:00"/>
    <s v="CUST-00466"/>
    <x v="3"/>
    <x v="0"/>
    <s v="Makeup"/>
    <s v="Matte Lipstick Set"/>
    <n v="1"/>
    <n v="1041.68"/>
    <n v="0.15"/>
    <n v="885.43"/>
    <n v="305.89"/>
    <s v="Credit Card"/>
    <s v="2025-03"/>
    <s v="11-15%"/>
    <n v="0.34547056232564971"/>
    <s v="No"/>
  </r>
  <r>
    <s v="ORD-101622"/>
    <d v="2025-03-06T00:00:00"/>
    <s v="CUST-00160"/>
    <x v="0"/>
    <x v="3"/>
    <s v="Footwear"/>
    <s v="UrbanLoafers"/>
    <n v="1"/>
    <n v="3356.76"/>
    <n v="0.1"/>
    <n v="3021.08"/>
    <n v="879.34"/>
    <s v="Net Banking"/>
    <s v="2025-03"/>
    <s v="1-10%"/>
    <n v="0.29106809485349611"/>
    <s v="No"/>
  </r>
  <r>
    <s v="ORD-100574"/>
    <d v="2025-03-07T00:00:00"/>
    <s v="CUST-00313"/>
    <x v="2"/>
    <x v="1"/>
    <s v="Audio"/>
    <s v="SoundPods Pro"/>
    <n v="1"/>
    <n v="4936.24"/>
    <n v="0.05"/>
    <n v="4689.43"/>
    <n v="497.17"/>
    <s v="UPI"/>
    <s v="2025-03"/>
    <s v="1-10%"/>
    <n v="0.10601928166109741"/>
    <s v="No"/>
  </r>
  <r>
    <s v="ORD-101701"/>
    <d v="2025-03-07T00:00:00"/>
    <s v="CUST-00271"/>
    <x v="2"/>
    <x v="1"/>
    <s v="Audio"/>
    <s v="SoundPods Pro"/>
    <n v="1"/>
    <n v="4869.08"/>
    <n v="0.2"/>
    <n v="3895.26"/>
    <n v="-313.16000000000003"/>
    <s v="Debit Card"/>
    <s v="2025-03"/>
    <s v="16-20%"/>
    <n v="-8.0395146922156671E-2"/>
    <s v="Yes"/>
  </r>
  <r>
    <s v="ORD-100000"/>
    <d v="2025-03-08T00:00:00"/>
    <s v="CUST-00096"/>
    <x v="0"/>
    <x v="1"/>
    <s v="Mobile"/>
    <s v="iPhone Zeta"/>
    <n v="1"/>
    <n v="71654.27"/>
    <n v="0"/>
    <n v="71654.27"/>
    <n v="13910.67"/>
    <s v="UPI"/>
    <s v="2025-03"/>
    <s v="No discount"/>
    <n v="0.19413595309811962"/>
    <s v="No"/>
  </r>
  <r>
    <s v="ORD-100742"/>
    <d v="2025-03-09T00:00:00"/>
    <s v="CUST-00181"/>
    <x v="2"/>
    <x v="0"/>
    <s v="Skincare"/>
    <s v="HydraBoost Moisturizer"/>
    <n v="1"/>
    <n v="1233.72"/>
    <n v="0.15"/>
    <n v="1048.6600000000001"/>
    <n v="436.02"/>
    <s v="UPI"/>
    <s v="2025-03"/>
    <s v="11-15%"/>
    <n v="0.4157877672458184"/>
    <s v="No"/>
  </r>
  <r>
    <s v="ORD-101510"/>
    <d v="2025-03-09T00:00:00"/>
    <s v="CUST-00312"/>
    <x v="2"/>
    <x v="4"/>
    <s v="Outdoor"/>
    <s v="TrailHike Backpack 60L"/>
    <n v="2"/>
    <n v="3479.77"/>
    <n v="0.1"/>
    <n v="6263.59"/>
    <n v="1723.69"/>
    <s v="Credit Card"/>
    <s v="2025-03"/>
    <s v="1-10%"/>
    <n v="0.27519202246634916"/>
    <s v="No"/>
  </r>
  <r>
    <s v="ORD-100160"/>
    <d v="2025-03-10T00:00:00"/>
    <s v="CUST-00236"/>
    <x v="1"/>
    <x v="1"/>
    <s v="Mobile"/>
    <s v="iPhone Zeta"/>
    <n v="1"/>
    <n v="73350.02"/>
    <n v="0"/>
    <n v="73350.02"/>
    <n v="15167.74"/>
    <s v="Cash on Delivery"/>
    <s v="2025-03"/>
    <s v="No discount"/>
    <n v="0.20678576502092294"/>
    <s v="No"/>
  </r>
  <r>
    <s v="ORD-100725"/>
    <d v="2025-03-10T00:00:00"/>
    <s v="CUST-00109"/>
    <x v="1"/>
    <x v="0"/>
    <s v="Makeup"/>
    <s v="Matte Lipstick Set"/>
    <n v="1"/>
    <n v="1023.67"/>
    <n v="0"/>
    <n v="1023.67"/>
    <n v="531.66999999999996"/>
    <s v="UPI"/>
    <s v="2025-03"/>
    <s v="No discount"/>
    <n v="0.51937636152275635"/>
    <s v="No"/>
  </r>
  <r>
    <s v="ORD-101993"/>
    <d v="2025-03-10T00:00:00"/>
    <s v="CUST-00224"/>
    <x v="0"/>
    <x v="3"/>
    <s v="Footwear"/>
    <s v="UrbanLoafers"/>
    <n v="2"/>
    <n v="3429.69"/>
    <n v="0.3"/>
    <n v="4801.57"/>
    <n v="470.54"/>
    <s v="UPI"/>
    <s v="2025-03"/>
    <s v="21%+"/>
    <n v="9.7997113444144315E-2"/>
    <s v="No"/>
  </r>
  <r>
    <s v="ORD-101705"/>
    <d v="2025-03-11T00:00:00"/>
    <s v="CUST-00082"/>
    <x v="3"/>
    <x v="3"/>
    <s v="Women"/>
    <s v="Knit Winter Sweater"/>
    <n v="1"/>
    <n v="2240.7199999999998"/>
    <n v="0.15"/>
    <n v="1904.61"/>
    <n v="401.61"/>
    <s v="Credit Card"/>
    <s v="2025-03"/>
    <s v="11-15%"/>
    <n v="0.21086206624978343"/>
    <s v="No"/>
  </r>
  <r>
    <s v="ORD-101968"/>
    <d v="2025-03-11T00:00:00"/>
    <s v="CUST-00104"/>
    <x v="0"/>
    <x v="1"/>
    <s v="Audio"/>
    <s v="BassBoom Speaker"/>
    <n v="3"/>
    <n v="8929.8700000000008"/>
    <n v="0.05"/>
    <n v="25450.13"/>
    <n v="3569.46"/>
    <s v="UPI"/>
    <s v="2025-03"/>
    <s v="1-10%"/>
    <n v="0.14025311462063259"/>
    <s v="No"/>
  </r>
  <r>
    <s v="ORD-100844"/>
    <d v="2025-03-12T00:00:00"/>
    <s v="CUST-00394"/>
    <x v="3"/>
    <x v="3"/>
    <s v="Footwear"/>
    <s v="UrbanLoafers"/>
    <n v="4"/>
    <n v="3428.09"/>
    <n v="0"/>
    <n v="13712.36"/>
    <n v="5584.9"/>
    <s v="Net Banking"/>
    <s v="2025-03"/>
    <s v="No discount"/>
    <n v="0.40728948189808317"/>
    <s v="No"/>
  </r>
  <r>
    <s v="ORD-101229"/>
    <d v="2025-03-12T00:00:00"/>
    <s v="CUST-00150"/>
    <x v="2"/>
    <x v="1"/>
    <s v="Audio"/>
    <s v="BassBoom Speaker"/>
    <n v="2"/>
    <n v="9116.2999999999993"/>
    <n v="0.05"/>
    <n v="17320.97"/>
    <n v="2708.6"/>
    <s v="Credit Card"/>
    <s v="2025-03"/>
    <s v="1-10%"/>
    <n v="0.15637692346329332"/>
    <s v="No"/>
  </r>
  <r>
    <s v="ORD-101595"/>
    <d v="2025-03-13T00:00:00"/>
    <s v="CUST-00092"/>
    <x v="2"/>
    <x v="1"/>
    <s v="Mobile"/>
    <s v="Galaxy Nova X5"/>
    <n v="2"/>
    <n v="24188.49"/>
    <n v="0.15"/>
    <n v="41120.43"/>
    <n v="1899.3"/>
    <s v="Debit Card"/>
    <s v="2025-03"/>
    <s v="11-15%"/>
    <n v="4.6188719330026461E-2"/>
    <s v="No"/>
  </r>
  <r>
    <s v="ORD-101244"/>
    <d v="2025-03-14T00:00:00"/>
    <s v="CUST-00122"/>
    <x v="1"/>
    <x v="4"/>
    <s v="Fitness"/>
    <s v="Adjustable Dumbbell 24kg"/>
    <n v="1"/>
    <n v="10458.719999999999"/>
    <n v="0.15"/>
    <n v="8889.91"/>
    <n v="1505.36"/>
    <s v="Credit Card"/>
    <s v="2025-03"/>
    <s v="11-15%"/>
    <n v="0.16933354780869547"/>
    <s v="No"/>
  </r>
  <r>
    <s v="ORD-101888"/>
    <d v="2025-03-14T00:00:00"/>
    <s v="CUST-00353"/>
    <x v="1"/>
    <x v="4"/>
    <s v="Outdoor"/>
    <s v="TrailHike Backpack 60L"/>
    <n v="1"/>
    <n v="3365.43"/>
    <n v="0.15"/>
    <n v="2860.62"/>
    <n v="546.83000000000004"/>
    <s v="UPI"/>
    <s v="2025-03"/>
    <s v="11-15%"/>
    <n v="0.19115786088330505"/>
    <s v="No"/>
  </r>
  <r>
    <s v="ORD-100054"/>
    <d v="2025-03-15T00:00:00"/>
    <s v="CUST-00062"/>
    <x v="3"/>
    <x v="1"/>
    <s v="Audio"/>
    <s v="BassBoom Speaker"/>
    <n v="2"/>
    <n v="8752.15"/>
    <n v="0.15"/>
    <n v="14878.65"/>
    <n v="138.46"/>
    <s v="Credit Card"/>
    <s v="2025-03"/>
    <s v="11-15%"/>
    <n v="9.3059518168651066E-3"/>
    <s v="No"/>
  </r>
  <r>
    <s v="ORD-100753"/>
    <d v="2025-03-15T00:00:00"/>
    <s v="CUST-00400"/>
    <x v="0"/>
    <x v="3"/>
    <s v="Women"/>
    <s v="Knit Winter Sweater"/>
    <n v="1"/>
    <n v="2307.37"/>
    <n v="0.3"/>
    <n v="1615.16"/>
    <n v="87.78"/>
    <s v="UPI"/>
    <s v="2025-03"/>
    <s v="21%+"/>
    <n v="5.4347556898387772E-2"/>
    <s v="No"/>
  </r>
  <r>
    <s v="ORD-101342"/>
    <d v="2025-03-15T00:00:00"/>
    <s v="CUST-00377"/>
    <x v="2"/>
    <x v="0"/>
    <s v="Skincare"/>
    <s v="HydraBoost Moisturizer"/>
    <n v="3"/>
    <n v="1229.27"/>
    <n v="0.05"/>
    <n v="3503.42"/>
    <n v="1851.56"/>
    <s v="Credit Card"/>
    <s v="2025-03"/>
    <s v="1-10%"/>
    <n v="0.52850072215149768"/>
    <s v="No"/>
  </r>
  <r>
    <s v="ORD-101938"/>
    <d v="2025-03-15T00:00:00"/>
    <s v="CUST-00358"/>
    <x v="2"/>
    <x v="3"/>
    <s v="Women"/>
    <s v="Knit Winter Sweater"/>
    <n v="1"/>
    <n v="2094.4899999999998"/>
    <n v="0.25"/>
    <n v="1570.87"/>
    <n v="244.44"/>
    <s v="Cash on Delivery"/>
    <s v="2025-03"/>
    <s v="21%+"/>
    <n v="0.15560803885744842"/>
    <s v="No"/>
  </r>
  <r>
    <s v="ORD-100087"/>
    <d v="2025-03-16T00:00:00"/>
    <s v="CUST-00234"/>
    <x v="3"/>
    <x v="0"/>
    <s v="Makeup"/>
    <s v="Matte Lipstick Set"/>
    <n v="3"/>
    <n v="1014.46"/>
    <n v="0"/>
    <n v="3043.38"/>
    <n v="1765.82"/>
    <s v="Net Banking"/>
    <s v="2025-03"/>
    <s v="No discount"/>
    <n v="0.58021673271165608"/>
    <s v="No"/>
  </r>
  <r>
    <s v="ORD-100094"/>
    <d v="2025-03-16T00:00:00"/>
    <s v="CUST-00499"/>
    <x v="1"/>
    <x v="1"/>
    <s v="Laptop"/>
    <s v="AirBook Slim"/>
    <n v="2"/>
    <n v="78541.149999999994"/>
    <n v="0.05"/>
    <n v="149228.18"/>
    <n v="15572.46"/>
    <s v="UPI"/>
    <s v="2025-03"/>
    <s v="1-10%"/>
    <n v="0.10435334666682929"/>
    <s v="No"/>
  </r>
  <r>
    <s v="ORD-101044"/>
    <d v="2025-03-16T00:00:00"/>
    <s v="CUST-00457"/>
    <x v="0"/>
    <x v="1"/>
    <s v="Audio"/>
    <s v="BassBoom Speaker"/>
    <n v="1"/>
    <n v="8604.5"/>
    <n v="0"/>
    <n v="8604.5"/>
    <n v="1544.63"/>
    <s v="UPI"/>
    <s v="2025-03"/>
    <s v="No discount"/>
    <n v="0.17951420768202686"/>
    <s v="No"/>
  </r>
  <r>
    <s v="ORD-101550"/>
    <d v="2025-03-16T00:00:00"/>
    <s v="CUST-00299"/>
    <x v="1"/>
    <x v="0"/>
    <s v="Makeup"/>
    <s v="Matte Lipstick Set"/>
    <n v="1"/>
    <n v="1010.86"/>
    <n v="0"/>
    <n v="1010.86"/>
    <n v="572.5"/>
    <s v="Credit Card"/>
    <s v="2025-03"/>
    <s v="No discount"/>
    <n v="0.56634944502700668"/>
    <s v="No"/>
  </r>
  <r>
    <s v="ORD-101659"/>
    <d v="2025-03-16T00:00:00"/>
    <s v="CUST-00367"/>
    <x v="3"/>
    <x v="1"/>
    <s v="Audio"/>
    <s v="SoundPods Pro"/>
    <n v="2"/>
    <n v="4900.28"/>
    <n v="0.3"/>
    <n v="6860.39"/>
    <n v="-1108.51"/>
    <s v="Credit Card"/>
    <s v="2025-03"/>
    <s v="21%+"/>
    <n v="-0.16158119290594267"/>
    <s v="Yes"/>
  </r>
  <r>
    <s v="ORD-100137"/>
    <d v="2025-03-17T00:00:00"/>
    <s v="CUST-00271"/>
    <x v="1"/>
    <x v="3"/>
    <s v="Footwear"/>
    <s v="UrbanLoafers"/>
    <n v="1"/>
    <n v="3533.12"/>
    <n v="0"/>
    <n v="3533.12"/>
    <n v="1580.82"/>
    <s v="UPI"/>
    <s v="2025-03"/>
    <s v="No discount"/>
    <n v="0.44742890136762975"/>
    <s v="No"/>
  </r>
  <r>
    <s v="ORD-100325"/>
    <d v="2025-03-17T00:00:00"/>
    <s v="CUST-00380"/>
    <x v="2"/>
    <x v="4"/>
    <s v="Fitness"/>
    <s v="ProYoga Mat"/>
    <n v="1"/>
    <n v="1351.22"/>
    <n v="0.1"/>
    <n v="1216.0999999999999"/>
    <n v="326.08999999999997"/>
    <s v="Cash on Delivery"/>
    <s v="2025-03"/>
    <s v="1-10%"/>
    <n v="0.26814406709974509"/>
    <s v="No"/>
  </r>
  <r>
    <s v="ORD-100508"/>
    <d v="2025-03-17T00:00:00"/>
    <s v="CUST-00399"/>
    <x v="0"/>
    <x v="4"/>
    <s v="Outdoor"/>
    <s v="AllWeather Tent 4P"/>
    <n v="1"/>
    <n v="12190.28"/>
    <n v="0"/>
    <n v="12190.28"/>
    <n v="4904.7700000000004"/>
    <s v="UPI"/>
    <s v="2025-03"/>
    <s v="No discount"/>
    <n v="0.40235088939712627"/>
    <s v="No"/>
  </r>
  <r>
    <s v="ORD-100692"/>
    <d v="2025-03-17T00:00:00"/>
    <s v="CUST-00087"/>
    <x v="3"/>
    <x v="0"/>
    <s v="Makeup"/>
    <s v="HD Foundation Kit"/>
    <n v="1"/>
    <n v="1476.47"/>
    <n v="0"/>
    <n v="1476.47"/>
    <n v="838.33"/>
    <s v="UPI"/>
    <s v="2025-03"/>
    <s v="No discount"/>
    <n v="0.56779345330416464"/>
    <s v="No"/>
  </r>
  <r>
    <s v="ORD-100787"/>
    <d v="2025-03-17T00:00:00"/>
    <s v="CUST-00092"/>
    <x v="2"/>
    <x v="1"/>
    <s v="Mobile"/>
    <s v="Pixel Aura 12"/>
    <n v="3"/>
    <n v="31816.43"/>
    <n v="0.1"/>
    <n v="85904.36"/>
    <n v="5568.89"/>
    <s v="Debit Card"/>
    <s v="2025-03"/>
    <s v="1-10%"/>
    <n v="6.4826628124579483E-2"/>
    <s v="No"/>
  </r>
  <r>
    <s v="ORD-100840"/>
    <d v="2025-03-17T00:00:00"/>
    <s v="CUST-00171"/>
    <x v="2"/>
    <x v="0"/>
    <s v="Makeup"/>
    <s v="Matte Lipstick Set"/>
    <n v="4"/>
    <n v="950.6"/>
    <n v="0.2"/>
    <n v="3041.92"/>
    <n v="881.13"/>
    <s v="Credit Card"/>
    <s v="2025-03"/>
    <s v="16-20%"/>
    <n v="0.28966245003155899"/>
    <s v="No"/>
  </r>
  <r>
    <s v="ORD-100627"/>
    <d v="2025-03-18T00:00:00"/>
    <s v="CUST-00188"/>
    <x v="2"/>
    <x v="2"/>
    <s v="Appliances"/>
    <s v="ColdBrew Coffee Maker"/>
    <n v="1"/>
    <n v="6726.36"/>
    <n v="0.2"/>
    <n v="5381.09"/>
    <n v="501.54"/>
    <s v="Credit Card"/>
    <s v="2025-03"/>
    <s v="16-20%"/>
    <n v="9.3204164955427243E-2"/>
    <s v="No"/>
  </r>
  <r>
    <s v="ORD-101096"/>
    <d v="2025-03-18T00:00:00"/>
    <s v="CUST-00329"/>
    <x v="0"/>
    <x v="0"/>
    <s v="Skincare"/>
    <s v="Vitamin C Serum"/>
    <n v="2"/>
    <n v="910.29"/>
    <n v="0.05"/>
    <n v="1729.55"/>
    <n v="912.35"/>
    <s v="UPI"/>
    <s v="2025-03"/>
    <s v="1-10%"/>
    <n v="0.52750715504032841"/>
    <s v="No"/>
  </r>
  <r>
    <s v="ORD-101498"/>
    <d v="2025-03-18T00:00:00"/>
    <s v="CUST-00022"/>
    <x v="2"/>
    <x v="0"/>
    <s v="Makeup"/>
    <s v="Matte Lipstick Set"/>
    <n v="2"/>
    <n v="968.95"/>
    <n v="0.05"/>
    <n v="1841.01"/>
    <n v="941.36"/>
    <s v="UPI"/>
    <s v="2025-03"/>
    <s v="1-10%"/>
    <n v="0.51132802103193353"/>
    <s v="No"/>
  </r>
  <r>
    <s v="ORD-101126"/>
    <d v="2025-03-19T00:00:00"/>
    <s v="CUST-00302"/>
    <x v="3"/>
    <x v="1"/>
    <s v="Mobile"/>
    <s v="Galaxy Nova X5"/>
    <n v="4"/>
    <n v="24487.57"/>
    <n v="0.25"/>
    <n v="73462.710000000006"/>
    <n v="-10523.57"/>
    <s v="UPI"/>
    <s v="2025-03"/>
    <s v="21%+"/>
    <n v="-0.14325050083232702"/>
    <s v="Yes"/>
  </r>
  <r>
    <s v="ORD-101760"/>
    <d v="2025-03-20T00:00:00"/>
    <s v="CUST-00376"/>
    <x v="0"/>
    <x v="1"/>
    <s v="Audio"/>
    <s v="SoundPods Pro"/>
    <n v="2"/>
    <n v="4897.78"/>
    <n v="0.15"/>
    <n v="8326.23"/>
    <n v="-234.87"/>
    <s v="UPI"/>
    <s v="2025-03"/>
    <s v="11-15%"/>
    <n v="-2.8208444878414361E-2"/>
    <s v="Yes"/>
  </r>
  <r>
    <s v="ORD-100330"/>
    <d v="2025-03-21T00:00:00"/>
    <s v="CUST-00270"/>
    <x v="2"/>
    <x v="4"/>
    <s v="Outdoor"/>
    <s v="TrailHike Backpack 60L"/>
    <n v="1"/>
    <n v="3325.9"/>
    <n v="0.3"/>
    <n v="2328.13"/>
    <n v="5.32"/>
    <s v="Net Banking"/>
    <s v="2025-03"/>
    <s v="21%+"/>
    <n v="2.2850957635527228E-3"/>
    <s v="No"/>
  </r>
  <r>
    <s v="ORD-101075"/>
    <d v="2025-03-21T00:00:00"/>
    <s v="CUST-00501"/>
    <x v="0"/>
    <x v="3"/>
    <s v="Women"/>
    <s v="Floral Summer Dress"/>
    <n v="2"/>
    <n v="1742.88"/>
    <n v="0.3"/>
    <n v="2440.0300000000002"/>
    <n v="220.03"/>
    <s v="Cash on Delivery"/>
    <s v="2025-03"/>
    <s v="21%+"/>
    <n v="9.0175120797695102E-2"/>
    <s v="No"/>
  </r>
  <r>
    <s v="ORD-101302"/>
    <d v="2025-03-21T00:00:00"/>
    <s v="CUST-00545"/>
    <x v="2"/>
    <x v="2"/>
    <s v="Decor"/>
    <s v="LED Wall Lamp"/>
    <n v="1"/>
    <n v="989.07"/>
    <n v="0"/>
    <n v="989.07"/>
    <n v="295.87"/>
    <s v="UPI"/>
    <s v="2025-03"/>
    <s v="No discount"/>
    <n v="0.29913959578189614"/>
    <s v="No"/>
  </r>
  <r>
    <s v="ORD-101332"/>
    <d v="2025-03-21T00:00:00"/>
    <s v="CUST-00421"/>
    <x v="2"/>
    <x v="0"/>
    <s v="Makeup"/>
    <s v="Matte Lipstick Set"/>
    <n v="1"/>
    <n v="1048.81"/>
    <n v="0.25"/>
    <n v="786.61"/>
    <n v="217.96"/>
    <s v="Net Banking"/>
    <s v="2025-03"/>
    <s v="21%+"/>
    <n v="0.27708775632142996"/>
    <s v="No"/>
  </r>
  <r>
    <s v="ORD-101644"/>
    <d v="2025-03-21T00:00:00"/>
    <s v="CUST-00003"/>
    <x v="2"/>
    <x v="0"/>
    <s v="Makeup"/>
    <s v="HD Foundation Kit"/>
    <n v="2"/>
    <n v="1480.06"/>
    <n v="0.1"/>
    <n v="2664.11"/>
    <n v="1148.79"/>
    <s v="Net Banking"/>
    <s v="2025-03"/>
    <s v="1-10%"/>
    <n v="0.43120967227329199"/>
    <s v="No"/>
  </r>
  <r>
    <s v="ORD-100842"/>
    <d v="2025-03-22T00:00:00"/>
    <s v="CUST-00489"/>
    <x v="1"/>
    <x v="0"/>
    <s v="Skincare"/>
    <s v="Vitamin C Serum"/>
    <n v="1"/>
    <n v="939.45"/>
    <n v="0.25"/>
    <n v="704.59"/>
    <n v="208.1"/>
    <s v="Debit Card"/>
    <s v="2025-03"/>
    <s v="21%+"/>
    <n v="0.29534906825245888"/>
    <s v="No"/>
  </r>
  <r>
    <s v="ORD-101764"/>
    <d v="2025-03-22T00:00:00"/>
    <s v="CUST-00131"/>
    <x v="1"/>
    <x v="4"/>
    <s v="Fitness"/>
    <s v="Adjustable Dumbbell 24kg"/>
    <n v="3"/>
    <n v="9781.1200000000008"/>
    <n v="0"/>
    <n v="29343.360000000001"/>
    <n v="11625.14"/>
    <s v="UPI"/>
    <s v="2025-03"/>
    <s v="No discount"/>
    <n v="0.39617617069074568"/>
    <s v="No"/>
  </r>
  <r>
    <s v="ORD-100744"/>
    <d v="2025-03-23T00:00:00"/>
    <s v="CUST-00585"/>
    <x v="3"/>
    <x v="1"/>
    <s v="Laptop"/>
    <s v="AirBook Slim"/>
    <n v="5"/>
    <n v="76618.009999999995"/>
    <n v="0"/>
    <n v="383090.05"/>
    <n v="82500.479999999996"/>
    <s v="Credit Card"/>
    <s v="2025-03"/>
    <s v="No discount"/>
    <n v="0.21535531919975473"/>
    <s v="No"/>
  </r>
  <r>
    <s v="ORD-100123"/>
    <d v="2025-03-24T00:00:00"/>
    <s v="CUST-00069"/>
    <x v="1"/>
    <x v="2"/>
    <s v="Appliances"/>
    <s v="AirFryer Deluxe"/>
    <n v="1"/>
    <n v="7889.66"/>
    <n v="0.1"/>
    <n v="7100.69"/>
    <n v="1697.69"/>
    <s v="Cash on Delivery"/>
    <s v="2025-03"/>
    <s v="1-10%"/>
    <n v="0.23908803228981973"/>
    <s v="No"/>
  </r>
  <r>
    <s v="ORD-100630"/>
    <d v="2025-03-24T00:00:00"/>
    <s v="CUST-00286"/>
    <x v="3"/>
    <x v="2"/>
    <s v="Furniture"/>
    <s v="Oakwood Study Desk"/>
    <n v="1"/>
    <n v="12979.19"/>
    <n v="0.15"/>
    <n v="11032.31"/>
    <n v="1356.52"/>
    <s v="UPI"/>
    <s v="2025-03"/>
    <s v="11-15%"/>
    <n v="0.12295883636337268"/>
    <s v="No"/>
  </r>
  <r>
    <s v="ORD-101282"/>
    <d v="2025-03-24T00:00:00"/>
    <s v="CUST-00216"/>
    <x v="3"/>
    <x v="1"/>
    <s v="Mobile"/>
    <s v="Pixel Aura 12"/>
    <n v="2"/>
    <n v="34024.720000000001"/>
    <n v="0.05"/>
    <n v="64646.97"/>
    <n v="8881.2800000000007"/>
    <s v="Credit Card"/>
    <s v="2025-03"/>
    <s v="1-10%"/>
    <n v="0.13738122606519687"/>
    <s v="No"/>
  </r>
  <r>
    <s v="ORD-101990"/>
    <d v="2025-03-25T00:00:00"/>
    <s v="CUST-00120"/>
    <x v="3"/>
    <x v="3"/>
    <s v="Footwear"/>
    <s v="UrbanLoafers"/>
    <n v="1"/>
    <n v="3364.25"/>
    <n v="0.05"/>
    <n v="3196.04"/>
    <n v="1078.3"/>
    <s v="UPI"/>
    <s v="2025-03"/>
    <s v="1-10%"/>
    <n v="0.33738626550356066"/>
    <s v="No"/>
  </r>
  <r>
    <s v="ORD-100067"/>
    <d v="2025-03-26T00:00:00"/>
    <s v="CUST-00468"/>
    <x v="0"/>
    <x v="4"/>
    <s v="Outdoor"/>
    <s v="TrailHike Backpack 60L"/>
    <n v="1"/>
    <n v="3499.8"/>
    <n v="0"/>
    <n v="3499.8"/>
    <n v="1355.17"/>
    <s v="Net Banking"/>
    <s v="2025-03"/>
    <s v="No discount"/>
    <n v="0.38721355506028915"/>
    <s v="No"/>
  </r>
  <r>
    <s v="ORD-100133"/>
    <d v="2025-03-26T00:00:00"/>
    <s v="CUST-00476"/>
    <x v="2"/>
    <x v="2"/>
    <s v="Appliances"/>
    <s v="ColdBrew Coffee Maker"/>
    <n v="1"/>
    <n v="6619.23"/>
    <n v="0.15"/>
    <n v="5626.35"/>
    <n v="794.97"/>
    <s v="UPI"/>
    <s v="2025-03"/>
    <s v="11-15%"/>
    <n v="0.14129408941853955"/>
    <s v="No"/>
  </r>
  <r>
    <s v="ORD-100537"/>
    <d v="2025-03-26T00:00:00"/>
    <s v="CUST-00153"/>
    <x v="3"/>
    <x v="2"/>
    <s v="Decor"/>
    <s v="LED Wall Lamp"/>
    <n v="1"/>
    <n v="965.53"/>
    <n v="0.05"/>
    <n v="917.25"/>
    <n v="267.33"/>
    <s v="Cash on Delivery"/>
    <s v="2025-03"/>
    <s v="1-10%"/>
    <n v="0.29144726083401468"/>
    <s v="No"/>
  </r>
  <r>
    <s v="ORD-100924"/>
    <d v="2025-03-26T00:00:00"/>
    <s v="CUST-00128"/>
    <x v="3"/>
    <x v="4"/>
    <s v="Fitness"/>
    <s v="Adjustable Dumbbell 24kg"/>
    <n v="3"/>
    <n v="10224.129999999999"/>
    <n v="0.2"/>
    <n v="24537.91"/>
    <n v="2777.51"/>
    <s v="Net Banking"/>
    <s v="2025-03"/>
    <s v="16-20%"/>
    <n v="0.11319260686831112"/>
    <s v="No"/>
  </r>
  <r>
    <s v="ORD-100962"/>
    <d v="2025-03-26T00:00:00"/>
    <s v="CUST-00001"/>
    <x v="2"/>
    <x v="3"/>
    <s v="Men"/>
    <s v="SlimFit Denim Jeans"/>
    <n v="1"/>
    <n v="1917.47"/>
    <n v="0.2"/>
    <n v="1533.98"/>
    <n v="351.37"/>
    <s v="Credit Card"/>
    <s v="2025-03"/>
    <s v="16-20%"/>
    <n v="0.22905774521180197"/>
    <s v="No"/>
  </r>
  <r>
    <s v="ORD-101279"/>
    <d v="2025-03-26T00:00:00"/>
    <s v="CUST-00057"/>
    <x v="2"/>
    <x v="0"/>
    <s v="Skincare"/>
    <s v="Vitamin C Serum"/>
    <n v="4"/>
    <n v="930.28"/>
    <n v="0.1"/>
    <n v="3349.01"/>
    <n v="1478.86"/>
    <s v="Credit Card"/>
    <s v="2025-03"/>
    <s v="1-10%"/>
    <n v="0.4415812434122322"/>
    <s v="No"/>
  </r>
  <r>
    <s v="ORD-101328"/>
    <d v="2025-03-26T00:00:00"/>
    <s v="CUST-00519"/>
    <x v="0"/>
    <x v="4"/>
    <s v="Outdoor"/>
    <s v="AllWeather Tent 4P"/>
    <n v="2"/>
    <n v="12364.69"/>
    <n v="0.1"/>
    <n v="22256.44"/>
    <n v="5451"/>
    <s v="UPI"/>
    <s v="2025-03"/>
    <s v="1-10%"/>
    <n v="0.24491787545537383"/>
    <s v="No"/>
  </r>
  <r>
    <s v="ORD-101408"/>
    <d v="2025-03-26T00:00:00"/>
    <s v="CUST-00365"/>
    <x v="3"/>
    <x v="2"/>
    <s v="Furniture"/>
    <s v="ErgoComfort Chair"/>
    <n v="1"/>
    <n v="9162.9500000000007"/>
    <n v="0"/>
    <n v="9162.9500000000007"/>
    <n v="3261.92"/>
    <s v="Debit Card"/>
    <s v="2025-03"/>
    <s v="No discount"/>
    <n v="0.35599015600870898"/>
    <s v="No"/>
  </r>
  <r>
    <s v="ORD-100110"/>
    <d v="2025-03-27T00:00:00"/>
    <s v="CUST-00289"/>
    <x v="0"/>
    <x v="4"/>
    <s v="Outdoor"/>
    <s v="AllWeather Tent 4P"/>
    <n v="1"/>
    <n v="12557.67"/>
    <n v="0"/>
    <n v="12557.67"/>
    <n v="5057.6000000000004"/>
    <s v="UPI"/>
    <s v="2025-03"/>
    <s v="No discount"/>
    <n v="0.40274987318507338"/>
    <s v="No"/>
  </r>
  <r>
    <s v="ORD-100201"/>
    <d v="2025-03-27T00:00:00"/>
    <s v="CUST-00436"/>
    <x v="3"/>
    <x v="0"/>
    <s v="Makeup"/>
    <s v="Matte Lipstick Set"/>
    <n v="2"/>
    <n v="1003.31"/>
    <n v="0"/>
    <n v="2006.62"/>
    <n v="1182.44"/>
    <s v="Debit Card"/>
    <s v="2025-03"/>
    <s v="No discount"/>
    <n v="0.58926951789576509"/>
    <s v="No"/>
  </r>
  <r>
    <s v="ORD-101991"/>
    <d v="2025-03-27T00:00:00"/>
    <s v="CUST-00026"/>
    <x v="1"/>
    <x v="0"/>
    <s v="Makeup"/>
    <s v="Matte Lipstick Set"/>
    <n v="3"/>
    <n v="984.45"/>
    <n v="0"/>
    <n v="2953.35"/>
    <n v="1531.38"/>
    <s v="Debit Card"/>
    <s v="2025-03"/>
    <s v="No discount"/>
    <n v="0.51852303316572712"/>
    <s v="No"/>
  </r>
  <r>
    <s v="ORD-100482"/>
    <d v="2025-03-28T00:00:00"/>
    <s v="CUST-00116"/>
    <x v="1"/>
    <x v="0"/>
    <s v="Makeup"/>
    <s v="HD Foundation Kit"/>
    <n v="1"/>
    <n v="1565.56"/>
    <n v="0"/>
    <n v="1565.56"/>
    <n v="921.26"/>
    <s v="UPI"/>
    <s v="2025-03"/>
    <s v="No discount"/>
    <n v="0.58845397174174097"/>
    <s v="No"/>
  </r>
  <r>
    <s v="ORD-101111"/>
    <d v="2025-03-28T00:00:00"/>
    <s v="CUST-00382"/>
    <x v="3"/>
    <x v="3"/>
    <s v="Footwear"/>
    <s v="UrbanLoafers"/>
    <n v="1"/>
    <n v="3443.82"/>
    <n v="0.2"/>
    <n v="2755.06"/>
    <n v="417.82"/>
    <s v="UPI"/>
    <s v="2025-03"/>
    <s v="16-20%"/>
    <n v="0.15165549933576764"/>
    <s v="No"/>
  </r>
  <r>
    <s v="ORD-101890"/>
    <d v="2025-03-28T00:00:00"/>
    <s v="CUST-00490"/>
    <x v="1"/>
    <x v="4"/>
    <s v="Fitness"/>
    <s v="ProYoga Mat"/>
    <n v="1"/>
    <n v="1321.75"/>
    <n v="0"/>
    <n v="1321.75"/>
    <n v="490.72"/>
    <s v="Credit Card"/>
    <s v="2025-03"/>
    <s v="No discount"/>
    <n v="0.3712653678834878"/>
    <s v="No"/>
  </r>
  <r>
    <s v="ORD-100035"/>
    <d v="2025-03-29T00:00:00"/>
    <s v="CUST-00517"/>
    <x v="3"/>
    <x v="3"/>
    <s v="Men"/>
    <s v="Oxford Casual Shirt"/>
    <n v="1"/>
    <n v="1303.04"/>
    <n v="0.05"/>
    <n v="1237.8900000000001"/>
    <n v="454.57"/>
    <s v="Debit Card"/>
    <s v="2025-03"/>
    <s v="1-10%"/>
    <n v="0.36721356501789332"/>
    <s v="No"/>
  </r>
  <r>
    <s v="ORD-100563"/>
    <d v="2025-03-29T00:00:00"/>
    <s v="CUST-00011"/>
    <x v="0"/>
    <x v="4"/>
    <s v="Outdoor"/>
    <s v="TrailHike Backpack 60L"/>
    <n v="1"/>
    <n v="3471.61"/>
    <n v="0.15"/>
    <n v="2950.87"/>
    <n v="548.14"/>
    <s v="UPI"/>
    <s v="2025-03"/>
    <s v="11-15%"/>
    <n v="0.18575538739422612"/>
    <s v="No"/>
  </r>
  <r>
    <s v="ORD-101333"/>
    <d v="2025-03-29T00:00:00"/>
    <s v="CUST-00030"/>
    <x v="3"/>
    <x v="1"/>
    <s v="Laptop"/>
    <s v="AirBook Slim"/>
    <n v="1"/>
    <n v="81293.94"/>
    <n v="0"/>
    <n v="81293.94"/>
    <n v="13402.07"/>
    <s v="UPI"/>
    <s v="2025-03"/>
    <s v="No discount"/>
    <n v="0.16485939788377829"/>
    <s v="No"/>
  </r>
  <r>
    <s v="ORD-101688"/>
    <d v="2025-03-29T00:00:00"/>
    <s v="CUST-00401"/>
    <x v="1"/>
    <x v="1"/>
    <s v="Audio"/>
    <s v="BassBoom Speaker"/>
    <n v="1"/>
    <n v="9053.92"/>
    <n v="0.1"/>
    <n v="8148.53"/>
    <n v="702.4"/>
    <s v="Credit Card"/>
    <s v="2025-03"/>
    <s v="1-10%"/>
    <n v="8.6199596737080178E-2"/>
    <s v="No"/>
  </r>
  <r>
    <s v="ORD-101830"/>
    <d v="2025-03-29T00:00:00"/>
    <s v="CUST-00006"/>
    <x v="1"/>
    <x v="2"/>
    <s v="Decor"/>
    <s v="LED Wall Lamp"/>
    <n v="1"/>
    <n v="967.6"/>
    <n v="0"/>
    <n v="967.6"/>
    <n v="311.55"/>
    <s v="UPI"/>
    <s v="2025-03"/>
    <s v="No discount"/>
    <n v="0.32198222405952875"/>
    <s v="No"/>
  </r>
  <r>
    <s v="ORD-100085"/>
    <d v="2025-03-30T00:00:00"/>
    <s v="CUST-00083"/>
    <x v="1"/>
    <x v="0"/>
    <s v="Skincare"/>
    <s v="Vitamin C Serum"/>
    <n v="2"/>
    <n v="913.29"/>
    <n v="0.25"/>
    <n v="1369.93"/>
    <n v="337.87"/>
    <s v="UPI"/>
    <s v="2025-03"/>
    <s v="21%+"/>
    <n v="0.2466330396443614"/>
    <s v="No"/>
  </r>
  <r>
    <s v="ORD-100415"/>
    <d v="2025-03-30T00:00:00"/>
    <s v="CUST-00495"/>
    <x v="3"/>
    <x v="3"/>
    <s v="Women"/>
    <s v="Knit Winter Sweater"/>
    <n v="3"/>
    <n v="2204.52"/>
    <n v="0.05"/>
    <n v="6282.88"/>
    <n v="2114.1999999999998"/>
    <s v="UPI"/>
    <s v="2025-03"/>
    <s v="1-10%"/>
    <n v="0.33650173168992559"/>
    <s v="No"/>
  </r>
  <r>
    <s v="ORD-100579"/>
    <d v="2025-03-30T00:00:00"/>
    <s v="CUST-00547"/>
    <x v="2"/>
    <x v="0"/>
    <s v="Skincare"/>
    <s v="Vitamin C Serum"/>
    <n v="2"/>
    <n v="940.57"/>
    <n v="0.1"/>
    <n v="1693.03"/>
    <n v="705.99"/>
    <s v="Debit Card"/>
    <s v="2025-03"/>
    <s v="1-10%"/>
    <n v="0.41699792679397296"/>
    <s v="No"/>
  </r>
  <r>
    <s v="ORD-101612"/>
    <d v="2025-03-30T00:00:00"/>
    <s v="CUST-00004"/>
    <x v="3"/>
    <x v="2"/>
    <s v="Furniture"/>
    <s v="ErgoComfort Chair"/>
    <n v="1"/>
    <n v="8569.42"/>
    <n v="0.15"/>
    <n v="7284.01"/>
    <n v="1393.5"/>
    <s v="Credit Card"/>
    <s v="2025-03"/>
    <s v="11-15%"/>
    <n v="0.19130945729069565"/>
    <s v="No"/>
  </r>
  <r>
    <s v="ORD-101683"/>
    <d v="2025-03-30T00:00:00"/>
    <s v="CUST-00436"/>
    <x v="2"/>
    <x v="0"/>
    <s v="Makeup"/>
    <s v="Matte Lipstick Set"/>
    <n v="1"/>
    <n v="990.2"/>
    <n v="0"/>
    <n v="990.2"/>
    <n v="574.89"/>
    <s v="Net Banking"/>
    <s v="2025-03"/>
    <s v="No discount"/>
    <n v="0.58057968087255096"/>
    <s v="No"/>
  </r>
  <r>
    <s v="ORD-101937"/>
    <d v="2025-03-30T00:00:00"/>
    <s v="CUST-00091"/>
    <x v="2"/>
    <x v="1"/>
    <s v="Laptop"/>
    <s v="ThinkPro 14"/>
    <n v="2"/>
    <n v="56316.75"/>
    <n v="0"/>
    <n v="112633.5"/>
    <n v="16213.54"/>
    <s v="UPI"/>
    <s v="2025-03"/>
    <s v="No discount"/>
    <n v="0.14394953544016656"/>
    <s v="No"/>
  </r>
  <r>
    <s v="ORD-101087"/>
    <d v="2025-03-31T00:00:00"/>
    <s v="CUST-00186"/>
    <x v="2"/>
    <x v="3"/>
    <s v="Footwear"/>
    <s v="UrbanLoafers"/>
    <n v="1"/>
    <n v="3595.98"/>
    <n v="0.05"/>
    <n v="3416.18"/>
    <n v="1335.29"/>
    <s v="UPI"/>
    <s v="2025-03"/>
    <s v="1-10%"/>
    <n v="0.3908722608293474"/>
    <s v="No"/>
  </r>
  <r>
    <s v="ORD-101544"/>
    <d v="2025-03-31T00:00:00"/>
    <s v="CUST-00049"/>
    <x v="1"/>
    <x v="0"/>
    <s v="Skincare"/>
    <s v="HydraBoost Moisturizer"/>
    <n v="4"/>
    <n v="1140.4100000000001"/>
    <n v="0.05"/>
    <n v="4333.5600000000004"/>
    <n v="2245.59"/>
    <s v="Credit Card"/>
    <s v="2025-03"/>
    <s v="1-10%"/>
    <n v="0.51818597181070525"/>
    <s v="No"/>
  </r>
  <r>
    <s v="ORD-101871"/>
    <d v="2025-03-31T00:00:00"/>
    <s v="CUST-00246"/>
    <x v="2"/>
    <x v="1"/>
    <s v="Audio"/>
    <s v="SoundPods Pro"/>
    <n v="1"/>
    <n v="4806.74"/>
    <n v="0.1"/>
    <n v="4326.07"/>
    <n v="158.65"/>
    <s v="Credit Card"/>
    <s v="2025-03"/>
    <s v="1-10%"/>
    <n v="3.6673008065056738E-2"/>
    <s v="No"/>
  </r>
  <r>
    <s v="ORD-100125"/>
    <d v="2025-04-01T00:00:00"/>
    <s v="CUST-00293"/>
    <x v="3"/>
    <x v="2"/>
    <s v="Appliances"/>
    <s v="ColdBrew Coffee Maker"/>
    <n v="1"/>
    <n v="6652.17"/>
    <n v="0"/>
    <n v="6652.17"/>
    <n v="2194.71"/>
    <s v="Credit Card"/>
    <s v="2025-04"/>
    <s v="No discount"/>
    <n v="0.32992391956308992"/>
    <s v="No"/>
  </r>
  <r>
    <s v="ORD-100565"/>
    <d v="2025-04-01T00:00:00"/>
    <s v="CUST-00558"/>
    <x v="0"/>
    <x v="2"/>
    <s v="Appliances"/>
    <s v="ColdBrew Coffee Maker"/>
    <n v="4"/>
    <n v="6355.88"/>
    <n v="0"/>
    <n v="25423.52"/>
    <n v="8446.2900000000009"/>
    <s v="Debit Card"/>
    <s v="2025-04"/>
    <s v="No discount"/>
    <n v="0.33222346866208929"/>
    <s v="No"/>
  </r>
  <r>
    <s v="ORD-100762"/>
    <d v="2025-04-01T00:00:00"/>
    <s v="CUST-00279"/>
    <x v="0"/>
    <x v="2"/>
    <s v="Decor"/>
    <s v="Ceramic Vase Set"/>
    <n v="2"/>
    <n v="1470.76"/>
    <n v="0.15"/>
    <n v="2500.29"/>
    <n v="452.62"/>
    <s v="Credit Card"/>
    <s v="2025-04"/>
    <s v="11-15%"/>
    <n v="0.18102700086789933"/>
    <s v="No"/>
  </r>
  <r>
    <s v="ORD-100598"/>
    <d v="2025-04-02T00:00:00"/>
    <s v="CUST-00088"/>
    <x v="3"/>
    <x v="2"/>
    <s v="Furniture"/>
    <s v="ErgoComfort Chair"/>
    <n v="1"/>
    <n v="8614.66"/>
    <n v="0"/>
    <n v="8614.66"/>
    <n v="2911.73"/>
    <s v="UPI"/>
    <s v="2025-04"/>
    <s v="No discount"/>
    <n v="0.33799708868370892"/>
    <s v="No"/>
  </r>
  <r>
    <s v="ORD-101497"/>
    <d v="2025-04-02T00:00:00"/>
    <s v="CUST-00417"/>
    <x v="0"/>
    <x v="2"/>
    <s v="Appliances"/>
    <s v="ColdBrew Coffee Maker"/>
    <n v="4"/>
    <n v="6543.42"/>
    <n v="0.25"/>
    <n v="19630.259999999998"/>
    <n v="1402.58"/>
    <s v="UPI"/>
    <s v="2025-04"/>
    <s v="21%+"/>
    <n v="7.1449894193963817E-2"/>
    <s v="No"/>
  </r>
  <r>
    <s v="ORD-101343"/>
    <d v="2025-04-03T00:00:00"/>
    <s v="CUST-00551"/>
    <x v="2"/>
    <x v="2"/>
    <s v="Appliances"/>
    <s v="ColdBrew Coffee Maker"/>
    <n v="1"/>
    <n v="6301.96"/>
    <n v="0"/>
    <n v="6301.96"/>
    <n v="2271.25"/>
    <s v="Cash on Delivery"/>
    <s v="2025-04"/>
    <s v="No discount"/>
    <n v="0.36040374740556907"/>
    <s v="No"/>
  </r>
  <r>
    <s v="ORD-101789"/>
    <d v="2025-04-03T00:00:00"/>
    <s v="CUST-00566"/>
    <x v="0"/>
    <x v="1"/>
    <s v="Mobile"/>
    <s v="iPhone Zeta"/>
    <n v="3"/>
    <n v="69497.899999999994"/>
    <n v="0.15"/>
    <n v="177219.64"/>
    <n v="5921.58"/>
    <s v="Debit Card"/>
    <s v="2025-04"/>
    <s v="11-15%"/>
    <n v="3.3413790931975711E-2"/>
    <s v="No"/>
  </r>
  <r>
    <s v="ORD-101940"/>
    <d v="2025-04-03T00:00:00"/>
    <s v="CUST-00298"/>
    <x v="3"/>
    <x v="1"/>
    <s v="Laptop"/>
    <s v="ThinkPro 14"/>
    <n v="2"/>
    <n v="52295.07"/>
    <n v="0.15"/>
    <n v="88901.62"/>
    <n v="1469.53"/>
    <s v="UPI"/>
    <s v="2025-04"/>
    <s v="11-15%"/>
    <n v="1.6529845012948022E-2"/>
    <s v="No"/>
  </r>
  <r>
    <s v="ORD-100568"/>
    <d v="2025-04-04T00:00:00"/>
    <s v="CUST-00006"/>
    <x v="1"/>
    <x v="4"/>
    <s v="Fitness"/>
    <s v="ProYoga Mat"/>
    <n v="3"/>
    <n v="1299.97"/>
    <n v="0"/>
    <n v="3899.91"/>
    <n v="1364.6"/>
    <s v="Cash on Delivery"/>
    <s v="2025-04"/>
    <s v="No discount"/>
    <n v="0.34990551063998909"/>
    <s v="No"/>
  </r>
  <r>
    <s v="ORD-101062"/>
    <d v="2025-04-04T00:00:00"/>
    <s v="CUST-00268"/>
    <x v="3"/>
    <x v="2"/>
    <s v="Decor"/>
    <s v="Ceramic Vase Set"/>
    <n v="1"/>
    <n v="1497.87"/>
    <n v="0.15"/>
    <n v="1273.19"/>
    <n v="205.12"/>
    <s v="Credit Card"/>
    <s v="2025-04"/>
    <s v="11-15%"/>
    <n v="0.16110714033255052"/>
    <s v="No"/>
  </r>
  <r>
    <s v="ORD-101704"/>
    <d v="2025-04-04T00:00:00"/>
    <s v="CUST-00301"/>
    <x v="1"/>
    <x v="1"/>
    <s v="Mobile"/>
    <s v="iPhone Zeta"/>
    <n v="4"/>
    <n v="69334.490000000005"/>
    <n v="0.1"/>
    <n v="249604.16"/>
    <n v="22541.5"/>
    <s v="UPI"/>
    <s v="2025-04"/>
    <s v="1-10%"/>
    <n v="9.030899164501105E-2"/>
    <s v="No"/>
  </r>
  <r>
    <s v="ORD-101720"/>
    <d v="2025-04-04T00:00:00"/>
    <s v="CUST-00001"/>
    <x v="0"/>
    <x v="4"/>
    <s v="Fitness"/>
    <s v="ProYoga Mat"/>
    <n v="1"/>
    <n v="1329.11"/>
    <n v="0"/>
    <n v="1329.11"/>
    <n v="538.05999999999995"/>
    <s v="UPI"/>
    <s v="2025-04"/>
    <s v="No discount"/>
    <n v="0.40482729044247651"/>
    <s v="No"/>
  </r>
  <r>
    <s v="ORD-100738"/>
    <d v="2025-04-05T00:00:00"/>
    <s v="CUST-00044"/>
    <x v="2"/>
    <x v="4"/>
    <s v="Outdoor"/>
    <s v="TrailHike Backpack 60L"/>
    <n v="1"/>
    <n v="3542.61"/>
    <n v="0.05"/>
    <n v="3365.48"/>
    <n v="1035.19"/>
    <s v="UPI"/>
    <s v="2025-04"/>
    <s v="1-10%"/>
    <n v="0.30759059628938518"/>
    <s v="No"/>
  </r>
  <r>
    <s v="ORD-101352"/>
    <d v="2025-04-05T00:00:00"/>
    <s v="CUST-00242"/>
    <x v="3"/>
    <x v="1"/>
    <s v="Audio"/>
    <s v="BassBoom Speaker"/>
    <n v="2"/>
    <n v="8668.02"/>
    <n v="0"/>
    <n v="17336.04"/>
    <n v="2709.6"/>
    <s v="UPI"/>
    <s v="2025-04"/>
    <s v="No discount"/>
    <n v="0.15629867028456323"/>
    <s v="No"/>
  </r>
  <r>
    <s v="ORD-101808"/>
    <d v="2025-04-05T00:00:00"/>
    <s v="CUST-00132"/>
    <x v="3"/>
    <x v="2"/>
    <s v="Appliances"/>
    <s v="ColdBrew Coffee Maker"/>
    <n v="1"/>
    <n v="6632.38"/>
    <n v="0.2"/>
    <n v="5305.9"/>
    <n v="426.66"/>
    <s v="Credit Card"/>
    <s v="2025-04"/>
    <s v="16-20%"/>
    <n v="8.0412371134020624E-2"/>
    <s v="No"/>
  </r>
  <r>
    <s v="ORD-100180"/>
    <d v="2025-04-06T00:00:00"/>
    <s v="CUST-00365"/>
    <x v="3"/>
    <x v="3"/>
    <s v="Men"/>
    <s v="Oxford Casual Shirt"/>
    <n v="2"/>
    <n v="1311.42"/>
    <n v="0.1"/>
    <n v="2360.56"/>
    <n v="808.52"/>
    <s v="Credit Card"/>
    <s v="2025-04"/>
    <s v="1-10%"/>
    <n v="0.34251194631782289"/>
    <s v="No"/>
  </r>
  <r>
    <s v="ORD-101396"/>
    <d v="2025-04-06T00:00:00"/>
    <s v="CUST-00580"/>
    <x v="0"/>
    <x v="2"/>
    <s v="Appliances"/>
    <s v="ColdBrew Coffee Maker"/>
    <n v="4"/>
    <n v="6470.75"/>
    <n v="0.25"/>
    <n v="19412.25"/>
    <n v="1219.8499999999999"/>
    <s v="Credit Card"/>
    <s v="2025-04"/>
    <s v="21%+"/>
    <n v="6.2839186596092667E-2"/>
    <s v="No"/>
  </r>
  <r>
    <s v="ORD-101800"/>
    <d v="2025-04-06T00:00:00"/>
    <s v="CUST-00551"/>
    <x v="1"/>
    <x v="4"/>
    <s v="Outdoor"/>
    <s v="TrailHike Backpack 60L"/>
    <n v="1"/>
    <n v="3610.67"/>
    <n v="0.15"/>
    <n v="3069.07"/>
    <n v="704.71"/>
    <s v="Debit Card"/>
    <s v="2025-04"/>
    <s v="11-15%"/>
    <n v="0.22961678945087599"/>
    <s v="No"/>
  </r>
  <r>
    <s v="ORD-100399"/>
    <d v="2025-04-07T00:00:00"/>
    <s v="CUST-00513"/>
    <x v="3"/>
    <x v="4"/>
    <s v="Outdoor"/>
    <s v="AllWeather Tent 4P"/>
    <n v="1"/>
    <n v="12134.75"/>
    <n v="0.05"/>
    <n v="11528.01"/>
    <n v="3306.97"/>
    <s v="UPI"/>
    <s v="2025-04"/>
    <s v="1-10%"/>
    <n v="0.2868639079945281"/>
    <s v="No"/>
  </r>
  <r>
    <s v="ORD-101685"/>
    <d v="2025-04-07T00:00:00"/>
    <s v="CUST-00520"/>
    <x v="2"/>
    <x v="3"/>
    <s v="Footwear"/>
    <s v="RunFlex Sneakers"/>
    <n v="1"/>
    <n v="2991.61"/>
    <n v="0.2"/>
    <n v="2393.29"/>
    <n v="469.02"/>
    <s v="UPI"/>
    <s v="2025-04"/>
    <s v="16-20%"/>
    <n v="0.19597290758746327"/>
    <s v="No"/>
  </r>
  <r>
    <s v="ORD-100767"/>
    <d v="2025-04-08T00:00:00"/>
    <s v="CUST-00335"/>
    <x v="2"/>
    <x v="4"/>
    <s v="Outdoor"/>
    <s v="AllWeather Tent 4P"/>
    <n v="1"/>
    <n v="11991.72"/>
    <n v="0"/>
    <n v="11991.72"/>
    <n v="4122.07"/>
    <s v="UPI"/>
    <s v="2025-04"/>
    <s v="No discount"/>
    <n v="0.34374301601438323"/>
    <s v="No"/>
  </r>
  <r>
    <s v="ORD-100785"/>
    <d v="2025-04-08T00:00:00"/>
    <s v="CUST-00360"/>
    <x v="3"/>
    <x v="0"/>
    <s v="Makeup"/>
    <s v="Matte Lipstick Set"/>
    <n v="1"/>
    <n v="963.69"/>
    <n v="0"/>
    <n v="963.69"/>
    <n v="498.72"/>
    <s v="Debit Card"/>
    <s v="2025-04"/>
    <s v="No discount"/>
    <n v="0.51751081779410391"/>
    <s v="No"/>
  </r>
  <r>
    <s v="ORD-101023"/>
    <d v="2025-04-08T00:00:00"/>
    <s v="CUST-00398"/>
    <x v="0"/>
    <x v="0"/>
    <s v="Skincare"/>
    <s v="HydraBoost Moisturizer"/>
    <n v="1"/>
    <n v="1164"/>
    <n v="0.1"/>
    <n v="1047.5999999999999"/>
    <n v="447.81"/>
    <s v="Credit Card"/>
    <s v="2025-04"/>
    <s v="1-10%"/>
    <n v="0.42746277205040095"/>
    <s v="No"/>
  </r>
  <r>
    <s v="ORD-100423"/>
    <d v="2025-04-09T00:00:00"/>
    <s v="CUST-00067"/>
    <x v="1"/>
    <x v="3"/>
    <s v="Footwear"/>
    <s v="UrbanLoafers"/>
    <n v="4"/>
    <n v="3568.85"/>
    <n v="0.05"/>
    <n v="13561.63"/>
    <n v="5095.3"/>
    <s v="Net Banking"/>
    <s v="2025-04"/>
    <s v="1-10%"/>
    <n v="0.37571442370865454"/>
    <s v="No"/>
  </r>
  <r>
    <s v="ORD-100594"/>
    <d v="2025-04-09T00:00:00"/>
    <s v="CUST-00438"/>
    <x v="3"/>
    <x v="3"/>
    <s v="Footwear"/>
    <s v="UrbanLoafers"/>
    <n v="1"/>
    <n v="3671.13"/>
    <n v="0.1"/>
    <n v="3304.02"/>
    <n v="1058.74"/>
    <s v="UPI"/>
    <s v="2025-04"/>
    <s v="1-10%"/>
    <n v="0.32043994891072086"/>
    <s v="No"/>
  </r>
  <r>
    <s v="ORD-100843"/>
    <d v="2025-04-09T00:00:00"/>
    <s v="CUST-00450"/>
    <x v="2"/>
    <x v="3"/>
    <s v="Footwear"/>
    <s v="RunFlex Sneakers"/>
    <n v="2"/>
    <n v="3095"/>
    <n v="0.1"/>
    <n v="5571"/>
    <n v="1703.33"/>
    <s v="UPI"/>
    <s v="2025-04"/>
    <s v="1-10%"/>
    <n v="0.30574941662179139"/>
    <s v="No"/>
  </r>
  <r>
    <s v="ORD-101081"/>
    <d v="2025-04-09T00:00:00"/>
    <s v="CUST-00193"/>
    <x v="2"/>
    <x v="0"/>
    <s v="Makeup"/>
    <s v="HD Foundation Kit"/>
    <n v="1"/>
    <n v="1485.21"/>
    <n v="0.05"/>
    <n v="1410.95"/>
    <n v="723.29"/>
    <s v="Credit Card"/>
    <s v="2025-04"/>
    <s v="1-10%"/>
    <n v="0.51262624472872886"/>
    <s v="No"/>
  </r>
  <r>
    <s v="ORD-101559"/>
    <d v="2025-04-09T00:00:00"/>
    <s v="CUST-00202"/>
    <x v="2"/>
    <x v="1"/>
    <s v="Audio"/>
    <s v="SoundPods Pro"/>
    <n v="3"/>
    <n v="5017.82"/>
    <n v="0.15"/>
    <n v="12795.44"/>
    <n v="498.01"/>
    <s v="Credit Card"/>
    <s v="2025-04"/>
    <s v="11-15%"/>
    <n v="3.8920896819491943E-2"/>
    <s v="No"/>
  </r>
  <r>
    <s v="ORD-101021"/>
    <d v="2025-04-10T00:00:00"/>
    <s v="CUST-00157"/>
    <x v="3"/>
    <x v="0"/>
    <s v="Makeup"/>
    <s v="HD Foundation Kit"/>
    <n v="2"/>
    <n v="1560.5"/>
    <n v="0.05"/>
    <n v="2964.95"/>
    <n v="1398.01"/>
    <s v="UPI"/>
    <s v="2025-04"/>
    <s v="1-10%"/>
    <n v="0.47151216715290312"/>
    <s v="No"/>
  </r>
  <r>
    <s v="ORD-101208"/>
    <d v="2025-04-10T00:00:00"/>
    <s v="CUST-00127"/>
    <x v="0"/>
    <x v="2"/>
    <s v="Appliances"/>
    <s v="ColdBrew Coffee Maker"/>
    <n v="3"/>
    <n v="6647.47"/>
    <n v="0"/>
    <n v="19942.41"/>
    <n v="7070.31"/>
    <s v="UPI"/>
    <s v="2025-04"/>
    <s v="No discount"/>
    <n v="0.35453638752788658"/>
    <s v="No"/>
  </r>
  <r>
    <s v="ORD-100455"/>
    <d v="2025-04-12T00:00:00"/>
    <s v="CUST-00066"/>
    <x v="3"/>
    <x v="0"/>
    <s v="Skincare"/>
    <s v="Vitamin C Serum"/>
    <n v="2"/>
    <n v="869.54"/>
    <n v="0"/>
    <n v="1739.08"/>
    <n v="893.88"/>
    <s v="Debit Card"/>
    <s v="2025-04"/>
    <s v="No discount"/>
    <n v="0.51399590588127053"/>
    <s v="No"/>
  </r>
  <r>
    <s v="ORD-100892"/>
    <d v="2025-04-12T00:00:00"/>
    <s v="CUST-00446"/>
    <x v="1"/>
    <x v="2"/>
    <s v="Decor"/>
    <s v="Ceramic Vase Set"/>
    <n v="1"/>
    <n v="1448.45"/>
    <n v="0.05"/>
    <n v="1376.03"/>
    <n v="380.12"/>
    <s v="Credit Card"/>
    <s v="2025-04"/>
    <s v="1-10%"/>
    <n v="0.27624397723886834"/>
    <s v="No"/>
  </r>
  <r>
    <s v="ORD-101149"/>
    <d v="2025-04-12T00:00:00"/>
    <s v="CUST-00341"/>
    <x v="1"/>
    <x v="0"/>
    <s v="Skincare"/>
    <s v="HydraBoost Moisturizer"/>
    <n v="2"/>
    <n v="1143.78"/>
    <n v="0.15"/>
    <n v="1944.43"/>
    <n v="806.22"/>
    <s v="UPI"/>
    <s v="2025-04"/>
    <s v="11-15%"/>
    <n v="0.41463050868377882"/>
    <s v="No"/>
  </r>
  <r>
    <s v="ORD-101223"/>
    <d v="2025-04-12T00:00:00"/>
    <s v="CUST-00535"/>
    <x v="1"/>
    <x v="0"/>
    <s v="Makeup"/>
    <s v="HD Foundation Kit"/>
    <n v="3"/>
    <n v="1548.51"/>
    <n v="0.1"/>
    <n v="4180.9799999999996"/>
    <n v="1866.14"/>
    <s v="Debit Card"/>
    <s v="2025-04"/>
    <s v="1-10%"/>
    <n v="0.44634033169256976"/>
    <s v="No"/>
  </r>
  <r>
    <s v="ORD-100270"/>
    <d v="2025-04-13T00:00:00"/>
    <s v="CUST-00185"/>
    <x v="0"/>
    <x v="0"/>
    <s v="Skincare"/>
    <s v="HydraBoost Moisturizer"/>
    <n v="1"/>
    <n v="1243.46"/>
    <n v="0.05"/>
    <n v="1181.29"/>
    <n v="548.78"/>
    <s v="UPI"/>
    <s v="2025-04"/>
    <s v="1-10%"/>
    <n v="0.46455993024574826"/>
    <s v="No"/>
  </r>
  <r>
    <s v="ORD-100475"/>
    <d v="2025-04-13T00:00:00"/>
    <s v="CUST-00401"/>
    <x v="2"/>
    <x v="2"/>
    <s v="Decor"/>
    <s v="LED Wall Lamp"/>
    <n v="3"/>
    <n v="1029.8499999999999"/>
    <n v="0.25"/>
    <n v="2317.16"/>
    <n v="180.21"/>
    <s v="Net Banking"/>
    <s v="2025-04"/>
    <s v="21%+"/>
    <n v="7.7771927704603921E-2"/>
    <s v="No"/>
  </r>
  <r>
    <s v="ORD-100669"/>
    <d v="2025-04-13T00:00:00"/>
    <s v="CUST-00592"/>
    <x v="0"/>
    <x v="0"/>
    <s v="Makeup"/>
    <s v="Matte Lipstick Set"/>
    <n v="1"/>
    <n v="1007.03"/>
    <n v="0.15"/>
    <n v="855.98"/>
    <n v="344.02"/>
    <s v="Debit Card"/>
    <s v="2025-04"/>
    <s v="11-15%"/>
    <n v="0.40190191359611205"/>
    <s v="No"/>
  </r>
  <r>
    <s v="ORD-101927"/>
    <d v="2025-04-14T00:00:00"/>
    <s v="CUST-00292"/>
    <x v="0"/>
    <x v="0"/>
    <s v="Skincare"/>
    <s v="Vitamin C Serum"/>
    <n v="1"/>
    <n v="860.88"/>
    <n v="0"/>
    <n v="860.88"/>
    <n v="456.84"/>
    <s v="Debit Card"/>
    <s v="2025-04"/>
    <s v="No discount"/>
    <n v="0.53066629495400053"/>
    <s v="No"/>
  </r>
  <r>
    <s v="ORD-100263"/>
    <d v="2025-04-15T00:00:00"/>
    <s v="CUST-00478"/>
    <x v="1"/>
    <x v="3"/>
    <s v="Footwear"/>
    <s v="RunFlex Sneakers"/>
    <n v="1"/>
    <n v="3131.86"/>
    <n v="0.1"/>
    <n v="2818.67"/>
    <n v="907.67"/>
    <s v="UPI"/>
    <s v="2025-04"/>
    <s v="1-10%"/>
    <n v="0.32202066932276568"/>
    <s v="No"/>
  </r>
  <r>
    <s v="ORD-100712"/>
    <d v="2025-04-15T00:00:00"/>
    <s v="CUST-00181"/>
    <x v="3"/>
    <x v="0"/>
    <s v="Makeup"/>
    <s v="Matte Lipstick Set"/>
    <n v="1"/>
    <n v="992.4"/>
    <n v="0.15"/>
    <n v="843.54"/>
    <n v="294.7"/>
    <s v="Credit Card"/>
    <s v="2025-04"/>
    <s v="11-15%"/>
    <n v="0.34936102615169407"/>
    <s v="No"/>
  </r>
  <r>
    <s v="ORD-100026"/>
    <d v="2025-04-16T00:00:00"/>
    <s v="CUST-00234"/>
    <x v="3"/>
    <x v="4"/>
    <s v="Fitness"/>
    <s v="Adjustable Dumbbell 24kg"/>
    <n v="1"/>
    <n v="9881.5499999999993"/>
    <n v="0.15"/>
    <n v="8399.32"/>
    <n v="1432.91"/>
    <s v="UPI"/>
    <s v="2025-04"/>
    <s v="11-15%"/>
    <n v="0.17059833415085984"/>
    <s v="No"/>
  </r>
  <r>
    <s v="ORD-101128"/>
    <d v="2025-04-16T00:00:00"/>
    <s v="CUST-00335"/>
    <x v="3"/>
    <x v="3"/>
    <s v="Footwear"/>
    <s v="UrbanLoafers"/>
    <n v="1"/>
    <n v="3544.72"/>
    <n v="0.05"/>
    <n v="3367.48"/>
    <n v="1186.03"/>
    <s v="UPI"/>
    <s v="2025-04"/>
    <s v="1-10%"/>
    <n v="0.35220105241901956"/>
    <s v="No"/>
  </r>
  <r>
    <s v="ORD-101199"/>
    <d v="2025-04-16T00:00:00"/>
    <s v="CUST-00018"/>
    <x v="2"/>
    <x v="0"/>
    <s v="Makeup"/>
    <s v="Matte Lipstick Set"/>
    <n v="2"/>
    <n v="995.98"/>
    <n v="0"/>
    <n v="1991.96"/>
    <n v="1080.72"/>
    <s v="Credit Card"/>
    <s v="2025-04"/>
    <s v="No discount"/>
    <n v="0.54254101487981687"/>
    <s v="No"/>
  </r>
  <r>
    <s v="ORD-101286"/>
    <d v="2025-04-16T00:00:00"/>
    <s v="CUST-00143"/>
    <x v="2"/>
    <x v="1"/>
    <s v="Audio"/>
    <s v="SoundPods Pro"/>
    <n v="1"/>
    <n v="4824.5"/>
    <n v="0"/>
    <n v="4824.5"/>
    <n v="734.01"/>
    <s v="UPI"/>
    <s v="2025-04"/>
    <s v="No discount"/>
    <n v="0.15214219090061146"/>
    <s v="No"/>
  </r>
  <r>
    <s v="ORD-101752"/>
    <d v="2025-04-16T00:00:00"/>
    <s v="CUST-00192"/>
    <x v="3"/>
    <x v="3"/>
    <s v="Footwear"/>
    <s v="UrbanLoafers"/>
    <n v="1"/>
    <n v="3627.97"/>
    <n v="0"/>
    <n v="3627.97"/>
    <n v="1646.1"/>
    <s v="Debit Card"/>
    <s v="2025-04"/>
    <s v="No discount"/>
    <n v="0.45372481029335965"/>
    <s v="No"/>
  </r>
  <r>
    <s v="ORD-101844"/>
    <d v="2025-04-16T00:00:00"/>
    <s v="CUST-00420"/>
    <x v="3"/>
    <x v="2"/>
    <s v="Appliances"/>
    <s v="AirFryer Deluxe"/>
    <n v="5"/>
    <n v="8112.61"/>
    <n v="0"/>
    <n v="40563.050000000003"/>
    <n v="14042.98"/>
    <s v="UPI"/>
    <s v="2025-04"/>
    <s v="No discount"/>
    <n v="0.34620128417365059"/>
    <s v="No"/>
  </r>
  <r>
    <s v="ORD-100310"/>
    <d v="2025-04-17T00:00:00"/>
    <s v="CUST-00075"/>
    <x v="1"/>
    <x v="3"/>
    <s v="Men"/>
    <s v="SlimFit Denim Jeans"/>
    <n v="1"/>
    <n v="1937.9"/>
    <n v="0.2"/>
    <n v="1550.32"/>
    <n v="255.04"/>
    <s v="Net Banking"/>
    <s v="2025-04"/>
    <s v="16-20%"/>
    <n v="0.16450797254760308"/>
    <s v="No"/>
  </r>
  <r>
    <s v="ORD-100618"/>
    <d v="2025-04-17T00:00:00"/>
    <s v="CUST-00088"/>
    <x v="1"/>
    <x v="3"/>
    <s v="Women"/>
    <s v="Floral Summer Dress"/>
    <n v="1"/>
    <n v="1794.4"/>
    <n v="0.15"/>
    <n v="1525.24"/>
    <n v="379.43"/>
    <s v="Debit Card"/>
    <s v="2025-04"/>
    <s v="11-15%"/>
    <n v="0.24876740709658809"/>
    <s v="No"/>
  </r>
  <r>
    <s v="ORD-101624"/>
    <d v="2025-04-17T00:00:00"/>
    <s v="CUST-00393"/>
    <x v="2"/>
    <x v="3"/>
    <s v="Men"/>
    <s v="Oxford Casual Shirt"/>
    <n v="2"/>
    <n v="1246.8399999999999"/>
    <n v="0.05"/>
    <n v="2369"/>
    <n v="832.66"/>
    <s v="Net Banking"/>
    <s v="2025-04"/>
    <s v="1-10%"/>
    <n v="0.35148163782186576"/>
    <s v="No"/>
  </r>
  <r>
    <s v="ORD-100061"/>
    <d v="2025-04-18T00:00:00"/>
    <s v="CUST-00193"/>
    <x v="3"/>
    <x v="2"/>
    <s v="Appliances"/>
    <s v="ColdBrew Coffee Maker"/>
    <n v="3"/>
    <n v="6469.64"/>
    <n v="0.1"/>
    <n v="17468.03"/>
    <n v="3496.42"/>
    <s v="Cash on Delivery"/>
    <s v="2025-04"/>
    <s v="1-10%"/>
    <n v="0.20016109429626583"/>
    <s v="No"/>
  </r>
  <r>
    <s v="ORD-100194"/>
    <d v="2025-04-18T00:00:00"/>
    <s v="CUST-00415"/>
    <x v="3"/>
    <x v="1"/>
    <s v="Audio"/>
    <s v="SoundPods Pro"/>
    <n v="4"/>
    <n v="5007"/>
    <n v="0.15"/>
    <n v="17023.8"/>
    <n v="198.38"/>
    <s v="Credit Card"/>
    <s v="2025-04"/>
    <s v="11-15%"/>
    <n v="1.1653097428306254E-2"/>
    <s v="No"/>
  </r>
  <r>
    <s v="ORD-101512"/>
    <d v="2025-04-18T00:00:00"/>
    <s v="CUST-00470"/>
    <x v="0"/>
    <x v="2"/>
    <s v="Decor"/>
    <s v="LED Wall Lamp"/>
    <n v="1"/>
    <n v="1029.24"/>
    <n v="0.05"/>
    <n v="977.78"/>
    <n v="290.07"/>
    <s v="UPI"/>
    <s v="2025-04"/>
    <s v="1-10%"/>
    <n v="0.2966618257685778"/>
    <s v="No"/>
  </r>
  <r>
    <s v="ORD-101625"/>
    <d v="2025-04-18T00:00:00"/>
    <s v="CUST-00038"/>
    <x v="1"/>
    <x v="1"/>
    <s v="Mobile"/>
    <s v="Pixel Aura 12"/>
    <n v="3"/>
    <n v="33784.86"/>
    <n v="0.05"/>
    <n v="96286.85"/>
    <n v="15575.56"/>
    <s v="Credit Card"/>
    <s v="2025-04"/>
    <s v="1-10%"/>
    <n v="0.1617620682367322"/>
    <s v="No"/>
  </r>
  <r>
    <s v="ORD-100426"/>
    <d v="2025-04-19T00:00:00"/>
    <s v="CUST-00100"/>
    <x v="0"/>
    <x v="4"/>
    <s v="Outdoor"/>
    <s v="TrailHike Backpack 60L"/>
    <n v="1"/>
    <n v="3582.75"/>
    <n v="0.1"/>
    <n v="3224.47"/>
    <n v="909.15"/>
    <s v="UPI"/>
    <s v="2025-04"/>
    <s v="1-10%"/>
    <n v="0.28195331325768269"/>
    <s v="No"/>
  </r>
  <r>
    <s v="ORD-100826"/>
    <d v="2025-04-19T00:00:00"/>
    <s v="CUST-00582"/>
    <x v="1"/>
    <x v="0"/>
    <s v="Skincare"/>
    <s v="Vitamin C Serum"/>
    <n v="1"/>
    <n v="893.07"/>
    <n v="0.2"/>
    <n v="714.46"/>
    <n v="224.49"/>
    <s v="Debit Card"/>
    <s v="2025-04"/>
    <s v="16-20%"/>
    <n v="0.31420933292276682"/>
    <s v="No"/>
  </r>
  <r>
    <s v="ORD-100885"/>
    <d v="2025-04-19T00:00:00"/>
    <s v="CUST-00093"/>
    <x v="0"/>
    <x v="3"/>
    <s v="Footwear"/>
    <s v="RunFlex Sneakers"/>
    <n v="1"/>
    <n v="2884.35"/>
    <n v="0.1"/>
    <n v="2595.91"/>
    <n v="784.74"/>
    <s v="UPI"/>
    <s v="2025-04"/>
    <s v="1-10%"/>
    <n v="0.30229861589962675"/>
    <s v="No"/>
  </r>
  <r>
    <s v="ORD-101160"/>
    <d v="2025-04-19T00:00:00"/>
    <s v="CUST-00099"/>
    <x v="3"/>
    <x v="4"/>
    <s v="Outdoor"/>
    <s v="AllWeather Tent 4P"/>
    <n v="1"/>
    <n v="11942.5"/>
    <n v="0"/>
    <n v="11942.5"/>
    <n v="4064.01"/>
    <s v="Cash on Delivery"/>
    <s v="2025-04"/>
    <s v="No discount"/>
    <n v="0.34029809503872727"/>
    <s v="No"/>
  </r>
  <r>
    <s v="ORD-101385"/>
    <d v="2025-04-19T00:00:00"/>
    <s v="CUST-00051"/>
    <x v="2"/>
    <x v="2"/>
    <s v="Appliances"/>
    <s v="ColdBrew Coffee Maker"/>
    <n v="1"/>
    <n v="6394.88"/>
    <n v="0.2"/>
    <n v="5115.8999999999996"/>
    <n v="486.24"/>
    <s v="Debit Card"/>
    <s v="2025-04"/>
    <s v="16-20%"/>
    <n v="9.504486014191052E-2"/>
    <s v="No"/>
  </r>
  <r>
    <s v="ORD-101453"/>
    <d v="2025-04-20T00:00:00"/>
    <s v="CUST-00113"/>
    <x v="3"/>
    <x v="2"/>
    <s v="Decor"/>
    <s v="Ceramic Vase Set"/>
    <n v="1"/>
    <n v="1534.84"/>
    <n v="0"/>
    <n v="1534.84"/>
    <n v="564.83000000000004"/>
    <s v="Credit Card"/>
    <s v="2025-04"/>
    <s v="No discount"/>
    <n v="0.36800578561934799"/>
    <s v="No"/>
  </r>
  <r>
    <s v="ORD-101779"/>
    <d v="2025-04-20T00:00:00"/>
    <s v="CUST-00387"/>
    <x v="2"/>
    <x v="2"/>
    <s v="Furniture"/>
    <s v="ErgoComfort Chair"/>
    <n v="1"/>
    <n v="9097.44"/>
    <n v="0.05"/>
    <n v="8642.57"/>
    <n v="2373.5100000000002"/>
    <s v="Net Banking"/>
    <s v="2025-04"/>
    <s v="1-10%"/>
    <n v="0.27463011581045921"/>
    <s v="No"/>
  </r>
  <r>
    <s v="ORD-101867"/>
    <d v="2025-04-20T00:00:00"/>
    <s v="CUST-00030"/>
    <x v="0"/>
    <x v="4"/>
    <s v="Outdoor"/>
    <s v="TrailHike Backpack 60L"/>
    <n v="2"/>
    <n v="3449.8"/>
    <n v="0.25"/>
    <n v="5174.7"/>
    <n v="474.26"/>
    <s v="Credit Card"/>
    <s v="2025-04"/>
    <s v="21%+"/>
    <n v="9.1649757473863225E-2"/>
    <s v="No"/>
  </r>
  <r>
    <s v="ORD-101962"/>
    <d v="2025-04-20T00:00:00"/>
    <s v="CUST-00239"/>
    <x v="2"/>
    <x v="2"/>
    <s v="Decor"/>
    <s v="Ceramic Vase Set"/>
    <n v="2"/>
    <n v="1438.17"/>
    <n v="0.3"/>
    <n v="2013.44"/>
    <n v="-76.959999999999994"/>
    <s v="UPI"/>
    <s v="2025-04"/>
    <s v="21%+"/>
    <n v="-3.8223140495867766E-2"/>
    <s v="Yes"/>
  </r>
  <r>
    <s v="ORD-100046"/>
    <d v="2025-04-21T00:00:00"/>
    <s v="CUST-00275"/>
    <x v="0"/>
    <x v="4"/>
    <s v="Fitness"/>
    <s v="Adjustable Dumbbell 24kg"/>
    <n v="1"/>
    <n v="10149.44"/>
    <n v="0.1"/>
    <n v="9134.5"/>
    <n v="2505.35"/>
    <s v="Debit Card"/>
    <s v="2025-04"/>
    <s v="1-10%"/>
    <n v="0.27427335924243251"/>
    <s v="No"/>
  </r>
  <r>
    <s v="ORD-100422"/>
    <d v="2025-04-21T00:00:00"/>
    <s v="CUST-00230"/>
    <x v="2"/>
    <x v="0"/>
    <s v="Skincare"/>
    <s v="HydraBoost Moisturizer"/>
    <n v="2"/>
    <n v="1235.25"/>
    <n v="0"/>
    <n v="2470.5"/>
    <n v="1398.03"/>
    <s v="UPI"/>
    <s v="2025-04"/>
    <s v="No discount"/>
    <n v="0.56588949605343042"/>
    <s v="No"/>
  </r>
  <r>
    <s v="ORD-100605"/>
    <d v="2025-04-22T00:00:00"/>
    <s v="CUST-00245"/>
    <x v="1"/>
    <x v="4"/>
    <s v="Outdoor"/>
    <s v="AllWeather Tent 4P"/>
    <n v="2"/>
    <n v="11593.77"/>
    <n v="0.05"/>
    <n v="22028.16"/>
    <n v="7023.55"/>
    <s v="UPI"/>
    <s v="2025-04"/>
    <s v="1-10%"/>
    <n v="0.31884415221244083"/>
    <s v="No"/>
  </r>
  <r>
    <s v="ORD-100614"/>
    <d v="2025-04-23T00:00:00"/>
    <s v="CUST-00377"/>
    <x v="1"/>
    <x v="3"/>
    <s v="Men"/>
    <s v="Oxford Casual Shirt"/>
    <n v="1"/>
    <n v="1309.9100000000001"/>
    <n v="0.05"/>
    <n v="1244.4100000000001"/>
    <n v="447.64"/>
    <s v="Credit Card"/>
    <s v="2025-04"/>
    <s v="1-10%"/>
    <n v="0.35972067083999643"/>
    <s v="No"/>
  </r>
  <r>
    <s v="ORD-101506"/>
    <d v="2025-04-23T00:00:00"/>
    <s v="CUST-00420"/>
    <x v="1"/>
    <x v="4"/>
    <s v="Outdoor"/>
    <s v="TrailHike Backpack 60L"/>
    <n v="1"/>
    <n v="3512.38"/>
    <n v="0.2"/>
    <n v="2809.9"/>
    <n v="331.67"/>
    <s v="UPI"/>
    <s v="2025-04"/>
    <s v="16-20%"/>
    <n v="0.11803622904729706"/>
    <s v="No"/>
  </r>
  <r>
    <s v="ORD-101747"/>
    <d v="2025-04-23T00:00:00"/>
    <s v="CUST-00327"/>
    <x v="2"/>
    <x v="4"/>
    <s v="Outdoor"/>
    <s v="TrailHike Backpack 60L"/>
    <n v="2"/>
    <n v="3580.15"/>
    <n v="0.3"/>
    <n v="5012.21"/>
    <n v="121.44"/>
    <s v="Debit Card"/>
    <s v="2025-04"/>
    <s v="21%+"/>
    <n v="2.4228833189351602E-2"/>
    <s v="No"/>
  </r>
  <r>
    <s v="ORD-101976"/>
    <d v="2025-04-23T00:00:00"/>
    <s v="CUST-00400"/>
    <x v="1"/>
    <x v="4"/>
    <s v="Outdoor"/>
    <s v="TrailHike Backpack 60L"/>
    <n v="2"/>
    <n v="3329.58"/>
    <n v="0"/>
    <n v="6659.16"/>
    <n v="2342.4699999999998"/>
    <s v="Cash on Delivery"/>
    <s v="2025-04"/>
    <s v="No discount"/>
    <n v="0.351766589179416"/>
    <s v="No"/>
  </r>
  <r>
    <s v="ORD-100685"/>
    <d v="2025-04-24T00:00:00"/>
    <s v="CUST-00283"/>
    <x v="2"/>
    <x v="1"/>
    <s v="Audio"/>
    <s v="BassBoom Speaker"/>
    <n v="2"/>
    <n v="9096.82"/>
    <n v="0"/>
    <n v="18193.64"/>
    <n v="3575.83"/>
    <s v="Cash on Delivery"/>
    <s v="2025-04"/>
    <s v="No discount"/>
    <n v="0.19654285783383643"/>
    <s v="No"/>
  </r>
  <r>
    <s v="ORD-100729"/>
    <d v="2025-04-24T00:00:00"/>
    <s v="CUST-00415"/>
    <x v="0"/>
    <x v="0"/>
    <s v="Makeup"/>
    <s v="Matte Lipstick Set"/>
    <n v="2"/>
    <n v="954.64"/>
    <n v="0.05"/>
    <n v="1813.82"/>
    <n v="877.68"/>
    <s v="Cash on Delivery"/>
    <s v="2025-04"/>
    <s v="1-10%"/>
    <n v="0.48388483973051349"/>
    <s v="No"/>
  </r>
  <r>
    <s v="ORD-100973"/>
    <d v="2025-04-24T00:00:00"/>
    <s v="CUST-00308"/>
    <x v="0"/>
    <x v="3"/>
    <s v="Women"/>
    <s v="Floral Summer Dress"/>
    <n v="4"/>
    <n v="1762.39"/>
    <n v="0.25"/>
    <n v="5287.17"/>
    <n v="870.14"/>
    <s v="Net Banking"/>
    <s v="2025-04"/>
    <s v="21%+"/>
    <n v="0.16457575602827221"/>
    <s v="No"/>
  </r>
  <r>
    <s v="ORD-101359"/>
    <d v="2025-04-25T00:00:00"/>
    <s v="CUST-00016"/>
    <x v="0"/>
    <x v="3"/>
    <s v="Women"/>
    <s v="Floral Summer Dress"/>
    <n v="3"/>
    <n v="1727.14"/>
    <n v="0.1"/>
    <n v="4663.28"/>
    <n v="1464.87"/>
    <s v="Credit Card"/>
    <s v="2025-04"/>
    <s v="1-10%"/>
    <n v="0.31412868195776361"/>
    <s v="No"/>
  </r>
  <r>
    <s v="ORD-101401"/>
    <d v="2025-04-26T00:00:00"/>
    <s v="CUST-00097"/>
    <x v="1"/>
    <x v="0"/>
    <s v="Makeup"/>
    <s v="HD Foundation Kit"/>
    <n v="2"/>
    <n v="1512.27"/>
    <n v="0"/>
    <n v="3024.54"/>
    <n v="1618.24"/>
    <s v="Credit Card"/>
    <s v="2025-04"/>
    <s v="No discount"/>
    <n v="0.53503673285855036"/>
    <s v="No"/>
  </r>
  <r>
    <s v="ORD-101713"/>
    <d v="2025-04-26T00:00:00"/>
    <s v="CUST-00554"/>
    <x v="3"/>
    <x v="1"/>
    <s v="Laptop"/>
    <s v="ThinkPro 14"/>
    <n v="1"/>
    <n v="53371.72"/>
    <n v="0"/>
    <n v="53371.72"/>
    <n v="10937.05"/>
    <s v="UPI"/>
    <s v="2025-04"/>
    <s v="No discount"/>
    <n v="0.20492219475032844"/>
    <s v="No"/>
  </r>
  <r>
    <s v="ORD-101721"/>
    <d v="2025-04-26T00:00:00"/>
    <s v="CUST-00079"/>
    <x v="1"/>
    <x v="2"/>
    <s v="Decor"/>
    <s v="LED Wall Lamp"/>
    <n v="1"/>
    <n v="1002.45"/>
    <n v="0.15"/>
    <n v="852.08"/>
    <n v="159.15"/>
    <s v="UPI"/>
    <s v="2025-04"/>
    <s v="11-15%"/>
    <n v="0.18677823678527838"/>
    <s v="No"/>
  </r>
  <r>
    <s v="ORD-100078"/>
    <d v="2025-04-27T00:00:00"/>
    <s v="CUST-00575"/>
    <x v="0"/>
    <x v="1"/>
    <s v="Laptop"/>
    <s v="ThinkPro 14"/>
    <n v="1"/>
    <n v="55946.86"/>
    <n v="0.1"/>
    <n v="50352.17"/>
    <n v="3613.51"/>
    <s v="Cash on Delivery"/>
    <s v="2025-04"/>
    <s v="1-10%"/>
    <n v="7.1764732284626473E-2"/>
    <s v="No"/>
  </r>
  <r>
    <s v="ORD-100552"/>
    <d v="2025-04-27T00:00:00"/>
    <s v="CUST-00461"/>
    <x v="2"/>
    <x v="3"/>
    <s v="Women"/>
    <s v="Floral Summer Dress"/>
    <n v="1"/>
    <n v="1735.7"/>
    <n v="0.15"/>
    <n v="1475.35"/>
    <n v="355.93"/>
    <s v="Net Banking"/>
    <s v="2025-04"/>
    <s v="11-15%"/>
    <n v="0.24125122852204564"/>
    <s v="No"/>
  </r>
  <r>
    <s v="ORD-101272"/>
    <d v="2025-04-27T00:00:00"/>
    <s v="CUST-00090"/>
    <x v="3"/>
    <x v="1"/>
    <s v="Audio"/>
    <s v="SoundPods Pro"/>
    <n v="1"/>
    <n v="4851.01"/>
    <n v="0.05"/>
    <n v="4608.46"/>
    <n v="583.98"/>
    <s v="Credit Card"/>
    <s v="2025-04"/>
    <s v="1-10%"/>
    <n v="0.12671912092108861"/>
    <s v="No"/>
  </r>
  <r>
    <s v="ORD-101552"/>
    <d v="2025-04-27T00:00:00"/>
    <s v="CUST-00468"/>
    <x v="0"/>
    <x v="1"/>
    <s v="Laptop"/>
    <s v="AirBook Slim"/>
    <n v="1"/>
    <n v="79895.199999999997"/>
    <n v="0.3"/>
    <n v="55926.64"/>
    <n v="-8511.92"/>
    <s v="Net Banking"/>
    <s v="2025-04"/>
    <s v="21%+"/>
    <n v="-0.15219795074404613"/>
    <s v="Yes"/>
  </r>
  <r>
    <s v="ORD-101694"/>
    <d v="2025-04-27T00:00:00"/>
    <s v="CUST-00006"/>
    <x v="1"/>
    <x v="1"/>
    <s v="Audio"/>
    <s v="SoundPods Pro"/>
    <n v="3"/>
    <n v="5159.9799999999996"/>
    <n v="0.1"/>
    <n v="13931.95"/>
    <n v="432.27"/>
    <s v="UPI"/>
    <s v="2025-04"/>
    <s v="1-10%"/>
    <n v="3.1027243135383055E-2"/>
    <s v="No"/>
  </r>
  <r>
    <s v="ORD-100158"/>
    <d v="2025-04-28T00:00:00"/>
    <s v="CUST-00419"/>
    <x v="0"/>
    <x v="2"/>
    <s v="Furniture"/>
    <s v="Oakwood Study Desk"/>
    <n v="2"/>
    <n v="12796.9"/>
    <n v="0"/>
    <n v="25593.8"/>
    <n v="7552.75"/>
    <s v="Cash on Delivery"/>
    <s v="2025-04"/>
    <s v="No discount"/>
    <n v="0.29510076659190898"/>
    <s v="No"/>
  </r>
  <r>
    <s v="ORD-100784"/>
    <d v="2025-04-28T00:00:00"/>
    <s v="CUST-00018"/>
    <x v="2"/>
    <x v="1"/>
    <s v="Mobile"/>
    <s v="iPhone Zeta"/>
    <n v="2"/>
    <n v="68964.02"/>
    <n v="0"/>
    <n v="137928.04"/>
    <n v="24538.28"/>
    <s v="Net Banking"/>
    <s v="2025-04"/>
    <s v="No discount"/>
    <n v="0.17790639234777786"/>
    <s v="No"/>
  </r>
  <r>
    <s v="ORD-101526"/>
    <d v="2025-04-28T00:00:00"/>
    <s v="CUST-00147"/>
    <x v="0"/>
    <x v="0"/>
    <s v="Skincare"/>
    <s v="Vitamin C Serum"/>
    <n v="2"/>
    <n v="913.24"/>
    <n v="0.05"/>
    <n v="1735.16"/>
    <n v="916.55"/>
    <s v="UPI"/>
    <s v="2025-04"/>
    <s v="1-10%"/>
    <n v="0.52822218123977038"/>
    <s v="No"/>
  </r>
  <r>
    <s v="ORD-101700"/>
    <d v="2025-04-28T00:00:00"/>
    <s v="CUST-00136"/>
    <x v="3"/>
    <x v="0"/>
    <s v="Skincare"/>
    <s v="HydraBoost Moisturizer"/>
    <n v="4"/>
    <n v="1225.29"/>
    <n v="0.1"/>
    <n v="4411.04"/>
    <n v="2054.5100000000002"/>
    <s v="UPI"/>
    <s v="2025-04"/>
    <s v="1-10%"/>
    <n v="0.46576544307011503"/>
    <s v="No"/>
  </r>
  <r>
    <s v="ORD-100049"/>
    <d v="2025-04-29T00:00:00"/>
    <s v="CUST-00353"/>
    <x v="3"/>
    <x v="4"/>
    <s v="Outdoor"/>
    <s v="AllWeather Tent 4P"/>
    <n v="3"/>
    <n v="11664.94"/>
    <n v="0"/>
    <n v="34994.82"/>
    <n v="13834.96"/>
    <s v="Credit Card"/>
    <s v="2025-04"/>
    <s v="No discount"/>
    <n v="0.39534308220473768"/>
    <s v="No"/>
  </r>
  <r>
    <s v="ORD-100119"/>
    <d v="2025-04-29T00:00:00"/>
    <s v="CUST-00196"/>
    <x v="3"/>
    <x v="1"/>
    <s v="Audio"/>
    <s v="BassBoom Speaker"/>
    <n v="1"/>
    <n v="9260.9699999999993"/>
    <n v="0"/>
    <n v="9260.9699999999993"/>
    <n v="1952.8"/>
    <s v="UPI"/>
    <s v="2025-04"/>
    <s v="No discount"/>
    <n v="0.21086344087066475"/>
    <s v="No"/>
  </r>
  <r>
    <s v="ORD-100255"/>
    <d v="2025-04-29T00:00:00"/>
    <s v="CUST-00283"/>
    <x v="3"/>
    <x v="0"/>
    <s v="Skincare"/>
    <s v="Vitamin C Serum"/>
    <n v="2"/>
    <n v="879.77"/>
    <n v="0"/>
    <n v="1759.54"/>
    <n v="972.76"/>
    <s v="UPI"/>
    <s v="2025-04"/>
    <s v="No discount"/>
    <n v="0.55284904009002356"/>
    <s v="No"/>
  </r>
  <r>
    <s v="ORD-100350"/>
    <d v="2025-04-29T00:00:00"/>
    <s v="CUST-00027"/>
    <x v="2"/>
    <x v="3"/>
    <s v="Footwear"/>
    <s v="RunFlex Sneakers"/>
    <n v="2"/>
    <n v="3059.19"/>
    <n v="0.25"/>
    <n v="4588.78"/>
    <n v="453.85"/>
    <s v="UPI"/>
    <s v="2025-04"/>
    <s v="21%+"/>
    <n v="9.8904283927318384E-2"/>
    <s v="No"/>
  </r>
  <r>
    <s v="ORD-101225"/>
    <d v="2025-04-29T00:00:00"/>
    <s v="CUST-00121"/>
    <x v="1"/>
    <x v="2"/>
    <s v="Furniture"/>
    <s v="ErgoComfort Chair"/>
    <n v="1"/>
    <n v="9392.73"/>
    <n v="0.1"/>
    <n v="8453.4599999999991"/>
    <n v="1755.15"/>
    <s v="Cash on Delivery"/>
    <s v="2025-04"/>
    <s v="1-10%"/>
    <n v="0.20762504347332339"/>
    <s v="No"/>
  </r>
  <r>
    <s v="ORD-101724"/>
    <d v="2025-04-29T00:00:00"/>
    <s v="CUST-00292"/>
    <x v="2"/>
    <x v="2"/>
    <s v="Decor"/>
    <s v="LED Wall Lamp"/>
    <n v="2"/>
    <n v="1015.62"/>
    <n v="0"/>
    <n v="2031.24"/>
    <n v="738.86"/>
    <s v="Credit Card"/>
    <s v="2025-04"/>
    <s v="No discount"/>
    <n v="0.36374825229908825"/>
    <s v="No"/>
  </r>
  <r>
    <s v="ORD-101831"/>
    <d v="2025-04-29T00:00:00"/>
    <s v="CUST-00249"/>
    <x v="1"/>
    <x v="3"/>
    <s v="Women"/>
    <s v="Knit Winter Sweater"/>
    <n v="1"/>
    <n v="2252.9699999999998"/>
    <n v="0"/>
    <n v="2252.9699999999998"/>
    <n v="987.64"/>
    <s v="UPI"/>
    <s v="2025-04"/>
    <s v="No discount"/>
    <n v="0.43837245946461784"/>
    <s v="No"/>
  </r>
  <r>
    <s v="ORD-100088"/>
    <d v="2025-04-30T00:00:00"/>
    <s v="CUST-00088"/>
    <x v="2"/>
    <x v="4"/>
    <s v="Outdoor"/>
    <s v="AllWeather Tent 4P"/>
    <n v="1"/>
    <n v="11774.08"/>
    <n v="0.15"/>
    <n v="10007.969999999999"/>
    <n v="1926.55"/>
    <s v="Cash on Delivery"/>
    <s v="2025-04"/>
    <s v="11-15%"/>
    <n v="0.19250157624373376"/>
    <s v="No"/>
  </r>
  <r>
    <s v="ORD-100612"/>
    <d v="2025-04-30T00:00:00"/>
    <s v="CUST-00411"/>
    <x v="3"/>
    <x v="0"/>
    <s v="Makeup"/>
    <s v="HD Foundation Kit"/>
    <n v="1"/>
    <n v="1530.85"/>
    <n v="0"/>
    <n v="1530.85"/>
    <n v="845.09"/>
    <s v="Cash on Delivery"/>
    <s v="2025-04"/>
    <s v="No discount"/>
    <n v="0.55203971649737082"/>
    <s v="No"/>
  </r>
  <r>
    <s v="ORD-100800"/>
    <d v="2025-04-30T00:00:00"/>
    <s v="CUST-00518"/>
    <x v="2"/>
    <x v="1"/>
    <s v="Laptop"/>
    <s v="ThinkPro 14"/>
    <n v="1"/>
    <n v="55569.84"/>
    <n v="0"/>
    <n v="55569.84"/>
    <n v="8317.85"/>
    <s v="UPI"/>
    <s v="2025-04"/>
    <s v="No discount"/>
    <n v="0.14968281355497876"/>
    <s v="No"/>
  </r>
  <r>
    <s v="ORD-101336"/>
    <d v="2025-04-30T00:00:00"/>
    <s v="CUST-00138"/>
    <x v="0"/>
    <x v="1"/>
    <s v="Audio"/>
    <s v="BassBoom Speaker"/>
    <n v="1"/>
    <n v="8706.4500000000007"/>
    <n v="0"/>
    <n v="8706.4500000000007"/>
    <n v="1423.76"/>
    <s v="Debit Card"/>
    <s v="2025-04"/>
    <s v="No discount"/>
    <n v="0.16352933744522738"/>
    <s v="No"/>
  </r>
  <r>
    <s v="ORD-101375"/>
    <d v="2025-04-30T00:00:00"/>
    <s v="CUST-00319"/>
    <x v="3"/>
    <x v="2"/>
    <s v="Decor"/>
    <s v="Ceramic Vase Set"/>
    <n v="1"/>
    <n v="1567.85"/>
    <n v="0.15"/>
    <n v="1332.67"/>
    <n v="241.14"/>
    <s v="UPI"/>
    <s v="2025-04"/>
    <s v="11-15%"/>
    <n v="0.18094502014752337"/>
    <s v="No"/>
  </r>
  <r>
    <s v="ORD-101516"/>
    <d v="2025-04-30T00:00:00"/>
    <s v="CUST-00109"/>
    <x v="0"/>
    <x v="3"/>
    <s v="Men"/>
    <s v="SlimFit Denim Jeans"/>
    <n v="3"/>
    <n v="1964.99"/>
    <n v="0.15"/>
    <n v="5010.72"/>
    <n v="1162.03"/>
    <s v="Credit Card"/>
    <s v="2025-04"/>
    <s v="11-15%"/>
    <n v="0.23190878755947247"/>
    <s v="No"/>
  </r>
  <r>
    <s v="ORD-101689"/>
    <d v="2025-04-30T00:00:00"/>
    <s v="CUST-00595"/>
    <x v="1"/>
    <x v="3"/>
    <s v="Men"/>
    <s v="SlimFit Denim Jeans"/>
    <n v="2"/>
    <n v="1931.61"/>
    <n v="0.05"/>
    <n v="3670.06"/>
    <n v="1456.92"/>
    <s v="Net Banking"/>
    <s v="2025-04"/>
    <s v="1-10%"/>
    <n v="0.39697443638523622"/>
    <s v="No"/>
  </r>
  <r>
    <s v="ORD-100499"/>
    <d v="2025-05-01T00:00:00"/>
    <s v="CUST-00190"/>
    <x v="2"/>
    <x v="0"/>
    <s v="Skincare"/>
    <s v="Vitamin C Serum"/>
    <n v="1"/>
    <n v="855.31"/>
    <n v="0.1"/>
    <n v="769.78"/>
    <n v="317.43"/>
    <s v="UPI"/>
    <s v="2025-05"/>
    <s v="1-10%"/>
    <n v="0.4123645716958092"/>
    <s v="No"/>
  </r>
  <r>
    <s v="ORD-101304"/>
    <d v="2025-05-01T00:00:00"/>
    <s v="CUST-00059"/>
    <x v="2"/>
    <x v="4"/>
    <s v="Outdoor"/>
    <s v="AllWeather Tent 4P"/>
    <n v="3"/>
    <n v="11577.73"/>
    <n v="0.05"/>
    <n v="32996.53"/>
    <n v="10253.959999999999"/>
    <s v="UPI"/>
    <s v="2025-05"/>
    <s v="1-10%"/>
    <n v="0.31075873735814036"/>
    <s v="No"/>
  </r>
  <r>
    <s v="ORD-101630"/>
    <d v="2025-05-01T00:00:00"/>
    <s v="CUST-00417"/>
    <x v="2"/>
    <x v="3"/>
    <s v="Women"/>
    <s v="Floral Summer Dress"/>
    <n v="2"/>
    <n v="1781.17"/>
    <n v="0.3"/>
    <n v="2493.64"/>
    <n v="170.58"/>
    <s v="Credit Card"/>
    <s v="2025-05"/>
    <s v="21%+"/>
    <n v="6.8406024927415349E-2"/>
    <s v="No"/>
  </r>
  <r>
    <s v="ORD-101921"/>
    <d v="2025-05-01T00:00:00"/>
    <s v="CUST-00119"/>
    <x v="0"/>
    <x v="4"/>
    <s v="Fitness"/>
    <s v="ProYoga Mat"/>
    <n v="2"/>
    <n v="1263.1199999999999"/>
    <n v="0.15"/>
    <n v="2147.3000000000002"/>
    <n v="508.27"/>
    <s v="Cash on Delivery"/>
    <s v="2025-05"/>
    <s v="11-15%"/>
    <n v="0.23670190471755226"/>
    <s v="No"/>
  </r>
  <r>
    <s v="ORD-101924"/>
    <d v="2025-05-01T00:00:00"/>
    <s v="CUST-00374"/>
    <x v="0"/>
    <x v="4"/>
    <s v="Outdoor"/>
    <s v="TrailHike Backpack 60L"/>
    <n v="2"/>
    <n v="3598.27"/>
    <n v="0.2"/>
    <n v="5757.23"/>
    <n v="1049.33"/>
    <s v="Credit Card"/>
    <s v="2025-05"/>
    <s v="16-20%"/>
    <n v="0.18226299800424858"/>
    <s v="No"/>
  </r>
  <r>
    <s v="ORD-100807"/>
    <d v="2025-05-02T00:00:00"/>
    <s v="CUST-00238"/>
    <x v="1"/>
    <x v="0"/>
    <s v="Makeup"/>
    <s v="HD Foundation Kit"/>
    <n v="1"/>
    <n v="1533.91"/>
    <n v="0"/>
    <n v="1533.91"/>
    <n v="810.73"/>
    <s v="Credit Card"/>
    <s v="2025-05"/>
    <s v="No discount"/>
    <n v="0.52853818020613985"/>
    <s v="No"/>
  </r>
  <r>
    <s v="ORD-101072"/>
    <d v="2025-05-02T00:00:00"/>
    <s v="CUST-00116"/>
    <x v="2"/>
    <x v="2"/>
    <s v="Furniture"/>
    <s v="ErgoComfort Chair"/>
    <n v="1"/>
    <n v="9433.91"/>
    <n v="0.25"/>
    <n v="7075.43"/>
    <n v="535.36"/>
    <s v="Credit Card"/>
    <s v="2025-05"/>
    <s v="21%+"/>
    <n v="7.5664659250391841E-2"/>
    <s v="No"/>
  </r>
  <r>
    <s v="ORD-101365"/>
    <d v="2025-05-03T00:00:00"/>
    <s v="CUST-00077"/>
    <x v="2"/>
    <x v="3"/>
    <s v="Women"/>
    <s v="Floral Summer Dress"/>
    <n v="2"/>
    <n v="1878.15"/>
    <n v="0.1"/>
    <n v="3380.67"/>
    <n v="1013.73"/>
    <s v="UPI"/>
    <s v="2025-05"/>
    <s v="1-10%"/>
    <n v="0.29986067850455678"/>
    <s v="No"/>
  </r>
  <r>
    <s v="ORD-100210"/>
    <d v="2025-05-04T00:00:00"/>
    <s v="CUST-00393"/>
    <x v="2"/>
    <x v="1"/>
    <s v="Mobile"/>
    <s v="Galaxy Nova X5"/>
    <n v="1"/>
    <n v="24314.5"/>
    <n v="0"/>
    <n v="24314.5"/>
    <n v="4726.71"/>
    <s v="Credit Card"/>
    <s v="2025-05"/>
    <s v="No discount"/>
    <n v="0.19439881552160235"/>
    <s v="No"/>
  </r>
  <r>
    <s v="ORD-100546"/>
    <d v="2025-05-04T00:00:00"/>
    <s v="CUST-00131"/>
    <x v="3"/>
    <x v="4"/>
    <s v="Fitness"/>
    <s v="ProYoga Mat"/>
    <n v="4"/>
    <n v="1318.12"/>
    <n v="0.1"/>
    <n v="4745.2299999999996"/>
    <n v="1099.55"/>
    <s v="UPI"/>
    <s v="2025-05"/>
    <s v="1-10%"/>
    <n v="0.23171690307951354"/>
    <s v="No"/>
  </r>
  <r>
    <s v="ORD-101758"/>
    <d v="2025-05-04T00:00:00"/>
    <s v="CUST-00454"/>
    <x v="3"/>
    <x v="3"/>
    <s v="Men"/>
    <s v="SlimFit Denim Jeans"/>
    <n v="1"/>
    <n v="2038.95"/>
    <n v="0.15"/>
    <n v="1733.11"/>
    <n v="364.3"/>
    <s v="Net Banking"/>
    <s v="2025-05"/>
    <s v="11-15%"/>
    <n v="0.210200160405283"/>
    <s v="No"/>
  </r>
  <r>
    <s v="ORD-100118"/>
    <d v="2025-05-05T00:00:00"/>
    <s v="CUST-00139"/>
    <x v="1"/>
    <x v="0"/>
    <s v="Makeup"/>
    <s v="Matte Lipstick Set"/>
    <n v="1"/>
    <n v="1030.32"/>
    <n v="0.1"/>
    <n v="927.29"/>
    <n v="379.27"/>
    <s v="Credit Card"/>
    <s v="2025-05"/>
    <s v="1-10%"/>
    <n v="0.40900904787067693"/>
    <s v="No"/>
  </r>
  <r>
    <s v="ORD-100128"/>
    <d v="2025-05-05T00:00:00"/>
    <s v="CUST-00420"/>
    <x v="2"/>
    <x v="1"/>
    <s v="Laptop"/>
    <s v="AirBook Slim"/>
    <n v="1"/>
    <n v="76074.23"/>
    <n v="0.4"/>
    <n v="45644.54"/>
    <n v="-11377.37"/>
    <s v="UPI"/>
    <s v="2025-05"/>
    <s v="21%+"/>
    <n v="-0.24926026201600457"/>
    <s v="Yes"/>
  </r>
  <r>
    <s v="ORD-101751"/>
    <d v="2025-05-05T00:00:00"/>
    <s v="CUST-00137"/>
    <x v="2"/>
    <x v="1"/>
    <s v="Audio"/>
    <s v="SoundPods Pro"/>
    <n v="2"/>
    <n v="5050.72"/>
    <n v="0"/>
    <n v="10101.44"/>
    <n v="1763.7"/>
    <s v="UPI"/>
    <s v="2025-05"/>
    <s v="No discount"/>
    <n v="0.17459886907213229"/>
    <s v="No"/>
  </r>
  <r>
    <s v="ORD-100248"/>
    <d v="2025-05-06T00:00:00"/>
    <s v="CUST-00027"/>
    <x v="2"/>
    <x v="3"/>
    <s v="Men"/>
    <s v="SlimFit Denim Jeans"/>
    <n v="1"/>
    <n v="1997.19"/>
    <n v="0.1"/>
    <n v="1797.47"/>
    <n v="484.17"/>
    <s v="UPI"/>
    <s v="2025-05"/>
    <s v="1-10%"/>
    <n v="0.26936193649963558"/>
    <s v="No"/>
  </r>
  <r>
    <s v="ORD-100673"/>
    <d v="2025-05-06T00:00:00"/>
    <s v="CUST-00097"/>
    <x v="2"/>
    <x v="2"/>
    <s v="Furniture"/>
    <s v="Oakwood Study Desk"/>
    <n v="1"/>
    <n v="13182.82"/>
    <n v="0"/>
    <n v="13182.82"/>
    <n v="4781.12"/>
    <s v="Credit Card"/>
    <s v="2025-05"/>
    <s v="No discount"/>
    <n v="0.36267809163744935"/>
    <s v="No"/>
  </r>
  <r>
    <s v="ORD-101999"/>
    <d v="2025-05-06T00:00:00"/>
    <s v="CUST-00459"/>
    <x v="2"/>
    <x v="3"/>
    <s v="Men"/>
    <s v="SlimFit Denim Jeans"/>
    <n v="1"/>
    <n v="1937.55"/>
    <n v="0"/>
    <n v="1937.55"/>
    <n v="749.83"/>
    <s v="Credit Card"/>
    <s v="2025-05"/>
    <s v="No discount"/>
    <n v="0.3869990451859307"/>
    <s v="No"/>
  </r>
  <r>
    <s v="ORD-100900"/>
    <d v="2025-05-07T00:00:00"/>
    <s v="CUST-00432"/>
    <x v="3"/>
    <x v="3"/>
    <s v="Women"/>
    <s v="Knit Winter Sweater"/>
    <n v="1"/>
    <n v="2128.6"/>
    <n v="0.05"/>
    <n v="2022.17"/>
    <n v="676.54"/>
    <s v="Credit Card"/>
    <s v="2025-05"/>
    <s v="1-10%"/>
    <n v="0.33456138702482974"/>
    <s v="No"/>
  </r>
  <r>
    <s v="ORD-101626"/>
    <d v="2025-05-07T00:00:00"/>
    <s v="CUST-00236"/>
    <x v="2"/>
    <x v="2"/>
    <s v="Furniture"/>
    <s v="ErgoComfort Chair"/>
    <n v="1"/>
    <n v="8604.08"/>
    <n v="0.05"/>
    <n v="8173.88"/>
    <n v="2227.41"/>
    <s v="UPI"/>
    <s v="2025-05"/>
    <s v="1-10%"/>
    <n v="0.27250338884348679"/>
    <s v="No"/>
  </r>
  <r>
    <s v="ORD-100450"/>
    <d v="2025-05-08T00:00:00"/>
    <s v="CUST-00549"/>
    <x v="2"/>
    <x v="0"/>
    <s v="Skincare"/>
    <s v="HydraBoost Moisturizer"/>
    <n v="1"/>
    <n v="1226.31"/>
    <n v="0.05"/>
    <n v="1164.99"/>
    <n v="602.86"/>
    <s v="UPI"/>
    <s v="2025-05"/>
    <s v="1-10%"/>
    <n v="0.51748083674537981"/>
    <s v="No"/>
  </r>
  <r>
    <s v="ORD-100644"/>
    <d v="2025-05-08T00:00:00"/>
    <s v="CUST-00391"/>
    <x v="3"/>
    <x v="3"/>
    <s v="Women"/>
    <s v="Knit Winter Sweater"/>
    <n v="1"/>
    <n v="2176.62"/>
    <n v="0.3"/>
    <n v="1523.63"/>
    <n v="73.78"/>
    <s v="Credit Card"/>
    <s v="2025-05"/>
    <s v="21%+"/>
    <n v="4.8423829932463913E-2"/>
    <s v="No"/>
  </r>
  <r>
    <s v="ORD-100660"/>
    <d v="2025-05-08T00:00:00"/>
    <s v="CUST-00247"/>
    <x v="0"/>
    <x v="0"/>
    <s v="Skincare"/>
    <s v="Vitamin C Serum"/>
    <n v="1"/>
    <n v="928.88"/>
    <n v="0"/>
    <n v="928.88"/>
    <n v="547.76"/>
    <s v="Credit Card"/>
    <s v="2025-05"/>
    <s v="No discount"/>
    <n v="0.58969942296098532"/>
    <s v="No"/>
  </r>
  <r>
    <s v="ORD-100173"/>
    <d v="2025-05-09T00:00:00"/>
    <s v="CUST-00017"/>
    <x v="1"/>
    <x v="1"/>
    <s v="Audio"/>
    <s v="SoundPods Pro"/>
    <n v="1"/>
    <n v="4935.6099999999997"/>
    <n v="0.05"/>
    <n v="4688.83"/>
    <n v="618.58000000000004"/>
    <s v="Credit Card"/>
    <s v="2025-05"/>
    <s v="1-10%"/>
    <n v="0.13192630144407028"/>
    <s v="No"/>
  </r>
  <r>
    <s v="ORD-100328"/>
    <d v="2025-05-09T00:00:00"/>
    <s v="CUST-00573"/>
    <x v="2"/>
    <x v="4"/>
    <s v="Fitness"/>
    <s v="Adjustable Dumbbell 24kg"/>
    <n v="1"/>
    <n v="9925.08"/>
    <n v="0"/>
    <n v="9925.08"/>
    <n v="3839.31"/>
    <s v="Credit Card"/>
    <s v="2025-05"/>
    <s v="No discount"/>
    <n v="0.38682912379547568"/>
    <s v="No"/>
  </r>
  <r>
    <s v="ORD-100925"/>
    <d v="2025-05-09T00:00:00"/>
    <s v="CUST-00100"/>
    <x v="3"/>
    <x v="1"/>
    <s v="Mobile"/>
    <s v="Pixel Aura 12"/>
    <n v="2"/>
    <n v="33961.31"/>
    <n v="0.1"/>
    <n v="61130.36"/>
    <n v="5059.12"/>
    <s v="Credit Card"/>
    <s v="2025-05"/>
    <s v="1-10%"/>
    <n v="8.275953225205937E-2"/>
    <s v="No"/>
  </r>
  <r>
    <s v="ORD-101055"/>
    <d v="2025-05-09T00:00:00"/>
    <s v="CUST-00280"/>
    <x v="2"/>
    <x v="3"/>
    <s v="Women"/>
    <s v="Floral Summer Dress"/>
    <n v="1"/>
    <n v="1794.28"/>
    <n v="0.15"/>
    <n v="1525.14"/>
    <n v="343.72"/>
    <s v="UPI"/>
    <s v="2025-05"/>
    <s v="11-15%"/>
    <n v="0.22536947427777124"/>
    <s v="No"/>
  </r>
  <r>
    <s v="ORD-100786"/>
    <d v="2025-05-10T00:00:00"/>
    <s v="CUST-00532"/>
    <x v="3"/>
    <x v="0"/>
    <s v="Makeup"/>
    <s v="HD Foundation Kit"/>
    <n v="1"/>
    <n v="1548.13"/>
    <n v="0.05"/>
    <n v="1470.72"/>
    <n v="700.93"/>
    <s v="Credit Card"/>
    <s v="2025-05"/>
    <s v="1-10%"/>
    <n v="0.47658969756309832"/>
    <s v="No"/>
  </r>
  <r>
    <s v="ORD-101273"/>
    <d v="2025-05-10T00:00:00"/>
    <s v="CUST-00159"/>
    <x v="3"/>
    <x v="4"/>
    <s v="Fitness"/>
    <s v="ProYoga Mat"/>
    <n v="4"/>
    <n v="1275.73"/>
    <n v="0.05"/>
    <n v="4847.7700000000004"/>
    <n v="1659.13"/>
    <s v="Credit Card"/>
    <s v="2025-05"/>
    <s v="1-10%"/>
    <n v="0.34224602239792729"/>
    <s v="No"/>
  </r>
  <r>
    <s v="ORD-101521"/>
    <d v="2025-05-10T00:00:00"/>
    <s v="CUST-00352"/>
    <x v="1"/>
    <x v="1"/>
    <s v="Mobile"/>
    <s v="Pixel Aura 12"/>
    <n v="4"/>
    <n v="34546.42"/>
    <n v="0.05"/>
    <n v="131276.4"/>
    <n v="12211.61"/>
    <s v="UPI"/>
    <s v="2025-05"/>
    <s v="1-10%"/>
    <n v="9.3022127358763654E-2"/>
    <s v="No"/>
  </r>
  <r>
    <s v="ORD-101978"/>
    <d v="2025-05-10T00:00:00"/>
    <s v="CUST-00028"/>
    <x v="1"/>
    <x v="3"/>
    <s v="Men"/>
    <s v="SlimFit Denim Jeans"/>
    <n v="1"/>
    <n v="2056.34"/>
    <n v="0.2"/>
    <n v="1645.07"/>
    <n v="305.02"/>
    <s v="Credit Card"/>
    <s v="2025-05"/>
    <s v="16-20%"/>
    <n v="0.18541460241813418"/>
    <s v="No"/>
  </r>
  <r>
    <s v="ORD-100062"/>
    <d v="2025-05-11T00:00:00"/>
    <s v="CUST-00246"/>
    <x v="0"/>
    <x v="0"/>
    <s v="Makeup"/>
    <s v="HD Foundation Kit"/>
    <n v="2"/>
    <n v="1454.56"/>
    <n v="0.15"/>
    <n v="2472.75"/>
    <n v="943.2"/>
    <s v="Credit Card"/>
    <s v="2025-05"/>
    <s v="11-15%"/>
    <n v="0.38143767060964517"/>
    <s v="No"/>
  </r>
  <r>
    <s v="ORD-100493"/>
    <d v="2025-05-11T00:00:00"/>
    <s v="CUST-00167"/>
    <x v="3"/>
    <x v="2"/>
    <s v="Decor"/>
    <s v="LED Wall Lamp"/>
    <n v="1"/>
    <n v="1031.3"/>
    <n v="0.1"/>
    <n v="928.17"/>
    <n v="163.38999999999999"/>
    <s v="UPI"/>
    <s v="2025-05"/>
    <s v="1-10%"/>
    <n v="0.17603456263400022"/>
    <s v="No"/>
  </r>
  <r>
    <s v="ORD-100039"/>
    <d v="2025-05-12T00:00:00"/>
    <s v="CUST-00345"/>
    <x v="3"/>
    <x v="2"/>
    <s v="Decor"/>
    <s v="LED Wall Lamp"/>
    <n v="1"/>
    <n v="1028.96"/>
    <n v="0.15"/>
    <n v="874.62"/>
    <n v="165.59"/>
    <s v="UPI"/>
    <s v="2025-05"/>
    <s v="11-15%"/>
    <n v="0.18932793670393999"/>
    <s v="No"/>
  </r>
  <r>
    <s v="ORD-101986"/>
    <d v="2025-05-12T00:00:00"/>
    <s v="CUST-00189"/>
    <x v="3"/>
    <x v="1"/>
    <s v="Audio"/>
    <s v="BassBoom Speaker"/>
    <n v="5"/>
    <n v="9089.2000000000007"/>
    <n v="0.15"/>
    <n v="38629.1"/>
    <n v="184.2"/>
    <s v="Debit Card"/>
    <s v="2025-05"/>
    <s v="11-15%"/>
    <n v="4.7684258758293619E-3"/>
    <s v="No"/>
  </r>
  <r>
    <s v="ORD-100550"/>
    <d v="2025-05-13T00:00:00"/>
    <s v="CUST-00370"/>
    <x v="1"/>
    <x v="1"/>
    <s v="Laptop"/>
    <s v="ThinkPro 14"/>
    <n v="1"/>
    <n v="53193.58"/>
    <n v="0"/>
    <n v="53193.58"/>
    <n v="9477.48"/>
    <s v="Net Banking"/>
    <s v="2025-05"/>
    <s v="No discount"/>
    <n v="0.1781696212212075"/>
    <s v="No"/>
  </r>
  <r>
    <s v="ORD-100944"/>
    <d v="2025-05-13T00:00:00"/>
    <s v="CUST-00385"/>
    <x v="2"/>
    <x v="2"/>
    <s v="Appliances"/>
    <s v="AirFryer Deluxe"/>
    <n v="3"/>
    <n v="7951.09"/>
    <n v="0.1"/>
    <n v="21467.94"/>
    <n v="4227.3999999999996"/>
    <s v="UPI"/>
    <s v="2025-05"/>
    <s v="1-10%"/>
    <n v="0.19691689095460485"/>
    <s v="No"/>
  </r>
  <r>
    <s v="ORD-101027"/>
    <d v="2025-05-13T00:00:00"/>
    <s v="CUST-00544"/>
    <x v="2"/>
    <x v="3"/>
    <s v="Footwear"/>
    <s v="UrbanLoafers"/>
    <n v="2"/>
    <n v="3376.77"/>
    <n v="0.15"/>
    <n v="5740.51"/>
    <n v="1336.5"/>
    <s v="Debit Card"/>
    <s v="2025-05"/>
    <s v="11-15%"/>
    <n v="0.23281903524251329"/>
    <s v="No"/>
  </r>
  <r>
    <s v="ORD-101468"/>
    <d v="2025-05-13T00:00:00"/>
    <s v="CUST-00293"/>
    <x v="2"/>
    <x v="0"/>
    <s v="Makeup"/>
    <s v="HD Foundation Kit"/>
    <n v="2"/>
    <n v="1446.98"/>
    <n v="0.3"/>
    <n v="2025.77"/>
    <n v="464.67"/>
    <s v="Credit Card"/>
    <s v="2025-05"/>
    <s v="21%+"/>
    <n v="0.22937944584034714"/>
    <s v="No"/>
  </r>
  <r>
    <s v="ORD-101778"/>
    <d v="2025-05-13T00:00:00"/>
    <s v="CUST-00280"/>
    <x v="1"/>
    <x v="2"/>
    <s v="Appliances"/>
    <s v="AirFryer Deluxe"/>
    <n v="2"/>
    <n v="7652.01"/>
    <n v="0.05"/>
    <n v="14538.82"/>
    <n v="4086.75"/>
    <s v="Net Banking"/>
    <s v="2025-05"/>
    <s v="1-10%"/>
    <n v="0.28109227571426015"/>
    <s v="No"/>
  </r>
  <r>
    <s v="ORD-101806"/>
    <d v="2025-05-13T00:00:00"/>
    <s v="CUST-00118"/>
    <x v="3"/>
    <x v="4"/>
    <s v="Outdoor"/>
    <s v="AllWeather Tent 4P"/>
    <n v="1"/>
    <n v="12290.59"/>
    <n v="0"/>
    <n v="12290.59"/>
    <n v="4741.51"/>
    <s v="Credit Card"/>
    <s v="2025-05"/>
    <s v="No discount"/>
    <n v="0.38578375814342519"/>
    <s v="No"/>
  </r>
  <r>
    <s v="ORD-100691"/>
    <d v="2025-05-14T00:00:00"/>
    <s v="CUST-00007"/>
    <x v="0"/>
    <x v="2"/>
    <s v="Decor"/>
    <s v="Ceramic Vase Set"/>
    <n v="1"/>
    <n v="1483.05"/>
    <n v="0.1"/>
    <n v="1334.74"/>
    <n v="332.14"/>
    <s v="Cash on Delivery"/>
    <s v="2025-05"/>
    <s v="1-10%"/>
    <n v="0.24884247119289149"/>
    <s v="No"/>
  </r>
  <r>
    <s v="ORD-100737"/>
    <d v="2025-05-14T00:00:00"/>
    <s v="CUST-00294"/>
    <x v="2"/>
    <x v="2"/>
    <s v="Furniture"/>
    <s v="ErgoComfort Chair"/>
    <n v="1"/>
    <n v="8876.01"/>
    <n v="0"/>
    <n v="8876.01"/>
    <n v="2637.4"/>
    <s v="Debit Card"/>
    <s v="2025-05"/>
    <s v="No discount"/>
    <n v="0.29713801584270411"/>
    <s v="No"/>
  </r>
  <r>
    <s v="ORD-100980"/>
    <d v="2025-05-14T00:00:00"/>
    <s v="CUST-00580"/>
    <x v="1"/>
    <x v="2"/>
    <s v="Furniture"/>
    <s v="Oakwood Study Desk"/>
    <n v="1"/>
    <n v="12664.59"/>
    <n v="0.15"/>
    <n v="10764.9"/>
    <n v="1691.15"/>
    <s v="Credit Card"/>
    <s v="2025-05"/>
    <s v="11-15%"/>
    <n v="0.15709853319584949"/>
    <s v="No"/>
  </r>
  <r>
    <s v="ORD-101729"/>
    <d v="2025-05-14T00:00:00"/>
    <s v="CUST-00572"/>
    <x v="1"/>
    <x v="0"/>
    <s v="Makeup"/>
    <s v="HD Foundation Kit"/>
    <n v="1"/>
    <n v="1560.14"/>
    <n v="0"/>
    <n v="1560.14"/>
    <n v="908"/>
    <s v="Debit Card"/>
    <s v="2025-05"/>
    <s v="No discount"/>
    <n v="0.58199905136718499"/>
    <s v="No"/>
  </r>
  <r>
    <s v="ORD-101812"/>
    <d v="2025-05-14T00:00:00"/>
    <s v="CUST-00017"/>
    <x v="3"/>
    <x v="2"/>
    <s v="Appliances"/>
    <s v="AirFryer Deluxe"/>
    <n v="1"/>
    <n v="8179.14"/>
    <n v="0.4"/>
    <n v="4907.4799999999996"/>
    <n v="-452.69"/>
    <s v="Net Banking"/>
    <s v="2025-05"/>
    <s v="21%+"/>
    <n v="-9.2244899622616908E-2"/>
    <s v="Yes"/>
  </r>
  <r>
    <s v="ORD-101896"/>
    <d v="2025-05-14T00:00:00"/>
    <s v="CUST-00287"/>
    <x v="3"/>
    <x v="4"/>
    <s v="Outdoor"/>
    <s v="TrailHike Backpack 60L"/>
    <n v="1"/>
    <n v="3630.85"/>
    <n v="0.2"/>
    <n v="2904.68"/>
    <n v="522.03"/>
    <s v="Debit Card"/>
    <s v="2025-05"/>
    <s v="16-20%"/>
    <n v="0.17972031342523101"/>
    <s v="No"/>
  </r>
  <r>
    <s v="ORD-100454"/>
    <d v="2025-05-15T00:00:00"/>
    <s v="CUST-00483"/>
    <x v="0"/>
    <x v="2"/>
    <s v="Appliances"/>
    <s v="AirFryer Deluxe"/>
    <n v="1"/>
    <n v="8122.06"/>
    <n v="0"/>
    <n v="8122.06"/>
    <n v="2695.3"/>
    <s v="Net Banking"/>
    <s v="2025-05"/>
    <s v="No discount"/>
    <n v="0.33184930916540878"/>
    <s v="No"/>
  </r>
  <r>
    <s v="ORD-100791"/>
    <d v="2025-05-15T00:00:00"/>
    <s v="CUST-00441"/>
    <x v="0"/>
    <x v="2"/>
    <s v="Decor"/>
    <s v="LED Wall Lamp"/>
    <n v="1"/>
    <n v="994.39"/>
    <n v="0"/>
    <n v="994.39"/>
    <n v="305.66000000000003"/>
    <s v="UPI"/>
    <s v="2025-05"/>
    <s v="No discount"/>
    <n v="0.30738442663341348"/>
    <s v="No"/>
  </r>
  <r>
    <s v="ORD-100854"/>
    <d v="2025-05-15T00:00:00"/>
    <s v="CUST-00241"/>
    <x v="1"/>
    <x v="4"/>
    <s v="Outdoor"/>
    <s v="AllWeather Tent 4P"/>
    <n v="1"/>
    <n v="11610.47"/>
    <n v="0.05"/>
    <n v="11029.95"/>
    <n v="3959.81"/>
    <s v="UPI"/>
    <s v="2025-05"/>
    <s v="1-10%"/>
    <n v="0.3590052538769441"/>
    <s v="No"/>
  </r>
  <r>
    <s v="ORD-100866"/>
    <d v="2025-05-15T00:00:00"/>
    <s v="CUST-00321"/>
    <x v="2"/>
    <x v="3"/>
    <s v="Men"/>
    <s v="Oxford Casual Shirt"/>
    <n v="2"/>
    <n v="1347.25"/>
    <n v="0.1"/>
    <n v="2425.0500000000002"/>
    <n v="694.66"/>
    <s v="Credit Card"/>
    <s v="2025-05"/>
    <s v="1-10%"/>
    <n v="0.28645182573555183"/>
    <s v="No"/>
  </r>
  <r>
    <s v="ORD-100898"/>
    <d v="2025-05-15T00:00:00"/>
    <s v="CUST-00028"/>
    <x v="3"/>
    <x v="3"/>
    <s v="Women"/>
    <s v="Knit Winter Sweater"/>
    <n v="4"/>
    <n v="2249.66"/>
    <n v="0.15"/>
    <n v="7648.84"/>
    <n v="1846.95"/>
    <s v="UPI"/>
    <s v="2025-05"/>
    <s v="11-15%"/>
    <n v="0.24146798730264982"/>
    <s v="No"/>
  </r>
  <r>
    <s v="ORD-101080"/>
    <d v="2025-05-15T00:00:00"/>
    <s v="CUST-00383"/>
    <x v="1"/>
    <x v="1"/>
    <s v="Audio"/>
    <s v="SoundPods Pro"/>
    <n v="1"/>
    <n v="5220.1000000000004"/>
    <n v="0.1"/>
    <n v="4698.09"/>
    <n v="395.47"/>
    <s v="Debit Card"/>
    <s v="2025-05"/>
    <s v="1-10%"/>
    <n v="8.4176761194442853E-2"/>
    <s v="No"/>
  </r>
  <r>
    <s v="ORD-101794"/>
    <d v="2025-05-15T00:00:00"/>
    <s v="CUST-00412"/>
    <x v="1"/>
    <x v="1"/>
    <s v="Mobile"/>
    <s v="iPhone Zeta"/>
    <n v="2"/>
    <n v="71004.009999999995"/>
    <n v="0.1"/>
    <n v="127807.22"/>
    <n v="11858.82"/>
    <s v="UPI"/>
    <s v="2025-05"/>
    <s v="1-10%"/>
    <n v="9.2786776834673346E-2"/>
    <s v="No"/>
  </r>
  <r>
    <s v="ORD-101977"/>
    <d v="2025-05-15T00:00:00"/>
    <s v="CUST-00160"/>
    <x v="1"/>
    <x v="2"/>
    <s v="Furniture"/>
    <s v="ErgoComfort Chair"/>
    <n v="1"/>
    <n v="8649.43"/>
    <n v="0"/>
    <n v="8649.43"/>
    <n v="2804.05"/>
    <s v="UPI"/>
    <s v="2025-05"/>
    <s v="No discount"/>
    <n v="0.3241889928006817"/>
    <s v="No"/>
  </r>
  <r>
    <s v="ORD-100045"/>
    <d v="2025-05-16T00:00:00"/>
    <s v="CUST-00371"/>
    <x v="2"/>
    <x v="0"/>
    <s v="Skincare"/>
    <s v="HydraBoost Moisturizer"/>
    <n v="1"/>
    <n v="1147.32"/>
    <n v="0.1"/>
    <n v="1032.5899999999999"/>
    <n v="461.36"/>
    <s v="Credit Card"/>
    <s v="2025-05"/>
    <s v="1-10%"/>
    <n v="0.44679882625243322"/>
    <s v="No"/>
  </r>
  <r>
    <s v="ORD-100080"/>
    <d v="2025-05-16T00:00:00"/>
    <s v="CUST-00287"/>
    <x v="1"/>
    <x v="3"/>
    <s v="Women"/>
    <s v="Knit Winter Sweater"/>
    <n v="1"/>
    <n v="2242.21"/>
    <n v="0.25"/>
    <n v="1681.66"/>
    <n v="228.23"/>
    <s v="Debit Card"/>
    <s v="2025-05"/>
    <s v="21%+"/>
    <n v="0.13571708906675545"/>
    <s v="No"/>
  </r>
  <r>
    <s v="ORD-100369"/>
    <d v="2025-05-16T00:00:00"/>
    <s v="CUST-00263"/>
    <x v="1"/>
    <x v="1"/>
    <s v="Mobile"/>
    <s v="Galaxy Nova X5"/>
    <n v="3"/>
    <n v="24962.43"/>
    <n v="0"/>
    <n v="74887.289999999994"/>
    <n v="11075.85"/>
    <s v="Debit Card"/>
    <s v="2025-05"/>
    <s v="No discount"/>
    <n v="0.14790026451751695"/>
    <s v="No"/>
  </r>
  <r>
    <s v="ORD-100904"/>
    <d v="2025-05-16T00:00:00"/>
    <s v="CUST-00052"/>
    <x v="3"/>
    <x v="0"/>
    <s v="Makeup"/>
    <s v="Matte Lipstick Set"/>
    <n v="1"/>
    <n v="1036.18"/>
    <n v="0.1"/>
    <n v="932.56"/>
    <n v="400.81"/>
    <s v="UPI"/>
    <s v="2025-05"/>
    <s v="1-10%"/>
    <n v="0.4297954019044351"/>
    <s v="No"/>
  </r>
  <r>
    <s v="ORD-101258"/>
    <d v="2025-05-16T00:00:00"/>
    <s v="CUST-00396"/>
    <x v="1"/>
    <x v="3"/>
    <s v="Women"/>
    <s v="Knit Winter Sweater"/>
    <n v="1"/>
    <n v="2295.66"/>
    <n v="0.2"/>
    <n v="1836.53"/>
    <n v="291.08"/>
    <s v="UPI"/>
    <s v="2025-05"/>
    <s v="16-20%"/>
    <n v="0.1584945522262092"/>
    <s v="No"/>
  </r>
  <r>
    <s v="ORD-101884"/>
    <d v="2025-05-16T00:00:00"/>
    <s v="CUST-00087"/>
    <x v="2"/>
    <x v="1"/>
    <s v="Laptop"/>
    <s v="ThinkPro 14"/>
    <n v="2"/>
    <n v="55419.49"/>
    <n v="0"/>
    <n v="110838.98"/>
    <n v="21218.9"/>
    <s v="Credit Card"/>
    <s v="2025-05"/>
    <s v="No discount"/>
    <n v="0.19143896849285336"/>
    <s v="No"/>
  </r>
  <r>
    <s v="ORD-100171"/>
    <d v="2025-05-17T00:00:00"/>
    <s v="CUST-00361"/>
    <x v="3"/>
    <x v="2"/>
    <s v="Furniture"/>
    <s v="ErgoComfort Chair"/>
    <n v="2"/>
    <n v="9044.57"/>
    <n v="0"/>
    <n v="18089.14"/>
    <n v="6611.17"/>
    <s v="Debit Card"/>
    <s v="2025-05"/>
    <s v="No discount"/>
    <n v="0.36547729742818069"/>
    <s v="No"/>
  </r>
  <r>
    <s v="ORD-101140"/>
    <d v="2025-05-17T00:00:00"/>
    <s v="CUST-00299"/>
    <x v="1"/>
    <x v="1"/>
    <s v="Mobile"/>
    <s v="Pixel Aura 12"/>
    <n v="1"/>
    <n v="33272.44"/>
    <n v="0"/>
    <n v="33272.44"/>
    <n v="7288.49"/>
    <s v="Debit Card"/>
    <s v="2025-05"/>
    <s v="No discount"/>
    <n v="0.21905486943548472"/>
    <s v="No"/>
  </r>
  <r>
    <s v="ORD-101196"/>
    <d v="2025-05-17T00:00:00"/>
    <s v="CUST-00079"/>
    <x v="1"/>
    <x v="0"/>
    <s v="Makeup"/>
    <s v="HD Foundation Kit"/>
    <n v="1"/>
    <n v="1545.88"/>
    <n v="0"/>
    <n v="1545.88"/>
    <n v="862.64"/>
    <s v="Credit Card"/>
    <s v="2025-05"/>
    <s v="No discount"/>
    <n v="0.55802520247367193"/>
    <s v="No"/>
  </r>
  <r>
    <s v="ORD-101894"/>
    <d v="2025-05-17T00:00:00"/>
    <s v="CUST-00207"/>
    <x v="3"/>
    <x v="2"/>
    <s v="Appliances"/>
    <s v="ColdBrew Coffee Maker"/>
    <n v="1"/>
    <n v="6805.04"/>
    <n v="0"/>
    <n v="6805.04"/>
    <n v="2384.4699999999998"/>
    <s v="UPI"/>
    <s v="2025-05"/>
    <s v="No discount"/>
    <n v="0.35039764645027799"/>
    <s v="No"/>
  </r>
  <r>
    <s v="ORD-100662"/>
    <d v="2025-05-18T00:00:00"/>
    <s v="CUST-00341"/>
    <x v="0"/>
    <x v="3"/>
    <s v="Footwear"/>
    <s v="UrbanLoafers"/>
    <n v="2"/>
    <n v="3558.69"/>
    <n v="0.3"/>
    <n v="4982.17"/>
    <n v="439.62"/>
    <s v="Credit Card"/>
    <s v="2025-05"/>
    <s v="21%+"/>
    <n v="8.8238659058201552E-2"/>
    <s v="No"/>
  </r>
  <r>
    <s v="ORD-101582"/>
    <d v="2025-05-18T00:00:00"/>
    <s v="CUST-00152"/>
    <x v="2"/>
    <x v="3"/>
    <s v="Footwear"/>
    <s v="UrbanLoafers"/>
    <n v="1"/>
    <n v="3375.85"/>
    <n v="0.05"/>
    <n v="3207.06"/>
    <n v="1253.81"/>
    <s v="Cash on Delivery"/>
    <s v="2025-05"/>
    <s v="1-10%"/>
    <n v="0.39095308475675539"/>
    <s v="No"/>
  </r>
  <r>
    <s v="ORD-101635"/>
    <d v="2025-05-18T00:00:00"/>
    <s v="CUST-00169"/>
    <x v="3"/>
    <x v="4"/>
    <s v="Fitness"/>
    <s v="ProYoga Mat"/>
    <n v="2"/>
    <n v="1341.88"/>
    <n v="0.2"/>
    <n v="2147.0100000000002"/>
    <n v="348.03"/>
    <s v="Credit Card"/>
    <s v="2025-05"/>
    <s v="16-20%"/>
    <n v="0.16209985048975084"/>
    <s v="No"/>
  </r>
  <r>
    <s v="ORD-100238"/>
    <d v="2025-05-19T00:00:00"/>
    <s v="CUST-00180"/>
    <x v="0"/>
    <x v="2"/>
    <s v="Appliances"/>
    <s v="AirFryer Deluxe"/>
    <n v="2"/>
    <n v="8053.11"/>
    <n v="0.05"/>
    <n v="15300.91"/>
    <n v="3731.41"/>
    <s v="Debit Card"/>
    <s v="2025-05"/>
    <s v="1-10%"/>
    <n v="0.24386850193877357"/>
    <s v="No"/>
  </r>
  <r>
    <s v="ORD-100802"/>
    <d v="2025-05-19T00:00:00"/>
    <s v="CUST-00282"/>
    <x v="2"/>
    <x v="3"/>
    <s v="Men"/>
    <s v="SlimFit Denim Jeans"/>
    <n v="1"/>
    <n v="2008.33"/>
    <n v="0.15"/>
    <n v="1707.08"/>
    <n v="419.25"/>
    <s v="Credit Card"/>
    <s v="2025-05"/>
    <s v="11-15%"/>
    <n v="0.24559481688028681"/>
    <s v="No"/>
  </r>
  <r>
    <s v="ORD-101623"/>
    <d v="2025-05-19T00:00:00"/>
    <s v="CUST-00101"/>
    <x v="0"/>
    <x v="4"/>
    <s v="Outdoor"/>
    <s v="TrailHike Backpack 60L"/>
    <n v="1"/>
    <n v="3441.95"/>
    <n v="0"/>
    <n v="3441.95"/>
    <n v="1375.25"/>
    <s v="UPI"/>
    <s v="2025-05"/>
    <s v="No discount"/>
    <n v="0.39955548453638201"/>
    <s v="No"/>
  </r>
  <r>
    <s v="ORD-101757"/>
    <d v="2025-05-19T00:00:00"/>
    <s v="CUST-00479"/>
    <x v="1"/>
    <x v="1"/>
    <s v="Mobile"/>
    <s v="Galaxy Nova X5"/>
    <n v="2"/>
    <n v="24459.89"/>
    <n v="0.05"/>
    <n v="46473.79"/>
    <n v="4748.1499999999996"/>
    <s v="UPI"/>
    <s v="2025-05"/>
    <s v="1-10%"/>
    <n v="0.10216834047750355"/>
    <s v="No"/>
  </r>
  <r>
    <s v="ORD-100100"/>
    <d v="2025-05-20T00:00:00"/>
    <s v="CUST-00578"/>
    <x v="2"/>
    <x v="3"/>
    <s v="Men"/>
    <s v="SlimFit Denim Jeans"/>
    <n v="1"/>
    <n v="1929.61"/>
    <n v="0"/>
    <n v="1929.61"/>
    <n v="850.44"/>
    <s v="Cash on Delivery"/>
    <s v="2025-05"/>
    <s v="No discount"/>
    <n v="0.44073154678924764"/>
    <s v="No"/>
  </r>
  <r>
    <s v="ORD-100278"/>
    <d v="2025-05-20T00:00:00"/>
    <s v="CUST-00093"/>
    <x v="2"/>
    <x v="2"/>
    <s v="Furniture"/>
    <s v="Oakwood Study Desk"/>
    <n v="1"/>
    <n v="13243.65"/>
    <n v="0.25"/>
    <n v="9932.74"/>
    <n v="406.78"/>
    <s v="UPI"/>
    <s v="2025-05"/>
    <s v="21%+"/>
    <n v="4.0953452924369305E-2"/>
    <s v="No"/>
  </r>
  <r>
    <s v="ORD-100488"/>
    <d v="2025-05-20T00:00:00"/>
    <s v="CUST-00475"/>
    <x v="3"/>
    <x v="3"/>
    <s v="Men"/>
    <s v="SlimFit Denim Jeans"/>
    <n v="3"/>
    <n v="1997.12"/>
    <n v="0"/>
    <n v="5991.36"/>
    <n v="2671.09"/>
    <s v="Credit Card"/>
    <s v="2025-05"/>
    <s v="No discount"/>
    <n v="0.44582365272659302"/>
    <s v="No"/>
  </r>
  <r>
    <s v="ORD-100848"/>
    <d v="2025-05-20T00:00:00"/>
    <s v="CUST-00141"/>
    <x v="1"/>
    <x v="0"/>
    <s v="Makeup"/>
    <s v="HD Foundation Kit"/>
    <n v="1"/>
    <n v="1468.26"/>
    <n v="0.2"/>
    <n v="1174.6099999999999"/>
    <n v="339.19"/>
    <s v="Debit Card"/>
    <s v="2025-05"/>
    <s v="16-20%"/>
    <n v="0.28876818688756273"/>
    <s v="No"/>
  </r>
  <r>
    <s v="ORD-101772"/>
    <d v="2025-05-20T00:00:00"/>
    <s v="CUST-00177"/>
    <x v="3"/>
    <x v="0"/>
    <s v="Makeup"/>
    <s v="HD Foundation Kit"/>
    <n v="1"/>
    <n v="1502.41"/>
    <n v="0.1"/>
    <n v="1352.17"/>
    <n v="577.22"/>
    <s v="Debit Card"/>
    <s v="2025-05"/>
    <s v="1-10%"/>
    <n v="0.42688419355554402"/>
    <s v="No"/>
  </r>
  <r>
    <s v="ORD-100427"/>
    <d v="2025-05-21T00:00:00"/>
    <s v="CUST-00063"/>
    <x v="1"/>
    <x v="4"/>
    <s v="Fitness"/>
    <s v="Adjustable Dumbbell 24kg"/>
    <n v="4"/>
    <n v="9607.7800000000007"/>
    <n v="0"/>
    <n v="38431.120000000003"/>
    <n v="15569.42"/>
    <s v="UPI"/>
    <s v="2025-05"/>
    <s v="No discount"/>
    <n v="0.40512532551744523"/>
    <s v="No"/>
  </r>
  <r>
    <s v="ORD-101159"/>
    <d v="2025-05-21T00:00:00"/>
    <s v="CUST-00469"/>
    <x v="1"/>
    <x v="4"/>
    <s v="Fitness"/>
    <s v="Adjustable Dumbbell 24kg"/>
    <n v="1"/>
    <n v="10136.48"/>
    <n v="0"/>
    <n v="10136.48"/>
    <n v="4073.62"/>
    <s v="UPI"/>
    <s v="2025-05"/>
    <s v="No discount"/>
    <n v="0.40187718024402952"/>
    <s v="No"/>
  </r>
  <r>
    <s v="ORD-101251"/>
    <d v="2025-05-21T00:00:00"/>
    <s v="CUST-00505"/>
    <x v="1"/>
    <x v="3"/>
    <s v="Men"/>
    <s v="Oxford Casual Shirt"/>
    <n v="1"/>
    <n v="1359.21"/>
    <n v="0.15"/>
    <n v="1155.33"/>
    <n v="245.6"/>
    <s v="Cash on Delivery"/>
    <s v="2025-05"/>
    <s v="11-15%"/>
    <n v="0.21257995551054679"/>
    <s v="No"/>
  </r>
  <r>
    <s v="ORD-101557"/>
    <d v="2025-05-22T00:00:00"/>
    <s v="CUST-00004"/>
    <x v="1"/>
    <x v="1"/>
    <s v="Audio"/>
    <s v="SoundPods Pro"/>
    <n v="2"/>
    <n v="5212.24"/>
    <n v="0.15"/>
    <n v="8860.81"/>
    <n v="119.87"/>
    <s v="UPI"/>
    <s v="2025-05"/>
    <s v="11-15%"/>
    <n v="1.3528108604066672E-2"/>
    <s v="No"/>
  </r>
  <r>
    <s v="ORD-101710"/>
    <d v="2025-05-22T00:00:00"/>
    <s v="CUST-00192"/>
    <x v="3"/>
    <x v="4"/>
    <s v="Fitness"/>
    <s v="ProYoga Mat"/>
    <n v="1"/>
    <n v="1329.5"/>
    <n v="0.15"/>
    <n v="1130.08"/>
    <n v="267.5"/>
    <s v="Credit Card"/>
    <s v="2025-05"/>
    <s v="11-15%"/>
    <n v="0.23670890556420787"/>
    <s v="No"/>
  </r>
  <r>
    <s v="ORD-101946"/>
    <d v="2025-05-22T00:00:00"/>
    <s v="CUST-00026"/>
    <x v="3"/>
    <x v="0"/>
    <s v="Skincare"/>
    <s v="HydraBoost Moisturizer"/>
    <n v="2"/>
    <n v="1177.83"/>
    <n v="0"/>
    <n v="2355.66"/>
    <n v="1318.7"/>
    <s v="UPI"/>
    <s v="2025-05"/>
    <s v="No discount"/>
    <n v="0.55980065034852233"/>
    <s v="No"/>
  </r>
  <r>
    <s v="ORD-101954"/>
    <d v="2025-05-22T00:00:00"/>
    <s v="CUST-00390"/>
    <x v="2"/>
    <x v="1"/>
    <s v="Audio"/>
    <s v="BassBoom Speaker"/>
    <n v="1"/>
    <n v="8631.86"/>
    <n v="0.15"/>
    <n v="7337.08"/>
    <n v="138.38"/>
    <s v="UPI"/>
    <s v="2025-05"/>
    <s v="11-15%"/>
    <n v="1.8860364068539529E-2"/>
    <s v="No"/>
  </r>
  <r>
    <s v="ORD-101141"/>
    <d v="2025-05-23T00:00:00"/>
    <s v="CUST-00291"/>
    <x v="1"/>
    <x v="0"/>
    <s v="Skincare"/>
    <s v="HydraBoost Moisturizer"/>
    <n v="1"/>
    <n v="1241.25"/>
    <n v="0.05"/>
    <n v="1179.19"/>
    <n v="548.42999999999995"/>
    <s v="Credit Card"/>
    <s v="2025-05"/>
    <s v="1-10%"/>
    <n v="0.4650904434399884"/>
    <s v="No"/>
  </r>
  <r>
    <s v="ORD-101014"/>
    <d v="2025-05-24T00:00:00"/>
    <s v="CUST-00531"/>
    <x v="0"/>
    <x v="2"/>
    <s v="Appliances"/>
    <s v="ColdBrew Coffee Maker"/>
    <n v="1"/>
    <n v="6708.84"/>
    <n v="0"/>
    <n v="6708.84"/>
    <n v="2420.0300000000002"/>
    <s v="Credit Card"/>
    <s v="2025-05"/>
    <s v="No discount"/>
    <n v="0.36072256902832683"/>
    <s v="No"/>
  </r>
  <r>
    <s v="ORD-100403"/>
    <d v="2025-05-25T00:00:00"/>
    <s v="CUST-00006"/>
    <x v="2"/>
    <x v="2"/>
    <s v="Appliances"/>
    <s v="AirFryer Deluxe"/>
    <n v="1"/>
    <n v="7761.31"/>
    <n v="0"/>
    <n v="7761.31"/>
    <n v="2637.33"/>
    <s v="Credit Card"/>
    <s v="2025-05"/>
    <s v="No discount"/>
    <n v="0.33980474945595524"/>
    <s v="No"/>
  </r>
  <r>
    <s v="ORD-101427"/>
    <d v="2025-05-25T00:00:00"/>
    <s v="CUST-00510"/>
    <x v="3"/>
    <x v="2"/>
    <s v="Appliances"/>
    <s v="ColdBrew Coffee Maker"/>
    <n v="2"/>
    <n v="6751.93"/>
    <n v="0"/>
    <n v="13503.86"/>
    <n v="4462.2"/>
    <s v="UPI"/>
    <s v="2025-05"/>
    <s v="No discount"/>
    <n v="0.33043885229852793"/>
    <s v="No"/>
  </r>
  <r>
    <s v="ORD-101802"/>
    <d v="2025-05-25T00:00:00"/>
    <s v="CUST-00214"/>
    <x v="3"/>
    <x v="4"/>
    <s v="Outdoor"/>
    <s v="AllWeather Tent 4P"/>
    <n v="3"/>
    <n v="11660.54"/>
    <n v="0"/>
    <n v="34981.620000000003"/>
    <n v="12270.75"/>
    <s v="UPI"/>
    <s v="2025-05"/>
    <s v="No discount"/>
    <n v="0.35077706521310331"/>
    <s v="No"/>
  </r>
  <r>
    <s v="ORD-101952"/>
    <d v="2025-05-25T00:00:00"/>
    <s v="CUST-00021"/>
    <x v="1"/>
    <x v="3"/>
    <s v="Men"/>
    <s v="SlimFit Denim Jeans"/>
    <n v="1"/>
    <n v="2019.94"/>
    <n v="0"/>
    <n v="2019.94"/>
    <n v="900.22"/>
    <s v="UPI"/>
    <s v="2025-05"/>
    <s v="No discount"/>
    <n v="0.44566670297137539"/>
    <s v="No"/>
  </r>
  <r>
    <s v="ORD-100516"/>
    <d v="2025-05-26T00:00:00"/>
    <s v="CUST-00479"/>
    <x v="3"/>
    <x v="4"/>
    <s v="Outdoor"/>
    <s v="TrailHike Backpack 60L"/>
    <n v="1"/>
    <n v="3504.38"/>
    <n v="0"/>
    <n v="3504.38"/>
    <n v="1379.76"/>
    <s v="Net Banking"/>
    <s v="2025-05"/>
    <s v="No discount"/>
    <n v="0.39372442486260051"/>
    <s v="No"/>
  </r>
  <r>
    <s v="ORD-100998"/>
    <d v="2025-05-26T00:00:00"/>
    <s v="CUST-00267"/>
    <x v="3"/>
    <x v="0"/>
    <s v="Makeup"/>
    <s v="HD Foundation Kit"/>
    <n v="1"/>
    <n v="1551.06"/>
    <n v="0.05"/>
    <n v="1473.51"/>
    <n v="688.33"/>
    <s v="UPI"/>
    <s v="2025-05"/>
    <s v="1-10%"/>
    <n v="0.46713629361185199"/>
    <s v="No"/>
  </r>
  <r>
    <s v="ORD-101241"/>
    <d v="2025-05-26T00:00:00"/>
    <s v="CUST-00175"/>
    <x v="0"/>
    <x v="1"/>
    <s v="Laptop"/>
    <s v="AirBook Slim"/>
    <n v="1"/>
    <n v="78617.740000000005"/>
    <n v="0"/>
    <n v="78617.740000000005"/>
    <n v="15296.17"/>
    <s v="UPI"/>
    <s v="2025-05"/>
    <s v="No discount"/>
    <n v="0.19456384780330749"/>
    <s v="No"/>
  </r>
  <r>
    <s v="ORD-101119"/>
    <d v="2025-05-27T00:00:00"/>
    <s v="CUST-00059"/>
    <x v="0"/>
    <x v="0"/>
    <s v="Makeup"/>
    <s v="Matte Lipstick Set"/>
    <n v="1"/>
    <n v="973.59"/>
    <n v="0.25"/>
    <n v="730.19"/>
    <n v="162.97999999999999"/>
    <s v="Debit Card"/>
    <s v="2025-05"/>
    <s v="21%+"/>
    <n v="0.22320218025445429"/>
    <s v="No"/>
  </r>
  <r>
    <s v="ORD-101615"/>
    <d v="2025-05-27T00:00:00"/>
    <s v="CUST-00174"/>
    <x v="2"/>
    <x v="2"/>
    <s v="Furniture"/>
    <s v="Oakwood Study Desk"/>
    <n v="1"/>
    <n v="13471.24"/>
    <n v="0.05"/>
    <n v="12797.68"/>
    <n v="3896.56"/>
    <s v="Debit Card"/>
    <s v="2025-05"/>
    <s v="1-10%"/>
    <n v="0.30447393590088201"/>
    <s v="No"/>
  </r>
  <r>
    <s v="ORD-100381"/>
    <d v="2025-05-28T00:00:00"/>
    <s v="CUST-00134"/>
    <x v="3"/>
    <x v="2"/>
    <s v="Decor"/>
    <s v="Ceramic Vase Set"/>
    <n v="1"/>
    <n v="1509.71"/>
    <n v="0"/>
    <n v="1509.71"/>
    <n v="443.77"/>
    <s v="UPI"/>
    <s v="2025-05"/>
    <s v="No discount"/>
    <n v="0.29394387001477101"/>
    <s v="No"/>
  </r>
  <r>
    <s v="ORD-100434"/>
    <d v="2025-05-28T00:00:00"/>
    <s v="CUST-00560"/>
    <x v="0"/>
    <x v="0"/>
    <s v="Makeup"/>
    <s v="HD Foundation Kit"/>
    <n v="1"/>
    <n v="1514.68"/>
    <n v="0"/>
    <n v="1514.68"/>
    <n v="842.52"/>
    <s v="UPI"/>
    <s v="2025-05"/>
    <s v="No discount"/>
    <n v="0.5562363007367892"/>
    <s v="No"/>
  </r>
  <r>
    <s v="ORD-100615"/>
    <d v="2025-05-28T00:00:00"/>
    <s v="CUST-00081"/>
    <x v="3"/>
    <x v="4"/>
    <s v="Outdoor"/>
    <s v="AllWeather Tent 4P"/>
    <n v="1"/>
    <n v="11679.58"/>
    <n v="0"/>
    <n v="11679.58"/>
    <n v="4574.0600000000004"/>
    <s v="UPI"/>
    <s v="2025-05"/>
    <s v="No discount"/>
    <n v="0.39162880857017124"/>
    <s v="No"/>
  </r>
  <r>
    <s v="ORD-100734"/>
    <d v="2025-05-28T00:00:00"/>
    <s v="CUST-00536"/>
    <x v="0"/>
    <x v="4"/>
    <s v="Fitness"/>
    <s v="Adjustable Dumbbell 24kg"/>
    <n v="1"/>
    <n v="9577.7900000000009"/>
    <n v="0.1"/>
    <n v="8620.01"/>
    <n v="2371.16"/>
    <s v="UPI"/>
    <s v="2025-05"/>
    <s v="1-10%"/>
    <n v="0.27507624701131433"/>
    <s v="No"/>
  </r>
  <r>
    <s v="ORD-101079"/>
    <d v="2025-05-28T00:00:00"/>
    <s v="CUST-00533"/>
    <x v="0"/>
    <x v="0"/>
    <s v="Makeup"/>
    <s v="Matte Lipstick Set"/>
    <n v="3"/>
    <n v="1046.68"/>
    <n v="0.1"/>
    <n v="2826.04"/>
    <n v="1295.4100000000001"/>
    <s v="UPI"/>
    <s v="2025-05"/>
    <s v="1-10%"/>
    <n v="0.45838346237137484"/>
    <s v="No"/>
  </r>
  <r>
    <s v="ORD-101767"/>
    <d v="2025-05-28T00:00:00"/>
    <s v="CUST-00132"/>
    <x v="3"/>
    <x v="0"/>
    <s v="Makeup"/>
    <s v="HD Foundation Kit"/>
    <n v="1"/>
    <n v="1563.33"/>
    <n v="0.2"/>
    <n v="1250.6600000000001"/>
    <n v="366.35"/>
    <s v="Credit Card"/>
    <s v="2025-05"/>
    <s v="16-20%"/>
    <n v="0.29292533542289673"/>
    <s v="No"/>
  </r>
  <r>
    <s v="ORD-100235"/>
    <d v="2025-05-29T00:00:00"/>
    <s v="CUST-00277"/>
    <x v="3"/>
    <x v="3"/>
    <s v="Footwear"/>
    <s v="RunFlex Sneakers"/>
    <n v="5"/>
    <n v="2956.75"/>
    <n v="0.15"/>
    <n v="12566.19"/>
    <n v="3154.89"/>
    <s v="Net Banking"/>
    <s v="2025-05"/>
    <s v="11-15%"/>
    <n v="0.2510617776748561"/>
    <s v="No"/>
  </r>
  <r>
    <s v="ORD-101528"/>
    <d v="2025-05-29T00:00:00"/>
    <s v="CUST-00378"/>
    <x v="2"/>
    <x v="3"/>
    <s v="Footwear"/>
    <s v="UrbanLoafers"/>
    <n v="1"/>
    <n v="3373.02"/>
    <n v="0.2"/>
    <n v="2698.42"/>
    <n v="590.25"/>
    <s v="UPI"/>
    <s v="2025-05"/>
    <s v="16-20%"/>
    <n v="0.21873911400004448"/>
    <s v="No"/>
  </r>
  <r>
    <s v="ORD-101824"/>
    <d v="2025-05-29T00:00:00"/>
    <s v="CUST-00344"/>
    <x v="2"/>
    <x v="2"/>
    <s v="Decor"/>
    <s v="Ceramic Vase Set"/>
    <n v="2"/>
    <n v="1484.65"/>
    <n v="0"/>
    <n v="2969.3"/>
    <n v="873.64"/>
    <s v="UPI"/>
    <s v="2025-05"/>
    <s v="No discount"/>
    <n v="0.2942242279325093"/>
    <s v="No"/>
  </r>
  <r>
    <s v="ORD-100804"/>
    <d v="2025-05-30T00:00:00"/>
    <s v="CUST-00538"/>
    <x v="3"/>
    <x v="1"/>
    <s v="Laptop"/>
    <s v="ThinkPro 14"/>
    <n v="1"/>
    <n v="53771.99"/>
    <n v="0.15"/>
    <n v="45706.19"/>
    <n v="2104.33"/>
    <s v="Net Banking"/>
    <s v="2025-05"/>
    <s v="11-15%"/>
    <n v="4.6040372212166447E-2"/>
    <s v="No"/>
  </r>
  <r>
    <s v="ORD-101368"/>
    <d v="2025-05-30T00:00:00"/>
    <s v="CUST-00574"/>
    <x v="2"/>
    <x v="3"/>
    <s v="Footwear"/>
    <s v="UrbanLoafers"/>
    <n v="1"/>
    <n v="3484.78"/>
    <n v="0.3"/>
    <n v="2439.35"/>
    <n v="126.61"/>
    <s v="Debit Card"/>
    <s v="2025-05"/>
    <s v="21%+"/>
    <n v="5.1903170926681293E-2"/>
    <s v="No"/>
  </r>
  <r>
    <s v="ORD-101378"/>
    <d v="2025-05-30T00:00:00"/>
    <s v="CUST-00311"/>
    <x v="3"/>
    <x v="4"/>
    <s v="Fitness"/>
    <s v="Adjustable Dumbbell 24kg"/>
    <n v="3"/>
    <n v="9934.43"/>
    <n v="0.3"/>
    <n v="20862.3"/>
    <n v="1139.6400000000001"/>
    <s v="Credit Card"/>
    <s v="2025-05"/>
    <s v="21%+"/>
    <n v="5.4626766943242124E-2"/>
    <s v="No"/>
  </r>
  <r>
    <s v="ORD-100290"/>
    <d v="2025-05-31T00:00:00"/>
    <s v="CUST-00511"/>
    <x v="0"/>
    <x v="2"/>
    <s v="Furniture"/>
    <s v="ErgoComfort Chair"/>
    <n v="1"/>
    <n v="9153.91"/>
    <n v="0.1"/>
    <n v="8238.52"/>
    <n v="1522.95"/>
    <s v="Credit Card"/>
    <s v="2025-05"/>
    <s v="1-10%"/>
    <n v="0.18485723163869239"/>
    <s v="No"/>
  </r>
  <r>
    <s v="ORD-100373"/>
    <d v="2025-05-31T00:00:00"/>
    <s v="CUST-00162"/>
    <x v="1"/>
    <x v="4"/>
    <s v="Fitness"/>
    <s v="Adjustable Dumbbell 24kg"/>
    <n v="2"/>
    <n v="9926.08"/>
    <n v="0.15"/>
    <n v="16874.34"/>
    <n v="2966.98"/>
    <s v="Credit Card"/>
    <s v="2025-05"/>
    <s v="11-15%"/>
    <n v="0.17582791386211252"/>
    <s v="No"/>
  </r>
  <r>
    <s v="ORD-100380"/>
    <d v="2025-05-31T00:00:00"/>
    <s v="CUST-00443"/>
    <x v="0"/>
    <x v="1"/>
    <s v="Laptop"/>
    <s v="ThinkPro 14"/>
    <n v="1"/>
    <n v="53091.62"/>
    <n v="0.1"/>
    <n v="47782.46"/>
    <n v="3769.6"/>
    <s v="Cash on Delivery"/>
    <s v="2025-05"/>
    <s v="1-10%"/>
    <n v="7.889087334557493E-2"/>
    <s v="No"/>
  </r>
  <r>
    <s v="ORD-100468"/>
    <d v="2025-05-31T00:00:00"/>
    <s v="CUST-00544"/>
    <x v="0"/>
    <x v="0"/>
    <s v="Skincare"/>
    <s v="Vitamin C Serum"/>
    <n v="4"/>
    <n v="891.61"/>
    <n v="0.2"/>
    <n v="2853.15"/>
    <n v="808.98"/>
    <s v="Debit Card"/>
    <s v="2025-05"/>
    <s v="16-20%"/>
    <n v="0.28353924609641973"/>
    <s v="No"/>
  </r>
  <r>
    <s v="ORD-100970"/>
    <d v="2025-05-31T00:00:00"/>
    <s v="CUST-00524"/>
    <x v="3"/>
    <x v="1"/>
    <s v="Mobile"/>
    <s v="iPhone Zeta"/>
    <n v="2"/>
    <n v="68932.38"/>
    <n v="0"/>
    <n v="137864.76"/>
    <n v="24292.49"/>
    <s v="Cash on Delivery"/>
    <s v="2025-05"/>
    <s v="No discount"/>
    <n v="0.17620521734488204"/>
    <s v="No"/>
  </r>
  <r>
    <s v="ORD-101373"/>
    <d v="2025-05-31T00:00:00"/>
    <s v="CUST-00320"/>
    <x v="0"/>
    <x v="1"/>
    <s v="Laptop"/>
    <s v="AirBook Slim"/>
    <n v="2"/>
    <n v="78871.55"/>
    <n v="0"/>
    <n v="157743.1"/>
    <n v="33517.9"/>
    <s v="Credit Card"/>
    <s v="2025-05"/>
    <s v="No discount"/>
    <n v="0.21248409597630577"/>
    <s v="No"/>
  </r>
  <r>
    <s v="ORD-100136"/>
    <d v="2025-06-01T00:00:00"/>
    <s v="CUST-00247"/>
    <x v="0"/>
    <x v="2"/>
    <s v="Appliances"/>
    <s v="ColdBrew Coffee Maker"/>
    <n v="1"/>
    <n v="6821.33"/>
    <n v="0"/>
    <n v="6821.33"/>
    <n v="2232.9299999999998"/>
    <s v="Credit Card"/>
    <s v="2025-06"/>
    <s v="No discount"/>
    <n v="0.32734525378481905"/>
    <s v="No"/>
  </r>
  <r>
    <s v="ORD-100199"/>
    <d v="2025-06-01T00:00:00"/>
    <s v="CUST-00419"/>
    <x v="2"/>
    <x v="2"/>
    <s v="Furniture"/>
    <s v="Oakwood Study Desk"/>
    <n v="1"/>
    <n v="12418.74"/>
    <n v="0.05"/>
    <n v="11797.8"/>
    <n v="3081.86"/>
    <s v="UPI"/>
    <s v="2025-06"/>
    <s v="1-10%"/>
    <n v="0.26122327891640817"/>
    <s v="No"/>
  </r>
  <r>
    <s v="ORD-101148"/>
    <d v="2025-06-01T00:00:00"/>
    <s v="CUST-00401"/>
    <x v="3"/>
    <x v="2"/>
    <s v="Furniture"/>
    <s v="Oakwood Study Desk"/>
    <n v="1"/>
    <n v="13000.4"/>
    <n v="0.2"/>
    <n v="10400.32"/>
    <n v="799.63"/>
    <s v="Credit Card"/>
    <s v="2025-06"/>
    <s v="16-20%"/>
    <n v="7.6885134303559893E-2"/>
    <s v="No"/>
  </r>
  <r>
    <s v="ORD-101502"/>
    <d v="2025-06-01T00:00:00"/>
    <s v="CUST-00117"/>
    <x v="3"/>
    <x v="3"/>
    <s v="Footwear"/>
    <s v="UrbanLoafers"/>
    <n v="2"/>
    <n v="3395.38"/>
    <n v="0.2"/>
    <n v="5432.61"/>
    <n v="1168.9100000000001"/>
    <s v="Debit Card"/>
    <s v="2025-06"/>
    <s v="16-20%"/>
    <n v="0.21516545454210778"/>
    <s v="No"/>
  </r>
  <r>
    <s v="ORD-101127"/>
    <d v="2025-06-02T00:00:00"/>
    <s v="CUST-00104"/>
    <x v="3"/>
    <x v="2"/>
    <s v="Appliances"/>
    <s v="ColdBrew Coffee Maker"/>
    <n v="1"/>
    <n v="6724.63"/>
    <n v="0.4"/>
    <n v="4034.78"/>
    <n v="-664.04"/>
    <s v="UPI"/>
    <s v="2025-06"/>
    <s v="21%+"/>
    <n v="-0.16457898571917179"/>
    <s v="Yes"/>
  </r>
  <r>
    <s v="ORD-101129"/>
    <d v="2025-06-02T00:00:00"/>
    <s v="CUST-00158"/>
    <x v="3"/>
    <x v="2"/>
    <s v="Decor"/>
    <s v="Ceramic Vase Set"/>
    <n v="3"/>
    <n v="1556.49"/>
    <n v="0.1"/>
    <n v="4202.5200000000004"/>
    <n v="990.45"/>
    <s v="Credit Card"/>
    <s v="2025-06"/>
    <s v="1-10%"/>
    <n v="0.2356800205590931"/>
    <s v="No"/>
  </r>
  <r>
    <s v="ORD-100009"/>
    <d v="2025-06-03T00:00:00"/>
    <s v="CUST-00157"/>
    <x v="1"/>
    <x v="1"/>
    <s v="Audio"/>
    <s v="BassBoom Speaker"/>
    <n v="5"/>
    <n v="9005.91"/>
    <n v="0.15"/>
    <n v="38275.120000000003"/>
    <n v="-918.11"/>
    <s v="Debit Card"/>
    <s v="2025-06"/>
    <s v="11-15%"/>
    <n v="-2.3987122705297854E-2"/>
    <s v="Yes"/>
  </r>
  <r>
    <s v="ORD-100267"/>
    <d v="2025-06-03T00:00:00"/>
    <s v="CUST-00175"/>
    <x v="0"/>
    <x v="0"/>
    <s v="Skincare"/>
    <s v="HydraBoost Moisturizer"/>
    <n v="2"/>
    <n v="1203.1500000000001"/>
    <n v="0"/>
    <n v="2406.3000000000002"/>
    <n v="1378.31"/>
    <s v="Credit Card"/>
    <s v="2025-06"/>
    <s v="No discount"/>
    <n v="0.57279225366745623"/>
    <s v="No"/>
  </r>
  <r>
    <s v="ORD-100893"/>
    <d v="2025-06-03T00:00:00"/>
    <s v="CUST-00437"/>
    <x v="3"/>
    <x v="4"/>
    <s v="Outdoor"/>
    <s v="TrailHike Backpack 60L"/>
    <n v="1"/>
    <n v="3442.27"/>
    <n v="0.05"/>
    <n v="3270.16"/>
    <n v="1101.3399999999999"/>
    <s v="Cash on Delivery"/>
    <s v="2025-06"/>
    <s v="1-10%"/>
    <n v="0.33678474447733442"/>
    <s v="No"/>
  </r>
  <r>
    <s v="ORD-100992"/>
    <d v="2025-06-03T00:00:00"/>
    <s v="CUST-00549"/>
    <x v="1"/>
    <x v="1"/>
    <s v="Audio"/>
    <s v="SoundPods Pro"/>
    <n v="1"/>
    <n v="5100.2"/>
    <n v="0.2"/>
    <n v="4080.16"/>
    <n v="-107.53"/>
    <s v="UPI"/>
    <s v="2025-06"/>
    <s v="16-20%"/>
    <n v="-2.6354358652601859E-2"/>
    <s v="Yes"/>
  </r>
  <r>
    <s v="ORD-101314"/>
    <d v="2025-06-03T00:00:00"/>
    <s v="CUST-00012"/>
    <x v="2"/>
    <x v="3"/>
    <s v="Men"/>
    <s v="Oxford Casual Shirt"/>
    <n v="4"/>
    <n v="1301.8499999999999"/>
    <n v="0.2"/>
    <n v="4165.92"/>
    <n v="870.66"/>
    <s v="Cash on Delivery"/>
    <s v="2025-06"/>
    <s v="16-20%"/>
    <n v="0.20899585205668855"/>
    <s v="No"/>
  </r>
  <r>
    <s v="ORD-101485"/>
    <d v="2025-06-03T00:00:00"/>
    <s v="CUST-00074"/>
    <x v="1"/>
    <x v="4"/>
    <s v="Outdoor"/>
    <s v="TrailHike Backpack 60L"/>
    <n v="1"/>
    <n v="3382.21"/>
    <n v="0"/>
    <n v="3382.21"/>
    <n v="1382.7"/>
    <s v="UPI"/>
    <s v="2025-06"/>
    <s v="No discount"/>
    <n v="0.40881553776968316"/>
    <s v="No"/>
  </r>
  <r>
    <s v="ORD-100979"/>
    <d v="2025-06-04T00:00:00"/>
    <s v="CUST-00258"/>
    <x v="3"/>
    <x v="1"/>
    <s v="Audio"/>
    <s v="BassBoom Speaker"/>
    <n v="1"/>
    <n v="8994.08"/>
    <n v="0.2"/>
    <n v="7195.26"/>
    <n v="-243.72"/>
    <s v="UPI"/>
    <s v="2025-06"/>
    <s v="16-20%"/>
    <n v="-3.3872299263681925E-2"/>
    <s v="Yes"/>
  </r>
  <r>
    <s v="ORD-101134"/>
    <d v="2025-06-05T00:00:00"/>
    <s v="CUST-00415"/>
    <x v="3"/>
    <x v="0"/>
    <s v="Skincare"/>
    <s v="HydraBoost Moisturizer"/>
    <n v="3"/>
    <n v="1168.46"/>
    <n v="0.15"/>
    <n v="2979.57"/>
    <n v="1199.8599999999999"/>
    <s v="UPI"/>
    <s v="2025-06"/>
    <s v="11-15%"/>
    <n v="0.40269569098896812"/>
    <s v="No"/>
  </r>
  <r>
    <s v="ORD-101706"/>
    <d v="2025-06-06T00:00:00"/>
    <s v="CUST-00122"/>
    <x v="3"/>
    <x v="0"/>
    <s v="Makeup"/>
    <s v="HD Foundation Kit"/>
    <n v="3"/>
    <n v="1426.49"/>
    <n v="0"/>
    <n v="4279.47"/>
    <n v="2265.75"/>
    <s v="Debit Card"/>
    <s v="2025-06"/>
    <s v="No discount"/>
    <n v="0.52944640340976801"/>
    <s v="No"/>
  </r>
  <r>
    <s v="ORD-100376"/>
    <d v="2025-06-07T00:00:00"/>
    <s v="CUST-00586"/>
    <x v="0"/>
    <x v="1"/>
    <s v="Laptop"/>
    <s v="ThinkPro 14"/>
    <n v="1"/>
    <n v="56492.35"/>
    <n v="0.05"/>
    <n v="53667.73"/>
    <n v="8477.77"/>
    <s v="Net Banking"/>
    <s v="2025-06"/>
    <s v="1-10%"/>
    <n v="0.15796773964540703"/>
    <s v="No"/>
  </r>
  <r>
    <s v="ORD-100680"/>
    <d v="2025-06-07T00:00:00"/>
    <s v="CUST-00430"/>
    <x v="2"/>
    <x v="4"/>
    <s v="Fitness"/>
    <s v="Adjustable Dumbbell 24kg"/>
    <n v="1"/>
    <n v="10175.51"/>
    <n v="0.25"/>
    <n v="7631.63"/>
    <n v="974.68"/>
    <s v="UPI"/>
    <s v="2025-06"/>
    <s v="21%+"/>
    <n v="0.12771583528027433"/>
    <s v="No"/>
  </r>
  <r>
    <s v="ORD-100763"/>
    <d v="2025-06-07T00:00:00"/>
    <s v="CUST-00420"/>
    <x v="1"/>
    <x v="2"/>
    <s v="Appliances"/>
    <s v="AirFryer Deluxe"/>
    <n v="2"/>
    <n v="8052.71"/>
    <n v="0.05"/>
    <n v="15300.15"/>
    <n v="4015.02"/>
    <s v="UPI"/>
    <s v="2025-06"/>
    <s v="1-10%"/>
    <n v="0.26241703512710662"/>
    <s v="No"/>
  </r>
  <r>
    <s v="ORD-101613"/>
    <d v="2025-06-08T00:00:00"/>
    <s v="CUST-00482"/>
    <x v="3"/>
    <x v="4"/>
    <s v="Fitness"/>
    <s v="Adjustable Dumbbell 24kg"/>
    <n v="2"/>
    <n v="9725.7199999999993"/>
    <n v="0"/>
    <n v="19451.439999999999"/>
    <n v="6787.7"/>
    <s v="Credit Card"/>
    <s v="2025-06"/>
    <s v="No discount"/>
    <n v="0.34895616982598721"/>
    <s v="No"/>
  </r>
  <r>
    <s v="ORD-101774"/>
    <d v="2025-06-08T00:00:00"/>
    <s v="CUST-00484"/>
    <x v="0"/>
    <x v="1"/>
    <s v="Laptop"/>
    <s v="AirBook Slim"/>
    <n v="1"/>
    <n v="76264.89"/>
    <n v="0.05"/>
    <n v="72451.649999999994"/>
    <n v="11146.1"/>
    <s v="UPI"/>
    <s v="2025-06"/>
    <s v="1-10%"/>
    <n v="0.15384190698210465"/>
    <s v="No"/>
  </r>
  <r>
    <s v="ORD-101877"/>
    <d v="2025-06-08T00:00:00"/>
    <s v="CUST-00033"/>
    <x v="2"/>
    <x v="3"/>
    <s v="Women"/>
    <s v="Floral Summer Dress"/>
    <n v="1"/>
    <n v="1752.3"/>
    <n v="0.1"/>
    <n v="1577.07"/>
    <n v="435.69"/>
    <s v="UPI"/>
    <s v="2025-06"/>
    <s v="1-10%"/>
    <n v="0.27626547965531018"/>
    <s v="No"/>
  </r>
  <r>
    <s v="ORD-100084"/>
    <d v="2025-06-09T00:00:00"/>
    <s v="CUST-00463"/>
    <x v="2"/>
    <x v="3"/>
    <s v="Footwear"/>
    <s v="UrbanLoafers"/>
    <n v="1"/>
    <n v="3368.4"/>
    <n v="0"/>
    <n v="3368.4"/>
    <n v="1393.43"/>
    <s v="UPI"/>
    <s v="2025-06"/>
    <s v="No discount"/>
    <n v="0.4136771167319796"/>
    <s v="No"/>
  </r>
  <r>
    <s v="ORD-100708"/>
    <d v="2025-06-09T00:00:00"/>
    <s v="CUST-00538"/>
    <x v="1"/>
    <x v="4"/>
    <s v="Outdoor"/>
    <s v="AllWeather Tent 4P"/>
    <n v="2"/>
    <n v="11403.37"/>
    <n v="0"/>
    <n v="22806.74"/>
    <n v="8797.74"/>
    <s v="UPI"/>
    <s v="2025-06"/>
    <s v="No discount"/>
    <n v="0.38575175584059795"/>
    <s v="No"/>
  </r>
  <r>
    <s v="ORD-100776"/>
    <d v="2025-06-09T00:00:00"/>
    <s v="CUST-00410"/>
    <x v="0"/>
    <x v="2"/>
    <s v="Appliances"/>
    <s v="ColdBrew Coffee Maker"/>
    <n v="2"/>
    <n v="6242.72"/>
    <n v="0.2"/>
    <n v="9988.35"/>
    <n v="703.23"/>
    <s v="UPI"/>
    <s v="2025-06"/>
    <s v="16-20%"/>
    <n v="7.0405021850455773E-2"/>
    <s v="No"/>
  </r>
  <r>
    <s v="ORD-101415"/>
    <d v="2025-06-09T00:00:00"/>
    <s v="CUST-00041"/>
    <x v="2"/>
    <x v="3"/>
    <s v="Footwear"/>
    <s v="UrbanLoafers"/>
    <n v="4"/>
    <n v="3436.21"/>
    <n v="0.1"/>
    <n v="12370.36"/>
    <n v="3944.67"/>
    <s v="Credit Card"/>
    <s v="2025-06"/>
    <s v="1-10%"/>
    <n v="0.3188807763072376"/>
    <s v="No"/>
  </r>
  <r>
    <s v="ORD-100909"/>
    <d v="2025-06-10T00:00:00"/>
    <s v="CUST-00250"/>
    <x v="2"/>
    <x v="4"/>
    <s v="Outdoor"/>
    <s v="TrailHike Backpack 60L"/>
    <n v="1"/>
    <n v="3576.54"/>
    <n v="0.15"/>
    <n v="3040.06"/>
    <n v="689.83"/>
    <s v="Net Banking"/>
    <s v="2025-06"/>
    <s v="11-15%"/>
    <n v="0.2269132846062249"/>
    <s v="No"/>
  </r>
  <r>
    <s v="ORD-101231"/>
    <d v="2025-06-10T00:00:00"/>
    <s v="CUST-00401"/>
    <x v="2"/>
    <x v="0"/>
    <s v="Makeup"/>
    <s v="Matte Lipstick Set"/>
    <n v="3"/>
    <n v="965.46"/>
    <n v="0.2"/>
    <n v="2317.1"/>
    <n v="788.25"/>
    <s v="Credit Card"/>
    <s v="2025-06"/>
    <s v="16-20%"/>
    <n v="0.34018816624228565"/>
    <s v="No"/>
  </r>
  <r>
    <s v="ORD-101578"/>
    <d v="2025-06-10T00:00:00"/>
    <s v="CUST-00130"/>
    <x v="3"/>
    <x v="0"/>
    <s v="Makeup"/>
    <s v="HD Foundation Kit"/>
    <n v="2"/>
    <n v="1556.7"/>
    <n v="0.15"/>
    <n v="2646.39"/>
    <n v="947.21"/>
    <s v="Debit Card"/>
    <s v="2025-06"/>
    <s v="11-15%"/>
    <n v="0.3579253246875933"/>
    <s v="No"/>
  </r>
  <r>
    <s v="ORD-100559"/>
    <d v="2025-06-11T00:00:00"/>
    <s v="CUST-00107"/>
    <x v="1"/>
    <x v="0"/>
    <s v="Skincare"/>
    <s v="Vitamin C Serum"/>
    <n v="2"/>
    <n v="943.38"/>
    <n v="0.05"/>
    <n v="1792.42"/>
    <n v="923.62"/>
    <s v="Debit Card"/>
    <s v="2025-06"/>
    <s v="1-10%"/>
    <n v="0.51529217482509682"/>
    <s v="No"/>
  </r>
  <r>
    <s v="ORD-101243"/>
    <d v="2025-06-11T00:00:00"/>
    <s v="CUST-00327"/>
    <x v="1"/>
    <x v="0"/>
    <s v="Makeup"/>
    <s v="Matte Lipstick Set"/>
    <n v="2"/>
    <n v="1031.94"/>
    <n v="0.05"/>
    <n v="1960.69"/>
    <n v="1010.25"/>
    <s v="Credit Card"/>
    <s v="2025-06"/>
    <s v="1-10%"/>
    <n v="0.51525228363484277"/>
    <s v="No"/>
  </r>
  <r>
    <s v="ORD-101309"/>
    <d v="2025-06-11T00:00:00"/>
    <s v="CUST-00297"/>
    <x v="3"/>
    <x v="2"/>
    <s v="Furniture"/>
    <s v="ErgoComfort Chair"/>
    <n v="1"/>
    <n v="8759"/>
    <n v="0"/>
    <n v="8759"/>
    <n v="2662.17"/>
    <s v="UPI"/>
    <s v="2025-06"/>
    <s v="No discount"/>
    <n v="0.30393538075122734"/>
    <s v="No"/>
  </r>
  <r>
    <s v="ORD-101839"/>
    <d v="2025-06-11T00:00:00"/>
    <s v="CUST-00473"/>
    <x v="2"/>
    <x v="0"/>
    <s v="Skincare"/>
    <s v="Vitamin C Serum"/>
    <n v="1"/>
    <n v="874.24"/>
    <n v="0.05"/>
    <n v="830.53"/>
    <n v="438.69"/>
    <s v="UPI"/>
    <s v="2025-06"/>
    <s v="1-10%"/>
    <n v="0.52820488122042553"/>
    <s v="No"/>
  </r>
  <r>
    <s v="ORD-100319"/>
    <d v="2025-06-12T00:00:00"/>
    <s v="CUST-00354"/>
    <x v="3"/>
    <x v="3"/>
    <s v="Women"/>
    <s v="Knit Winter Sweater"/>
    <n v="1"/>
    <n v="2272.77"/>
    <n v="0.1"/>
    <n v="2045.49"/>
    <n v="626.6"/>
    <s v="Net Banking"/>
    <s v="2025-06"/>
    <s v="1-10%"/>
    <n v="0.30633246801499886"/>
    <s v="No"/>
  </r>
  <r>
    <s v="ORD-100416"/>
    <d v="2025-06-12T00:00:00"/>
    <s v="CUST-00136"/>
    <x v="3"/>
    <x v="0"/>
    <s v="Skincare"/>
    <s v="Vitamin C Serum"/>
    <n v="1"/>
    <n v="932.61"/>
    <n v="0.05"/>
    <n v="885.98"/>
    <n v="422.9"/>
    <s v="Debit Card"/>
    <s v="2025-06"/>
    <s v="1-10%"/>
    <n v="0.47732454457211221"/>
    <s v="No"/>
  </r>
  <r>
    <s v="ORD-101754"/>
    <d v="2025-06-12T00:00:00"/>
    <s v="CUST-00142"/>
    <x v="2"/>
    <x v="3"/>
    <s v="Men"/>
    <s v="SlimFit Denim Jeans"/>
    <n v="1"/>
    <n v="1912.1"/>
    <n v="0.4"/>
    <n v="1147.26"/>
    <n v="-35.17"/>
    <s v="Debit Card"/>
    <s v="2025-06"/>
    <s v="21%+"/>
    <n v="-3.0655649111796805E-2"/>
    <s v="Yes"/>
  </r>
  <r>
    <s v="ORD-101798"/>
    <d v="2025-06-12T00:00:00"/>
    <s v="CUST-00287"/>
    <x v="1"/>
    <x v="2"/>
    <s v="Decor"/>
    <s v="Ceramic Vase Set"/>
    <n v="1"/>
    <n v="1502.72"/>
    <n v="0.1"/>
    <n v="1352.45"/>
    <n v="303.52999999999997"/>
    <s v="Debit Card"/>
    <s v="2025-06"/>
    <s v="1-10%"/>
    <n v="0.22442973862249987"/>
    <s v="No"/>
  </r>
  <r>
    <s v="ORD-100034"/>
    <d v="2025-06-14T00:00:00"/>
    <s v="CUST-00571"/>
    <x v="2"/>
    <x v="3"/>
    <s v="Footwear"/>
    <s v="RunFlex Sneakers"/>
    <n v="4"/>
    <n v="3114.6"/>
    <n v="0.2"/>
    <n v="9966.7199999999993"/>
    <n v="2115.67"/>
    <s v="Debit Card"/>
    <s v="2025-06"/>
    <s v="16-20%"/>
    <n v="0.21227344602838247"/>
    <s v="No"/>
  </r>
  <r>
    <s v="ORD-101905"/>
    <d v="2025-06-14T00:00:00"/>
    <s v="CUST-00275"/>
    <x v="2"/>
    <x v="1"/>
    <s v="Mobile"/>
    <s v="Galaxy Nova X5"/>
    <n v="3"/>
    <n v="23816.71"/>
    <n v="0.2"/>
    <n v="57160.1"/>
    <n v="-804.14"/>
    <s v="Net Banking"/>
    <s v="2025-06"/>
    <s v="16-20%"/>
    <n v="-1.4068204919165642E-2"/>
    <s v="Yes"/>
  </r>
  <r>
    <s v="ORD-101172"/>
    <d v="2025-06-15T00:00:00"/>
    <s v="CUST-00455"/>
    <x v="0"/>
    <x v="3"/>
    <s v="Women"/>
    <s v="Floral Summer Dress"/>
    <n v="1"/>
    <n v="1731.22"/>
    <n v="0.1"/>
    <n v="1558.1"/>
    <n v="458.86"/>
    <s v="UPI"/>
    <s v="2025-06"/>
    <s v="1-10%"/>
    <n v="0.29449971118670176"/>
    <s v="No"/>
  </r>
  <r>
    <s v="ORD-100156"/>
    <d v="2025-06-16T00:00:00"/>
    <s v="CUST-00211"/>
    <x v="2"/>
    <x v="2"/>
    <s v="Furniture"/>
    <s v="Oakwood Study Desk"/>
    <n v="1"/>
    <n v="13006.13"/>
    <n v="0.1"/>
    <n v="11705.52"/>
    <n v="2584.77"/>
    <s v="UPI"/>
    <s v="2025-06"/>
    <s v="1-10%"/>
    <n v="0.22081633280708587"/>
    <s v="No"/>
  </r>
  <r>
    <s v="ORD-100226"/>
    <d v="2025-06-16T00:00:00"/>
    <s v="CUST-00382"/>
    <x v="2"/>
    <x v="3"/>
    <s v="Women"/>
    <s v="Knit Winter Sweater"/>
    <n v="5"/>
    <n v="2120.36"/>
    <n v="0.3"/>
    <n v="7421.26"/>
    <n v="425.88"/>
    <s v="UPI"/>
    <s v="2025-06"/>
    <s v="21%+"/>
    <n v="5.7386481540870414E-2"/>
    <s v="No"/>
  </r>
  <r>
    <s v="ORD-100276"/>
    <d v="2025-06-16T00:00:00"/>
    <s v="CUST-00141"/>
    <x v="1"/>
    <x v="4"/>
    <s v="Outdoor"/>
    <s v="AllWeather Tent 4P"/>
    <n v="1"/>
    <n v="12241.22"/>
    <n v="0"/>
    <n v="12241.22"/>
    <n v="4363.26"/>
    <s v="UPI"/>
    <s v="2025-06"/>
    <s v="No discount"/>
    <n v="0.35643996268345807"/>
    <s v="No"/>
  </r>
  <r>
    <s v="ORD-100477"/>
    <d v="2025-06-16T00:00:00"/>
    <s v="CUST-00422"/>
    <x v="2"/>
    <x v="3"/>
    <s v="Women"/>
    <s v="Knit Winter Sweater"/>
    <n v="1"/>
    <n v="2093.77"/>
    <n v="0.15"/>
    <n v="1779.7"/>
    <n v="396.21"/>
    <s v="Debit Card"/>
    <s v="2025-06"/>
    <s v="11-15%"/>
    <n v="0.22262740911389559"/>
    <s v="No"/>
  </r>
  <r>
    <s v="ORD-101904"/>
    <d v="2025-06-16T00:00:00"/>
    <s v="CUST-00005"/>
    <x v="0"/>
    <x v="4"/>
    <s v="Outdoor"/>
    <s v="AllWeather Tent 4P"/>
    <n v="1"/>
    <n v="12155.16"/>
    <n v="0"/>
    <n v="12155.16"/>
    <n v="4785.1499999999996"/>
    <s v="Debit Card"/>
    <s v="2025-06"/>
    <s v="No discount"/>
    <n v="0.39367231694194066"/>
    <s v="No"/>
  </r>
  <r>
    <s v="ORD-100036"/>
    <d v="2025-06-17T00:00:00"/>
    <s v="CUST-00245"/>
    <x v="1"/>
    <x v="4"/>
    <s v="Outdoor"/>
    <s v="TrailHike Backpack 60L"/>
    <n v="2"/>
    <n v="3414.74"/>
    <n v="0.05"/>
    <n v="6488.01"/>
    <n v="1961.19"/>
    <s v="Debit Card"/>
    <s v="2025-06"/>
    <s v="1-10%"/>
    <n v="0.30227912719000127"/>
    <s v="No"/>
  </r>
  <r>
    <s v="ORD-100163"/>
    <d v="2025-06-17T00:00:00"/>
    <s v="CUST-00308"/>
    <x v="0"/>
    <x v="3"/>
    <s v="Footwear"/>
    <s v="UrbanLoafers"/>
    <n v="2"/>
    <n v="3610.4"/>
    <n v="0.15"/>
    <n v="6137.68"/>
    <n v="1389.89"/>
    <s v="Cash on Delivery"/>
    <s v="2025-06"/>
    <s v="11-15%"/>
    <n v="0.22645201444193899"/>
    <s v="No"/>
  </r>
  <r>
    <s v="ORD-100822"/>
    <d v="2025-06-17T00:00:00"/>
    <s v="CUST-00567"/>
    <x v="2"/>
    <x v="2"/>
    <s v="Appliances"/>
    <s v="AirFryer Deluxe"/>
    <n v="1"/>
    <n v="8163.38"/>
    <n v="0.25"/>
    <n v="6122.53"/>
    <n v="319.89999999999998"/>
    <s v="UPI"/>
    <s v="2025-06"/>
    <s v="21%+"/>
    <n v="5.2249641896405567E-2"/>
    <s v="No"/>
  </r>
  <r>
    <s v="ORD-101289"/>
    <d v="2025-06-17T00:00:00"/>
    <s v="CUST-00289"/>
    <x v="0"/>
    <x v="3"/>
    <s v="Women"/>
    <s v="Knit Winter Sweater"/>
    <n v="1"/>
    <n v="2234.2600000000002"/>
    <n v="0.1"/>
    <n v="2010.83"/>
    <n v="606.12"/>
    <s v="Debit Card"/>
    <s v="2025-06"/>
    <s v="1-10%"/>
    <n v="0.30142776863285309"/>
    <s v="No"/>
  </r>
  <r>
    <s v="ORD-101853"/>
    <d v="2025-06-17T00:00:00"/>
    <s v="CUST-00091"/>
    <x v="3"/>
    <x v="1"/>
    <s v="Audio"/>
    <s v="BassBoom Speaker"/>
    <n v="4"/>
    <n v="9445.67"/>
    <n v="0.15"/>
    <n v="32115.279999999999"/>
    <n v="-264.10000000000002"/>
    <s v="Net Banking"/>
    <s v="2025-06"/>
    <s v="11-15%"/>
    <n v="-8.2234998418198452E-3"/>
    <s v="Yes"/>
  </r>
  <r>
    <s v="ORD-101980"/>
    <d v="2025-06-17T00:00:00"/>
    <s v="CUST-00507"/>
    <x v="1"/>
    <x v="1"/>
    <s v="Laptop"/>
    <s v="AirBook Slim"/>
    <n v="1"/>
    <n v="82855.67"/>
    <n v="0"/>
    <n v="82855.67"/>
    <n v="11638.76"/>
    <s v="UPI"/>
    <s v="2025-06"/>
    <s v="No discount"/>
    <n v="0.14047029008394959"/>
    <s v="No"/>
  </r>
  <r>
    <s v="ORD-100578"/>
    <d v="2025-06-18T00:00:00"/>
    <s v="CUST-00488"/>
    <x v="1"/>
    <x v="2"/>
    <s v="Appliances"/>
    <s v="AirFryer Deluxe"/>
    <n v="2"/>
    <n v="8363.09"/>
    <n v="0"/>
    <n v="16726.18"/>
    <n v="5575.62"/>
    <s v="Cash on Delivery"/>
    <s v="2025-06"/>
    <s v="No discount"/>
    <n v="0.33334688494324466"/>
    <s v="No"/>
  </r>
  <r>
    <s v="ORD-101459"/>
    <d v="2025-06-18T00:00:00"/>
    <s v="CUST-00277"/>
    <x v="1"/>
    <x v="0"/>
    <s v="Makeup"/>
    <s v="Matte Lipstick Set"/>
    <n v="2"/>
    <n v="1042.47"/>
    <n v="0.05"/>
    <n v="1980.69"/>
    <n v="1052.8699999999999"/>
    <s v="Credit Card"/>
    <s v="2025-06"/>
    <s v="1-10%"/>
    <n v="0.53156728210876003"/>
    <s v="No"/>
  </r>
  <r>
    <s v="ORD-100251"/>
    <d v="2025-06-19T00:00:00"/>
    <s v="CUST-00549"/>
    <x v="3"/>
    <x v="1"/>
    <s v="Mobile"/>
    <s v="iPhone Zeta"/>
    <n v="1"/>
    <n v="73293.89"/>
    <n v="0.1"/>
    <n v="65964.5"/>
    <n v="4761.1899999999996"/>
    <s v="Debit Card"/>
    <s v="2025-06"/>
    <s v="1-10%"/>
    <n v="7.2178065474611336E-2"/>
    <s v="No"/>
  </r>
  <r>
    <s v="ORD-100327"/>
    <d v="2025-06-19T00:00:00"/>
    <s v="CUST-00008"/>
    <x v="1"/>
    <x v="4"/>
    <s v="Fitness"/>
    <s v="ProYoga Mat"/>
    <n v="1"/>
    <n v="1287.1300000000001"/>
    <n v="0.2"/>
    <n v="1029.7"/>
    <n v="128.84"/>
    <s v="Debit Card"/>
    <s v="2025-06"/>
    <s v="16-20%"/>
    <n v="0.12512382247256482"/>
    <s v="No"/>
  </r>
  <r>
    <s v="ORD-100459"/>
    <d v="2025-06-19T00:00:00"/>
    <s v="CUST-00245"/>
    <x v="2"/>
    <x v="1"/>
    <s v="Audio"/>
    <s v="BassBoom Speaker"/>
    <n v="1"/>
    <n v="9244.2800000000007"/>
    <n v="0.15"/>
    <n v="7857.64"/>
    <n v="179.85"/>
    <s v="Credit Card"/>
    <s v="2025-06"/>
    <s v="11-15%"/>
    <n v="2.2888551778905624E-2"/>
    <s v="No"/>
  </r>
  <r>
    <s v="ORD-100888"/>
    <d v="2025-06-19T00:00:00"/>
    <s v="CUST-00175"/>
    <x v="3"/>
    <x v="2"/>
    <s v="Furniture"/>
    <s v="Oakwood Study Desk"/>
    <n v="5"/>
    <n v="12920.48"/>
    <n v="0"/>
    <n v="64602.400000000001"/>
    <n v="19212.3"/>
    <s v="UPI"/>
    <s v="2025-06"/>
    <s v="No discount"/>
    <n v="0.29739297611234256"/>
    <s v="No"/>
  </r>
  <r>
    <s v="ORD-100934"/>
    <d v="2025-06-19T00:00:00"/>
    <s v="CUST-00213"/>
    <x v="2"/>
    <x v="3"/>
    <s v="Men"/>
    <s v="Oxford Casual Shirt"/>
    <n v="2"/>
    <n v="1258.73"/>
    <n v="0"/>
    <n v="2517.46"/>
    <n v="1123.93"/>
    <s v="Net Banking"/>
    <s v="2025-06"/>
    <s v="No discount"/>
    <n v="0.44645396550491367"/>
    <s v="No"/>
  </r>
  <r>
    <s v="ORD-101542"/>
    <d v="2025-06-19T00:00:00"/>
    <s v="CUST-00187"/>
    <x v="3"/>
    <x v="2"/>
    <s v="Furniture"/>
    <s v="ErgoComfort Chair"/>
    <n v="3"/>
    <n v="8995.7099999999991"/>
    <n v="0"/>
    <n v="26987.13"/>
    <n v="9712.8799999999992"/>
    <s v="UPI"/>
    <s v="2025-06"/>
    <s v="No discount"/>
    <n v="0.35990785237259387"/>
    <s v="No"/>
  </r>
  <r>
    <s v="ORD-101679"/>
    <d v="2025-06-19T00:00:00"/>
    <s v="CUST-00218"/>
    <x v="2"/>
    <x v="2"/>
    <s v="Appliances"/>
    <s v="ColdBrew Coffee Maker"/>
    <n v="1"/>
    <n v="6594.89"/>
    <n v="0.05"/>
    <n v="6265.15"/>
    <n v="1662.43"/>
    <s v="UPI"/>
    <s v="2025-06"/>
    <s v="1-10%"/>
    <n v="0.26534560226012149"/>
    <s v="No"/>
  </r>
  <r>
    <s v="ORD-101783"/>
    <d v="2025-06-19T00:00:00"/>
    <s v="CUST-00207"/>
    <x v="2"/>
    <x v="4"/>
    <s v="Outdoor"/>
    <s v="AllWeather Tent 4P"/>
    <n v="1"/>
    <n v="12130.58"/>
    <n v="0.05"/>
    <n v="11524.05"/>
    <n v="4136.6000000000004"/>
    <s v="UPI"/>
    <s v="2025-06"/>
    <s v="1-10%"/>
    <n v="0.35895366646274535"/>
    <s v="No"/>
  </r>
  <r>
    <s v="ORD-100098"/>
    <d v="2025-06-20T00:00:00"/>
    <s v="CUST-00318"/>
    <x v="2"/>
    <x v="3"/>
    <s v="Footwear"/>
    <s v="UrbanLoafers"/>
    <n v="3"/>
    <n v="3354.89"/>
    <n v="0.25"/>
    <n v="7548.5"/>
    <n v="1208.2"/>
    <s v="Credit Card"/>
    <s v="2025-06"/>
    <s v="21%+"/>
    <n v="0.16005828972643571"/>
    <s v="No"/>
  </r>
  <r>
    <s v="ORD-100894"/>
    <d v="2025-06-20T00:00:00"/>
    <s v="CUST-00582"/>
    <x v="1"/>
    <x v="2"/>
    <s v="Appliances"/>
    <s v="ColdBrew Coffee Maker"/>
    <n v="2"/>
    <n v="6282.18"/>
    <n v="0"/>
    <n v="12564.36"/>
    <n v="3945.79"/>
    <s v="Credit Card"/>
    <s v="2025-06"/>
    <s v="No discount"/>
    <n v="0.31404623872604731"/>
    <s v="No"/>
  </r>
  <r>
    <s v="ORD-100907"/>
    <d v="2025-06-20T00:00:00"/>
    <s v="CUST-00042"/>
    <x v="0"/>
    <x v="4"/>
    <s v="Outdoor"/>
    <s v="AllWeather Tent 4P"/>
    <n v="1"/>
    <n v="12139.68"/>
    <n v="0.05"/>
    <n v="11532.7"/>
    <n v="4105.66"/>
    <s v="Cash on Delivery"/>
    <s v="2025-06"/>
    <s v="1-10%"/>
    <n v="0.35600163014732017"/>
    <s v="No"/>
  </r>
  <r>
    <s v="ORD-100976"/>
    <d v="2025-06-20T00:00:00"/>
    <s v="CUST-00483"/>
    <x v="1"/>
    <x v="1"/>
    <s v="Audio"/>
    <s v="SoundPods Pro"/>
    <n v="1"/>
    <n v="4886.76"/>
    <n v="0"/>
    <n v="4886.76"/>
    <n v="812.17"/>
    <s v="Credit Card"/>
    <s v="2025-06"/>
    <s v="No discount"/>
    <n v="0.16619805351603106"/>
    <s v="No"/>
  </r>
  <r>
    <s v="ORD-100164"/>
    <d v="2025-06-21T00:00:00"/>
    <s v="CUST-00427"/>
    <x v="0"/>
    <x v="2"/>
    <s v="Furniture"/>
    <s v="Oakwood Study Desk"/>
    <n v="2"/>
    <n v="12993.31"/>
    <n v="0.05"/>
    <n v="24687.29"/>
    <n v="7660.05"/>
    <s v="Credit Card"/>
    <s v="2025-06"/>
    <s v="1-10%"/>
    <n v="0.31028314569966975"/>
    <s v="No"/>
  </r>
  <r>
    <s v="ORD-100868"/>
    <d v="2025-06-21T00:00:00"/>
    <s v="CUST-00561"/>
    <x v="3"/>
    <x v="3"/>
    <s v="Footwear"/>
    <s v="RunFlex Sneakers"/>
    <n v="1"/>
    <n v="3140.53"/>
    <n v="0.05"/>
    <n v="2983.5"/>
    <n v="971.5"/>
    <s v="UPI"/>
    <s v="2025-06"/>
    <s v="1-10%"/>
    <n v="0.32562426680073742"/>
    <s v="No"/>
  </r>
  <r>
    <s v="ORD-100930"/>
    <d v="2025-06-21T00:00:00"/>
    <s v="CUST-00496"/>
    <x v="0"/>
    <x v="2"/>
    <s v="Appliances"/>
    <s v="AirFryer Deluxe"/>
    <n v="2"/>
    <n v="8017.67"/>
    <n v="0.05"/>
    <n v="15233.57"/>
    <n v="4002.44"/>
    <s v="Credit Card"/>
    <s v="2025-06"/>
    <s v="1-10%"/>
    <n v="0.26273815001998874"/>
    <s v="No"/>
  </r>
  <r>
    <s v="ORD-101163"/>
    <d v="2025-06-21T00:00:00"/>
    <s v="CUST-00103"/>
    <x v="0"/>
    <x v="1"/>
    <s v="Audio"/>
    <s v="BassBoom Speaker"/>
    <n v="1"/>
    <n v="8818.86"/>
    <n v="0.05"/>
    <n v="8377.92"/>
    <n v="706.41"/>
    <s v="UPI"/>
    <s v="2025-06"/>
    <s v="1-10%"/>
    <n v="8.4318064627019587E-2"/>
    <s v="No"/>
  </r>
  <r>
    <s v="ORD-101261"/>
    <d v="2025-06-21T00:00:00"/>
    <s v="CUST-00437"/>
    <x v="0"/>
    <x v="1"/>
    <s v="Laptop"/>
    <s v="ThinkPro 14"/>
    <n v="1"/>
    <n v="53864.1"/>
    <n v="0"/>
    <n v="53864.1"/>
    <n v="8004.3"/>
    <s v="UPI"/>
    <s v="2025-06"/>
    <s v="No discount"/>
    <n v="0.1486017588709363"/>
    <s v="No"/>
  </r>
  <r>
    <s v="ORD-100116"/>
    <d v="2025-06-22T00:00:00"/>
    <s v="CUST-00520"/>
    <x v="0"/>
    <x v="4"/>
    <s v="Fitness"/>
    <s v="Adjustable Dumbbell 24kg"/>
    <n v="1"/>
    <n v="10163.35"/>
    <n v="0.05"/>
    <n v="9655.18"/>
    <n v="2793.72"/>
    <s v="UPI"/>
    <s v="2025-06"/>
    <s v="1-10%"/>
    <n v="0.28934934408265817"/>
    <s v="No"/>
  </r>
  <r>
    <s v="ORD-100806"/>
    <d v="2025-06-22T00:00:00"/>
    <s v="CUST-00332"/>
    <x v="0"/>
    <x v="4"/>
    <s v="Fitness"/>
    <s v="Adjustable Dumbbell 24kg"/>
    <n v="1"/>
    <n v="10157.959999999999"/>
    <n v="0.05"/>
    <n v="9650.06"/>
    <n v="3170.85"/>
    <s v="Debit Card"/>
    <s v="2025-06"/>
    <s v="1-10%"/>
    <n v="0.32858344922207738"/>
    <s v="No"/>
  </r>
  <r>
    <s v="ORD-100386"/>
    <d v="2025-06-23T00:00:00"/>
    <s v="CUST-00175"/>
    <x v="1"/>
    <x v="3"/>
    <s v="Men"/>
    <s v="Oxford Casual Shirt"/>
    <n v="1"/>
    <n v="1362.95"/>
    <n v="0.1"/>
    <n v="1226.6500000000001"/>
    <n v="393.27"/>
    <s v="UPI"/>
    <s v="2025-06"/>
    <s v="1-10%"/>
    <n v="0.32060489952309129"/>
    <s v="No"/>
  </r>
  <r>
    <s v="ORD-100723"/>
    <d v="2025-06-23T00:00:00"/>
    <s v="CUST-00225"/>
    <x v="2"/>
    <x v="4"/>
    <s v="Outdoor"/>
    <s v="AllWeather Tent 4P"/>
    <n v="1"/>
    <n v="12042.45"/>
    <n v="0.05"/>
    <n v="11440.33"/>
    <n v="3442.5"/>
    <s v="Debit Card"/>
    <s v="2025-06"/>
    <s v="1-10%"/>
    <n v="0.30090915209613711"/>
    <s v="No"/>
  </r>
  <r>
    <s v="ORD-100788"/>
    <d v="2025-06-23T00:00:00"/>
    <s v="CUST-00358"/>
    <x v="3"/>
    <x v="3"/>
    <s v="Women"/>
    <s v="Floral Summer Dress"/>
    <n v="5"/>
    <n v="1831.17"/>
    <n v="0.2"/>
    <n v="7324.68"/>
    <n v="1625.62"/>
    <s v="Cash on Delivery"/>
    <s v="2025-06"/>
    <s v="16-20%"/>
    <n v="0.22193734060737122"/>
    <s v="No"/>
  </r>
  <r>
    <s v="ORD-101698"/>
    <d v="2025-06-23T00:00:00"/>
    <s v="CUST-00031"/>
    <x v="2"/>
    <x v="3"/>
    <s v="Footwear"/>
    <s v="RunFlex Sneakers"/>
    <n v="2"/>
    <n v="2901.19"/>
    <n v="0.05"/>
    <n v="5512.26"/>
    <n v="2161.41"/>
    <s v="UPI"/>
    <s v="2025-06"/>
    <s v="1-10%"/>
    <n v="0.39210958844466692"/>
    <s v="No"/>
  </r>
  <r>
    <s v="ORD-100114"/>
    <d v="2025-06-24T00:00:00"/>
    <s v="CUST-00296"/>
    <x v="0"/>
    <x v="4"/>
    <s v="Fitness"/>
    <s v="Adjustable Dumbbell 24kg"/>
    <n v="1"/>
    <n v="9578.27"/>
    <n v="0"/>
    <n v="9578.27"/>
    <n v="3452.72"/>
    <s v="Credit Card"/>
    <s v="2025-06"/>
    <s v="No discount"/>
    <n v="0.3604742818901534"/>
    <s v="No"/>
  </r>
  <r>
    <s v="ORD-100580"/>
    <d v="2025-06-24T00:00:00"/>
    <s v="CUST-00264"/>
    <x v="2"/>
    <x v="0"/>
    <s v="Makeup"/>
    <s v="HD Foundation Kit"/>
    <n v="2"/>
    <n v="1564.03"/>
    <n v="0.05"/>
    <n v="2971.66"/>
    <n v="1425.49"/>
    <s v="UPI"/>
    <s v="2025-06"/>
    <s v="1-10%"/>
    <n v="0.47969485068951362"/>
    <s v="No"/>
  </r>
  <r>
    <s v="ORD-100773"/>
    <d v="2025-06-24T00:00:00"/>
    <s v="CUST-00490"/>
    <x v="3"/>
    <x v="3"/>
    <s v="Women"/>
    <s v="Floral Summer Dress"/>
    <n v="2"/>
    <n v="1882.8"/>
    <n v="0.2"/>
    <n v="3012.48"/>
    <n v="551.48"/>
    <s v="UPI"/>
    <s v="2025-06"/>
    <s v="16-20%"/>
    <n v="0.18306511578500106"/>
    <s v="No"/>
  </r>
  <r>
    <s v="ORD-100775"/>
    <d v="2025-06-24T00:00:00"/>
    <s v="CUST-00321"/>
    <x v="2"/>
    <x v="1"/>
    <s v="Mobile"/>
    <s v="Pixel Aura 12"/>
    <n v="1"/>
    <n v="32062.28"/>
    <n v="0"/>
    <n v="32062.28"/>
    <n v="6588.19"/>
    <s v="UPI"/>
    <s v="2025-06"/>
    <s v="No discount"/>
    <n v="0.20548102006469907"/>
    <s v="No"/>
  </r>
  <r>
    <s v="ORD-100811"/>
    <d v="2025-06-24T00:00:00"/>
    <s v="CUST-00213"/>
    <x v="0"/>
    <x v="1"/>
    <s v="Laptop"/>
    <s v="AirBook Slim"/>
    <n v="2"/>
    <n v="77740.639999999999"/>
    <n v="0.2"/>
    <n v="124385.02"/>
    <n v="-4404.6099999999997"/>
    <s v="Debit Card"/>
    <s v="2025-06"/>
    <s v="16-20%"/>
    <n v="-3.5411096931125624E-2"/>
    <s v="Yes"/>
  </r>
  <r>
    <s v="ORD-101350"/>
    <d v="2025-06-24T00:00:00"/>
    <s v="CUST-00159"/>
    <x v="3"/>
    <x v="3"/>
    <s v="Footwear"/>
    <s v="UrbanLoafers"/>
    <n v="5"/>
    <n v="3413.43"/>
    <n v="0.05"/>
    <n v="16213.79"/>
    <n v="5927.91"/>
    <s v="Credit Card"/>
    <s v="2025-06"/>
    <s v="1-10%"/>
    <n v="0.3656091512225087"/>
    <s v="No"/>
  </r>
  <r>
    <s v="ORD-101605"/>
    <d v="2025-06-24T00:00:00"/>
    <s v="CUST-00430"/>
    <x v="3"/>
    <x v="3"/>
    <s v="Men"/>
    <s v="Oxford Casual Shirt"/>
    <n v="1"/>
    <n v="1322.01"/>
    <n v="0"/>
    <n v="1322.01"/>
    <n v="585.79999999999995"/>
    <s v="Net Banking"/>
    <s v="2025-06"/>
    <s v="No discount"/>
    <n v="0.44311313832724408"/>
    <s v="No"/>
  </r>
  <r>
    <s v="ORD-101607"/>
    <d v="2025-06-24T00:00:00"/>
    <s v="CUST-00246"/>
    <x v="1"/>
    <x v="2"/>
    <s v="Furniture"/>
    <s v="ErgoComfort Chair"/>
    <n v="1"/>
    <n v="8771.4500000000007"/>
    <n v="0.15"/>
    <n v="7455.73"/>
    <n v="893.53"/>
    <s v="UPI"/>
    <s v="2025-06"/>
    <s v="11-15%"/>
    <n v="0.1198447368668125"/>
    <s v="No"/>
  </r>
  <r>
    <s v="ORD-101628"/>
    <d v="2025-06-24T00:00:00"/>
    <s v="CUST-00152"/>
    <x v="2"/>
    <x v="0"/>
    <s v="Makeup"/>
    <s v="HD Foundation Kit"/>
    <n v="2"/>
    <n v="1448.33"/>
    <n v="0.05"/>
    <n v="2751.83"/>
    <n v="1283.24"/>
    <s v="Debit Card"/>
    <s v="2025-06"/>
    <s v="1-10%"/>
    <n v="0.46632241090474341"/>
    <s v="No"/>
  </r>
  <r>
    <s v="ORD-100572"/>
    <d v="2025-06-25T00:00:00"/>
    <s v="CUST-00218"/>
    <x v="2"/>
    <x v="4"/>
    <s v="Outdoor"/>
    <s v="AllWeather Tent 4P"/>
    <n v="3"/>
    <n v="11551.59"/>
    <n v="0"/>
    <n v="34654.769999999997"/>
    <n v="13754.2"/>
    <s v="Debit Card"/>
    <s v="2025-06"/>
    <s v="No discount"/>
    <n v="0.39689197186996195"/>
    <s v="No"/>
  </r>
  <r>
    <s v="ORD-100703"/>
    <d v="2025-06-25T00:00:00"/>
    <s v="CUST-00244"/>
    <x v="0"/>
    <x v="4"/>
    <s v="Outdoor"/>
    <s v="AllWeather Tent 4P"/>
    <n v="1"/>
    <n v="11415.44"/>
    <n v="0"/>
    <n v="11415.44"/>
    <n v="4385.1400000000003"/>
    <s v="UPI"/>
    <s v="2025-06"/>
    <s v="No discount"/>
    <n v="0.38414112815625157"/>
    <s v="No"/>
  </r>
  <r>
    <s v="ORD-101418"/>
    <d v="2025-06-25T00:00:00"/>
    <s v="CUST-00029"/>
    <x v="1"/>
    <x v="3"/>
    <s v="Women"/>
    <s v="Floral Summer Dress"/>
    <n v="4"/>
    <n v="1833.1"/>
    <n v="0"/>
    <n v="7332.4"/>
    <n v="2831.8"/>
    <s v="UPI"/>
    <s v="2025-06"/>
    <s v="No discount"/>
    <n v="0.38620369865255583"/>
    <s v="No"/>
  </r>
  <r>
    <s v="ORD-101541"/>
    <d v="2025-06-25T00:00:00"/>
    <s v="CUST-00269"/>
    <x v="3"/>
    <x v="4"/>
    <s v="Fitness"/>
    <s v="ProYoga Mat"/>
    <n v="1"/>
    <n v="1317.09"/>
    <n v="0.1"/>
    <n v="1185.3800000000001"/>
    <n v="352.75"/>
    <s v="UPI"/>
    <s v="2025-06"/>
    <s v="1-10%"/>
    <n v="0.29758389714690647"/>
    <s v="No"/>
  </r>
  <r>
    <s v="ORD-100165"/>
    <d v="2025-06-26T00:00:00"/>
    <s v="CUST-00249"/>
    <x v="3"/>
    <x v="4"/>
    <s v="Fitness"/>
    <s v="Adjustable Dumbbell 24kg"/>
    <n v="1"/>
    <n v="9972.52"/>
    <n v="0.15"/>
    <n v="8476.64"/>
    <n v="1995.8"/>
    <s v="Debit Card"/>
    <s v="2025-06"/>
    <s v="11-15%"/>
    <n v="0.23544706393099155"/>
    <s v="No"/>
  </r>
  <r>
    <s v="ORD-100442"/>
    <d v="2025-06-26T00:00:00"/>
    <s v="CUST-00043"/>
    <x v="3"/>
    <x v="4"/>
    <s v="Outdoor"/>
    <s v="TrailHike Backpack 60L"/>
    <n v="1"/>
    <n v="3425.1"/>
    <n v="0.05"/>
    <n v="3253.84"/>
    <n v="1126.76"/>
    <s v="UPI"/>
    <s v="2025-06"/>
    <s v="1-10%"/>
    <n v="0.34628623411108106"/>
    <s v="No"/>
  </r>
  <r>
    <s v="ORD-101902"/>
    <d v="2025-06-26T00:00:00"/>
    <s v="CUST-00300"/>
    <x v="3"/>
    <x v="4"/>
    <s v="Outdoor"/>
    <s v="TrailHike Backpack 60L"/>
    <n v="1"/>
    <n v="3425.98"/>
    <n v="0.2"/>
    <n v="2740.78"/>
    <n v="445.2"/>
    <s v="UPI"/>
    <s v="2025-06"/>
    <s v="16-20%"/>
    <n v="0.16243551105889562"/>
    <s v="No"/>
  </r>
  <r>
    <s v="ORD-100086"/>
    <d v="2025-06-27T00:00:00"/>
    <s v="CUST-00518"/>
    <x v="3"/>
    <x v="2"/>
    <s v="Appliances"/>
    <s v="AirFryer Deluxe"/>
    <n v="1"/>
    <n v="8105.45"/>
    <n v="0"/>
    <n v="8105.45"/>
    <n v="2706.15"/>
    <s v="Cash on Delivery"/>
    <s v="2025-06"/>
    <s v="No discount"/>
    <n v="0.33386795304393957"/>
    <s v="No"/>
  </r>
  <r>
    <s v="ORD-100272"/>
    <d v="2025-06-27T00:00:00"/>
    <s v="CUST-00005"/>
    <x v="3"/>
    <x v="4"/>
    <s v="Fitness"/>
    <s v="ProYoga Mat"/>
    <n v="2"/>
    <n v="1286.45"/>
    <n v="0.1"/>
    <n v="2315.61"/>
    <n v="699.84"/>
    <s v="UPI"/>
    <s v="2025-06"/>
    <s v="1-10%"/>
    <n v="0.30222705896070584"/>
    <s v="No"/>
  </r>
  <r>
    <s v="ORD-100301"/>
    <d v="2025-06-27T00:00:00"/>
    <s v="CUST-00575"/>
    <x v="3"/>
    <x v="3"/>
    <s v="Women"/>
    <s v="Knit Winter Sweater"/>
    <n v="1"/>
    <n v="2135.9699999999998"/>
    <n v="0"/>
    <n v="2135.9699999999998"/>
    <n v="868.38"/>
    <s v="UPI"/>
    <s v="2025-06"/>
    <s v="No discount"/>
    <n v="0.4065506538013175"/>
    <s v="No"/>
  </r>
  <r>
    <s v="ORD-100852"/>
    <d v="2025-06-27T00:00:00"/>
    <s v="CUST-00185"/>
    <x v="2"/>
    <x v="4"/>
    <s v="Fitness"/>
    <s v="ProYoga Mat"/>
    <n v="1"/>
    <n v="1313.73"/>
    <n v="0.1"/>
    <n v="1182.3599999999999"/>
    <n v="325.72000000000003"/>
    <s v="UPI"/>
    <s v="2025-06"/>
    <s v="1-10%"/>
    <n v="0.27548293244020439"/>
    <s v="No"/>
  </r>
  <r>
    <s v="ORD-100971"/>
    <d v="2025-06-27T00:00:00"/>
    <s v="CUST-00546"/>
    <x v="1"/>
    <x v="3"/>
    <s v="Men"/>
    <s v="SlimFit Denim Jeans"/>
    <n v="3"/>
    <n v="2047.89"/>
    <n v="0"/>
    <n v="6143.67"/>
    <n v="2592.91"/>
    <s v="Credit Card"/>
    <s v="2025-06"/>
    <s v="No discount"/>
    <n v="0.42204578045370272"/>
    <s v="No"/>
  </r>
  <r>
    <s v="ORD-101205"/>
    <d v="2025-06-27T00:00:00"/>
    <s v="CUST-00024"/>
    <x v="0"/>
    <x v="2"/>
    <s v="Furniture"/>
    <s v="Oakwood Study Desk"/>
    <n v="2"/>
    <n v="12749.07"/>
    <n v="0.05"/>
    <n v="24223.23"/>
    <n v="7166.87"/>
    <s v="Credit Card"/>
    <s v="2025-06"/>
    <s v="1-10%"/>
    <n v="0.29586764440580388"/>
    <s v="No"/>
  </r>
  <r>
    <s v="ORD-101866"/>
    <d v="2025-06-27T00:00:00"/>
    <s v="CUST-00008"/>
    <x v="3"/>
    <x v="1"/>
    <s v="Mobile"/>
    <s v="Pixel Aura 12"/>
    <n v="2"/>
    <n v="34469.74"/>
    <n v="0.2"/>
    <n v="55151.58"/>
    <n v="-3576.39"/>
    <s v="Debit Card"/>
    <s v="2025-06"/>
    <s v="16-20%"/>
    <n v="-6.484655561998405E-2"/>
    <s v="Yes"/>
  </r>
  <r>
    <s v="ORD-101942"/>
    <d v="2025-06-27T00:00:00"/>
    <s v="CUST-00222"/>
    <x v="0"/>
    <x v="4"/>
    <s v="Outdoor"/>
    <s v="AllWeather Tent 4P"/>
    <n v="1"/>
    <n v="12009.9"/>
    <n v="0.2"/>
    <n v="9607.92"/>
    <n v="1424.83"/>
    <s v="UPI"/>
    <s v="2025-06"/>
    <s v="16-20%"/>
    <n v="0.14829744627349103"/>
    <s v="No"/>
  </r>
  <r>
    <s v="ORD-100428"/>
    <d v="2025-06-28T00:00:00"/>
    <s v="CUST-00592"/>
    <x v="2"/>
    <x v="1"/>
    <s v="Mobile"/>
    <s v="Galaxy Nova X5"/>
    <n v="3"/>
    <n v="25339.32"/>
    <n v="0.25"/>
    <n v="57013.47"/>
    <n v="-8408.65"/>
    <s v="UPI"/>
    <s v="2025-06"/>
    <s v="21%+"/>
    <n v="-0.14748532232821471"/>
    <s v="Yes"/>
  </r>
  <r>
    <s v="ORD-100474"/>
    <d v="2025-06-28T00:00:00"/>
    <s v="CUST-00546"/>
    <x v="0"/>
    <x v="0"/>
    <s v="Makeup"/>
    <s v="HD Foundation Kit"/>
    <n v="1"/>
    <n v="1491.87"/>
    <n v="0.05"/>
    <n v="1417.28"/>
    <n v="698.17"/>
    <s v="Credit Card"/>
    <s v="2025-06"/>
    <s v="1-10%"/>
    <n v="0.49261261006999318"/>
    <s v="No"/>
  </r>
  <r>
    <s v="ORD-100494"/>
    <d v="2025-06-28T00:00:00"/>
    <s v="CUST-00117"/>
    <x v="1"/>
    <x v="1"/>
    <s v="Mobile"/>
    <s v="Galaxy Nova X5"/>
    <n v="1"/>
    <n v="25736.74"/>
    <n v="0.2"/>
    <n v="20589.39"/>
    <n v="-932.86"/>
    <s v="Cash on Delivery"/>
    <s v="2025-06"/>
    <s v="16-20%"/>
    <n v="-4.5307801736719742E-2"/>
    <s v="Yes"/>
  </r>
  <r>
    <s v="ORD-101252"/>
    <d v="2025-06-28T00:00:00"/>
    <s v="CUST-00537"/>
    <x v="3"/>
    <x v="4"/>
    <s v="Fitness"/>
    <s v="Adjustable Dumbbell 24kg"/>
    <n v="1"/>
    <n v="9652.9500000000007"/>
    <n v="0.15"/>
    <n v="8205.01"/>
    <n v="1921.84"/>
    <s v="Credit Card"/>
    <s v="2025-06"/>
    <s v="11-15%"/>
    <n v="0.23422762434171315"/>
    <s v="No"/>
  </r>
  <r>
    <s v="ORD-101496"/>
    <d v="2025-06-28T00:00:00"/>
    <s v="CUST-00116"/>
    <x v="2"/>
    <x v="4"/>
    <s v="Fitness"/>
    <s v="ProYoga Mat"/>
    <n v="1"/>
    <n v="1273.75"/>
    <n v="0"/>
    <n v="1273.75"/>
    <n v="439.59"/>
    <s v="Credit Card"/>
    <s v="2025-06"/>
    <s v="No discount"/>
    <n v="0.34511481844946024"/>
    <s v="No"/>
  </r>
  <r>
    <s v="ORD-101733"/>
    <d v="2025-06-28T00:00:00"/>
    <s v="CUST-00141"/>
    <x v="1"/>
    <x v="1"/>
    <s v="Laptop"/>
    <s v="AirBook Slim"/>
    <n v="4"/>
    <n v="77249.3"/>
    <n v="0.05"/>
    <n v="293547.34000000003"/>
    <n v="35495.69"/>
    <s v="Debit Card"/>
    <s v="2025-06"/>
    <s v="1-10%"/>
    <n v="0.12091981484144942"/>
    <s v="No"/>
  </r>
  <r>
    <s v="ORD-100418"/>
    <d v="2025-06-29T00:00:00"/>
    <s v="CUST-00452"/>
    <x v="2"/>
    <x v="1"/>
    <s v="Audio"/>
    <s v="BassBoom Speaker"/>
    <n v="1"/>
    <n v="9123.9500000000007"/>
    <n v="0.15"/>
    <n v="7755.36"/>
    <n v="-121.85"/>
    <s v="UPI"/>
    <s v="2025-06"/>
    <s v="11-15%"/>
    <n v="-1.5711714220874338E-2"/>
    <s v="Yes"/>
  </r>
  <r>
    <s v="ORD-100441"/>
    <d v="2025-06-29T00:00:00"/>
    <s v="CUST-00400"/>
    <x v="3"/>
    <x v="3"/>
    <s v="Footwear"/>
    <s v="UrbanLoafers"/>
    <n v="1"/>
    <n v="3610.8"/>
    <n v="0"/>
    <n v="3610.8"/>
    <n v="1387.28"/>
    <s v="Credit Card"/>
    <s v="2025-06"/>
    <s v="No discount"/>
    <n v="0.38420294671540928"/>
    <s v="No"/>
  </r>
  <r>
    <s v="ORD-100650"/>
    <d v="2025-06-29T00:00:00"/>
    <s v="CUST-00392"/>
    <x v="2"/>
    <x v="4"/>
    <s v="Outdoor"/>
    <s v="TrailHike Backpack 60L"/>
    <n v="1"/>
    <n v="3472.04"/>
    <n v="0"/>
    <n v="3472.04"/>
    <n v="1410.97"/>
    <s v="UPI"/>
    <s v="2025-06"/>
    <s v="No discount"/>
    <n v="0.40638068685844636"/>
    <s v="No"/>
  </r>
  <r>
    <s v="ORD-100294"/>
    <d v="2025-06-30T00:00:00"/>
    <s v="CUST-00433"/>
    <x v="0"/>
    <x v="3"/>
    <s v="Footwear"/>
    <s v="UrbanLoafers"/>
    <n v="2"/>
    <n v="3520.79"/>
    <n v="0.15"/>
    <n v="5985.34"/>
    <n v="1521.02"/>
    <s v="Debit Card"/>
    <s v="2025-06"/>
    <s v="11-15%"/>
    <n v="0.25412424356845226"/>
    <s v="No"/>
  </r>
  <r>
    <s v="ORD-100923"/>
    <d v="2025-06-30T00:00:00"/>
    <s v="CUST-00450"/>
    <x v="0"/>
    <x v="3"/>
    <s v="Women"/>
    <s v="Floral Summer Dress"/>
    <n v="1"/>
    <n v="1830.82"/>
    <n v="0"/>
    <n v="1830.82"/>
    <n v="822.71"/>
    <s v="Net Banking"/>
    <s v="2025-06"/>
    <s v="No discount"/>
    <n v="0.44936695032826823"/>
    <s v="No"/>
  </r>
  <r>
    <s v="ORD-101513"/>
    <d v="2025-06-30T00:00:00"/>
    <s v="CUST-00297"/>
    <x v="3"/>
    <x v="0"/>
    <s v="Makeup"/>
    <s v="Matte Lipstick Set"/>
    <n v="1"/>
    <n v="1029.81"/>
    <n v="0.1"/>
    <n v="926.83"/>
    <n v="374.02"/>
    <s v="Debit Card"/>
    <s v="2025-06"/>
    <s v="1-10%"/>
    <n v="0.40354757614665038"/>
    <s v="N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9F8145-5C69-45C6-8DFF-AFD1460D338A}" name="EcommerceCategoryRegion" cacheId="8" applyNumberFormats="0" applyBorderFormats="0" applyFontFormats="0" applyPatternFormats="0" applyAlignmentFormats="0" applyWidthHeightFormats="1" dataCaption="Values" updatedVersion="7" minRefreshableVersion="3" asteriskTotals="1" useAutoFormatting="1" itemPrintTitles="1" createdVersion="6" indent="0" compact="0" compactData="0" multipleFieldFilters="0">
  <location ref="A5:P13" firstHeaderRow="1" firstDataRow="3" firstDataCol="1"/>
  <pivotFields count="17">
    <pivotField dataField="1" compact="0" outline="0" showAll="0"/>
    <pivotField compact="0" numFmtId="164" outline="0" showAll="0"/>
    <pivotField compact="0" outline="0" showAll="0"/>
    <pivotField axis="axisCol" compact="0" outline="0" showAll="0">
      <items count="5">
        <item x="1"/>
        <item x="2"/>
        <item x="3"/>
        <item x="0"/>
        <item t="default"/>
      </items>
    </pivotField>
    <pivotField axis="axisRow" compact="0" outline="0" showAll="0" defaultSubtotal="0">
      <items count="5">
        <item x="0"/>
        <item x="1"/>
        <item x="3"/>
        <item x="2"/>
        <item x="4"/>
      </items>
    </pivotField>
    <pivotField compact="0" outline="0" showAll="0"/>
    <pivotField compact="0" outline="0" showAll="0"/>
    <pivotField compact="0" outline="0" showAll="0"/>
    <pivotField compact="0" numFmtId="4" outline="0" showAll="0"/>
    <pivotField compact="0" numFmtId="165" outline="0" showAll="0"/>
    <pivotField dataField="1" compact="0" numFmtId="4" outline="0" showAll="0"/>
    <pivotField dataField="1" compact="0" numFmtId="4" outline="0" showAll="0"/>
    <pivotField compact="0" outline="0" showAll="0"/>
    <pivotField compact="0" outline="0" showAll="0"/>
    <pivotField compact="0" outline="0" showAll="0"/>
    <pivotField compact="0" numFmtId="165" outline="0" showAll="0"/>
    <pivotField compact="0" outline="0" showAll="0"/>
  </pivotFields>
  <rowFields count="1">
    <field x="4"/>
  </rowFields>
  <rowItems count="6">
    <i>
      <x/>
    </i>
    <i>
      <x v="1"/>
    </i>
    <i>
      <x v="2"/>
    </i>
    <i>
      <x v="3"/>
    </i>
    <i>
      <x v="4"/>
    </i>
    <i t="grand">
      <x/>
    </i>
  </rowItems>
  <colFields count="2">
    <field x="3"/>
    <field x="-2"/>
  </colFields>
  <colItems count="15">
    <i>
      <x/>
      <x/>
    </i>
    <i r="1" i="1">
      <x v="1"/>
    </i>
    <i r="1" i="2">
      <x v="2"/>
    </i>
    <i>
      <x v="1"/>
      <x/>
    </i>
    <i r="1" i="1">
      <x v="1"/>
    </i>
    <i r="1" i="2">
      <x v="2"/>
    </i>
    <i>
      <x v="2"/>
      <x/>
    </i>
    <i r="1" i="1">
      <x v="1"/>
    </i>
    <i r="1" i="2">
      <x v="2"/>
    </i>
    <i>
      <x v="3"/>
      <x/>
    </i>
    <i r="1" i="1">
      <x v="1"/>
    </i>
    <i r="1" i="2">
      <x v="2"/>
    </i>
    <i t="grand">
      <x/>
    </i>
    <i t="grand" i="1">
      <x/>
    </i>
    <i t="grand" i="2">
      <x/>
    </i>
  </colItems>
  <dataFields count="3">
    <dataField name="Total Sales" fld="10" baseField="0" baseItem="0" numFmtId="4"/>
    <dataField name="Total Profit" fld="11" baseField="0" baseItem="0" numFmtId="4"/>
    <dataField name="Order Count" fld="0" subtotal="count" baseField="0" baseItem="0" numFmtId="3"/>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EcommerceRegionCache" xr10:uid="{9B466EA6-348A-4E21-A096-76F99B13D223}" sourceName="region">
  <pivotTables>
    <pivotTable tabId="5" name="EcommerceCategoryRegion"/>
  </pivotTables>
  <data>
    <tabular pivotCacheId="356346574">
      <items count="4">
        <i x="1" s="1"/>
        <i x="2"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EcommerceCategoryCache" xr10:uid="{036037AE-8B18-414B-8BAD-853BCE4828FD}" sourceName="category">
  <pivotTables>
    <pivotTable tabId="5" name="EcommerceCategoryRegion"/>
  </pivotTables>
  <data>
    <tabular pivotCacheId="356346574">
      <items count="5">
        <i x="0" s="1"/>
        <i x="1" s="1"/>
        <i x="3"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6F82EDF3-8DEE-4CA8-8636-E5BD0D064B09}" cache="EcommerceRegionCache" caption="region" style="SlicerStyleLight2" rowHeight="230716"/>
  <slicer name="category" xr10:uid="{58CCD28B-3AC3-4381-A9EF-43F34E8CCB3A}" cache="EcommerceCategoryCache" caption="category" style="SlicerStyleLight2"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Orders_Clean" displayName="Orders_Clean" ref="A1:Q2001" totalsRowShown="0">
  <tableColumns count="17">
    <tableColumn id="1" xr3:uid="{00000000-0010-0000-0000-000001000000}" name="order_id"/>
    <tableColumn id="2" xr3:uid="{00000000-0010-0000-0000-000002000000}" name="order_date"/>
    <tableColumn id="3" xr3:uid="{00000000-0010-0000-0000-000003000000}" name="customer_id"/>
    <tableColumn id="4" xr3:uid="{00000000-0010-0000-0000-000004000000}" name="region"/>
    <tableColumn id="5" xr3:uid="{00000000-0010-0000-0000-000005000000}" name="category"/>
    <tableColumn id="6" xr3:uid="{00000000-0010-0000-0000-000006000000}" name="sub_category"/>
    <tableColumn id="7" xr3:uid="{00000000-0010-0000-0000-000007000000}" name="product"/>
    <tableColumn id="8" xr3:uid="{00000000-0010-0000-0000-000008000000}" name="quantity"/>
    <tableColumn id="9" xr3:uid="{00000000-0010-0000-0000-000009000000}" name="unit_price"/>
    <tableColumn id="10" xr3:uid="{00000000-0010-0000-0000-00000A000000}" name="discount"/>
    <tableColumn id="11" xr3:uid="{00000000-0010-0000-0000-00000B000000}" name="sales"/>
    <tableColumn id="12" xr3:uid="{00000000-0010-0000-0000-00000C000000}" name="profit"/>
    <tableColumn id="13" xr3:uid="{00000000-0010-0000-0000-00000D000000}" name="payment_method"/>
    <tableColumn id="14" xr3:uid="{00000000-0010-0000-0000-00000E000000}" name="Year-Month"/>
    <tableColumn id="15" xr3:uid="{00000000-0010-0000-0000-00000F000000}" name="Discount Bucket"/>
    <tableColumn id="16" xr3:uid="{00000000-0010-0000-0000-000010000000}" name="Margin %"/>
    <tableColumn id="17" xr3:uid="{00000000-0010-0000-0000-000011000000}" name="Is Loss-Making"/>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Orders_Raw" displayName="Orders_Raw" ref="A1:M2001" totalsRowShown="0">
  <tableColumns count="13">
    <tableColumn id="1" xr3:uid="{00000000-0010-0000-0100-000001000000}" name="order_id"/>
    <tableColumn id="2" xr3:uid="{00000000-0010-0000-0100-000002000000}" name="order_date"/>
    <tableColumn id="3" xr3:uid="{00000000-0010-0000-0100-000003000000}" name="customer_id"/>
    <tableColumn id="4" xr3:uid="{00000000-0010-0000-0100-000004000000}" name="region"/>
    <tableColumn id="5" xr3:uid="{00000000-0010-0000-0100-000005000000}" name="category"/>
    <tableColumn id="6" xr3:uid="{00000000-0010-0000-0100-000006000000}" name="sub_category"/>
    <tableColumn id="7" xr3:uid="{00000000-0010-0000-0100-000007000000}" name="product"/>
    <tableColumn id="8" xr3:uid="{00000000-0010-0000-0100-000008000000}" name="quantity"/>
    <tableColumn id="9" xr3:uid="{00000000-0010-0000-0100-000009000000}" name="unit_price"/>
    <tableColumn id="10" xr3:uid="{00000000-0010-0000-0100-00000A000000}" name="discount"/>
    <tableColumn id="11" xr3:uid="{00000000-0010-0000-0100-00000B000000}" name="sales"/>
    <tableColumn id="12" xr3:uid="{00000000-0010-0000-0100-00000C000000}" name="profit"/>
    <tableColumn id="13" xr3:uid="{00000000-0010-0000-0100-00000D000000}" name="payment_metho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95646"/>
  </sheetPr>
  <dimension ref="A1:M50"/>
  <sheetViews>
    <sheetView showGridLines="0" workbookViewId="0"/>
  </sheetViews>
  <sheetFormatPr defaultRowHeight="14"/>
  <cols>
    <col min="1" max="1" width="29" customWidth="1"/>
    <col min="2" max="2" width="24" customWidth="1"/>
    <col min="3" max="6" width="19" customWidth="1"/>
  </cols>
  <sheetData>
    <row r="1" spans="1:13" ht="23" customHeight="1">
      <c r="A1" s="13" t="s">
        <v>0</v>
      </c>
      <c r="B1" s="1"/>
      <c r="C1" s="1"/>
      <c r="D1" s="1"/>
      <c r="E1" s="1"/>
      <c r="F1" s="1"/>
      <c r="G1" s="1"/>
      <c r="H1" s="1"/>
      <c r="I1" s="1"/>
      <c r="J1" s="1"/>
      <c r="K1" s="1"/>
      <c r="L1" s="1"/>
      <c r="M1" s="1"/>
    </row>
    <row r="2" spans="1:13" ht="23" customHeight="1">
      <c r="A2" s="1" t="s">
        <v>1</v>
      </c>
      <c r="B2" s="1"/>
      <c r="C2" s="1"/>
      <c r="D2" s="1"/>
      <c r="E2" s="1"/>
      <c r="F2" s="1"/>
      <c r="G2" s="1"/>
      <c r="H2" s="1"/>
      <c r="I2" s="1"/>
      <c r="J2" s="1"/>
      <c r="K2" s="1"/>
      <c r="L2" s="1"/>
      <c r="M2" s="1"/>
    </row>
    <row r="3" spans="1:13" ht="23" customHeight="1">
      <c r="A3" s="1"/>
      <c r="B3" s="1"/>
      <c r="C3" s="1"/>
      <c r="D3" s="1"/>
      <c r="E3" s="1"/>
      <c r="F3" s="1"/>
      <c r="G3" s="1"/>
      <c r="H3" s="1"/>
      <c r="I3" s="1"/>
      <c r="J3" s="1"/>
      <c r="K3" s="1"/>
      <c r="L3" s="1"/>
      <c r="M3" s="1"/>
    </row>
    <row r="4" spans="1:13" ht="28" customHeight="1">
      <c r="A4" s="14" t="s">
        <v>2</v>
      </c>
      <c r="B4" s="14" t="s">
        <v>3</v>
      </c>
      <c r="C4" s="1"/>
      <c r="D4" s="10" t="s">
        <v>4</v>
      </c>
      <c r="E4" s="10" t="s">
        <v>5</v>
      </c>
      <c r="F4" s="1"/>
      <c r="G4" s="1"/>
      <c r="H4" s="1"/>
      <c r="I4" s="1"/>
      <c r="J4" s="1"/>
      <c r="K4" s="1"/>
      <c r="L4" s="1"/>
      <c r="M4" s="1"/>
    </row>
    <row r="5" spans="1:13" ht="29" customHeight="1">
      <c r="A5" s="15" t="s">
        <v>6</v>
      </c>
      <c r="B5" s="16">
        <f>SUM(Clean_Data!K2:K2001)</f>
        <v>35928968.569999941</v>
      </c>
      <c r="C5" s="1"/>
      <c r="D5" s="1" t="str">
        <f>Monthly_Trend!A2</f>
        <v>2024-01</v>
      </c>
      <c r="E5" s="11">
        <f>Monthly_Trend!C2</f>
        <v>1262656.8299999994</v>
      </c>
      <c r="F5" s="1"/>
      <c r="G5" s="1"/>
      <c r="H5" s="1"/>
      <c r="I5" s="1"/>
      <c r="J5" s="1"/>
      <c r="K5" s="1"/>
      <c r="L5" s="1"/>
      <c r="M5" s="1"/>
    </row>
    <row r="6" spans="1:13" ht="29" customHeight="1">
      <c r="A6" s="15" t="s">
        <v>7</v>
      </c>
      <c r="B6" s="16">
        <f>SUM(Clean_Data!L2:L2001)</f>
        <v>5182911.579999988</v>
      </c>
      <c r="C6" s="1"/>
      <c r="D6" s="1" t="str">
        <f>Monthly_Trend!A3</f>
        <v>2024-02</v>
      </c>
      <c r="E6" s="11">
        <f>Monthly_Trend!C3</f>
        <v>2132179.7100000004</v>
      </c>
      <c r="F6" s="1"/>
      <c r="G6" s="1"/>
      <c r="H6" s="1"/>
      <c r="I6" s="1"/>
      <c r="J6" s="1"/>
      <c r="K6" s="1"/>
      <c r="L6" s="1"/>
      <c r="M6" s="1"/>
    </row>
    <row r="7" spans="1:13" ht="29" customHeight="1">
      <c r="A7" s="15" t="s">
        <v>8</v>
      </c>
      <c r="B7" s="17">
        <f>IF(B5=0,0,B6/B5)</f>
        <v>0.14425439377426572</v>
      </c>
      <c r="C7" s="1"/>
      <c r="D7" s="1" t="str">
        <f>Monthly_Trend!A4</f>
        <v>2024-03</v>
      </c>
      <c r="E7" s="11">
        <f>Monthly_Trend!C4</f>
        <v>1498811.1800000006</v>
      </c>
      <c r="F7" s="1"/>
      <c r="G7" s="1"/>
      <c r="H7" s="1"/>
      <c r="I7" s="1"/>
      <c r="J7" s="1"/>
      <c r="K7" s="1"/>
      <c r="L7" s="1"/>
      <c r="M7" s="1"/>
    </row>
    <row r="8" spans="1:13" ht="29" customHeight="1">
      <c r="A8" s="15" t="s">
        <v>9</v>
      </c>
      <c r="B8" s="18">
        <f>COUNTA(Clean_Data!A2:A2001)</f>
        <v>2000</v>
      </c>
      <c r="C8" s="1"/>
      <c r="D8" s="1" t="str">
        <f>Monthly_Trend!A5</f>
        <v>2024-04</v>
      </c>
      <c r="E8" s="11">
        <f>Monthly_Trend!C5</f>
        <v>2866899.74</v>
      </c>
      <c r="F8" s="1"/>
      <c r="G8" s="1"/>
      <c r="H8" s="1"/>
      <c r="I8" s="1"/>
      <c r="J8" s="1"/>
      <c r="K8" s="1"/>
      <c r="L8" s="1"/>
      <c r="M8" s="1"/>
    </row>
    <row r="9" spans="1:13" ht="29" customHeight="1">
      <c r="A9" s="15" t="s">
        <v>10</v>
      </c>
      <c r="B9" s="18">
        <f>COUNTA(_xlfn.UNIQUE(Clean_Data!C2:C2001))</f>
        <v>573</v>
      </c>
      <c r="C9" s="1"/>
      <c r="D9" s="1" t="str">
        <f>Monthly_Trend!A6</f>
        <v>2024-05</v>
      </c>
      <c r="E9" s="11">
        <f>Monthly_Trend!C6</f>
        <v>1805108.86</v>
      </c>
      <c r="F9" s="1"/>
      <c r="G9" s="1"/>
      <c r="H9" s="1"/>
      <c r="I9" s="1"/>
      <c r="J9" s="1"/>
      <c r="K9" s="1"/>
      <c r="L9" s="1"/>
      <c r="M9" s="1"/>
    </row>
    <row r="10" spans="1:13" ht="29" customHeight="1">
      <c r="A10" s="15" t="s">
        <v>11</v>
      </c>
      <c r="B10" s="16">
        <f>B5/B8</f>
        <v>17964.48428499997</v>
      </c>
      <c r="C10" s="1"/>
      <c r="D10" s="1" t="str">
        <f>Monthly_Trend!A7</f>
        <v>2024-06</v>
      </c>
      <c r="E10" s="11">
        <f>Monthly_Trend!C7</f>
        <v>2416060.8600000008</v>
      </c>
      <c r="F10" s="1"/>
      <c r="G10" s="1"/>
      <c r="H10" s="1"/>
      <c r="I10" s="1"/>
      <c r="J10" s="1"/>
      <c r="K10" s="1"/>
      <c r="L10" s="1"/>
      <c r="M10" s="1"/>
    </row>
    <row r="11" spans="1:13" ht="29" customHeight="1">
      <c r="A11" s="15" t="s">
        <v>12</v>
      </c>
      <c r="B11" s="15">
        <f>COUNTIF(Clean_Data!Q2:Q2001,"Yes")</f>
        <v>114</v>
      </c>
      <c r="C11" s="1"/>
      <c r="D11" s="1" t="str">
        <f>Monthly_Trend!A8</f>
        <v>2024-07</v>
      </c>
      <c r="E11" s="11">
        <f>Monthly_Trend!C8</f>
        <v>1574698.9300000004</v>
      </c>
      <c r="F11" s="1"/>
      <c r="G11" s="1"/>
      <c r="H11" s="1"/>
      <c r="I11" s="1"/>
      <c r="J11" s="1"/>
      <c r="K11" s="1"/>
      <c r="L11" s="1"/>
      <c r="M11" s="1"/>
    </row>
    <row r="12" spans="1:13" ht="29" customHeight="1">
      <c r="A12" s="15" t="s">
        <v>13</v>
      </c>
      <c r="B12" s="15" t="str">
        <f>INDEX(Category_Region!A2:A6,MATCH(MAX(Category_Region!C2:C6),Category_Region!C2:C6,0))</f>
        <v>Electronics</v>
      </c>
      <c r="C12" s="1"/>
      <c r="D12" s="1" t="str">
        <f>Monthly_Trend!A9</f>
        <v>2024-08</v>
      </c>
      <c r="E12" s="11">
        <f>Monthly_Trend!C9</f>
        <v>2401676.23</v>
      </c>
      <c r="F12" s="1"/>
      <c r="G12" s="1"/>
      <c r="H12" s="1"/>
      <c r="I12" s="1"/>
      <c r="J12" s="1"/>
      <c r="K12" s="1"/>
      <c r="L12" s="1"/>
      <c r="M12" s="1"/>
    </row>
    <row r="13" spans="1:13" ht="23" customHeight="1">
      <c r="A13" s="1"/>
      <c r="B13" s="1"/>
      <c r="C13" s="1"/>
      <c r="D13" s="1" t="str">
        <f>Monthly_Trend!A10</f>
        <v>2024-09</v>
      </c>
      <c r="E13" s="11">
        <f>Monthly_Trend!C10</f>
        <v>1647274.5499999998</v>
      </c>
      <c r="F13" s="1"/>
      <c r="G13" s="1"/>
      <c r="H13" s="1"/>
      <c r="I13" s="1"/>
      <c r="J13" s="1"/>
      <c r="K13" s="1"/>
      <c r="L13" s="1"/>
      <c r="M13" s="1"/>
    </row>
    <row r="14" spans="1:13" ht="23" customHeight="1">
      <c r="A14" s="1"/>
      <c r="B14" s="1"/>
      <c r="C14" s="1"/>
      <c r="D14" s="1" t="str">
        <f>Monthly_Trend!A11</f>
        <v>2024-10</v>
      </c>
      <c r="E14" s="11">
        <f>Monthly_Trend!C11</f>
        <v>2283368.8899999997</v>
      </c>
      <c r="F14" s="1"/>
      <c r="G14" s="1"/>
      <c r="H14" s="1"/>
      <c r="I14" s="1"/>
      <c r="J14" s="1"/>
      <c r="K14" s="1"/>
      <c r="L14" s="1"/>
      <c r="M14" s="1"/>
    </row>
    <row r="15" spans="1:13" ht="23" customHeight="1">
      <c r="A15" s="1"/>
      <c r="B15" s="1"/>
      <c r="C15" s="1"/>
      <c r="D15" s="1" t="str">
        <f>Monthly_Trend!A12</f>
        <v>2024-11</v>
      </c>
      <c r="E15" s="11">
        <f>Monthly_Trend!C12</f>
        <v>3322851.9600000014</v>
      </c>
      <c r="F15" s="1"/>
      <c r="G15" s="1"/>
      <c r="H15" s="1"/>
      <c r="I15" s="1"/>
      <c r="J15" s="1"/>
      <c r="K15" s="1"/>
      <c r="L15" s="1"/>
      <c r="M15" s="1"/>
    </row>
    <row r="16" spans="1:13" ht="23" customHeight="1">
      <c r="A16" s="1"/>
      <c r="B16" s="1"/>
      <c r="C16" s="1"/>
      <c r="D16" s="1" t="str">
        <f>Monthly_Trend!A13</f>
        <v>2024-12</v>
      </c>
      <c r="E16" s="11">
        <f>Monthly_Trend!C13</f>
        <v>2941985.0699999994</v>
      </c>
      <c r="F16" s="1"/>
      <c r="G16" s="1"/>
      <c r="H16" s="1"/>
      <c r="I16" s="1"/>
      <c r="J16" s="1"/>
      <c r="K16" s="1"/>
      <c r="L16" s="1"/>
      <c r="M16" s="1"/>
    </row>
    <row r="17" spans="1:13" ht="23" customHeight="1">
      <c r="A17" s="1"/>
      <c r="B17" s="1"/>
      <c r="C17" s="1"/>
      <c r="D17" s="1" t="str">
        <f>Monthly_Trend!A14</f>
        <v>2025-01</v>
      </c>
      <c r="E17" s="11">
        <f>Monthly_Trend!C14</f>
        <v>1525579.38</v>
      </c>
      <c r="F17" s="1"/>
      <c r="G17" s="1"/>
      <c r="H17" s="1"/>
      <c r="I17" s="1"/>
      <c r="J17" s="1"/>
      <c r="K17" s="1"/>
      <c r="L17" s="1"/>
      <c r="M17" s="1"/>
    </row>
    <row r="18" spans="1:13" ht="23" customHeight="1">
      <c r="A18" s="1"/>
      <c r="B18" s="1"/>
      <c r="C18" s="1"/>
      <c r="D18" s="1" t="str">
        <f>Monthly_Trend!A15</f>
        <v>2025-02</v>
      </c>
      <c r="E18" s="11">
        <f>Monthly_Trend!C15</f>
        <v>1355935.13</v>
      </c>
      <c r="F18" s="1"/>
      <c r="G18" s="1"/>
      <c r="H18" s="1"/>
      <c r="I18" s="1"/>
      <c r="J18" s="1"/>
      <c r="K18" s="1"/>
      <c r="L18" s="1"/>
      <c r="M18" s="1"/>
    </row>
    <row r="19" spans="1:13" ht="23" customHeight="1">
      <c r="A19" s="1"/>
      <c r="B19" s="1"/>
      <c r="C19" s="1"/>
      <c r="D19" s="1" t="str">
        <f>Monthly_Trend!A16</f>
        <v>2025-03</v>
      </c>
      <c r="E19" s="11">
        <f>Monthly_Trend!C16</f>
        <v>1728383.7399999998</v>
      </c>
      <c r="F19" s="1"/>
      <c r="G19" s="1"/>
      <c r="H19" s="1"/>
      <c r="I19" s="1"/>
      <c r="J19" s="1"/>
      <c r="K19" s="1"/>
      <c r="L19" s="1"/>
      <c r="M19" s="1"/>
    </row>
    <row r="20" spans="1:13" ht="23" customHeight="1">
      <c r="A20" s="1"/>
      <c r="B20" s="1"/>
      <c r="C20" s="1"/>
      <c r="D20" s="1" t="str">
        <f>Monthly_Trend!A17</f>
        <v>2025-04</v>
      </c>
      <c r="E20" s="11">
        <f>Monthly_Trend!C17</f>
        <v>1570424.67</v>
      </c>
      <c r="F20" s="1"/>
      <c r="G20" s="1"/>
      <c r="H20" s="1"/>
      <c r="I20" s="1"/>
      <c r="J20" s="1"/>
      <c r="K20" s="1"/>
      <c r="L20" s="1"/>
      <c r="M20" s="1"/>
    </row>
    <row r="21" spans="1:13" ht="23" customHeight="1">
      <c r="A21" s="1"/>
      <c r="B21" s="1"/>
      <c r="C21" s="1"/>
      <c r="D21" s="1" t="str">
        <f>Monthly_Trend!A18</f>
        <v>2025-05</v>
      </c>
      <c r="E21" s="11">
        <f>Monthly_Trend!C18</f>
        <v>1811992.3400000008</v>
      </c>
      <c r="F21" s="1"/>
      <c r="G21" s="1"/>
      <c r="H21" s="1"/>
      <c r="I21" s="1"/>
      <c r="J21" s="1"/>
      <c r="K21" s="1"/>
      <c r="L21" s="1"/>
      <c r="M21" s="1"/>
    </row>
    <row r="22" spans="1:13" ht="23" customHeight="1">
      <c r="A22" s="1"/>
      <c r="B22" s="1"/>
      <c r="C22" s="1"/>
      <c r="D22" s="1" t="str">
        <f>Monthly_Trend!A19</f>
        <v>2025-06</v>
      </c>
      <c r="E22" s="11">
        <f>Monthly_Trend!C19</f>
        <v>1783080.5000000005</v>
      </c>
      <c r="F22" s="1"/>
      <c r="G22" s="1"/>
      <c r="H22" s="1"/>
      <c r="I22" s="1"/>
      <c r="J22" s="1"/>
      <c r="K22" s="1"/>
      <c r="L22" s="1"/>
      <c r="M22" s="1"/>
    </row>
    <row r="23" spans="1:13" ht="23" customHeight="1">
      <c r="A23" s="1"/>
      <c r="B23" s="1"/>
      <c r="C23" s="1"/>
      <c r="D23" s="1"/>
      <c r="E23" s="1"/>
      <c r="F23" s="1"/>
      <c r="G23" s="1"/>
      <c r="H23" s="1"/>
      <c r="I23" s="1"/>
      <c r="J23" s="1"/>
      <c r="K23" s="1"/>
      <c r="L23" s="1"/>
      <c r="M23" s="1"/>
    </row>
    <row r="24" spans="1:13" ht="23" customHeight="1">
      <c r="A24" s="1"/>
      <c r="B24" s="1"/>
      <c r="C24" s="1"/>
      <c r="D24" s="1"/>
      <c r="E24" s="1"/>
      <c r="F24" s="1"/>
      <c r="G24" s="1"/>
      <c r="H24" s="1"/>
      <c r="I24" s="1"/>
      <c r="J24" s="1"/>
      <c r="K24" s="1"/>
      <c r="L24" s="1"/>
      <c r="M24" s="1"/>
    </row>
    <row r="25" spans="1:13" ht="23" customHeight="1">
      <c r="A25" s="1"/>
      <c r="B25" s="1"/>
      <c r="C25" s="1"/>
      <c r="D25" s="1"/>
      <c r="E25" s="1"/>
      <c r="F25" s="1"/>
      <c r="G25" s="1"/>
      <c r="H25" s="1"/>
      <c r="I25" s="1"/>
      <c r="J25" s="1"/>
      <c r="K25" s="1"/>
      <c r="L25" s="1"/>
      <c r="M25" s="1"/>
    </row>
    <row r="26" spans="1:13" ht="23" customHeight="1">
      <c r="A26" s="1"/>
      <c r="B26" s="1"/>
      <c r="C26" s="1"/>
      <c r="D26" s="1"/>
      <c r="E26" s="1"/>
      <c r="F26" s="1"/>
      <c r="G26" s="1"/>
      <c r="H26" s="1"/>
      <c r="I26" s="1"/>
      <c r="J26" s="1"/>
      <c r="K26" s="1"/>
      <c r="L26" s="1"/>
      <c r="M26" s="1"/>
    </row>
    <row r="27" spans="1:13" ht="23" customHeight="1">
      <c r="A27" s="1"/>
      <c r="B27" s="1"/>
      <c r="C27" s="1"/>
      <c r="D27" s="1"/>
      <c r="E27" s="1"/>
      <c r="F27" s="1"/>
      <c r="G27" s="1"/>
      <c r="H27" s="1"/>
      <c r="I27" s="1"/>
      <c r="J27" s="1"/>
      <c r="K27" s="1"/>
      <c r="L27" s="1"/>
      <c r="M27" s="1"/>
    </row>
    <row r="28" spans="1:13" ht="23" customHeight="1">
      <c r="A28" s="1"/>
      <c r="B28" s="1"/>
      <c r="C28" s="1"/>
      <c r="D28" s="1"/>
      <c r="E28" s="1"/>
      <c r="F28" s="1"/>
      <c r="G28" s="1"/>
      <c r="H28" s="1"/>
      <c r="I28" s="1"/>
      <c r="J28" s="1"/>
      <c r="K28" s="1"/>
      <c r="L28" s="1"/>
      <c r="M28" s="1"/>
    </row>
    <row r="29" spans="1:13" ht="23" customHeight="1">
      <c r="A29" s="1"/>
      <c r="B29" s="1"/>
      <c r="C29" s="1"/>
      <c r="D29" s="1"/>
      <c r="E29" s="1"/>
      <c r="F29" s="1"/>
      <c r="G29" s="1"/>
      <c r="H29" s="1"/>
      <c r="I29" s="1"/>
      <c r="J29" s="1"/>
      <c r="K29" s="1"/>
      <c r="L29" s="1"/>
      <c r="M29" s="1"/>
    </row>
    <row r="30" spans="1:13" ht="23" customHeight="1">
      <c r="A30" s="1"/>
      <c r="B30" s="1"/>
      <c r="C30" s="1"/>
      <c r="D30" s="1"/>
      <c r="E30" s="1"/>
      <c r="F30" s="1"/>
      <c r="G30" s="1"/>
      <c r="H30" s="1"/>
      <c r="I30" s="1"/>
      <c r="J30" s="1"/>
      <c r="K30" s="1"/>
      <c r="L30" s="1"/>
      <c r="M30" s="1"/>
    </row>
    <row r="31" spans="1:13" ht="23" customHeight="1">
      <c r="A31" s="1"/>
      <c r="B31" s="1"/>
      <c r="C31" s="1"/>
      <c r="D31" s="1"/>
      <c r="E31" s="1"/>
      <c r="F31" s="1"/>
      <c r="G31" s="1"/>
      <c r="H31" s="1"/>
      <c r="I31" s="1"/>
      <c r="J31" s="1"/>
      <c r="K31" s="1"/>
      <c r="L31" s="1"/>
      <c r="M31" s="1"/>
    </row>
    <row r="32" spans="1:13" ht="23" customHeight="1">
      <c r="A32" s="1"/>
      <c r="B32" s="1"/>
      <c r="C32" s="1"/>
      <c r="D32" s="1"/>
      <c r="E32" s="1"/>
      <c r="F32" s="1"/>
      <c r="G32" s="1"/>
      <c r="H32" s="1"/>
      <c r="I32" s="1"/>
      <c r="J32" s="1"/>
      <c r="K32" s="1"/>
      <c r="L32" s="1"/>
      <c r="M32" s="1"/>
    </row>
    <row r="33" spans="1:13" ht="23" customHeight="1">
      <c r="A33" s="1"/>
      <c r="B33" s="1"/>
      <c r="C33" s="1"/>
      <c r="D33" s="1"/>
      <c r="E33" s="1"/>
      <c r="F33" s="1"/>
      <c r="G33" s="1"/>
      <c r="H33" s="1"/>
      <c r="I33" s="1"/>
      <c r="J33" s="1"/>
      <c r="K33" s="1"/>
      <c r="L33" s="1"/>
      <c r="M33" s="1"/>
    </row>
    <row r="34" spans="1:13" ht="23" customHeight="1">
      <c r="A34" s="1"/>
      <c r="B34" s="1"/>
      <c r="C34" s="1"/>
      <c r="D34" s="1"/>
      <c r="E34" s="1"/>
      <c r="F34" s="1"/>
      <c r="G34" s="1"/>
      <c r="H34" s="1"/>
      <c r="I34" s="1"/>
      <c r="J34" s="1"/>
      <c r="K34" s="1"/>
      <c r="L34" s="1"/>
      <c r="M34" s="1"/>
    </row>
    <row r="35" spans="1:13" ht="23" customHeight="1">
      <c r="A35" s="1"/>
      <c r="B35" s="1"/>
      <c r="C35" s="1"/>
      <c r="D35" s="1"/>
      <c r="E35" s="1"/>
      <c r="F35" s="1"/>
      <c r="G35" s="1"/>
      <c r="H35" s="1"/>
      <c r="I35" s="1"/>
      <c r="J35" s="1"/>
      <c r="K35" s="1"/>
      <c r="L35" s="1"/>
      <c r="M35" s="1"/>
    </row>
    <row r="36" spans="1:13" ht="23" customHeight="1">
      <c r="A36" s="1"/>
      <c r="B36" s="1"/>
      <c r="C36" s="1"/>
      <c r="D36" s="1"/>
      <c r="E36" s="1"/>
      <c r="F36" s="1"/>
      <c r="G36" s="1"/>
      <c r="H36" s="1"/>
      <c r="I36" s="1"/>
      <c r="J36" s="1"/>
      <c r="K36" s="1"/>
      <c r="L36" s="1"/>
      <c r="M36" s="1"/>
    </row>
    <row r="37" spans="1:13" ht="23" customHeight="1">
      <c r="A37" s="1"/>
      <c r="B37" s="1"/>
      <c r="C37" s="1"/>
      <c r="D37" s="1"/>
      <c r="E37" s="1"/>
      <c r="F37" s="1"/>
      <c r="G37" s="1"/>
      <c r="H37" s="1"/>
      <c r="I37" s="1"/>
      <c r="J37" s="1"/>
      <c r="K37" s="1"/>
      <c r="L37" s="1"/>
      <c r="M37" s="1"/>
    </row>
    <row r="38" spans="1:13" ht="23" customHeight="1">
      <c r="A38" s="1"/>
      <c r="B38" s="1"/>
      <c r="C38" s="1"/>
      <c r="D38" s="1"/>
      <c r="E38" s="1"/>
      <c r="F38" s="1"/>
      <c r="G38" s="1"/>
      <c r="H38" s="1"/>
      <c r="I38" s="1"/>
      <c r="J38" s="1"/>
      <c r="K38" s="1"/>
      <c r="L38" s="1"/>
      <c r="M38" s="1"/>
    </row>
    <row r="39" spans="1:13" ht="23" customHeight="1">
      <c r="A39" s="1"/>
      <c r="B39" s="1"/>
      <c r="C39" s="1"/>
      <c r="D39" s="1"/>
      <c r="E39" s="1"/>
      <c r="F39" s="1"/>
      <c r="G39" s="1"/>
      <c r="H39" s="1"/>
      <c r="I39" s="1"/>
      <c r="J39" s="1"/>
      <c r="K39" s="1"/>
      <c r="L39" s="1"/>
      <c r="M39" s="1"/>
    </row>
    <row r="40" spans="1:13" ht="23" customHeight="1">
      <c r="A40" s="1"/>
      <c r="B40" s="1"/>
      <c r="C40" s="1"/>
      <c r="D40" s="1"/>
      <c r="E40" s="1"/>
      <c r="F40" s="1"/>
      <c r="G40" s="1"/>
      <c r="H40" s="1"/>
      <c r="I40" s="1"/>
      <c r="J40" s="1"/>
      <c r="K40" s="1"/>
      <c r="L40" s="1"/>
      <c r="M40" s="1"/>
    </row>
    <row r="41" spans="1:13" ht="23" customHeight="1">
      <c r="A41" s="1"/>
      <c r="B41" s="1"/>
      <c r="C41" s="1"/>
      <c r="D41" s="1"/>
      <c r="E41" s="1"/>
      <c r="F41" s="1"/>
      <c r="G41" s="1"/>
      <c r="H41" s="1"/>
      <c r="I41" s="1"/>
      <c r="J41" s="1"/>
      <c r="K41" s="1"/>
      <c r="L41" s="1"/>
      <c r="M41" s="1"/>
    </row>
    <row r="42" spans="1:13" ht="23" customHeight="1">
      <c r="A42" s="1"/>
      <c r="B42" s="1"/>
      <c r="C42" s="1"/>
      <c r="D42" s="1"/>
      <c r="E42" s="1"/>
      <c r="F42" s="1"/>
      <c r="G42" s="1"/>
      <c r="H42" s="1"/>
      <c r="I42" s="1"/>
      <c r="J42" s="1"/>
      <c r="K42" s="1"/>
      <c r="L42" s="1"/>
      <c r="M42" s="1"/>
    </row>
    <row r="43" spans="1:13" ht="23" customHeight="1">
      <c r="A43" s="1"/>
      <c r="B43" s="1"/>
      <c r="C43" s="1"/>
      <c r="D43" s="1"/>
      <c r="E43" s="1"/>
      <c r="F43" s="1"/>
      <c r="G43" s="1"/>
      <c r="H43" s="1"/>
      <c r="I43" s="1"/>
      <c r="J43" s="1"/>
      <c r="K43" s="1"/>
      <c r="L43" s="1"/>
      <c r="M43" s="1"/>
    </row>
    <row r="44" spans="1:13" ht="23" customHeight="1">
      <c r="A44" s="1"/>
      <c r="B44" s="1"/>
      <c r="C44" s="1"/>
      <c r="D44" s="1"/>
      <c r="E44" s="1"/>
      <c r="F44" s="1"/>
      <c r="G44" s="1"/>
      <c r="H44" s="1"/>
      <c r="I44" s="1"/>
      <c r="J44" s="1"/>
      <c r="K44" s="1"/>
      <c r="L44" s="1"/>
      <c r="M44" s="1"/>
    </row>
    <row r="45" spans="1:13" ht="23" customHeight="1">
      <c r="A45" s="1"/>
      <c r="B45" s="1"/>
      <c r="C45" s="1"/>
      <c r="D45" s="1"/>
      <c r="E45" s="1"/>
      <c r="F45" s="1"/>
      <c r="G45" s="1"/>
      <c r="H45" s="1"/>
      <c r="I45" s="1"/>
      <c r="J45" s="1"/>
      <c r="K45" s="1"/>
      <c r="L45" s="1"/>
      <c r="M45" s="1"/>
    </row>
    <row r="46" spans="1:13" ht="23" customHeight="1">
      <c r="A46" s="1"/>
      <c r="B46" s="1"/>
      <c r="C46" s="1"/>
      <c r="D46" s="1"/>
      <c r="E46" s="1"/>
      <c r="F46" s="1"/>
      <c r="G46" s="1"/>
      <c r="H46" s="1"/>
      <c r="I46" s="1"/>
      <c r="J46" s="1"/>
      <c r="K46" s="1"/>
      <c r="L46" s="1"/>
      <c r="M46" s="1"/>
    </row>
    <row r="47" spans="1:13" ht="23" customHeight="1">
      <c r="A47" s="1"/>
      <c r="B47" s="1"/>
      <c r="C47" s="1"/>
      <c r="D47" s="1"/>
      <c r="E47" s="1"/>
      <c r="F47" s="1"/>
      <c r="G47" s="1"/>
      <c r="H47" s="1"/>
      <c r="I47" s="1"/>
      <c r="J47" s="1"/>
      <c r="K47" s="1"/>
      <c r="L47" s="1"/>
      <c r="M47" s="1"/>
    </row>
    <row r="48" spans="1:13" ht="23" customHeight="1">
      <c r="A48" s="1"/>
      <c r="B48" s="1"/>
      <c r="C48" s="1"/>
      <c r="D48" s="1"/>
      <c r="E48" s="1"/>
      <c r="F48" s="1"/>
      <c r="G48" s="1"/>
      <c r="H48" s="1"/>
      <c r="I48" s="1"/>
      <c r="J48" s="1"/>
      <c r="K48" s="1"/>
      <c r="L48" s="1"/>
      <c r="M48" s="1"/>
    </row>
    <row r="49" spans="1:13" ht="23" customHeight="1">
      <c r="A49" s="1"/>
      <c r="B49" s="1"/>
      <c r="C49" s="1"/>
      <c r="D49" s="1"/>
      <c r="E49" s="1"/>
      <c r="F49" s="1"/>
      <c r="G49" s="1"/>
      <c r="H49" s="1"/>
      <c r="I49" s="1"/>
      <c r="J49" s="1"/>
      <c r="K49" s="1"/>
      <c r="L49" s="1"/>
      <c r="M49" s="1"/>
    </row>
    <row r="50" spans="1:13" ht="23" customHeight="1">
      <c r="A50" s="1"/>
      <c r="B50" s="1"/>
      <c r="C50" s="1"/>
      <c r="D50" s="1"/>
      <c r="E50" s="1"/>
      <c r="F50" s="1"/>
      <c r="G50" s="1"/>
      <c r="H50" s="1"/>
      <c r="I50" s="1"/>
      <c r="J50" s="1"/>
      <c r="K50" s="1"/>
      <c r="L50" s="1"/>
      <c r="M50" s="1"/>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AA3AA"/>
  </sheetPr>
  <dimension ref="A1:M50"/>
  <sheetViews>
    <sheetView showGridLines="0" workbookViewId="0"/>
  </sheetViews>
  <sheetFormatPr defaultRowHeight="14"/>
  <cols>
    <col min="1" max="1" width="29" customWidth="1"/>
    <col min="2" max="6" width="19" customWidth="1"/>
  </cols>
  <sheetData>
    <row r="1" spans="1:13" ht="28" customHeight="1">
      <c r="A1" s="10" t="s">
        <v>14</v>
      </c>
      <c r="B1" s="10" t="s">
        <v>15</v>
      </c>
      <c r="C1" s="10" t="s">
        <v>5</v>
      </c>
      <c r="D1" s="10" t="s">
        <v>16</v>
      </c>
      <c r="E1" s="10" t="s">
        <v>8</v>
      </c>
      <c r="F1" s="1"/>
      <c r="G1" s="1"/>
      <c r="H1" s="1"/>
      <c r="I1" s="1"/>
      <c r="J1" s="1"/>
      <c r="K1" s="1"/>
      <c r="L1" s="1"/>
      <c r="M1" s="1"/>
    </row>
    <row r="2" spans="1:13" ht="23" customHeight="1">
      <c r="A2" s="1" t="s">
        <v>17</v>
      </c>
      <c r="B2" s="1">
        <f>COUNTIFS(Clean_Data!$N$2:$N$2001,$A2)</f>
        <v>92</v>
      </c>
      <c r="C2" s="11">
        <f>SUMIFS(Clean_Data!$K$2:$K$2001,Clean_Data!$N$2:$N$2001,$A2)</f>
        <v>1262656.8299999994</v>
      </c>
      <c r="D2" s="11">
        <f>SUMIFS(Clean_Data!$L$2:$L$2001,Clean_Data!$N$2:$N$2001,$A2)</f>
        <v>227732.45000000007</v>
      </c>
      <c r="E2" s="12">
        <f t="shared" ref="E2:E19" si="0">IF(C2=0,0,D2/C2)</f>
        <v>0.18035973400627009</v>
      </c>
      <c r="F2" s="12"/>
      <c r="G2" s="1"/>
      <c r="H2" s="1"/>
      <c r="I2" s="1"/>
      <c r="J2" s="1"/>
      <c r="K2" s="1"/>
      <c r="L2" s="1"/>
      <c r="M2" s="1"/>
    </row>
    <row r="3" spans="1:13" ht="23" customHeight="1">
      <c r="A3" s="1" t="s">
        <v>18</v>
      </c>
      <c r="B3" s="1">
        <f>COUNTIFS(Clean_Data!$N$2:$N$2001,$A3)</f>
        <v>76</v>
      </c>
      <c r="C3" s="11">
        <f>SUMIFS(Clean_Data!$K$2:$K$2001,Clean_Data!$N$2:$N$2001,$A3)</f>
        <v>2132179.7100000004</v>
      </c>
      <c r="D3" s="11">
        <f>SUMIFS(Clean_Data!$L$2:$L$2001,Clean_Data!$N$2:$N$2001,$A3)</f>
        <v>172380.54999999993</v>
      </c>
      <c r="E3" s="12">
        <f t="shared" si="0"/>
        <v>8.0847101767045654E-2</v>
      </c>
      <c r="F3" s="12"/>
      <c r="G3" s="1"/>
      <c r="H3" s="1"/>
      <c r="I3" s="1"/>
      <c r="J3" s="1"/>
      <c r="K3" s="1"/>
      <c r="L3" s="1"/>
      <c r="M3" s="1"/>
    </row>
    <row r="4" spans="1:13" ht="23" customHeight="1">
      <c r="A4" s="1" t="s">
        <v>19</v>
      </c>
      <c r="B4" s="1">
        <f>COUNTIFS(Clean_Data!$N$2:$N$2001,$A4)</f>
        <v>102</v>
      </c>
      <c r="C4" s="11">
        <f>SUMIFS(Clean_Data!$K$2:$K$2001,Clean_Data!$N$2:$N$2001,$A4)</f>
        <v>1498811.1800000006</v>
      </c>
      <c r="D4" s="11">
        <f>SUMIFS(Clean_Data!$L$2:$L$2001,Clean_Data!$N$2:$N$2001,$A4)</f>
        <v>256969.26000000004</v>
      </c>
      <c r="E4" s="12">
        <f t="shared" si="0"/>
        <v>0.17144872111242188</v>
      </c>
      <c r="F4" s="12"/>
      <c r="G4" s="1"/>
      <c r="H4" s="1"/>
      <c r="I4" s="1"/>
      <c r="J4" s="1"/>
      <c r="K4" s="1"/>
      <c r="L4" s="1"/>
      <c r="M4" s="1"/>
    </row>
    <row r="5" spans="1:13" ht="23" customHeight="1">
      <c r="A5" s="1" t="s">
        <v>20</v>
      </c>
      <c r="B5" s="1">
        <f>COUNTIFS(Clean_Data!$N$2:$N$2001,$A5)</f>
        <v>110</v>
      </c>
      <c r="C5" s="11">
        <f>SUMIFS(Clean_Data!$K$2:$K$2001,Clean_Data!$N$2:$N$2001,$A5)</f>
        <v>2866899.74</v>
      </c>
      <c r="D5" s="11">
        <f>SUMIFS(Clean_Data!$L$2:$L$2001,Clean_Data!$N$2:$N$2001,$A5)</f>
        <v>412563.21999999986</v>
      </c>
      <c r="E5" s="12">
        <f t="shared" si="0"/>
        <v>0.14390570212266993</v>
      </c>
      <c r="F5" s="12"/>
      <c r="G5" s="1"/>
      <c r="H5" s="1"/>
      <c r="I5" s="1"/>
      <c r="J5" s="1"/>
      <c r="K5" s="1"/>
      <c r="L5" s="1"/>
      <c r="M5" s="1"/>
    </row>
    <row r="6" spans="1:13" ht="23" customHeight="1">
      <c r="A6" s="1" t="s">
        <v>21</v>
      </c>
      <c r="B6" s="1">
        <f>COUNTIFS(Clean_Data!$N$2:$N$2001,$A6)</f>
        <v>125</v>
      </c>
      <c r="C6" s="11">
        <f>SUMIFS(Clean_Data!$K$2:$K$2001,Clean_Data!$N$2:$N$2001,$A6)</f>
        <v>1805108.86</v>
      </c>
      <c r="D6" s="11">
        <f>SUMIFS(Clean_Data!$L$2:$L$2001,Clean_Data!$N$2:$N$2001,$A6)</f>
        <v>254783.11999999991</v>
      </c>
      <c r="E6" s="12">
        <f t="shared" si="0"/>
        <v>0.1411455705779428</v>
      </c>
      <c r="F6" s="12"/>
      <c r="G6" s="1"/>
      <c r="H6" s="1"/>
      <c r="I6" s="1"/>
      <c r="J6" s="1"/>
      <c r="K6" s="1"/>
      <c r="L6" s="1"/>
      <c r="M6" s="1"/>
    </row>
    <row r="7" spans="1:13" ht="23" customHeight="1">
      <c r="A7" s="1" t="s">
        <v>22</v>
      </c>
      <c r="B7" s="1">
        <f>COUNTIFS(Clean_Data!$N$2:$N$2001,$A7)</f>
        <v>121</v>
      </c>
      <c r="C7" s="11">
        <f>SUMIFS(Clean_Data!$K$2:$K$2001,Clean_Data!$N$2:$N$2001,$A7)</f>
        <v>2416060.8600000008</v>
      </c>
      <c r="D7" s="11">
        <f>SUMIFS(Clean_Data!$L$2:$L$2001,Clean_Data!$N$2:$N$2001,$A7)</f>
        <v>335160.81999999977</v>
      </c>
      <c r="E7" s="12">
        <f t="shared" si="0"/>
        <v>0.13872201050432134</v>
      </c>
      <c r="F7" s="12"/>
      <c r="G7" s="1"/>
      <c r="H7" s="1"/>
      <c r="I7" s="1"/>
      <c r="J7" s="1"/>
      <c r="K7" s="1"/>
      <c r="L7" s="1"/>
      <c r="M7" s="1"/>
    </row>
    <row r="8" spans="1:13" ht="23" customHeight="1">
      <c r="A8" s="1" t="s">
        <v>23</v>
      </c>
      <c r="B8" s="1">
        <f>COUNTIFS(Clean_Data!$N$2:$N$2001,$A8)</f>
        <v>107</v>
      </c>
      <c r="C8" s="11">
        <f>SUMIFS(Clean_Data!$K$2:$K$2001,Clean_Data!$N$2:$N$2001,$A8)</f>
        <v>1574698.9300000004</v>
      </c>
      <c r="D8" s="11">
        <f>SUMIFS(Clean_Data!$L$2:$L$2001,Clean_Data!$N$2:$N$2001,$A8)</f>
        <v>283470.16000000003</v>
      </c>
      <c r="E8" s="12">
        <f t="shared" si="0"/>
        <v>0.18001546492446016</v>
      </c>
      <c r="F8" s="12"/>
      <c r="G8" s="1"/>
      <c r="H8" s="1"/>
      <c r="I8" s="1"/>
      <c r="J8" s="1"/>
      <c r="K8" s="1"/>
      <c r="L8" s="1"/>
      <c r="M8" s="1"/>
    </row>
    <row r="9" spans="1:13" ht="23" customHeight="1">
      <c r="A9" s="1" t="s">
        <v>24</v>
      </c>
      <c r="B9" s="1">
        <f>COUNTIFS(Clean_Data!$N$2:$N$2001,$A9)</f>
        <v>125</v>
      </c>
      <c r="C9" s="11">
        <f>SUMIFS(Clean_Data!$K$2:$K$2001,Clean_Data!$N$2:$N$2001,$A9)</f>
        <v>2401676.23</v>
      </c>
      <c r="D9" s="11">
        <f>SUMIFS(Clean_Data!$L$2:$L$2001,Clean_Data!$N$2:$N$2001,$A9)</f>
        <v>378852.51</v>
      </c>
      <c r="E9" s="12">
        <f t="shared" si="0"/>
        <v>0.15774503876403023</v>
      </c>
      <c r="F9" s="12"/>
      <c r="G9" s="1"/>
      <c r="H9" s="1"/>
      <c r="I9" s="1"/>
      <c r="J9" s="1"/>
      <c r="K9" s="1"/>
      <c r="L9" s="1"/>
      <c r="M9" s="1"/>
    </row>
    <row r="10" spans="1:13" ht="23" customHeight="1">
      <c r="A10" s="1" t="s">
        <v>25</v>
      </c>
      <c r="B10" s="1">
        <f>COUNTIFS(Clean_Data!$N$2:$N$2001,$A10)</f>
        <v>113</v>
      </c>
      <c r="C10" s="11">
        <f>SUMIFS(Clean_Data!$K$2:$K$2001,Clean_Data!$N$2:$N$2001,$A10)</f>
        <v>1647274.5499999998</v>
      </c>
      <c r="D10" s="11">
        <f>SUMIFS(Clean_Data!$L$2:$L$2001,Clean_Data!$N$2:$N$2001,$A10)</f>
        <v>276220.86999999982</v>
      </c>
      <c r="E10" s="12">
        <f t="shared" si="0"/>
        <v>0.16768356555985148</v>
      </c>
      <c r="F10" s="12"/>
      <c r="G10" s="1"/>
      <c r="H10" s="1"/>
      <c r="I10" s="1"/>
      <c r="J10" s="1"/>
      <c r="K10" s="1"/>
      <c r="L10" s="1"/>
      <c r="M10" s="1"/>
    </row>
    <row r="11" spans="1:13" ht="23" customHeight="1">
      <c r="A11" s="1" t="s">
        <v>26</v>
      </c>
      <c r="B11" s="1">
        <f>COUNTIFS(Clean_Data!$N$2:$N$2001,$A11)</f>
        <v>157</v>
      </c>
      <c r="C11" s="11">
        <f>SUMIFS(Clean_Data!$K$2:$K$2001,Clean_Data!$N$2:$N$2001,$A11)</f>
        <v>2283368.8899999997</v>
      </c>
      <c r="D11" s="11">
        <f>SUMIFS(Clean_Data!$L$2:$L$2001,Clean_Data!$N$2:$N$2001,$A11)</f>
        <v>319599.27999999997</v>
      </c>
      <c r="E11" s="12">
        <f t="shared" si="0"/>
        <v>0.13996830796796922</v>
      </c>
      <c r="F11" s="12"/>
      <c r="G11" s="1"/>
      <c r="H11" s="1"/>
      <c r="I11" s="1"/>
      <c r="J11" s="1"/>
      <c r="K11" s="1"/>
      <c r="L11" s="1"/>
      <c r="M11" s="1"/>
    </row>
    <row r="12" spans="1:13" ht="23" customHeight="1">
      <c r="A12" s="1" t="s">
        <v>27</v>
      </c>
      <c r="B12" s="1">
        <f>COUNTIFS(Clean_Data!$N$2:$N$2001,$A12)</f>
        <v>146</v>
      </c>
      <c r="C12" s="11">
        <f>SUMIFS(Clean_Data!$K$2:$K$2001,Clean_Data!$N$2:$N$2001,$A12)</f>
        <v>3322851.9600000014</v>
      </c>
      <c r="D12" s="11">
        <f>SUMIFS(Clean_Data!$L$2:$L$2001,Clean_Data!$N$2:$N$2001,$A12)</f>
        <v>394738.37000000005</v>
      </c>
      <c r="E12" s="12">
        <f t="shared" si="0"/>
        <v>0.11879505158574681</v>
      </c>
      <c r="F12" s="12"/>
      <c r="G12" s="1"/>
      <c r="H12" s="1"/>
      <c r="I12" s="1"/>
      <c r="J12" s="1"/>
      <c r="K12" s="1"/>
      <c r="L12" s="1"/>
      <c r="M12" s="1"/>
    </row>
    <row r="13" spans="1:13" ht="23" customHeight="1">
      <c r="A13" s="1" t="s">
        <v>28</v>
      </c>
      <c r="B13" s="1">
        <f>COUNTIFS(Clean_Data!$N$2:$N$2001,$A13)</f>
        <v>133</v>
      </c>
      <c r="C13" s="11">
        <f>SUMIFS(Clean_Data!$K$2:$K$2001,Clean_Data!$N$2:$N$2001,$A13)</f>
        <v>2941985.0699999994</v>
      </c>
      <c r="D13" s="11">
        <f>SUMIFS(Clean_Data!$L$2:$L$2001,Clean_Data!$N$2:$N$2001,$A13)</f>
        <v>358351.20000000019</v>
      </c>
      <c r="E13" s="12">
        <f t="shared" si="0"/>
        <v>0.12180592065343154</v>
      </c>
      <c r="F13" s="12"/>
      <c r="G13" s="1"/>
      <c r="H13" s="1"/>
      <c r="I13" s="1"/>
      <c r="J13" s="1"/>
      <c r="K13" s="1"/>
      <c r="L13" s="1"/>
      <c r="M13" s="1"/>
    </row>
    <row r="14" spans="1:13" ht="23" customHeight="1">
      <c r="A14" s="1" t="s">
        <v>29</v>
      </c>
      <c r="B14" s="1">
        <f>COUNTIFS(Clean_Data!$N$2:$N$2001,$A14)</f>
        <v>87</v>
      </c>
      <c r="C14" s="11">
        <f>SUMIFS(Clean_Data!$K$2:$K$2001,Clean_Data!$N$2:$N$2001,$A14)</f>
        <v>1525579.38</v>
      </c>
      <c r="D14" s="11">
        <f>SUMIFS(Clean_Data!$L$2:$L$2001,Clean_Data!$N$2:$N$2001,$A14)</f>
        <v>197839.40999999997</v>
      </c>
      <c r="E14" s="12">
        <f t="shared" si="0"/>
        <v>0.12968149189326353</v>
      </c>
      <c r="F14" s="12"/>
      <c r="G14" s="1"/>
      <c r="H14" s="1"/>
      <c r="I14" s="1"/>
      <c r="J14" s="1"/>
      <c r="K14" s="1"/>
      <c r="L14" s="1"/>
      <c r="M14" s="1"/>
    </row>
    <row r="15" spans="1:13" ht="23" customHeight="1">
      <c r="A15" s="1" t="s">
        <v>30</v>
      </c>
      <c r="B15" s="1">
        <f>COUNTIFS(Clean_Data!$N$2:$N$2001,$A15)</f>
        <v>87</v>
      </c>
      <c r="C15" s="11">
        <f>SUMIFS(Clean_Data!$K$2:$K$2001,Clean_Data!$N$2:$N$2001,$A15)</f>
        <v>1355935.13</v>
      </c>
      <c r="D15" s="11">
        <f>SUMIFS(Clean_Data!$L$2:$L$2001,Clean_Data!$N$2:$N$2001,$A15)</f>
        <v>176466.76</v>
      </c>
      <c r="E15" s="12">
        <f t="shared" si="0"/>
        <v>0.13014395460054201</v>
      </c>
      <c r="F15" s="12"/>
      <c r="G15" s="1"/>
      <c r="H15" s="1"/>
      <c r="I15" s="1"/>
      <c r="J15" s="1"/>
      <c r="K15" s="1"/>
      <c r="L15" s="1"/>
      <c r="M15" s="1"/>
    </row>
    <row r="16" spans="1:13" ht="23" customHeight="1">
      <c r="A16" s="1" t="s">
        <v>31</v>
      </c>
      <c r="B16" s="1">
        <f>COUNTIFS(Clean_Data!$N$2:$N$2001,$A16)</f>
        <v>97</v>
      </c>
      <c r="C16" s="11">
        <f>SUMIFS(Clean_Data!$K$2:$K$2001,Clean_Data!$N$2:$N$2001,$A16)</f>
        <v>1728383.7399999998</v>
      </c>
      <c r="D16" s="11">
        <f>SUMIFS(Clean_Data!$L$2:$L$2001,Clean_Data!$N$2:$N$2001,$A16)</f>
        <v>293697.56000000011</v>
      </c>
      <c r="E16" s="12">
        <f t="shared" si="0"/>
        <v>0.16992612994611958</v>
      </c>
      <c r="F16" s="12"/>
      <c r="G16" s="1"/>
      <c r="H16" s="1"/>
      <c r="I16" s="1"/>
      <c r="J16" s="1"/>
      <c r="K16" s="1"/>
      <c r="L16" s="1"/>
      <c r="M16" s="1"/>
    </row>
    <row r="17" spans="1:13" ht="23" customHeight="1">
      <c r="A17" s="1" t="s">
        <v>32</v>
      </c>
      <c r="B17" s="1">
        <f>COUNTIFS(Clean_Data!$N$2:$N$2001,$A17)</f>
        <v>99</v>
      </c>
      <c r="C17" s="11">
        <f>SUMIFS(Clean_Data!$K$2:$K$2001,Clean_Data!$N$2:$N$2001,$A17)</f>
        <v>1570424.67</v>
      </c>
      <c r="D17" s="11">
        <f>SUMIFS(Clean_Data!$L$2:$L$2001,Clean_Data!$N$2:$N$2001,$A17)</f>
        <v>241927.16999999995</v>
      </c>
      <c r="E17" s="12">
        <f t="shared" si="0"/>
        <v>0.15405206924060863</v>
      </c>
      <c r="F17" s="12"/>
      <c r="G17" s="1"/>
      <c r="H17" s="1"/>
      <c r="I17" s="1"/>
      <c r="J17" s="1"/>
      <c r="K17" s="1"/>
      <c r="L17" s="1"/>
      <c r="M17" s="1"/>
    </row>
    <row r="18" spans="1:13" ht="23" customHeight="1">
      <c r="A18" s="1" t="s">
        <v>33</v>
      </c>
      <c r="B18" s="1">
        <f>COUNTIFS(Clean_Data!$N$2:$N$2001,$A18)</f>
        <v>112</v>
      </c>
      <c r="C18" s="11">
        <f>SUMIFS(Clean_Data!$K$2:$K$2001,Clean_Data!$N$2:$N$2001,$A18)</f>
        <v>1811992.3400000008</v>
      </c>
      <c r="D18" s="11">
        <f>SUMIFS(Clean_Data!$L$2:$L$2001,Clean_Data!$N$2:$N$2001,$A18)</f>
        <v>321626.50000000006</v>
      </c>
      <c r="E18" s="12">
        <f t="shared" si="0"/>
        <v>0.17749881878639726</v>
      </c>
      <c r="F18" s="12"/>
      <c r="G18" s="1"/>
      <c r="H18" s="1"/>
      <c r="I18" s="1"/>
      <c r="J18" s="1"/>
      <c r="K18" s="1"/>
      <c r="L18" s="1"/>
      <c r="M18" s="1"/>
    </row>
    <row r="19" spans="1:13" ht="23" customHeight="1">
      <c r="A19" s="1" t="s">
        <v>34</v>
      </c>
      <c r="B19" s="1">
        <f>COUNTIFS(Clean_Data!$N$2:$N$2001,$A19)</f>
        <v>111</v>
      </c>
      <c r="C19" s="11">
        <f>SUMIFS(Clean_Data!$K$2:$K$2001,Clean_Data!$N$2:$N$2001,$A19)</f>
        <v>1783080.5000000005</v>
      </c>
      <c r="D19" s="11">
        <f>SUMIFS(Clean_Data!$L$2:$L$2001,Clean_Data!$N$2:$N$2001,$A19)</f>
        <v>280532.37000000011</v>
      </c>
      <c r="E19" s="12">
        <f t="shared" si="0"/>
        <v>0.15733017662410645</v>
      </c>
      <c r="F19" s="12"/>
      <c r="G19" s="1"/>
      <c r="H19" s="1"/>
      <c r="I19" s="1"/>
      <c r="J19" s="1"/>
      <c r="K19" s="1"/>
      <c r="L19" s="1"/>
      <c r="M19" s="1"/>
    </row>
    <row r="20" spans="1:13" ht="23" customHeight="1">
      <c r="A20" s="1" t="s">
        <v>35</v>
      </c>
      <c r="B20" s="1">
        <f>SUM(B2:B19)</f>
        <v>2000</v>
      </c>
      <c r="C20" s="11">
        <f>SUM(C2:C19)</f>
        <v>35928968.57</v>
      </c>
      <c r="D20" s="11">
        <f>SUM(D2:D19)</f>
        <v>5182911.58</v>
      </c>
      <c r="E20" s="12">
        <f>D20/C20</f>
        <v>0.1442543937742658</v>
      </c>
      <c r="F20" s="1"/>
      <c r="G20" s="1"/>
      <c r="H20" s="1"/>
      <c r="I20" s="1"/>
      <c r="J20" s="1"/>
      <c r="K20" s="1"/>
      <c r="L20" s="1"/>
      <c r="M20" s="1"/>
    </row>
    <row r="21" spans="1:13" ht="23" customHeight="1">
      <c r="A21" s="1"/>
      <c r="B21" s="1"/>
      <c r="C21" s="1"/>
      <c r="D21" s="1"/>
      <c r="E21" s="1"/>
      <c r="F21" s="1"/>
      <c r="G21" s="1"/>
      <c r="H21" s="1"/>
      <c r="I21" s="1"/>
      <c r="J21" s="1"/>
      <c r="K21" s="1"/>
      <c r="L21" s="1"/>
      <c r="M21" s="1"/>
    </row>
    <row r="22" spans="1:13" ht="23" customHeight="1">
      <c r="A22" s="1"/>
      <c r="B22" s="1"/>
      <c r="C22" s="1"/>
      <c r="D22" s="1"/>
      <c r="E22" s="1"/>
      <c r="F22" s="1"/>
      <c r="G22" s="1"/>
      <c r="H22" s="1"/>
      <c r="I22" s="1"/>
      <c r="J22" s="1"/>
      <c r="K22" s="1"/>
      <c r="L22" s="1"/>
      <c r="M22" s="1"/>
    </row>
    <row r="23" spans="1:13" ht="23" customHeight="1">
      <c r="A23" s="1"/>
      <c r="B23" s="1"/>
      <c r="C23" s="1"/>
      <c r="D23" s="1"/>
      <c r="E23" s="1"/>
      <c r="F23" s="1"/>
      <c r="G23" s="1"/>
      <c r="H23" s="1"/>
      <c r="I23" s="1"/>
      <c r="J23" s="1"/>
      <c r="K23" s="1"/>
      <c r="L23" s="1"/>
      <c r="M23" s="1"/>
    </row>
    <row r="24" spans="1:13" ht="23" customHeight="1">
      <c r="A24" s="1"/>
      <c r="B24" s="1"/>
      <c r="C24" s="1"/>
      <c r="D24" s="1"/>
      <c r="E24" s="1"/>
      <c r="F24" s="1"/>
      <c r="G24" s="1"/>
      <c r="H24" s="1"/>
      <c r="I24" s="1"/>
      <c r="J24" s="1"/>
      <c r="K24" s="1"/>
      <c r="L24" s="1"/>
      <c r="M24" s="1"/>
    </row>
    <row r="25" spans="1:13" ht="23" customHeight="1">
      <c r="A25" s="1"/>
      <c r="B25" s="1"/>
      <c r="C25" s="1"/>
      <c r="D25" s="1"/>
      <c r="E25" s="1"/>
      <c r="F25" s="1"/>
      <c r="G25" s="1"/>
      <c r="H25" s="1"/>
      <c r="I25" s="1"/>
      <c r="J25" s="1"/>
      <c r="K25" s="1"/>
      <c r="L25" s="1"/>
      <c r="M25" s="1"/>
    </row>
    <row r="26" spans="1:13" ht="23" customHeight="1">
      <c r="A26" s="1"/>
      <c r="B26" s="1"/>
      <c r="C26" s="1"/>
      <c r="D26" s="1"/>
      <c r="E26" s="1"/>
      <c r="F26" s="1"/>
      <c r="G26" s="1"/>
      <c r="H26" s="1"/>
      <c r="I26" s="1"/>
      <c r="J26" s="1"/>
      <c r="K26" s="1"/>
      <c r="L26" s="1"/>
      <c r="M26" s="1"/>
    </row>
    <row r="27" spans="1:13" ht="23" customHeight="1">
      <c r="A27" s="1"/>
      <c r="B27" s="1"/>
      <c r="C27" s="1"/>
      <c r="D27" s="1"/>
      <c r="E27" s="1"/>
      <c r="F27" s="1"/>
      <c r="G27" s="1"/>
      <c r="H27" s="1"/>
      <c r="I27" s="1"/>
      <c r="J27" s="1"/>
      <c r="K27" s="1"/>
      <c r="L27" s="1"/>
      <c r="M27" s="1"/>
    </row>
    <row r="28" spans="1:13" ht="23" customHeight="1">
      <c r="A28" s="1"/>
      <c r="B28" s="1"/>
      <c r="C28" s="1"/>
      <c r="D28" s="1"/>
      <c r="E28" s="1"/>
      <c r="F28" s="1"/>
      <c r="G28" s="1"/>
      <c r="H28" s="1"/>
      <c r="I28" s="1"/>
      <c r="J28" s="1"/>
      <c r="K28" s="1"/>
      <c r="L28" s="1"/>
      <c r="M28" s="1"/>
    </row>
    <row r="29" spans="1:13" ht="23" customHeight="1">
      <c r="A29" s="1"/>
      <c r="B29" s="1"/>
      <c r="C29" s="1"/>
      <c r="D29" s="1"/>
      <c r="E29" s="1"/>
      <c r="F29" s="1"/>
      <c r="G29" s="1"/>
      <c r="H29" s="1"/>
      <c r="I29" s="1"/>
      <c r="J29" s="1"/>
      <c r="K29" s="1"/>
      <c r="L29" s="1"/>
      <c r="M29" s="1"/>
    </row>
    <row r="30" spans="1:13" ht="23" customHeight="1">
      <c r="A30" s="1"/>
      <c r="B30" s="1"/>
      <c r="C30" s="1"/>
      <c r="D30" s="1"/>
      <c r="E30" s="1"/>
      <c r="F30" s="1"/>
      <c r="G30" s="1"/>
      <c r="H30" s="1"/>
      <c r="I30" s="1"/>
      <c r="J30" s="1"/>
      <c r="K30" s="1"/>
      <c r="L30" s="1"/>
      <c r="M30" s="1"/>
    </row>
    <row r="31" spans="1:13" ht="23" customHeight="1">
      <c r="A31" s="1"/>
      <c r="B31" s="1"/>
      <c r="C31" s="1"/>
      <c r="D31" s="1"/>
      <c r="E31" s="1"/>
      <c r="F31" s="1"/>
      <c r="G31" s="1"/>
      <c r="H31" s="1"/>
      <c r="I31" s="1"/>
      <c r="J31" s="1"/>
      <c r="K31" s="1"/>
      <c r="L31" s="1"/>
      <c r="M31" s="1"/>
    </row>
    <row r="32" spans="1:13" ht="23" customHeight="1">
      <c r="A32" s="1"/>
      <c r="B32" s="1"/>
      <c r="C32" s="1"/>
      <c r="D32" s="1"/>
      <c r="E32" s="1"/>
      <c r="F32" s="1"/>
      <c r="G32" s="1"/>
      <c r="H32" s="1"/>
      <c r="I32" s="1"/>
      <c r="J32" s="1"/>
      <c r="K32" s="1"/>
      <c r="L32" s="1"/>
      <c r="M32" s="1"/>
    </row>
    <row r="33" spans="1:13" ht="23" customHeight="1">
      <c r="A33" s="1"/>
      <c r="B33" s="1"/>
      <c r="C33" s="1"/>
      <c r="D33" s="1"/>
      <c r="E33" s="1"/>
      <c r="F33" s="1"/>
      <c r="G33" s="1"/>
      <c r="H33" s="1"/>
      <c r="I33" s="1"/>
      <c r="J33" s="1"/>
      <c r="K33" s="1"/>
      <c r="L33" s="1"/>
      <c r="M33" s="1"/>
    </row>
    <row r="34" spans="1:13" ht="23" customHeight="1">
      <c r="A34" s="1"/>
      <c r="B34" s="1"/>
      <c r="C34" s="1"/>
      <c r="D34" s="1"/>
      <c r="E34" s="1"/>
      <c r="F34" s="1"/>
      <c r="G34" s="1"/>
      <c r="H34" s="1"/>
      <c r="I34" s="1"/>
      <c r="J34" s="1"/>
      <c r="K34" s="1"/>
      <c r="L34" s="1"/>
      <c r="M34" s="1"/>
    </row>
    <row r="35" spans="1:13" ht="23" customHeight="1">
      <c r="A35" s="1"/>
      <c r="B35" s="1"/>
      <c r="C35" s="1"/>
      <c r="D35" s="1"/>
      <c r="E35" s="1"/>
      <c r="F35" s="1"/>
      <c r="G35" s="1"/>
      <c r="H35" s="1"/>
      <c r="I35" s="1"/>
      <c r="J35" s="1"/>
      <c r="K35" s="1"/>
      <c r="L35" s="1"/>
      <c r="M35" s="1"/>
    </row>
    <row r="36" spans="1:13" ht="23" customHeight="1">
      <c r="A36" s="1"/>
      <c r="B36" s="1"/>
      <c r="C36" s="1"/>
      <c r="D36" s="1"/>
      <c r="E36" s="1"/>
      <c r="F36" s="1"/>
      <c r="G36" s="1"/>
      <c r="H36" s="1"/>
      <c r="I36" s="1"/>
      <c r="J36" s="1"/>
      <c r="K36" s="1"/>
      <c r="L36" s="1"/>
      <c r="M36" s="1"/>
    </row>
    <row r="37" spans="1:13" ht="23" customHeight="1">
      <c r="A37" s="1"/>
      <c r="B37" s="1"/>
      <c r="C37" s="1"/>
      <c r="D37" s="1"/>
      <c r="E37" s="1"/>
      <c r="F37" s="1"/>
      <c r="G37" s="1"/>
      <c r="H37" s="1"/>
      <c r="I37" s="1"/>
      <c r="J37" s="1"/>
      <c r="K37" s="1"/>
      <c r="L37" s="1"/>
      <c r="M37" s="1"/>
    </row>
    <row r="38" spans="1:13" ht="23" customHeight="1">
      <c r="A38" s="1"/>
      <c r="B38" s="1"/>
      <c r="C38" s="1"/>
      <c r="D38" s="1"/>
      <c r="E38" s="1"/>
      <c r="F38" s="1"/>
      <c r="G38" s="1"/>
      <c r="H38" s="1"/>
      <c r="I38" s="1"/>
      <c r="J38" s="1"/>
      <c r="K38" s="1"/>
      <c r="L38" s="1"/>
      <c r="M38" s="1"/>
    </row>
    <row r="39" spans="1:13" ht="23" customHeight="1">
      <c r="A39" s="1"/>
      <c r="B39" s="1"/>
      <c r="C39" s="1"/>
      <c r="D39" s="1"/>
      <c r="E39" s="1"/>
      <c r="F39" s="1"/>
      <c r="G39" s="1"/>
      <c r="H39" s="1"/>
      <c r="I39" s="1"/>
      <c r="J39" s="1"/>
      <c r="K39" s="1"/>
      <c r="L39" s="1"/>
      <c r="M39" s="1"/>
    </row>
    <row r="40" spans="1:13" ht="23" customHeight="1">
      <c r="A40" s="1"/>
      <c r="B40" s="1"/>
      <c r="C40" s="1"/>
      <c r="D40" s="1"/>
      <c r="E40" s="1"/>
      <c r="F40" s="1"/>
      <c r="G40" s="1"/>
      <c r="H40" s="1"/>
      <c r="I40" s="1"/>
      <c r="J40" s="1"/>
      <c r="K40" s="1"/>
      <c r="L40" s="1"/>
      <c r="M40" s="1"/>
    </row>
    <row r="41" spans="1:13" ht="23" customHeight="1">
      <c r="A41" s="1"/>
      <c r="B41" s="1"/>
      <c r="C41" s="1"/>
      <c r="D41" s="1"/>
      <c r="E41" s="1"/>
      <c r="F41" s="1"/>
      <c r="G41" s="1"/>
      <c r="H41" s="1"/>
      <c r="I41" s="1"/>
      <c r="J41" s="1"/>
      <c r="K41" s="1"/>
      <c r="L41" s="1"/>
      <c r="M41" s="1"/>
    </row>
    <row r="42" spans="1:13" ht="23" customHeight="1">
      <c r="A42" s="1"/>
      <c r="B42" s="1"/>
      <c r="C42" s="1"/>
      <c r="D42" s="1"/>
      <c r="E42" s="1"/>
      <c r="F42" s="1"/>
      <c r="G42" s="1"/>
      <c r="H42" s="1"/>
      <c r="I42" s="1"/>
      <c r="J42" s="1"/>
      <c r="K42" s="1"/>
      <c r="L42" s="1"/>
      <c r="M42" s="1"/>
    </row>
    <row r="43" spans="1:13" ht="23" customHeight="1">
      <c r="A43" s="1"/>
      <c r="B43" s="1"/>
      <c r="C43" s="1"/>
      <c r="D43" s="1"/>
      <c r="E43" s="1"/>
      <c r="F43" s="1"/>
      <c r="G43" s="1"/>
      <c r="H43" s="1"/>
      <c r="I43" s="1"/>
      <c r="J43" s="1"/>
      <c r="K43" s="1"/>
      <c r="L43" s="1"/>
      <c r="M43" s="1"/>
    </row>
    <row r="44" spans="1:13" ht="23" customHeight="1">
      <c r="A44" s="1"/>
      <c r="B44" s="1"/>
      <c r="C44" s="1"/>
      <c r="D44" s="1"/>
      <c r="E44" s="1"/>
      <c r="F44" s="1"/>
      <c r="G44" s="1"/>
      <c r="H44" s="1"/>
      <c r="I44" s="1"/>
      <c r="J44" s="1"/>
      <c r="K44" s="1"/>
      <c r="L44" s="1"/>
      <c r="M44" s="1"/>
    </row>
    <row r="45" spans="1:13" ht="23" customHeight="1">
      <c r="A45" s="1"/>
      <c r="B45" s="1"/>
      <c r="C45" s="1"/>
      <c r="D45" s="1"/>
      <c r="E45" s="1"/>
      <c r="F45" s="1"/>
      <c r="G45" s="1"/>
      <c r="H45" s="1"/>
      <c r="I45" s="1"/>
      <c r="J45" s="1"/>
      <c r="K45" s="1"/>
      <c r="L45" s="1"/>
      <c r="M45" s="1"/>
    </row>
    <row r="46" spans="1:13" ht="23" customHeight="1">
      <c r="A46" s="1"/>
      <c r="B46" s="1"/>
      <c r="C46" s="1"/>
      <c r="D46" s="1"/>
      <c r="E46" s="1"/>
      <c r="F46" s="1"/>
      <c r="G46" s="1"/>
      <c r="H46" s="1"/>
      <c r="I46" s="1"/>
      <c r="J46" s="1"/>
      <c r="K46" s="1"/>
      <c r="L46" s="1"/>
      <c r="M46" s="1"/>
    </row>
    <row r="47" spans="1:13" ht="23" customHeight="1">
      <c r="A47" s="1"/>
      <c r="B47" s="1"/>
      <c r="C47" s="1"/>
      <c r="D47" s="1"/>
      <c r="E47" s="1"/>
      <c r="F47" s="1"/>
      <c r="G47" s="1"/>
      <c r="H47" s="1"/>
      <c r="I47" s="1"/>
      <c r="J47" s="1"/>
      <c r="K47" s="1"/>
      <c r="L47" s="1"/>
      <c r="M47" s="1"/>
    </row>
    <row r="48" spans="1:13" ht="23" customHeight="1">
      <c r="A48" s="1"/>
      <c r="B48" s="1"/>
      <c r="C48" s="1"/>
      <c r="D48" s="1"/>
      <c r="E48" s="1"/>
      <c r="F48" s="1"/>
      <c r="G48" s="1"/>
      <c r="H48" s="1"/>
      <c r="I48" s="1"/>
      <c r="J48" s="1"/>
      <c r="K48" s="1"/>
      <c r="L48" s="1"/>
      <c r="M48" s="1"/>
    </row>
    <row r="49" spans="1:13" ht="23" customHeight="1">
      <c r="A49" s="1"/>
      <c r="B49" s="1"/>
      <c r="C49" s="1"/>
      <c r="D49" s="1"/>
      <c r="E49" s="1"/>
      <c r="F49" s="1"/>
      <c r="G49" s="1"/>
      <c r="H49" s="1"/>
      <c r="I49" s="1"/>
      <c r="J49" s="1"/>
      <c r="K49" s="1"/>
      <c r="L49" s="1"/>
      <c r="M49" s="1"/>
    </row>
    <row r="50" spans="1:13" ht="23" customHeight="1">
      <c r="A50" s="1"/>
      <c r="B50" s="1"/>
      <c r="C50" s="1"/>
      <c r="D50" s="1"/>
      <c r="E50" s="1"/>
      <c r="F50" s="1"/>
      <c r="G50" s="1"/>
      <c r="H50" s="1"/>
      <c r="I50" s="1"/>
      <c r="J50" s="1"/>
      <c r="K50" s="1"/>
      <c r="L50" s="1"/>
      <c r="M50" s="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AA3AA"/>
  </sheetPr>
  <dimension ref="A1:M50"/>
  <sheetViews>
    <sheetView showGridLines="0" workbookViewId="0"/>
  </sheetViews>
  <sheetFormatPr defaultRowHeight="14"/>
  <cols>
    <col min="1" max="1" width="29" customWidth="1"/>
    <col min="2" max="6" width="19" customWidth="1"/>
  </cols>
  <sheetData>
    <row r="1" spans="1:13" ht="28" customHeight="1">
      <c r="A1" s="10" t="s">
        <v>36</v>
      </c>
      <c r="B1" s="10" t="s">
        <v>15</v>
      </c>
      <c r="C1" s="10" t="s">
        <v>5</v>
      </c>
      <c r="D1" s="10" t="s">
        <v>16</v>
      </c>
      <c r="E1" s="10" t="s">
        <v>8</v>
      </c>
      <c r="F1" s="10" t="s">
        <v>37</v>
      </c>
      <c r="G1" s="1"/>
      <c r="H1" s="1"/>
      <c r="I1" s="1"/>
      <c r="J1" s="1"/>
      <c r="K1" s="1"/>
      <c r="L1" s="1"/>
      <c r="M1" s="1"/>
    </row>
    <row r="2" spans="1:13" ht="23" customHeight="1">
      <c r="A2" s="1" t="s">
        <v>38</v>
      </c>
      <c r="B2" s="1">
        <f>COUNTIFS(Clean_Data!$E$2:$E$2001,$A2)</f>
        <v>418</v>
      </c>
      <c r="C2" s="11">
        <f>SUMIFS(Clean_Data!$K$2:$K$2001,Clean_Data!$E$2:$E$2001,$A2)</f>
        <v>25774936.06000001</v>
      </c>
      <c r="D2" s="11">
        <f>SUMIFS(Clean_Data!$L$2:$L$2001,Clean_Data!$E$2:$E$2001,$A2)</f>
        <v>2300710.5599999996</v>
      </c>
      <c r="E2" s="12">
        <f>IF(C2=0,0,D2/C2)</f>
        <v>8.9261542866461666E-2</v>
      </c>
      <c r="F2" s="12">
        <f>C2/SUM($C$2:$C$6)</f>
        <v>0.71738591687604347</v>
      </c>
      <c r="G2" s="1"/>
      <c r="H2" s="1"/>
      <c r="I2" s="1"/>
      <c r="J2" s="1"/>
      <c r="K2" s="1"/>
      <c r="L2" s="1"/>
      <c r="M2" s="1"/>
    </row>
    <row r="3" spans="1:13" ht="23" customHeight="1">
      <c r="A3" s="1" t="s">
        <v>39</v>
      </c>
      <c r="B3" s="1">
        <f>COUNTIFS(Clean_Data!$E$2:$E$2001,$A3)</f>
        <v>415</v>
      </c>
      <c r="C3" s="11">
        <f>SUMIFS(Clean_Data!$K$2:$K$2001,Clean_Data!$E$2:$E$2001,$A3)</f>
        <v>1517003.1999999997</v>
      </c>
      <c r="D3" s="11">
        <f>SUMIFS(Clean_Data!$L$2:$L$2001,Clean_Data!$E$2:$E$2001,$A3)</f>
        <v>469450.21</v>
      </c>
      <c r="E3" s="12">
        <f>IF(C3=0,0,D3/C3)</f>
        <v>0.3094589451096742</v>
      </c>
      <c r="F3" s="12">
        <f>C3/SUM($C$2:$C$6)</f>
        <v>4.2222286371634603E-2</v>
      </c>
      <c r="G3" s="1"/>
      <c r="H3" s="1"/>
      <c r="I3" s="1"/>
      <c r="J3" s="1"/>
      <c r="K3" s="1"/>
      <c r="L3" s="1"/>
      <c r="M3" s="1"/>
    </row>
    <row r="4" spans="1:13" ht="23" customHeight="1">
      <c r="A4" s="1" t="s">
        <v>40</v>
      </c>
      <c r="B4" s="1">
        <f>COUNTIFS(Clean_Data!$E$2:$E$2001,$A4)</f>
        <v>362</v>
      </c>
      <c r="C4" s="11">
        <f>SUMIFS(Clean_Data!$K$2:$K$2001,Clean_Data!$E$2:$E$2001,$A4)</f>
        <v>3935871.96</v>
      </c>
      <c r="D4" s="11">
        <f>SUMIFS(Clean_Data!$L$2:$L$2001,Clean_Data!$E$2:$E$2001,$A4)</f>
        <v>938009.86999999976</v>
      </c>
      <c r="E4" s="12">
        <f>IF(C4=0,0,D4/C4)</f>
        <v>0.23832326852421282</v>
      </c>
      <c r="F4" s="12">
        <f>C4/SUM($C$2:$C$6)</f>
        <v>0.10954592120649898</v>
      </c>
      <c r="G4" s="1"/>
      <c r="H4" s="1"/>
      <c r="I4" s="1"/>
      <c r="J4" s="1"/>
      <c r="K4" s="1"/>
      <c r="L4" s="1"/>
      <c r="M4" s="1"/>
    </row>
    <row r="5" spans="1:13" ht="23" customHeight="1">
      <c r="A5" s="1" t="s">
        <v>41</v>
      </c>
      <c r="B5" s="1">
        <f>COUNTIFS(Clean_Data!$E$2:$E$2001,$A5)</f>
        <v>379</v>
      </c>
      <c r="C5" s="11">
        <f>SUMIFS(Clean_Data!$K$2:$K$2001,Clean_Data!$E$2:$E$2001,$A5)</f>
        <v>3864046.68</v>
      </c>
      <c r="D5" s="11">
        <f>SUMIFS(Clean_Data!$L$2:$L$2001,Clean_Data!$E$2:$E$2001,$A5)</f>
        <v>1090564.9099999999</v>
      </c>
      <c r="E5" s="12">
        <f>IF(C5=0,0,D5/C5)</f>
        <v>0.28223388595295124</v>
      </c>
      <c r="F5" s="12">
        <f>C5/SUM($C$2:$C$6)</f>
        <v>0.10754683014269448</v>
      </c>
      <c r="G5" s="1"/>
      <c r="H5" s="1"/>
      <c r="I5" s="1"/>
      <c r="J5" s="1"/>
      <c r="K5" s="1"/>
      <c r="L5" s="1"/>
      <c r="M5" s="1"/>
    </row>
    <row r="6" spans="1:13" ht="23" customHeight="1">
      <c r="A6" s="1" t="s">
        <v>42</v>
      </c>
      <c r="B6" s="1">
        <f>COUNTIFS(Clean_Data!$E$2:$E$2001,$A6)</f>
        <v>426</v>
      </c>
      <c r="C6" s="11">
        <f>SUMIFS(Clean_Data!$K$2:$K$2001,Clean_Data!$E$2:$E$2001,$A6)</f>
        <v>837110.67000000027</v>
      </c>
      <c r="D6" s="11">
        <f>SUMIFS(Clean_Data!$L$2:$L$2001,Clean_Data!$E$2:$E$2001,$A6)</f>
        <v>384176.03000000026</v>
      </c>
      <c r="E6" s="12">
        <f>IF(C6=0,0,D6/C6)</f>
        <v>0.45893099176480467</v>
      </c>
      <c r="F6" s="12">
        <f>C6/SUM($C$2:$C$6)</f>
        <v>2.3299045403128306E-2</v>
      </c>
      <c r="G6" s="1"/>
      <c r="H6" s="1"/>
      <c r="I6" s="1"/>
      <c r="J6" s="1"/>
      <c r="K6" s="1"/>
      <c r="L6" s="1"/>
      <c r="M6" s="1"/>
    </row>
    <row r="7" spans="1:13" ht="23" customHeight="1">
      <c r="A7" s="1"/>
      <c r="B7" s="1"/>
      <c r="C7" s="1"/>
      <c r="D7" s="1"/>
      <c r="E7" s="1"/>
      <c r="F7" s="1"/>
      <c r="G7" s="1"/>
      <c r="H7" s="1"/>
      <c r="I7" s="1"/>
      <c r="J7" s="1"/>
      <c r="K7" s="1"/>
      <c r="L7" s="1"/>
      <c r="M7" s="1"/>
    </row>
    <row r="8" spans="1:13" ht="23" customHeight="1">
      <c r="A8" s="1"/>
      <c r="B8" s="1"/>
      <c r="C8" s="1"/>
      <c r="D8" s="1"/>
      <c r="E8" s="1"/>
      <c r="F8" s="1"/>
      <c r="G8" s="1"/>
      <c r="H8" s="1"/>
      <c r="I8" s="1"/>
      <c r="J8" s="1"/>
      <c r="K8" s="1"/>
      <c r="L8" s="1"/>
      <c r="M8" s="1"/>
    </row>
    <row r="9" spans="1:13" ht="28" customHeight="1">
      <c r="A9" s="10" t="s">
        <v>43</v>
      </c>
      <c r="B9" s="10" t="s">
        <v>15</v>
      </c>
      <c r="C9" s="10" t="s">
        <v>5</v>
      </c>
      <c r="D9" s="10" t="s">
        <v>16</v>
      </c>
      <c r="E9" s="10" t="s">
        <v>8</v>
      </c>
      <c r="F9" s="1"/>
      <c r="G9" s="1"/>
      <c r="H9" s="1"/>
      <c r="I9" s="1"/>
      <c r="J9" s="1"/>
      <c r="K9" s="1"/>
      <c r="L9" s="1"/>
      <c r="M9" s="1"/>
    </row>
    <row r="10" spans="1:13" ht="23" customHeight="1">
      <c r="A10" s="1" t="s">
        <v>44</v>
      </c>
      <c r="B10" s="1">
        <f>COUNTIFS(Clean_Data!$D$2:$D$2001,$A10)</f>
        <v>571</v>
      </c>
      <c r="C10" s="11">
        <f>SUMIFS(Clean_Data!$K$2:$K$2001,Clean_Data!$D$2:$D$2001,$A10)</f>
        <v>9876245.9599999953</v>
      </c>
      <c r="D10" s="11">
        <f>SUMIFS(Clean_Data!$L$2:$L$2001,Clean_Data!$D$2:$D$2001,$A10)</f>
        <v>1334223.540000001</v>
      </c>
      <c r="E10" s="12">
        <f>IF(C10=0,0,D10/C10)</f>
        <v>0.13509419929432392</v>
      </c>
      <c r="F10" s="12"/>
      <c r="G10" s="1"/>
      <c r="H10" s="1"/>
      <c r="I10" s="1"/>
      <c r="J10" s="1"/>
      <c r="K10" s="1"/>
      <c r="L10" s="1"/>
      <c r="M10" s="1"/>
    </row>
    <row r="11" spans="1:13" ht="23" customHeight="1">
      <c r="A11" s="1" t="s">
        <v>45</v>
      </c>
      <c r="B11" s="1">
        <f>COUNTIFS(Clean_Data!$D$2:$D$2001,$A11)</f>
        <v>544</v>
      </c>
      <c r="C11" s="11">
        <f>SUMIFS(Clean_Data!$K$2:$K$2001,Clean_Data!$D$2:$D$2001,$A11)</f>
        <v>10405345.120000003</v>
      </c>
      <c r="D11" s="11">
        <f>SUMIFS(Clean_Data!$L$2:$L$2001,Clean_Data!$D$2:$D$2001,$A11)</f>
        <v>1533092.8899999994</v>
      </c>
      <c r="E11" s="12">
        <f>IF(C11=0,0,D11/C11)</f>
        <v>0.14733705343931919</v>
      </c>
      <c r="F11" s="12"/>
      <c r="G11" s="1"/>
      <c r="H11" s="1"/>
      <c r="I11" s="1"/>
      <c r="J11" s="1"/>
      <c r="K11" s="1"/>
      <c r="L11" s="1"/>
      <c r="M11" s="1"/>
    </row>
    <row r="12" spans="1:13" ht="23" customHeight="1">
      <c r="A12" s="1" t="s">
        <v>46</v>
      </c>
      <c r="B12" s="1">
        <f>COUNTIFS(Clean_Data!$D$2:$D$2001,$A12)</f>
        <v>480</v>
      </c>
      <c r="C12" s="11">
        <f>SUMIFS(Clean_Data!$K$2:$K$2001,Clean_Data!$D$2:$D$2001,$A12)</f>
        <v>8643214.1900000069</v>
      </c>
      <c r="D12" s="11">
        <f>SUMIFS(Clean_Data!$L$2:$L$2001,Clean_Data!$D$2:$D$2001,$A12)</f>
        <v>1321542.8499999994</v>
      </c>
      <c r="E12" s="12">
        <f>IF(C12=0,0,D12/C12)</f>
        <v>0.15289946783095959</v>
      </c>
      <c r="F12" s="12"/>
      <c r="G12" s="1"/>
      <c r="H12" s="1"/>
      <c r="I12" s="1"/>
      <c r="J12" s="1"/>
      <c r="K12" s="1"/>
      <c r="L12" s="1"/>
      <c r="M12" s="1"/>
    </row>
    <row r="13" spans="1:13" ht="23" customHeight="1">
      <c r="A13" s="1" t="s">
        <v>47</v>
      </c>
      <c r="B13" s="1">
        <f>COUNTIFS(Clean_Data!$D$2:$D$2001,$A13)</f>
        <v>405</v>
      </c>
      <c r="C13" s="11">
        <f>SUMIFS(Clean_Data!$K$2:$K$2001,Clean_Data!$D$2:$D$2001,$A13)</f>
        <v>7004163.299999998</v>
      </c>
      <c r="D13" s="11">
        <f>SUMIFS(Clean_Data!$L$2:$L$2001,Clean_Data!$D$2:$D$2001,$A13)</f>
        <v>994052.30000000075</v>
      </c>
      <c r="E13" s="12">
        <f>IF(C13=0,0,D13/C13)</f>
        <v>0.14192306167390487</v>
      </c>
      <c r="F13" s="12"/>
      <c r="G13" s="1"/>
      <c r="H13" s="1"/>
      <c r="I13" s="1"/>
      <c r="J13" s="1"/>
      <c r="K13" s="1"/>
      <c r="L13" s="1"/>
      <c r="M13" s="1"/>
    </row>
    <row r="14" spans="1:13" ht="23" customHeight="1">
      <c r="A14" s="1"/>
      <c r="B14" s="1"/>
      <c r="C14" s="1"/>
      <c r="D14" s="1"/>
      <c r="E14" s="1"/>
      <c r="F14" s="1"/>
      <c r="G14" s="1"/>
      <c r="H14" s="1"/>
      <c r="I14" s="1"/>
      <c r="J14" s="1"/>
      <c r="K14" s="1"/>
      <c r="L14" s="1"/>
      <c r="M14" s="1"/>
    </row>
    <row r="15" spans="1:13" ht="23" customHeight="1">
      <c r="A15" s="1"/>
      <c r="B15" s="1"/>
      <c r="C15" s="1"/>
      <c r="D15" s="1"/>
      <c r="E15" s="1"/>
      <c r="F15" s="1"/>
      <c r="G15" s="1"/>
      <c r="H15" s="1"/>
      <c r="I15" s="1"/>
      <c r="J15" s="1"/>
      <c r="K15" s="1"/>
      <c r="L15" s="1"/>
      <c r="M15" s="1"/>
    </row>
    <row r="16" spans="1:13" ht="23" customHeight="1">
      <c r="A16" s="1"/>
      <c r="B16" s="1"/>
      <c r="C16" s="1"/>
      <c r="D16" s="1"/>
      <c r="E16" s="1"/>
      <c r="F16" s="1"/>
      <c r="G16" s="1"/>
      <c r="H16" s="1"/>
      <c r="I16" s="1"/>
      <c r="J16" s="1"/>
      <c r="K16" s="1"/>
      <c r="L16" s="1"/>
      <c r="M16" s="1"/>
    </row>
    <row r="17" spans="1:13" ht="23" customHeight="1">
      <c r="A17" s="1"/>
      <c r="B17" s="1"/>
      <c r="C17" s="1"/>
      <c r="D17" s="1"/>
      <c r="E17" s="1"/>
      <c r="F17" s="1"/>
      <c r="G17" s="1"/>
      <c r="H17" s="1"/>
      <c r="I17" s="1"/>
      <c r="J17" s="1"/>
      <c r="K17" s="1"/>
      <c r="L17" s="1"/>
      <c r="M17" s="1"/>
    </row>
    <row r="18" spans="1:13" ht="23" customHeight="1">
      <c r="A18" s="1"/>
      <c r="B18" s="1"/>
      <c r="C18" s="1"/>
      <c r="D18" s="1"/>
      <c r="E18" s="1"/>
      <c r="F18" s="1"/>
      <c r="G18" s="1"/>
      <c r="H18" s="1"/>
      <c r="I18" s="1"/>
      <c r="J18" s="1"/>
      <c r="K18" s="1"/>
      <c r="L18" s="1"/>
      <c r="M18" s="1"/>
    </row>
    <row r="19" spans="1:13" ht="23" customHeight="1">
      <c r="A19" s="1"/>
      <c r="B19" s="1"/>
      <c r="C19" s="1"/>
      <c r="D19" s="1"/>
      <c r="E19" s="1"/>
      <c r="F19" s="1"/>
      <c r="G19" s="1"/>
      <c r="H19" s="1"/>
      <c r="I19" s="1"/>
      <c r="J19" s="1"/>
      <c r="K19" s="1"/>
      <c r="L19" s="1"/>
      <c r="M19" s="1"/>
    </row>
    <row r="20" spans="1:13" ht="23" customHeight="1">
      <c r="A20" s="1"/>
      <c r="B20" s="1"/>
      <c r="C20" s="1"/>
      <c r="D20" s="1"/>
      <c r="E20" s="1"/>
      <c r="F20" s="1"/>
      <c r="G20" s="1"/>
      <c r="H20" s="1"/>
      <c r="I20" s="1"/>
      <c r="J20" s="1"/>
      <c r="K20" s="1"/>
      <c r="L20" s="1"/>
      <c r="M20" s="1"/>
    </row>
    <row r="21" spans="1:13" ht="23" customHeight="1">
      <c r="A21" s="1"/>
      <c r="B21" s="1"/>
      <c r="C21" s="1"/>
      <c r="D21" s="1"/>
      <c r="E21" s="1"/>
      <c r="F21" s="1"/>
      <c r="G21" s="1"/>
      <c r="H21" s="1"/>
      <c r="I21" s="1"/>
      <c r="J21" s="1"/>
      <c r="K21" s="1"/>
      <c r="L21" s="1"/>
      <c r="M21" s="1"/>
    </row>
    <row r="22" spans="1:13" ht="23" customHeight="1">
      <c r="A22" s="1"/>
      <c r="B22" s="1"/>
      <c r="C22" s="1"/>
      <c r="D22" s="1"/>
      <c r="E22" s="1"/>
      <c r="F22" s="1"/>
      <c r="G22" s="1"/>
      <c r="H22" s="1"/>
      <c r="I22" s="1"/>
      <c r="J22" s="1"/>
      <c r="K22" s="1"/>
      <c r="L22" s="1"/>
      <c r="M22" s="1"/>
    </row>
    <row r="23" spans="1:13" ht="23" customHeight="1">
      <c r="A23" s="1"/>
      <c r="B23" s="1"/>
      <c r="C23" s="1"/>
      <c r="D23" s="1"/>
      <c r="E23" s="1"/>
      <c r="F23" s="1"/>
      <c r="G23" s="1"/>
      <c r="H23" s="1"/>
      <c r="I23" s="1"/>
      <c r="J23" s="1"/>
      <c r="K23" s="1"/>
      <c r="L23" s="1"/>
      <c r="M23" s="1"/>
    </row>
    <row r="24" spans="1:13" ht="23" customHeight="1">
      <c r="A24" s="1"/>
      <c r="B24" s="1"/>
      <c r="C24" s="1"/>
      <c r="D24" s="1"/>
      <c r="E24" s="1"/>
      <c r="F24" s="1"/>
      <c r="G24" s="1"/>
      <c r="H24" s="1"/>
      <c r="I24" s="1"/>
      <c r="J24" s="1"/>
      <c r="K24" s="1"/>
      <c r="L24" s="1"/>
      <c r="M24" s="1"/>
    </row>
    <row r="25" spans="1:13" ht="23" customHeight="1">
      <c r="A25" s="1"/>
      <c r="B25" s="1"/>
      <c r="C25" s="1"/>
      <c r="D25" s="1"/>
      <c r="E25" s="1"/>
      <c r="F25" s="1"/>
      <c r="G25" s="1"/>
      <c r="H25" s="1"/>
      <c r="I25" s="1"/>
      <c r="J25" s="1"/>
      <c r="K25" s="1"/>
      <c r="L25" s="1"/>
      <c r="M25" s="1"/>
    </row>
    <row r="26" spans="1:13" ht="23" customHeight="1">
      <c r="A26" s="1"/>
      <c r="B26" s="1"/>
      <c r="C26" s="1"/>
      <c r="D26" s="1"/>
      <c r="E26" s="1"/>
      <c r="F26" s="1"/>
      <c r="G26" s="1"/>
      <c r="H26" s="1"/>
      <c r="I26" s="1"/>
      <c r="J26" s="1"/>
      <c r="K26" s="1"/>
      <c r="L26" s="1"/>
      <c r="M26" s="1"/>
    </row>
    <row r="27" spans="1:13" ht="23" customHeight="1">
      <c r="A27" s="1"/>
      <c r="B27" s="1"/>
      <c r="C27" s="1"/>
      <c r="D27" s="1"/>
      <c r="E27" s="1"/>
      <c r="F27" s="1"/>
      <c r="G27" s="1"/>
      <c r="H27" s="1"/>
      <c r="I27" s="1"/>
      <c r="J27" s="1"/>
      <c r="K27" s="1"/>
      <c r="L27" s="1"/>
      <c r="M27" s="1"/>
    </row>
    <row r="28" spans="1:13" ht="23" customHeight="1">
      <c r="A28" s="1"/>
      <c r="B28" s="1"/>
      <c r="C28" s="1"/>
      <c r="D28" s="1"/>
      <c r="E28" s="1"/>
      <c r="F28" s="1"/>
      <c r="G28" s="1"/>
      <c r="H28" s="1"/>
      <c r="I28" s="1"/>
      <c r="J28" s="1"/>
      <c r="K28" s="1"/>
      <c r="L28" s="1"/>
      <c r="M28" s="1"/>
    </row>
    <row r="29" spans="1:13" ht="23" customHeight="1">
      <c r="A29" s="1"/>
      <c r="B29" s="1"/>
      <c r="C29" s="1"/>
      <c r="D29" s="1"/>
      <c r="E29" s="1"/>
      <c r="F29" s="1"/>
      <c r="G29" s="1"/>
      <c r="H29" s="1"/>
      <c r="I29" s="1"/>
      <c r="J29" s="1"/>
      <c r="K29" s="1"/>
      <c r="L29" s="1"/>
      <c r="M29" s="1"/>
    </row>
    <row r="30" spans="1:13" ht="23" customHeight="1">
      <c r="A30" s="1"/>
      <c r="B30" s="1"/>
      <c r="C30" s="1"/>
      <c r="D30" s="1"/>
      <c r="E30" s="1"/>
      <c r="F30" s="1"/>
      <c r="G30" s="1"/>
      <c r="H30" s="1"/>
      <c r="I30" s="1"/>
      <c r="J30" s="1"/>
      <c r="K30" s="1"/>
      <c r="L30" s="1"/>
      <c r="M30" s="1"/>
    </row>
    <row r="31" spans="1:13" ht="23" customHeight="1">
      <c r="A31" s="1"/>
      <c r="B31" s="1"/>
      <c r="C31" s="1"/>
      <c r="D31" s="1"/>
      <c r="E31" s="1"/>
      <c r="F31" s="1"/>
      <c r="G31" s="1"/>
      <c r="H31" s="1"/>
      <c r="I31" s="1"/>
      <c r="J31" s="1"/>
      <c r="K31" s="1"/>
      <c r="L31" s="1"/>
      <c r="M31" s="1"/>
    </row>
    <row r="32" spans="1:13" ht="23" customHeight="1">
      <c r="A32" s="1"/>
      <c r="B32" s="1"/>
      <c r="C32" s="1"/>
      <c r="D32" s="1"/>
      <c r="E32" s="1"/>
      <c r="F32" s="1"/>
      <c r="G32" s="1"/>
      <c r="H32" s="1"/>
      <c r="I32" s="1"/>
      <c r="J32" s="1"/>
      <c r="K32" s="1"/>
      <c r="L32" s="1"/>
      <c r="M32" s="1"/>
    </row>
    <row r="33" spans="1:13" ht="23" customHeight="1">
      <c r="A33" s="1"/>
      <c r="B33" s="1"/>
      <c r="C33" s="1"/>
      <c r="D33" s="1"/>
      <c r="E33" s="1"/>
      <c r="F33" s="1"/>
      <c r="G33" s="1"/>
      <c r="H33" s="1"/>
      <c r="I33" s="1"/>
      <c r="J33" s="1"/>
      <c r="K33" s="1"/>
      <c r="L33" s="1"/>
      <c r="M33" s="1"/>
    </row>
    <row r="34" spans="1:13" ht="23" customHeight="1">
      <c r="A34" s="1"/>
      <c r="B34" s="1"/>
      <c r="C34" s="1"/>
      <c r="D34" s="1"/>
      <c r="E34" s="1"/>
      <c r="F34" s="1"/>
      <c r="G34" s="1"/>
      <c r="H34" s="1"/>
      <c r="I34" s="1"/>
      <c r="J34" s="1"/>
      <c r="K34" s="1"/>
      <c r="L34" s="1"/>
      <c r="M34" s="1"/>
    </row>
    <row r="35" spans="1:13" ht="23" customHeight="1">
      <c r="A35" s="1"/>
      <c r="B35" s="1"/>
      <c r="C35" s="1"/>
      <c r="D35" s="1"/>
      <c r="E35" s="1"/>
      <c r="F35" s="1"/>
      <c r="G35" s="1"/>
      <c r="H35" s="1"/>
      <c r="I35" s="1"/>
      <c r="J35" s="1"/>
      <c r="K35" s="1"/>
      <c r="L35" s="1"/>
      <c r="M35" s="1"/>
    </row>
    <row r="36" spans="1:13" ht="23" customHeight="1">
      <c r="A36" s="1"/>
      <c r="B36" s="1"/>
      <c r="C36" s="1"/>
      <c r="D36" s="1"/>
      <c r="E36" s="1"/>
      <c r="F36" s="1"/>
      <c r="G36" s="1"/>
      <c r="H36" s="1"/>
      <c r="I36" s="1"/>
      <c r="J36" s="1"/>
      <c r="K36" s="1"/>
      <c r="L36" s="1"/>
      <c r="M36" s="1"/>
    </row>
    <row r="37" spans="1:13" ht="23" customHeight="1">
      <c r="A37" s="1"/>
      <c r="B37" s="1"/>
      <c r="C37" s="1"/>
      <c r="D37" s="1"/>
      <c r="E37" s="1"/>
      <c r="F37" s="1"/>
      <c r="G37" s="1"/>
      <c r="H37" s="1"/>
      <c r="I37" s="1"/>
      <c r="J37" s="1"/>
      <c r="K37" s="1"/>
      <c r="L37" s="1"/>
      <c r="M37" s="1"/>
    </row>
    <row r="38" spans="1:13" ht="23" customHeight="1">
      <c r="A38" s="1"/>
      <c r="B38" s="1"/>
      <c r="C38" s="1"/>
      <c r="D38" s="1"/>
      <c r="E38" s="1"/>
      <c r="F38" s="1"/>
      <c r="G38" s="1"/>
      <c r="H38" s="1"/>
      <c r="I38" s="1"/>
      <c r="J38" s="1"/>
      <c r="K38" s="1"/>
      <c r="L38" s="1"/>
      <c r="M38" s="1"/>
    </row>
    <row r="39" spans="1:13" ht="23" customHeight="1">
      <c r="A39" s="1"/>
      <c r="B39" s="1"/>
      <c r="C39" s="1"/>
      <c r="D39" s="1"/>
      <c r="E39" s="1"/>
      <c r="F39" s="1"/>
      <c r="G39" s="1"/>
      <c r="H39" s="1"/>
      <c r="I39" s="1"/>
      <c r="J39" s="1"/>
      <c r="K39" s="1"/>
      <c r="L39" s="1"/>
      <c r="M39" s="1"/>
    </row>
    <row r="40" spans="1:13" ht="23" customHeight="1">
      <c r="A40" s="1"/>
      <c r="B40" s="1"/>
      <c r="C40" s="1"/>
      <c r="D40" s="1"/>
      <c r="E40" s="1"/>
      <c r="F40" s="1"/>
      <c r="G40" s="1"/>
      <c r="H40" s="1"/>
      <c r="I40" s="1"/>
      <c r="J40" s="1"/>
      <c r="K40" s="1"/>
      <c r="L40" s="1"/>
      <c r="M40" s="1"/>
    </row>
    <row r="41" spans="1:13" ht="23" customHeight="1">
      <c r="A41" s="1"/>
      <c r="B41" s="1"/>
      <c r="C41" s="1"/>
      <c r="D41" s="1"/>
      <c r="E41" s="1"/>
      <c r="F41" s="1"/>
      <c r="G41" s="1"/>
      <c r="H41" s="1"/>
      <c r="I41" s="1"/>
      <c r="J41" s="1"/>
      <c r="K41" s="1"/>
      <c r="L41" s="1"/>
      <c r="M41" s="1"/>
    </row>
    <row r="42" spans="1:13" ht="23" customHeight="1">
      <c r="A42" s="1"/>
      <c r="B42" s="1"/>
      <c r="C42" s="1"/>
      <c r="D42" s="1"/>
      <c r="E42" s="1"/>
      <c r="F42" s="1"/>
      <c r="G42" s="1"/>
      <c r="H42" s="1"/>
      <c r="I42" s="1"/>
      <c r="J42" s="1"/>
      <c r="K42" s="1"/>
      <c r="L42" s="1"/>
      <c r="M42" s="1"/>
    </row>
    <row r="43" spans="1:13" ht="23" customHeight="1">
      <c r="A43" s="1"/>
      <c r="B43" s="1"/>
      <c r="C43" s="1"/>
      <c r="D43" s="1"/>
      <c r="E43" s="1"/>
      <c r="F43" s="1"/>
      <c r="G43" s="1"/>
      <c r="H43" s="1"/>
      <c r="I43" s="1"/>
      <c r="J43" s="1"/>
      <c r="K43" s="1"/>
      <c r="L43" s="1"/>
      <c r="M43" s="1"/>
    </row>
    <row r="44" spans="1:13" ht="23" customHeight="1">
      <c r="A44" s="1"/>
      <c r="B44" s="1"/>
      <c r="C44" s="1"/>
      <c r="D44" s="1"/>
      <c r="E44" s="1"/>
      <c r="F44" s="1"/>
      <c r="G44" s="1"/>
      <c r="H44" s="1"/>
      <c r="I44" s="1"/>
      <c r="J44" s="1"/>
      <c r="K44" s="1"/>
      <c r="L44" s="1"/>
      <c r="M44" s="1"/>
    </row>
    <row r="45" spans="1:13" ht="23" customHeight="1">
      <c r="A45" s="1"/>
      <c r="B45" s="1"/>
      <c r="C45" s="1"/>
      <c r="D45" s="1"/>
      <c r="E45" s="1"/>
      <c r="F45" s="1"/>
      <c r="G45" s="1"/>
      <c r="H45" s="1"/>
      <c r="I45" s="1"/>
      <c r="J45" s="1"/>
      <c r="K45" s="1"/>
      <c r="L45" s="1"/>
      <c r="M45" s="1"/>
    </row>
    <row r="46" spans="1:13" ht="23" customHeight="1">
      <c r="A46" s="1"/>
      <c r="B46" s="1"/>
      <c r="C46" s="1"/>
      <c r="D46" s="1"/>
      <c r="E46" s="1"/>
      <c r="F46" s="1"/>
      <c r="G46" s="1"/>
      <c r="H46" s="1"/>
      <c r="I46" s="1"/>
      <c r="J46" s="1"/>
      <c r="K46" s="1"/>
      <c r="L46" s="1"/>
      <c r="M46" s="1"/>
    </row>
    <row r="47" spans="1:13" ht="23" customHeight="1">
      <c r="A47" s="1"/>
      <c r="B47" s="1"/>
      <c r="C47" s="1"/>
      <c r="D47" s="1"/>
      <c r="E47" s="1"/>
      <c r="F47" s="1"/>
      <c r="G47" s="1"/>
      <c r="H47" s="1"/>
      <c r="I47" s="1"/>
      <c r="J47" s="1"/>
      <c r="K47" s="1"/>
      <c r="L47" s="1"/>
      <c r="M47" s="1"/>
    </row>
    <row r="48" spans="1:13" ht="23" customHeight="1">
      <c r="A48" s="1"/>
      <c r="B48" s="1"/>
      <c r="C48" s="1"/>
      <c r="D48" s="1"/>
      <c r="E48" s="1"/>
      <c r="F48" s="1"/>
      <c r="G48" s="1"/>
      <c r="H48" s="1"/>
      <c r="I48" s="1"/>
      <c r="J48" s="1"/>
      <c r="K48" s="1"/>
      <c r="L48" s="1"/>
      <c r="M48" s="1"/>
    </row>
    <row r="49" spans="1:13" ht="23" customHeight="1">
      <c r="A49" s="1"/>
      <c r="B49" s="1"/>
      <c r="C49" s="1"/>
      <c r="D49" s="1"/>
      <c r="E49" s="1"/>
      <c r="F49" s="1"/>
      <c r="G49" s="1"/>
      <c r="H49" s="1"/>
      <c r="I49" s="1"/>
      <c r="J49" s="1"/>
      <c r="K49" s="1"/>
      <c r="L49" s="1"/>
      <c r="M49" s="1"/>
    </row>
    <row r="50" spans="1:13" ht="23" customHeight="1">
      <c r="A50" s="1"/>
      <c r="B50" s="1"/>
      <c r="C50" s="1"/>
      <c r="D50" s="1"/>
      <c r="E50" s="1"/>
      <c r="F50" s="1"/>
      <c r="G50" s="1"/>
      <c r="H50" s="1"/>
      <c r="I50" s="1"/>
      <c r="J50" s="1"/>
      <c r="K50" s="1"/>
      <c r="L50" s="1"/>
      <c r="M50" s="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AA3AA"/>
  </sheetPr>
  <dimension ref="A1:M50"/>
  <sheetViews>
    <sheetView showGridLines="0" workbookViewId="0"/>
  </sheetViews>
  <sheetFormatPr defaultRowHeight="14"/>
  <cols>
    <col min="1" max="1" width="29" customWidth="1"/>
    <col min="2" max="6" width="19" customWidth="1"/>
  </cols>
  <sheetData>
    <row r="1" spans="1:13" ht="28" customHeight="1">
      <c r="A1" s="10" t="s">
        <v>48</v>
      </c>
      <c r="B1" s="10" t="s">
        <v>15</v>
      </c>
      <c r="C1" s="10" t="s">
        <v>5</v>
      </c>
      <c r="D1" s="10" t="s">
        <v>16</v>
      </c>
      <c r="E1" s="10" t="s">
        <v>8</v>
      </c>
      <c r="F1" s="1"/>
      <c r="G1" s="1"/>
      <c r="H1" s="1"/>
      <c r="I1" s="1"/>
      <c r="J1" s="1"/>
      <c r="K1" s="1"/>
      <c r="L1" s="1"/>
      <c r="M1" s="1"/>
    </row>
    <row r="2" spans="1:13" ht="23" customHeight="1">
      <c r="A2" s="1" t="s">
        <v>49</v>
      </c>
      <c r="B2" s="1">
        <f>COUNTIFS(Clean_Data!$O$2:$O$2001,$A2)</f>
        <v>605</v>
      </c>
      <c r="C2" s="11">
        <f>SUMIFS(Clean_Data!$K$2:$K$2001,Clean_Data!$O$2:$O$2001,$A2)</f>
        <v>12079173.039999999</v>
      </c>
      <c r="D2" s="11">
        <f>SUMIFS(Clean_Data!$L$2:$L$2001,Clean_Data!$O$2:$O$2001,$A2)</f>
        <v>2860137.8899999973</v>
      </c>
      <c r="E2" s="12">
        <f>IF(C2=0,0,D2/C2)</f>
        <v>0.23678259103737431</v>
      </c>
      <c r="F2" s="12"/>
      <c r="G2" s="1"/>
      <c r="H2" s="1"/>
      <c r="I2" s="1"/>
      <c r="J2" s="1"/>
      <c r="K2" s="1"/>
      <c r="L2" s="1"/>
      <c r="M2" s="1"/>
    </row>
    <row r="3" spans="1:13" ht="23" customHeight="1">
      <c r="A3" s="1" t="s">
        <v>50</v>
      </c>
      <c r="B3" s="1">
        <f>COUNTIFS(Clean_Data!$O$2:$O$2001,$A3)</f>
        <v>790</v>
      </c>
      <c r="C3" s="11">
        <f>SUMIFS(Clean_Data!$K$2:$K$2001,Clean_Data!$O$2:$O$2001,$A3)</f>
        <v>14921248.889999989</v>
      </c>
      <c r="D3" s="11">
        <f>SUMIFS(Clean_Data!$L$2:$L$2001,Clean_Data!$O$2:$O$2001,$A3)</f>
        <v>2267746.7900000005</v>
      </c>
      <c r="E3" s="12">
        <f>IF(C3=0,0,D3/C3)</f>
        <v>0.15198103099264113</v>
      </c>
      <c r="F3" s="12"/>
      <c r="G3" s="1"/>
      <c r="H3" s="1"/>
      <c r="I3" s="1"/>
      <c r="J3" s="1"/>
      <c r="K3" s="1"/>
      <c r="L3" s="1"/>
      <c r="M3" s="1"/>
    </row>
    <row r="4" spans="1:13" ht="23" customHeight="1">
      <c r="A4" s="1" t="s">
        <v>51</v>
      </c>
      <c r="B4" s="1">
        <f>COUNTIFS(Clean_Data!$O$2:$O$2001,$A4)</f>
        <v>254</v>
      </c>
      <c r="C4" s="11">
        <f>SUMIFS(Clean_Data!$K$2:$K$2001,Clean_Data!$O$2:$O$2001,$A4)</f>
        <v>3909696.7800000017</v>
      </c>
      <c r="D4" s="11">
        <f>SUMIFS(Clean_Data!$L$2:$L$2001,Clean_Data!$O$2:$O$2001,$A4)</f>
        <v>275164.15999999997</v>
      </c>
      <c r="E4" s="12">
        <f>IF(C4=0,0,D4/C4)</f>
        <v>7.037992342720753E-2</v>
      </c>
      <c r="F4" s="12"/>
      <c r="G4" s="1"/>
      <c r="H4" s="1"/>
      <c r="I4" s="1"/>
      <c r="J4" s="1"/>
      <c r="K4" s="1"/>
      <c r="L4" s="1"/>
      <c r="M4" s="1"/>
    </row>
    <row r="5" spans="1:13" ht="23" customHeight="1">
      <c r="A5" s="1" t="s">
        <v>52</v>
      </c>
      <c r="B5" s="1">
        <f>COUNTIFS(Clean_Data!$O$2:$O$2001,$A5)</f>
        <v>156</v>
      </c>
      <c r="C5" s="11">
        <f>SUMIFS(Clean_Data!$K$2:$K$2001,Clean_Data!$O$2:$O$2001,$A5)</f>
        <v>2119526.4099999992</v>
      </c>
      <c r="D5" s="11">
        <f>SUMIFS(Clean_Data!$L$2:$L$2001,Clean_Data!$O$2:$O$2001,$A5)</f>
        <v>28747.24000000002</v>
      </c>
      <c r="E5" s="12">
        <f>IF(C5=0,0,D5/C5)</f>
        <v>1.3563048737854619E-2</v>
      </c>
      <c r="F5" s="12"/>
      <c r="G5" s="1"/>
      <c r="H5" s="1"/>
      <c r="I5" s="1"/>
      <c r="J5" s="1"/>
      <c r="K5" s="1"/>
      <c r="L5" s="1"/>
      <c r="M5" s="1"/>
    </row>
    <row r="6" spans="1:13" ht="23" customHeight="1">
      <c r="A6" s="1" t="s">
        <v>53</v>
      </c>
      <c r="B6" s="1">
        <f>COUNTIFS(Clean_Data!$O$2:$O$2001,$A6)</f>
        <v>195</v>
      </c>
      <c r="C6" s="11">
        <f>SUMIFS(Clean_Data!$K$2:$K$2001,Clean_Data!$O$2:$O$2001,$A6)</f>
        <v>2899323.45</v>
      </c>
      <c r="D6" s="11">
        <f>SUMIFS(Clean_Data!$L$2:$L$2001,Clean_Data!$O$2:$O$2001,$A6)</f>
        <v>-248884.50000000006</v>
      </c>
      <c r="E6" s="12">
        <f>IF(C6=0,0,D6/C6)</f>
        <v>-8.5842267788369744E-2</v>
      </c>
      <c r="F6" s="12"/>
      <c r="G6" s="1"/>
      <c r="H6" s="1"/>
      <c r="I6" s="1"/>
      <c r="J6" s="1"/>
      <c r="K6" s="1"/>
      <c r="L6" s="1"/>
      <c r="M6" s="1"/>
    </row>
    <row r="7" spans="1:13" ht="23" customHeight="1">
      <c r="A7" s="1"/>
      <c r="B7" s="1"/>
      <c r="C7" s="1"/>
      <c r="D7" s="1"/>
      <c r="E7" s="1"/>
      <c r="F7" s="1"/>
      <c r="G7" s="1"/>
      <c r="H7" s="1"/>
      <c r="I7" s="1"/>
      <c r="J7" s="1"/>
      <c r="K7" s="1"/>
      <c r="L7" s="1"/>
      <c r="M7" s="1"/>
    </row>
    <row r="8" spans="1:13" ht="23" customHeight="1">
      <c r="A8" s="1"/>
      <c r="B8" s="1"/>
      <c r="C8" s="1"/>
      <c r="D8" s="1"/>
      <c r="E8" s="1"/>
      <c r="F8" s="1"/>
      <c r="G8" s="1"/>
      <c r="H8" s="1"/>
      <c r="I8" s="1"/>
      <c r="J8" s="1"/>
      <c r="K8" s="1"/>
      <c r="L8" s="1"/>
      <c r="M8" s="1"/>
    </row>
    <row r="9" spans="1:13" ht="28" customHeight="1">
      <c r="A9" s="10" t="s">
        <v>54</v>
      </c>
      <c r="B9" s="10" t="s">
        <v>15</v>
      </c>
      <c r="C9" s="10" t="s">
        <v>5</v>
      </c>
      <c r="D9" s="10" t="s">
        <v>55</v>
      </c>
      <c r="E9" s="1"/>
      <c r="F9" s="1"/>
      <c r="G9" s="1"/>
      <c r="H9" s="1"/>
      <c r="I9" s="1"/>
      <c r="J9" s="1"/>
      <c r="K9" s="1"/>
      <c r="L9" s="1"/>
      <c r="M9" s="1"/>
    </row>
    <row r="10" spans="1:13" ht="23" customHeight="1">
      <c r="A10" s="1" t="s">
        <v>56</v>
      </c>
      <c r="B10" s="1">
        <f>COUNTIFS(Clean_Data!$M$2:$M$2001,A10)</f>
        <v>865</v>
      </c>
      <c r="C10" s="11">
        <f>SUMIFS(Clean_Data!$K$2:$K$2001,Clean_Data!$M$2:$M$2001,A10)</f>
        <v>15873664.359999986</v>
      </c>
      <c r="D10" s="12">
        <f>B10/SUM($B$10:$B$14)</f>
        <v>0.4325</v>
      </c>
      <c r="E10" s="1"/>
      <c r="F10" s="1"/>
      <c r="G10" s="1"/>
      <c r="H10" s="1"/>
      <c r="I10" s="1"/>
      <c r="J10" s="1"/>
      <c r="K10" s="1"/>
      <c r="L10" s="1"/>
      <c r="M10" s="1"/>
    </row>
    <row r="11" spans="1:13" ht="23" customHeight="1">
      <c r="A11" s="1" t="s">
        <v>57</v>
      </c>
      <c r="B11" s="1">
        <f>COUNTIFS(Clean_Data!$M$2:$M$2001,A11)</f>
        <v>540</v>
      </c>
      <c r="C11" s="11">
        <f>SUMIFS(Clean_Data!$K$2:$K$2001,Clean_Data!$M$2:$M$2001,A11)</f>
        <v>9278350.5099999998</v>
      </c>
      <c r="D11" s="12">
        <f>B11/SUM($B$10:$B$14)</f>
        <v>0.27</v>
      </c>
      <c r="E11" s="1"/>
      <c r="F11" s="1"/>
      <c r="G11" s="1"/>
      <c r="H11" s="1"/>
      <c r="I11" s="1"/>
      <c r="J11" s="1"/>
      <c r="K11" s="1"/>
      <c r="L11" s="1"/>
      <c r="M11" s="1"/>
    </row>
    <row r="12" spans="1:13" ht="23" customHeight="1">
      <c r="A12" s="1" t="s">
        <v>58</v>
      </c>
      <c r="B12" s="1">
        <f>COUNTIFS(Clean_Data!$M$2:$M$2001,A12)</f>
        <v>293</v>
      </c>
      <c r="C12" s="11">
        <f>SUMIFS(Clean_Data!$K$2:$K$2001,Clean_Data!$M$2:$M$2001,A12)</f>
        <v>5185736.3100000024</v>
      </c>
      <c r="D12" s="12">
        <f>B12/SUM($B$10:$B$14)</f>
        <v>0.14649999999999999</v>
      </c>
      <c r="E12" s="1"/>
      <c r="F12" s="1"/>
      <c r="G12" s="1"/>
      <c r="H12" s="1"/>
      <c r="I12" s="1"/>
      <c r="J12" s="1"/>
      <c r="K12" s="1"/>
      <c r="L12" s="1"/>
      <c r="M12" s="1"/>
    </row>
    <row r="13" spans="1:13" ht="23" customHeight="1">
      <c r="A13" s="1" t="s">
        <v>59</v>
      </c>
      <c r="B13" s="1">
        <f>COUNTIFS(Clean_Data!$M$2:$M$2001,A13)</f>
        <v>152</v>
      </c>
      <c r="C13" s="11">
        <f>SUMIFS(Clean_Data!$K$2:$K$2001,Clean_Data!$M$2:$M$2001,A13)</f>
        <v>3273814.7099999981</v>
      </c>
      <c r="D13" s="12">
        <f>B13/SUM($B$10:$B$14)</f>
        <v>7.5999999999999998E-2</v>
      </c>
      <c r="E13" s="1"/>
      <c r="F13" s="1"/>
      <c r="G13" s="1"/>
      <c r="H13" s="1"/>
      <c r="I13" s="1"/>
      <c r="J13" s="1"/>
      <c r="K13" s="1"/>
      <c r="L13" s="1"/>
      <c r="M13" s="1"/>
    </row>
    <row r="14" spans="1:13" ht="23" customHeight="1">
      <c r="A14" s="1" t="s">
        <v>60</v>
      </c>
      <c r="B14" s="1">
        <f>COUNTIFS(Clean_Data!$M$2:$M$2001,A14)</f>
        <v>150</v>
      </c>
      <c r="C14" s="11">
        <f>SUMIFS(Clean_Data!$K$2:$K$2001,Clean_Data!$M$2:$M$2001,A14)</f>
        <v>2317402.6800000006</v>
      </c>
      <c r="D14" s="12">
        <f>B14/SUM($B$10:$B$14)</f>
        <v>7.4999999999999997E-2</v>
      </c>
      <c r="E14" s="1"/>
      <c r="F14" s="1"/>
      <c r="G14" s="1"/>
      <c r="H14" s="1"/>
      <c r="I14" s="1"/>
      <c r="J14" s="1"/>
      <c r="K14" s="1"/>
      <c r="L14" s="1"/>
      <c r="M14" s="1"/>
    </row>
    <row r="15" spans="1:13" ht="23" customHeight="1">
      <c r="A15" s="1"/>
      <c r="B15" s="1"/>
      <c r="C15" s="1"/>
      <c r="D15" s="1"/>
      <c r="E15" s="1"/>
      <c r="F15" s="1"/>
      <c r="G15" s="1"/>
      <c r="H15" s="1"/>
      <c r="I15" s="1"/>
      <c r="J15" s="1"/>
      <c r="K15" s="1"/>
      <c r="L15" s="1"/>
      <c r="M15" s="1"/>
    </row>
    <row r="16" spans="1:13" ht="23" customHeight="1">
      <c r="A16" s="1"/>
      <c r="B16" s="1"/>
      <c r="C16" s="1"/>
      <c r="D16" s="1"/>
      <c r="E16" s="1"/>
      <c r="F16" s="1"/>
      <c r="G16" s="1"/>
      <c r="H16" s="1"/>
      <c r="I16" s="1"/>
      <c r="J16" s="1"/>
      <c r="K16" s="1"/>
      <c r="L16" s="1"/>
      <c r="M16" s="1"/>
    </row>
    <row r="17" spans="1:13" ht="23" customHeight="1">
      <c r="A17" s="1"/>
      <c r="B17" s="1"/>
      <c r="C17" s="1"/>
      <c r="D17" s="1"/>
      <c r="E17" s="1"/>
      <c r="F17" s="1"/>
      <c r="G17" s="1"/>
      <c r="H17" s="1"/>
      <c r="I17" s="1"/>
      <c r="J17" s="1"/>
      <c r="K17" s="1"/>
      <c r="L17" s="1"/>
      <c r="M17" s="1"/>
    </row>
    <row r="18" spans="1:13" ht="23" customHeight="1">
      <c r="A18" s="1"/>
      <c r="B18" s="1"/>
      <c r="C18" s="1"/>
      <c r="D18" s="1"/>
      <c r="E18" s="1"/>
      <c r="F18" s="1"/>
      <c r="G18" s="1"/>
      <c r="H18" s="1"/>
      <c r="I18" s="1"/>
      <c r="J18" s="1"/>
      <c r="K18" s="1"/>
      <c r="L18" s="1"/>
      <c r="M18" s="1"/>
    </row>
    <row r="19" spans="1:13" ht="23" customHeight="1">
      <c r="A19" s="1"/>
      <c r="B19" s="1"/>
      <c r="C19" s="1"/>
      <c r="D19" s="1"/>
      <c r="E19" s="1"/>
      <c r="F19" s="1"/>
      <c r="G19" s="1"/>
      <c r="H19" s="1"/>
      <c r="I19" s="1"/>
      <c r="J19" s="1"/>
      <c r="K19" s="1"/>
      <c r="L19" s="1"/>
      <c r="M19" s="1"/>
    </row>
    <row r="20" spans="1:13" ht="23" customHeight="1">
      <c r="A20" s="1"/>
      <c r="B20" s="1"/>
      <c r="C20" s="1"/>
      <c r="D20" s="1"/>
      <c r="E20" s="1"/>
      <c r="F20" s="1"/>
      <c r="G20" s="1"/>
      <c r="H20" s="1"/>
      <c r="I20" s="1"/>
      <c r="J20" s="1"/>
      <c r="K20" s="1"/>
      <c r="L20" s="1"/>
      <c r="M20" s="1"/>
    </row>
    <row r="21" spans="1:13" ht="23" customHeight="1">
      <c r="A21" s="1"/>
      <c r="B21" s="1"/>
      <c r="C21" s="1"/>
      <c r="D21" s="1"/>
      <c r="E21" s="1"/>
      <c r="F21" s="1"/>
      <c r="G21" s="1"/>
      <c r="H21" s="1"/>
      <c r="I21" s="1"/>
      <c r="J21" s="1"/>
      <c r="K21" s="1"/>
      <c r="L21" s="1"/>
      <c r="M21" s="1"/>
    </row>
    <row r="22" spans="1:13" ht="23" customHeight="1">
      <c r="A22" s="1"/>
      <c r="B22" s="1"/>
      <c r="C22" s="1"/>
      <c r="D22" s="1"/>
      <c r="E22" s="1"/>
      <c r="F22" s="1"/>
      <c r="G22" s="1"/>
      <c r="H22" s="1"/>
      <c r="I22" s="1"/>
      <c r="J22" s="1"/>
      <c r="K22" s="1"/>
      <c r="L22" s="1"/>
      <c r="M22" s="1"/>
    </row>
    <row r="23" spans="1:13" ht="23" customHeight="1">
      <c r="A23" s="1"/>
      <c r="B23" s="1"/>
      <c r="C23" s="1"/>
      <c r="D23" s="1"/>
      <c r="E23" s="1"/>
      <c r="F23" s="1"/>
      <c r="G23" s="1"/>
      <c r="H23" s="1"/>
      <c r="I23" s="1"/>
      <c r="J23" s="1"/>
      <c r="K23" s="1"/>
      <c r="L23" s="1"/>
      <c r="M23" s="1"/>
    </row>
    <row r="24" spans="1:13" ht="23" customHeight="1">
      <c r="A24" s="1"/>
      <c r="B24" s="1"/>
      <c r="C24" s="1"/>
      <c r="D24" s="1"/>
      <c r="E24" s="1"/>
      <c r="F24" s="1"/>
      <c r="G24" s="1"/>
      <c r="H24" s="1"/>
      <c r="I24" s="1"/>
      <c r="J24" s="1"/>
      <c r="K24" s="1"/>
      <c r="L24" s="1"/>
      <c r="M24" s="1"/>
    </row>
    <row r="25" spans="1:13" ht="23" customHeight="1">
      <c r="A25" s="1"/>
      <c r="B25" s="1"/>
      <c r="C25" s="1"/>
      <c r="D25" s="1"/>
      <c r="E25" s="1"/>
      <c r="F25" s="1"/>
      <c r="G25" s="1"/>
      <c r="H25" s="1"/>
      <c r="I25" s="1"/>
      <c r="J25" s="1"/>
      <c r="K25" s="1"/>
      <c r="L25" s="1"/>
      <c r="M25" s="1"/>
    </row>
    <row r="26" spans="1:13" ht="23" customHeight="1">
      <c r="A26" s="1"/>
      <c r="B26" s="1"/>
      <c r="C26" s="1"/>
      <c r="D26" s="1"/>
      <c r="E26" s="1"/>
      <c r="F26" s="1"/>
      <c r="G26" s="1"/>
      <c r="H26" s="1"/>
      <c r="I26" s="1"/>
      <c r="J26" s="1"/>
      <c r="K26" s="1"/>
      <c r="L26" s="1"/>
      <c r="M26" s="1"/>
    </row>
    <row r="27" spans="1:13" ht="23" customHeight="1">
      <c r="A27" s="1"/>
      <c r="B27" s="1"/>
      <c r="C27" s="1"/>
      <c r="D27" s="1"/>
      <c r="E27" s="1"/>
      <c r="F27" s="1"/>
      <c r="G27" s="1"/>
      <c r="H27" s="1"/>
      <c r="I27" s="1"/>
      <c r="J27" s="1"/>
      <c r="K27" s="1"/>
      <c r="L27" s="1"/>
      <c r="M27" s="1"/>
    </row>
    <row r="28" spans="1:13" ht="23" customHeight="1">
      <c r="A28" s="1"/>
      <c r="B28" s="1"/>
      <c r="C28" s="1"/>
      <c r="D28" s="1"/>
      <c r="E28" s="1"/>
      <c r="F28" s="1"/>
      <c r="G28" s="1"/>
      <c r="H28" s="1"/>
      <c r="I28" s="1"/>
      <c r="J28" s="1"/>
      <c r="K28" s="1"/>
      <c r="L28" s="1"/>
      <c r="M28" s="1"/>
    </row>
    <row r="29" spans="1:13" ht="23" customHeight="1">
      <c r="A29" s="1"/>
      <c r="B29" s="1"/>
      <c r="C29" s="1"/>
      <c r="D29" s="1"/>
      <c r="E29" s="1"/>
      <c r="F29" s="1"/>
      <c r="G29" s="1"/>
      <c r="H29" s="1"/>
      <c r="I29" s="1"/>
      <c r="J29" s="1"/>
      <c r="K29" s="1"/>
      <c r="L29" s="1"/>
      <c r="M29" s="1"/>
    </row>
    <row r="30" spans="1:13" ht="23" customHeight="1">
      <c r="A30" s="1"/>
      <c r="B30" s="1"/>
      <c r="C30" s="1"/>
      <c r="D30" s="1"/>
      <c r="E30" s="1"/>
      <c r="F30" s="1"/>
      <c r="G30" s="1"/>
      <c r="H30" s="1"/>
      <c r="I30" s="1"/>
      <c r="J30" s="1"/>
      <c r="K30" s="1"/>
      <c r="L30" s="1"/>
      <c r="M30" s="1"/>
    </row>
    <row r="31" spans="1:13" ht="23" customHeight="1">
      <c r="A31" s="1"/>
      <c r="B31" s="1"/>
      <c r="C31" s="1"/>
      <c r="D31" s="1"/>
      <c r="E31" s="1"/>
      <c r="F31" s="1"/>
      <c r="G31" s="1"/>
      <c r="H31" s="1"/>
      <c r="I31" s="1"/>
      <c r="J31" s="1"/>
      <c r="K31" s="1"/>
      <c r="L31" s="1"/>
      <c r="M31" s="1"/>
    </row>
    <row r="32" spans="1:13" ht="23" customHeight="1">
      <c r="A32" s="1"/>
      <c r="B32" s="1"/>
      <c r="C32" s="1"/>
      <c r="D32" s="1"/>
      <c r="E32" s="1"/>
      <c r="F32" s="1"/>
      <c r="G32" s="1"/>
      <c r="H32" s="1"/>
      <c r="I32" s="1"/>
      <c r="J32" s="1"/>
      <c r="K32" s="1"/>
      <c r="L32" s="1"/>
      <c r="M32" s="1"/>
    </row>
    <row r="33" spans="1:13" ht="23" customHeight="1">
      <c r="A33" s="1"/>
      <c r="B33" s="1"/>
      <c r="C33" s="1"/>
      <c r="D33" s="1"/>
      <c r="E33" s="1"/>
      <c r="F33" s="1"/>
      <c r="G33" s="1"/>
      <c r="H33" s="1"/>
      <c r="I33" s="1"/>
      <c r="J33" s="1"/>
      <c r="K33" s="1"/>
      <c r="L33" s="1"/>
      <c r="M33" s="1"/>
    </row>
    <row r="34" spans="1:13" ht="23" customHeight="1">
      <c r="A34" s="1"/>
      <c r="B34" s="1"/>
      <c r="C34" s="1"/>
      <c r="D34" s="1"/>
      <c r="E34" s="1"/>
      <c r="F34" s="1"/>
      <c r="G34" s="1"/>
      <c r="H34" s="1"/>
      <c r="I34" s="1"/>
      <c r="J34" s="1"/>
      <c r="K34" s="1"/>
      <c r="L34" s="1"/>
      <c r="M34" s="1"/>
    </row>
    <row r="35" spans="1:13" ht="23" customHeight="1">
      <c r="A35" s="1"/>
      <c r="B35" s="1"/>
      <c r="C35" s="1"/>
      <c r="D35" s="1"/>
      <c r="E35" s="1"/>
      <c r="F35" s="1"/>
      <c r="G35" s="1"/>
      <c r="H35" s="1"/>
      <c r="I35" s="1"/>
      <c r="J35" s="1"/>
      <c r="K35" s="1"/>
      <c r="L35" s="1"/>
      <c r="M35" s="1"/>
    </row>
    <row r="36" spans="1:13" ht="23" customHeight="1">
      <c r="A36" s="1"/>
      <c r="B36" s="1"/>
      <c r="C36" s="1"/>
      <c r="D36" s="1"/>
      <c r="E36" s="1"/>
      <c r="F36" s="1"/>
      <c r="G36" s="1"/>
      <c r="H36" s="1"/>
      <c r="I36" s="1"/>
      <c r="J36" s="1"/>
      <c r="K36" s="1"/>
      <c r="L36" s="1"/>
      <c r="M36" s="1"/>
    </row>
    <row r="37" spans="1:13" ht="23" customHeight="1">
      <c r="A37" s="1"/>
      <c r="B37" s="1"/>
      <c r="C37" s="1"/>
      <c r="D37" s="1"/>
      <c r="E37" s="1"/>
      <c r="F37" s="1"/>
      <c r="G37" s="1"/>
      <c r="H37" s="1"/>
      <c r="I37" s="1"/>
      <c r="J37" s="1"/>
      <c r="K37" s="1"/>
      <c r="L37" s="1"/>
      <c r="M37" s="1"/>
    </row>
    <row r="38" spans="1:13" ht="23" customHeight="1">
      <c r="A38" s="1"/>
      <c r="B38" s="1"/>
      <c r="C38" s="1"/>
      <c r="D38" s="1"/>
      <c r="E38" s="1"/>
      <c r="F38" s="1"/>
      <c r="G38" s="1"/>
      <c r="H38" s="1"/>
      <c r="I38" s="1"/>
      <c r="J38" s="1"/>
      <c r="K38" s="1"/>
      <c r="L38" s="1"/>
      <c r="M38" s="1"/>
    </row>
    <row r="39" spans="1:13" ht="23" customHeight="1">
      <c r="A39" s="1"/>
      <c r="B39" s="1"/>
      <c r="C39" s="1"/>
      <c r="D39" s="1"/>
      <c r="E39" s="1"/>
      <c r="F39" s="1"/>
      <c r="G39" s="1"/>
      <c r="H39" s="1"/>
      <c r="I39" s="1"/>
      <c r="J39" s="1"/>
      <c r="K39" s="1"/>
      <c r="L39" s="1"/>
      <c r="M39" s="1"/>
    </row>
    <row r="40" spans="1:13" ht="23" customHeight="1">
      <c r="A40" s="1"/>
      <c r="B40" s="1"/>
      <c r="C40" s="1"/>
      <c r="D40" s="1"/>
      <c r="E40" s="1"/>
      <c r="F40" s="1"/>
      <c r="G40" s="1"/>
      <c r="H40" s="1"/>
      <c r="I40" s="1"/>
      <c r="J40" s="1"/>
      <c r="K40" s="1"/>
      <c r="L40" s="1"/>
      <c r="M40" s="1"/>
    </row>
    <row r="41" spans="1:13" ht="23" customHeight="1">
      <c r="A41" s="1"/>
      <c r="B41" s="1"/>
      <c r="C41" s="1"/>
      <c r="D41" s="1"/>
      <c r="E41" s="1"/>
      <c r="F41" s="1"/>
      <c r="G41" s="1"/>
      <c r="H41" s="1"/>
      <c r="I41" s="1"/>
      <c r="J41" s="1"/>
      <c r="K41" s="1"/>
      <c r="L41" s="1"/>
      <c r="M41" s="1"/>
    </row>
    <row r="42" spans="1:13" ht="23" customHeight="1">
      <c r="A42" s="1"/>
      <c r="B42" s="1"/>
      <c r="C42" s="1"/>
      <c r="D42" s="1"/>
      <c r="E42" s="1"/>
      <c r="F42" s="1"/>
      <c r="G42" s="1"/>
      <c r="H42" s="1"/>
      <c r="I42" s="1"/>
      <c r="J42" s="1"/>
      <c r="K42" s="1"/>
      <c r="L42" s="1"/>
      <c r="M42" s="1"/>
    </row>
    <row r="43" spans="1:13" ht="23" customHeight="1">
      <c r="A43" s="1"/>
      <c r="B43" s="1"/>
      <c r="C43" s="1"/>
      <c r="D43" s="1"/>
      <c r="E43" s="1"/>
      <c r="F43" s="1"/>
      <c r="G43" s="1"/>
      <c r="H43" s="1"/>
      <c r="I43" s="1"/>
      <c r="J43" s="1"/>
      <c r="K43" s="1"/>
      <c r="L43" s="1"/>
      <c r="M43" s="1"/>
    </row>
    <row r="44" spans="1:13" ht="23" customHeight="1">
      <c r="A44" s="1"/>
      <c r="B44" s="1"/>
      <c r="C44" s="1"/>
      <c r="D44" s="1"/>
      <c r="E44" s="1"/>
      <c r="F44" s="1"/>
      <c r="G44" s="1"/>
      <c r="H44" s="1"/>
      <c r="I44" s="1"/>
      <c r="J44" s="1"/>
      <c r="K44" s="1"/>
      <c r="L44" s="1"/>
      <c r="M44" s="1"/>
    </row>
    <row r="45" spans="1:13" ht="23" customHeight="1">
      <c r="A45" s="1"/>
      <c r="B45" s="1"/>
      <c r="C45" s="1"/>
      <c r="D45" s="1"/>
      <c r="E45" s="1"/>
      <c r="F45" s="1"/>
      <c r="G45" s="1"/>
      <c r="H45" s="1"/>
      <c r="I45" s="1"/>
      <c r="J45" s="1"/>
      <c r="K45" s="1"/>
      <c r="L45" s="1"/>
      <c r="M45" s="1"/>
    </row>
    <row r="46" spans="1:13" ht="23" customHeight="1">
      <c r="A46" s="1"/>
      <c r="B46" s="1"/>
      <c r="C46" s="1"/>
      <c r="D46" s="1"/>
      <c r="E46" s="1"/>
      <c r="F46" s="1"/>
      <c r="G46" s="1"/>
      <c r="H46" s="1"/>
      <c r="I46" s="1"/>
      <c r="J46" s="1"/>
      <c r="K46" s="1"/>
      <c r="L46" s="1"/>
      <c r="M46" s="1"/>
    </row>
    <row r="47" spans="1:13" ht="23" customHeight="1">
      <c r="A47" s="1"/>
      <c r="B47" s="1"/>
      <c r="C47" s="1"/>
      <c r="D47" s="1"/>
      <c r="E47" s="1"/>
      <c r="F47" s="1"/>
      <c r="G47" s="1"/>
      <c r="H47" s="1"/>
      <c r="I47" s="1"/>
      <c r="J47" s="1"/>
      <c r="K47" s="1"/>
      <c r="L47" s="1"/>
      <c r="M47" s="1"/>
    </row>
    <row r="48" spans="1:13" ht="23" customHeight="1">
      <c r="A48" s="1"/>
      <c r="B48" s="1"/>
      <c r="C48" s="1"/>
      <c r="D48" s="1"/>
      <c r="E48" s="1"/>
      <c r="F48" s="1"/>
      <c r="G48" s="1"/>
      <c r="H48" s="1"/>
      <c r="I48" s="1"/>
      <c r="J48" s="1"/>
      <c r="K48" s="1"/>
      <c r="L48" s="1"/>
      <c r="M48" s="1"/>
    </row>
    <row r="49" spans="1:13" ht="23" customHeight="1">
      <c r="A49" s="1"/>
      <c r="B49" s="1"/>
      <c r="C49" s="1"/>
      <c r="D49" s="1"/>
      <c r="E49" s="1"/>
      <c r="F49" s="1"/>
      <c r="G49" s="1"/>
      <c r="H49" s="1"/>
      <c r="I49" s="1"/>
      <c r="J49" s="1"/>
      <c r="K49" s="1"/>
      <c r="L49" s="1"/>
      <c r="M49" s="1"/>
    </row>
    <row r="50" spans="1:13" ht="23" customHeight="1">
      <c r="A50" s="1"/>
      <c r="B50" s="1"/>
      <c r="C50" s="1"/>
      <c r="D50" s="1"/>
      <c r="E50" s="1"/>
      <c r="F50" s="1"/>
      <c r="G50" s="1"/>
      <c r="H50" s="1"/>
      <c r="I50" s="1"/>
      <c r="J50" s="1"/>
      <c r="K50" s="1"/>
      <c r="L50" s="1"/>
      <c r="M50" s="1"/>
    </row>
  </sheetData>
  <conditionalFormatting sqref="D2:D6">
    <cfRule type="cellIs" dxfId="3" priority="1" operator="lessThan">
      <formula>0</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AA3AA"/>
  </sheetPr>
  <dimension ref="A1:P50"/>
  <sheetViews>
    <sheetView showGridLines="0" tabSelected="1" zoomScale="75" zoomScaleNormal="75" workbookViewId="0">
      <selection sqref="A1:P1"/>
    </sheetView>
  </sheetViews>
  <sheetFormatPr defaultRowHeight="14"/>
  <cols>
    <col min="1" max="1" width="14.1640625" bestFit="1" customWidth="1"/>
    <col min="2" max="13" width="12.6640625" bestFit="1" customWidth="1"/>
    <col min="14" max="14" width="15.5" bestFit="1" customWidth="1"/>
    <col min="15" max="15" width="15.6640625" bestFit="1" customWidth="1"/>
    <col min="16" max="16" width="17" bestFit="1" customWidth="1"/>
    <col min="17" max="17" width="3.58203125" customWidth="1"/>
    <col min="18" max="20" width="12.58203125" customWidth="1"/>
  </cols>
  <sheetData>
    <row r="1" spans="1:16" ht="23" customHeight="1">
      <c r="A1" s="24" t="s">
        <v>2707</v>
      </c>
      <c r="B1" s="25"/>
      <c r="C1" s="25"/>
      <c r="D1" s="25"/>
      <c r="E1" s="25"/>
      <c r="F1" s="25"/>
      <c r="G1" s="25"/>
      <c r="H1" s="25"/>
      <c r="I1" s="25"/>
      <c r="J1" s="25"/>
      <c r="K1" s="25"/>
      <c r="L1" s="25"/>
      <c r="M1" s="25"/>
      <c r="N1" s="25"/>
      <c r="O1" s="25"/>
      <c r="P1" s="25"/>
    </row>
    <row r="2" spans="1:16" ht="23" customHeight="1">
      <c r="A2" s="23" t="s">
        <v>2708</v>
      </c>
    </row>
    <row r="3" spans="1:16" ht="23" customHeight="1"/>
    <row r="4" spans="1:16" ht="23" customHeight="1"/>
    <row r="5" spans="1:16" ht="23" customHeight="1">
      <c r="B5" s="20" t="s">
        <v>77</v>
      </c>
      <c r="C5" s="20" t="s">
        <v>2706</v>
      </c>
    </row>
    <row r="6" spans="1:16" ht="28" customHeight="1">
      <c r="B6" t="s">
        <v>46</v>
      </c>
      <c r="E6" t="s">
        <v>44</v>
      </c>
      <c r="H6" t="s">
        <v>45</v>
      </c>
      <c r="K6" t="s">
        <v>47</v>
      </c>
      <c r="N6" t="s">
        <v>2702</v>
      </c>
      <c r="O6" t="s">
        <v>2703</v>
      </c>
      <c r="P6" t="s">
        <v>2704</v>
      </c>
    </row>
    <row r="7" spans="1:16" ht="23" customHeight="1">
      <c r="A7" s="20" t="s">
        <v>78</v>
      </c>
      <c r="B7" t="s">
        <v>6</v>
      </c>
      <c r="C7" t="s">
        <v>7</v>
      </c>
      <c r="D7" t="s">
        <v>2705</v>
      </c>
      <c r="E7" t="s">
        <v>6</v>
      </c>
      <c r="F7" t="s">
        <v>7</v>
      </c>
      <c r="G7" t="s">
        <v>2705</v>
      </c>
      <c r="H7" t="s">
        <v>6</v>
      </c>
      <c r="I7" t="s">
        <v>7</v>
      </c>
      <c r="J7" t="s">
        <v>2705</v>
      </c>
      <c r="K7" t="s">
        <v>6</v>
      </c>
      <c r="L7" t="s">
        <v>7</v>
      </c>
      <c r="M7" t="s">
        <v>2705</v>
      </c>
    </row>
    <row r="8" spans="1:16" ht="23" customHeight="1">
      <c r="A8" t="s">
        <v>42</v>
      </c>
      <c r="B8" s="21">
        <v>200697.08000000005</v>
      </c>
      <c r="C8" s="21">
        <v>93208.969999999987</v>
      </c>
      <c r="D8" s="22">
        <v>102</v>
      </c>
      <c r="E8" s="21">
        <v>254767.90999999997</v>
      </c>
      <c r="F8" s="21">
        <v>120071.23000000001</v>
      </c>
      <c r="G8" s="22">
        <v>122</v>
      </c>
      <c r="H8" s="21">
        <v>223750.57000000012</v>
      </c>
      <c r="I8" s="21">
        <v>99606.949999999983</v>
      </c>
      <c r="J8" s="22">
        <v>118</v>
      </c>
      <c r="K8" s="21">
        <v>157895.11000000004</v>
      </c>
      <c r="L8" s="21">
        <v>71288.87999999999</v>
      </c>
      <c r="M8" s="22">
        <v>84</v>
      </c>
      <c r="N8" s="21">
        <v>837110.67000000051</v>
      </c>
      <c r="O8" s="21">
        <v>384176.03000000009</v>
      </c>
      <c r="P8" s="22">
        <v>426</v>
      </c>
    </row>
    <row r="9" spans="1:16" ht="23" customHeight="1">
      <c r="A9" t="s">
        <v>38</v>
      </c>
      <c r="B9" s="21">
        <v>5955806.7799999984</v>
      </c>
      <c r="C9" s="21">
        <v>607723.14000000013</v>
      </c>
      <c r="D9" s="22">
        <v>96</v>
      </c>
      <c r="E9" s="21">
        <v>7223399.0400000019</v>
      </c>
      <c r="F9" s="21">
        <v>572762.41999999993</v>
      </c>
      <c r="G9" s="22">
        <v>129</v>
      </c>
      <c r="H9" s="21">
        <v>7682129.8399999989</v>
      </c>
      <c r="I9" s="21">
        <v>740853.2100000002</v>
      </c>
      <c r="J9" s="22">
        <v>112</v>
      </c>
      <c r="K9" s="21">
        <v>4913600.4000000004</v>
      </c>
      <c r="L9" s="21">
        <v>379371.7900000001</v>
      </c>
      <c r="M9" s="22">
        <v>81</v>
      </c>
      <c r="N9" s="21">
        <v>25774936.060000017</v>
      </c>
      <c r="O9" s="21">
        <v>2300710.5599999991</v>
      </c>
      <c r="P9" s="22">
        <v>418</v>
      </c>
    </row>
    <row r="10" spans="1:16" ht="23" customHeight="1">
      <c r="A10" t="s">
        <v>39</v>
      </c>
      <c r="B10" s="21">
        <v>325136.77</v>
      </c>
      <c r="C10" s="21">
        <v>106660.76000000005</v>
      </c>
      <c r="D10" s="22">
        <v>89</v>
      </c>
      <c r="E10" s="21">
        <v>457866.02999999985</v>
      </c>
      <c r="F10" s="21">
        <v>132790.80999999997</v>
      </c>
      <c r="G10" s="22">
        <v>129</v>
      </c>
      <c r="H10" s="21">
        <v>438204.71999999968</v>
      </c>
      <c r="I10" s="21">
        <v>134165.24000000002</v>
      </c>
      <c r="J10" s="22">
        <v>114</v>
      </c>
      <c r="K10" s="21">
        <v>295795.67999999993</v>
      </c>
      <c r="L10" s="21">
        <v>95833.400000000023</v>
      </c>
      <c r="M10" s="22">
        <v>83</v>
      </c>
      <c r="N10" s="21">
        <v>1517003.2</v>
      </c>
      <c r="O10" s="21">
        <v>469450.21000000031</v>
      </c>
      <c r="P10" s="22">
        <v>415</v>
      </c>
    </row>
    <row r="11" spans="1:16" ht="23" customHeight="1">
      <c r="A11" t="s">
        <v>40</v>
      </c>
      <c r="B11" s="21">
        <v>943675.75999999989</v>
      </c>
      <c r="C11" s="21">
        <v>210875.23999999993</v>
      </c>
      <c r="D11" s="22">
        <v>87</v>
      </c>
      <c r="E11" s="21">
        <v>1067122.77</v>
      </c>
      <c r="F11" s="21">
        <v>254828.55999999991</v>
      </c>
      <c r="G11" s="22">
        <v>99</v>
      </c>
      <c r="H11" s="21">
        <v>1055831.7100000004</v>
      </c>
      <c r="I11" s="21">
        <v>257611.22000000009</v>
      </c>
      <c r="J11" s="22">
        <v>100</v>
      </c>
      <c r="K11" s="21">
        <v>869241.7200000002</v>
      </c>
      <c r="L11" s="21">
        <v>214694.85000000006</v>
      </c>
      <c r="M11" s="22">
        <v>76</v>
      </c>
      <c r="N11" s="21">
        <v>3935871.9600000014</v>
      </c>
      <c r="O11" s="21">
        <v>938009.86999999976</v>
      </c>
      <c r="P11" s="22">
        <v>362</v>
      </c>
    </row>
    <row r="12" spans="1:16" ht="23" customHeight="1">
      <c r="A12" t="s">
        <v>41</v>
      </c>
      <c r="B12" s="21">
        <v>1217897.7999999996</v>
      </c>
      <c r="C12" s="21">
        <v>303074.74</v>
      </c>
      <c r="D12" s="22">
        <v>106</v>
      </c>
      <c r="E12" s="21">
        <v>873090.21</v>
      </c>
      <c r="F12" s="21">
        <v>253770.51999999996</v>
      </c>
      <c r="G12" s="22">
        <v>92</v>
      </c>
      <c r="H12" s="21">
        <v>1005428.2799999998</v>
      </c>
      <c r="I12" s="21">
        <v>300856.27000000019</v>
      </c>
      <c r="J12" s="22">
        <v>100</v>
      </c>
      <c r="K12" s="21">
        <v>767630.3899999999</v>
      </c>
      <c r="L12" s="21">
        <v>232863.38000000006</v>
      </c>
      <c r="M12" s="22">
        <v>81</v>
      </c>
      <c r="N12" s="21">
        <v>3864046.6800000011</v>
      </c>
      <c r="O12" s="21">
        <v>1090564.9099999995</v>
      </c>
      <c r="P12" s="22">
        <v>379</v>
      </c>
    </row>
    <row r="13" spans="1:16" ht="23" customHeight="1">
      <c r="A13" t="s">
        <v>2701</v>
      </c>
      <c r="B13" s="21">
        <v>8643214.1900000051</v>
      </c>
      <c r="C13" s="21">
        <v>1321542.8500000006</v>
      </c>
      <c r="D13" s="22">
        <v>480</v>
      </c>
      <c r="E13" s="21">
        <v>9876245.9600000009</v>
      </c>
      <c r="F13" s="21">
        <v>1334223.54</v>
      </c>
      <c r="G13" s="22">
        <v>571</v>
      </c>
      <c r="H13" s="21">
        <v>10405345.119999994</v>
      </c>
      <c r="I13" s="21">
        <v>1533092.8899999992</v>
      </c>
      <c r="J13" s="22">
        <v>544</v>
      </c>
      <c r="K13" s="21">
        <v>7004163.2999999989</v>
      </c>
      <c r="L13" s="21">
        <v>994052.3000000004</v>
      </c>
      <c r="M13" s="22">
        <v>405</v>
      </c>
      <c r="N13" s="21">
        <v>35928968.570000023</v>
      </c>
      <c r="O13" s="21">
        <v>5182911.5799999991</v>
      </c>
      <c r="P13" s="22">
        <v>2000</v>
      </c>
    </row>
    <row r="14" spans="1:16" ht="23" customHeight="1"/>
    <row r="15" spans="1:16" ht="23" customHeight="1"/>
    <row r="16" spans="1:16" ht="23" customHeight="1"/>
    <row r="17" ht="23" customHeight="1"/>
    <row r="18" ht="23" customHeight="1"/>
    <row r="19" ht="23" customHeight="1"/>
    <row r="20" ht="23" customHeight="1"/>
    <row r="21" ht="23" customHeight="1"/>
    <row r="22" ht="23" customHeight="1"/>
    <row r="23" ht="23" customHeight="1"/>
    <row r="24" ht="23" customHeight="1"/>
    <row r="25" ht="23" customHeight="1"/>
    <row r="26" ht="23" customHeight="1"/>
    <row r="27" ht="23" customHeight="1"/>
    <row r="28" ht="23" customHeight="1"/>
    <row r="29" ht="23" customHeight="1"/>
    <row r="30" ht="23" customHeight="1"/>
    <row r="31" ht="23" customHeight="1"/>
    <row r="32" ht="23" customHeight="1"/>
    <row r="33" customFormat="1" ht="23" customHeight="1"/>
    <row r="34" customFormat="1" ht="23" customHeight="1"/>
    <row r="35" customFormat="1" ht="23" customHeight="1"/>
    <row r="36" customFormat="1" ht="23" customHeight="1"/>
    <row r="37" customFormat="1" ht="23" customHeight="1"/>
    <row r="38" customFormat="1" ht="23" customHeight="1"/>
    <row r="39" customFormat="1" ht="23" customHeight="1"/>
    <row r="40" customFormat="1" ht="23" customHeight="1"/>
    <row r="41" customFormat="1" ht="23" customHeight="1"/>
    <row r="42" customFormat="1" ht="23" customHeight="1"/>
    <row r="43" customFormat="1" ht="23" customHeight="1"/>
    <row r="44" customFormat="1" ht="23" customHeight="1"/>
    <row r="45" customFormat="1" ht="23" customHeight="1"/>
    <row r="46" customFormat="1" ht="23" customHeight="1"/>
    <row r="47" customFormat="1" ht="23" customHeight="1"/>
    <row r="48" customFormat="1" ht="23" customHeight="1"/>
    <row r="49" customFormat="1" ht="23" customHeight="1"/>
    <row r="50" customFormat="1" ht="23" customHeight="1"/>
  </sheetData>
  <mergeCells count="1">
    <mergeCell ref="A1:P1"/>
  </mergeCells>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99032"/>
  </sheetPr>
  <dimension ref="A1:M50"/>
  <sheetViews>
    <sheetView showGridLines="0" workbookViewId="0"/>
  </sheetViews>
  <sheetFormatPr defaultRowHeight="14"/>
  <cols>
    <col min="1" max="1" width="34" customWidth="1"/>
    <col min="2" max="6" width="19" customWidth="1"/>
  </cols>
  <sheetData>
    <row r="1" spans="1:13" ht="28" customHeight="1">
      <c r="A1" s="10" t="s">
        <v>61</v>
      </c>
      <c r="B1" s="10" t="s">
        <v>62</v>
      </c>
      <c r="C1" s="10" t="s">
        <v>63</v>
      </c>
      <c r="D1" s="10" t="s">
        <v>64</v>
      </c>
      <c r="E1" s="1"/>
      <c r="F1" s="1"/>
      <c r="G1" s="1"/>
      <c r="H1" s="1"/>
      <c r="I1" s="1"/>
      <c r="J1" s="1"/>
      <c r="K1" s="1"/>
      <c r="L1" s="1"/>
      <c r="M1" s="1"/>
    </row>
    <row r="2" spans="1:13" ht="23" customHeight="1">
      <c r="A2" s="1" t="s">
        <v>65</v>
      </c>
      <c r="B2" s="1">
        <f>COUNTA(Clean_Data!A2:A2001)</f>
        <v>2000</v>
      </c>
      <c r="C2" s="1">
        <v>2000</v>
      </c>
      <c r="D2" s="1" t="str">
        <f>IF(ABS(B2-C2)&lt;0.00001,"PASS","FAIL")</f>
        <v>PASS</v>
      </c>
      <c r="E2" s="1"/>
      <c r="F2" s="1"/>
      <c r="G2" s="1"/>
      <c r="H2" s="1"/>
      <c r="I2" s="1"/>
      <c r="J2" s="1"/>
      <c r="K2" s="1"/>
      <c r="L2" s="1"/>
      <c r="M2" s="1"/>
    </row>
    <row r="3" spans="1:13" ht="23" customHeight="1">
      <c r="A3" s="1" t="s">
        <v>66</v>
      </c>
      <c r="B3" s="1">
        <f>SUMPRODUCT((COUNTIF(Clean_Data!A2:A2001,Clean_Data!A2:A2001)&gt;1)*1)</f>
        <v>0</v>
      </c>
      <c r="C3" s="1">
        <v>0</v>
      </c>
      <c r="D3" s="1" t="str">
        <f>IF(ABS(B3-C3)&lt;0.00001,"PASS","FAIL")</f>
        <v>PASS</v>
      </c>
      <c r="E3" s="1"/>
      <c r="F3" s="1"/>
      <c r="G3" s="1"/>
      <c r="H3" s="1"/>
      <c r="I3" s="1"/>
      <c r="J3" s="1"/>
      <c r="K3" s="1"/>
      <c r="L3" s="1"/>
      <c r="M3" s="1"/>
    </row>
    <row r="4" spans="1:13" ht="23" customHeight="1">
      <c r="A4" s="1" t="s">
        <v>67</v>
      </c>
      <c r="B4" s="1">
        <f>COUNTBLANK(Clean_Data!A2:A2001)</f>
        <v>0</v>
      </c>
      <c r="C4" s="1">
        <v>0</v>
      </c>
      <c r="D4" s="1" t="str">
        <f>IF(ABS(B4-C4)&lt;0.00001,"PASS","FAIL")</f>
        <v>PASS</v>
      </c>
      <c r="E4" s="1"/>
      <c r="F4" s="1"/>
      <c r="G4" s="1"/>
      <c r="H4" s="1"/>
      <c r="I4" s="1"/>
      <c r="J4" s="1"/>
      <c r="K4" s="1"/>
      <c r="L4" s="1"/>
      <c r="M4" s="1"/>
    </row>
    <row r="5" spans="1:13" ht="23" customHeight="1">
      <c r="A5" s="1" t="s">
        <v>68</v>
      </c>
      <c r="B5" s="1">
        <f>COUNTBLANK(Clean_Data!B2:B2001)</f>
        <v>0</v>
      </c>
      <c r="C5" s="1">
        <v>0</v>
      </c>
      <c r="D5" s="1" t="str">
        <f>IF(ABS(B5-C5)&lt;0.00001,"PASS","FAIL")</f>
        <v>PASS</v>
      </c>
      <c r="E5" s="1"/>
      <c r="F5" s="1"/>
      <c r="G5" s="1"/>
      <c r="H5" s="1"/>
      <c r="I5" s="1"/>
      <c r="J5" s="1"/>
      <c r="K5" s="1"/>
      <c r="L5" s="1"/>
      <c r="M5" s="1"/>
    </row>
    <row r="6" spans="1:13" ht="23" customHeight="1">
      <c r="A6" s="1" t="s">
        <v>69</v>
      </c>
      <c r="B6" s="1">
        <f>COUNTIF(Clean_Data!K2:K2001,"&lt;0")</f>
        <v>0</v>
      </c>
      <c r="C6" s="1">
        <v>0</v>
      </c>
      <c r="D6" s="1" t="str">
        <f>IF(ABS(B6-C6)&lt;0.00001,"PASS","FAIL")</f>
        <v>PASS</v>
      </c>
      <c r="E6" s="1"/>
      <c r="F6" s="1"/>
      <c r="G6" s="1"/>
      <c r="H6" s="1"/>
      <c r="I6" s="1"/>
      <c r="J6" s="1"/>
      <c r="K6" s="1"/>
      <c r="L6" s="1"/>
      <c r="M6" s="1"/>
    </row>
    <row r="7" spans="1:13" ht="23" customHeight="1">
      <c r="A7" s="1" t="s">
        <v>70</v>
      </c>
      <c r="B7" s="19">
        <f>SUM(Clean_Data!K2:K2001)</f>
        <v>35928968.569999941</v>
      </c>
      <c r="C7" s="19">
        <v>35928968.57</v>
      </c>
      <c r="D7" s="1" t="str">
        <f>IF(ABS(B7-C7)&lt;1,"PASS","FAIL")</f>
        <v>PASS</v>
      </c>
      <c r="E7" s="1"/>
      <c r="F7" s="1"/>
      <c r="G7" s="1"/>
      <c r="H7" s="1"/>
      <c r="I7" s="1"/>
      <c r="J7" s="1"/>
      <c r="K7" s="1"/>
      <c r="L7" s="1"/>
      <c r="M7" s="1"/>
    </row>
    <row r="8" spans="1:13" ht="23" customHeight="1">
      <c r="A8" s="1" t="s">
        <v>71</v>
      </c>
      <c r="B8" s="19">
        <f>SUM(Raw_Data!K2:K2001)</f>
        <v>35928968.569999941</v>
      </c>
      <c r="C8" s="19">
        <v>35928968.57</v>
      </c>
      <c r="D8" s="1" t="str">
        <f>IF(ABS(B8-C8)&lt;1,"PASS","FAIL")</f>
        <v>PASS</v>
      </c>
      <c r="E8" s="1"/>
      <c r="F8" s="1"/>
      <c r="G8" s="1"/>
      <c r="H8" s="1"/>
      <c r="I8" s="1"/>
      <c r="J8" s="1"/>
      <c r="K8" s="1"/>
      <c r="L8" s="1"/>
      <c r="M8" s="1"/>
    </row>
    <row r="9" spans="1:13" ht="23" customHeight="1">
      <c r="A9" s="1" t="s">
        <v>72</v>
      </c>
      <c r="B9" s="19">
        <f>SUM(Clean_Data!L2:L2001)</f>
        <v>5182911.579999988</v>
      </c>
      <c r="C9" s="19">
        <v>5182911.58</v>
      </c>
      <c r="D9" s="1" t="str">
        <f>IF(ABS(B9-C9)&lt;1,"PASS","FAIL")</f>
        <v>PASS</v>
      </c>
      <c r="E9" s="1"/>
      <c r="F9" s="1"/>
      <c r="G9" s="1"/>
      <c r="H9" s="1"/>
      <c r="I9" s="1"/>
      <c r="J9" s="1"/>
      <c r="K9" s="1"/>
      <c r="L9" s="1"/>
      <c r="M9" s="1"/>
    </row>
    <row r="10" spans="1:13" ht="23" customHeight="1">
      <c r="A10" s="1" t="s">
        <v>73</v>
      </c>
      <c r="B10" s="1">
        <f>COUNTIF(Clean_Data!L2:L2001,"&lt;0")</f>
        <v>114</v>
      </c>
      <c r="C10" s="1">
        <v>114</v>
      </c>
      <c r="D10" s="1" t="str">
        <f>"INFO"</f>
        <v>INFO</v>
      </c>
      <c r="E10" s="1"/>
      <c r="F10" s="1"/>
      <c r="G10" s="1"/>
      <c r="H10" s="1"/>
      <c r="I10" s="1"/>
      <c r="J10" s="1"/>
      <c r="K10" s="1"/>
      <c r="L10" s="1"/>
      <c r="M10" s="1"/>
    </row>
    <row r="11" spans="1:13" ht="23" customHeight="1">
      <c r="A11" s="1"/>
      <c r="B11" s="1"/>
      <c r="C11" s="1"/>
      <c r="D11" s="1"/>
      <c r="E11" s="1"/>
      <c r="F11" s="1"/>
      <c r="G11" s="1"/>
      <c r="H11" s="1"/>
      <c r="I11" s="1"/>
      <c r="J11" s="1"/>
      <c r="K11" s="1"/>
      <c r="L11" s="1"/>
      <c r="M11" s="1"/>
    </row>
    <row r="12" spans="1:13" ht="23" customHeight="1">
      <c r="A12" s="1"/>
      <c r="B12" s="1"/>
      <c r="C12" s="1"/>
      <c r="D12" s="1"/>
      <c r="E12" s="1"/>
      <c r="F12" s="1"/>
      <c r="G12" s="1"/>
      <c r="H12" s="1"/>
      <c r="I12" s="1"/>
      <c r="J12" s="1"/>
      <c r="K12" s="1"/>
      <c r="L12" s="1"/>
      <c r="M12" s="1"/>
    </row>
    <row r="13" spans="1:13" ht="23" customHeight="1">
      <c r="A13" s="1"/>
      <c r="B13" s="1"/>
      <c r="C13" s="1"/>
      <c r="D13" s="1"/>
      <c r="E13" s="1"/>
      <c r="F13" s="1"/>
      <c r="G13" s="1"/>
      <c r="H13" s="1"/>
      <c r="I13" s="1"/>
      <c r="J13" s="1"/>
      <c r="K13" s="1"/>
      <c r="L13" s="1"/>
      <c r="M13" s="1"/>
    </row>
    <row r="14" spans="1:13" ht="23" customHeight="1">
      <c r="A14" s="1"/>
      <c r="B14" s="1"/>
      <c r="C14" s="1"/>
      <c r="D14" s="1"/>
      <c r="E14" s="1"/>
      <c r="F14" s="1"/>
      <c r="G14" s="1"/>
      <c r="H14" s="1"/>
      <c r="I14" s="1"/>
      <c r="J14" s="1"/>
      <c r="K14" s="1"/>
      <c r="L14" s="1"/>
      <c r="M14" s="1"/>
    </row>
    <row r="15" spans="1:13" ht="23" customHeight="1">
      <c r="A15" s="1"/>
      <c r="B15" s="1"/>
      <c r="C15" s="1"/>
      <c r="D15" s="1"/>
      <c r="E15" s="1"/>
      <c r="F15" s="1"/>
      <c r="G15" s="1"/>
      <c r="H15" s="1"/>
      <c r="I15" s="1"/>
      <c r="J15" s="1"/>
      <c r="K15" s="1"/>
      <c r="L15" s="1"/>
      <c r="M15" s="1"/>
    </row>
    <row r="16" spans="1:13" ht="23" customHeight="1">
      <c r="A16" s="1"/>
      <c r="B16" s="1"/>
      <c r="C16" s="1"/>
      <c r="D16" s="1"/>
      <c r="E16" s="1"/>
      <c r="F16" s="1"/>
      <c r="G16" s="1"/>
      <c r="H16" s="1"/>
      <c r="I16" s="1"/>
      <c r="J16" s="1"/>
      <c r="K16" s="1"/>
      <c r="L16" s="1"/>
      <c r="M16" s="1"/>
    </row>
    <row r="17" spans="1:13" ht="23" customHeight="1">
      <c r="A17" s="1"/>
      <c r="B17" s="1"/>
      <c r="C17" s="1"/>
      <c r="D17" s="1"/>
      <c r="E17" s="1"/>
      <c r="F17" s="1"/>
      <c r="G17" s="1"/>
      <c r="H17" s="1"/>
      <c r="I17" s="1"/>
      <c r="J17" s="1"/>
      <c r="K17" s="1"/>
      <c r="L17" s="1"/>
      <c r="M17" s="1"/>
    </row>
    <row r="18" spans="1:13" ht="23" customHeight="1">
      <c r="A18" s="1"/>
      <c r="B18" s="1"/>
      <c r="C18" s="1"/>
      <c r="D18" s="1"/>
      <c r="E18" s="1"/>
      <c r="F18" s="1"/>
      <c r="G18" s="1"/>
      <c r="H18" s="1"/>
      <c r="I18" s="1"/>
      <c r="J18" s="1"/>
      <c r="K18" s="1"/>
      <c r="L18" s="1"/>
      <c r="M18" s="1"/>
    </row>
    <row r="19" spans="1:13" ht="23" customHeight="1">
      <c r="A19" s="1"/>
      <c r="B19" s="1"/>
      <c r="C19" s="1"/>
      <c r="D19" s="1"/>
      <c r="E19" s="1"/>
      <c r="F19" s="1"/>
      <c r="G19" s="1"/>
      <c r="H19" s="1"/>
      <c r="I19" s="1"/>
      <c r="J19" s="1"/>
      <c r="K19" s="1"/>
      <c r="L19" s="1"/>
      <c r="M19" s="1"/>
    </row>
    <row r="20" spans="1:13" ht="23" customHeight="1">
      <c r="A20" s="1"/>
      <c r="B20" s="1"/>
      <c r="C20" s="1"/>
      <c r="D20" s="1"/>
      <c r="E20" s="1"/>
      <c r="F20" s="1"/>
      <c r="G20" s="1"/>
      <c r="H20" s="1"/>
      <c r="I20" s="1"/>
      <c r="J20" s="1"/>
      <c r="K20" s="1"/>
      <c r="L20" s="1"/>
      <c r="M20" s="1"/>
    </row>
    <row r="21" spans="1:13" ht="23" customHeight="1">
      <c r="A21" s="1"/>
      <c r="B21" s="1"/>
      <c r="C21" s="1"/>
      <c r="D21" s="1"/>
      <c r="E21" s="1"/>
      <c r="F21" s="1"/>
      <c r="G21" s="1"/>
      <c r="H21" s="1"/>
      <c r="I21" s="1"/>
      <c r="J21" s="1"/>
      <c r="K21" s="1"/>
      <c r="L21" s="1"/>
      <c r="M21" s="1"/>
    </row>
    <row r="22" spans="1:13" ht="23" customHeight="1">
      <c r="A22" s="1"/>
      <c r="B22" s="1"/>
      <c r="C22" s="1"/>
      <c r="D22" s="1"/>
      <c r="E22" s="1"/>
      <c r="F22" s="1"/>
      <c r="G22" s="1"/>
      <c r="H22" s="1"/>
      <c r="I22" s="1"/>
      <c r="J22" s="1"/>
      <c r="K22" s="1"/>
      <c r="L22" s="1"/>
      <c r="M22" s="1"/>
    </row>
    <row r="23" spans="1:13" ht="23" customHeight="1">
      <c r="A23" s="1"/>
      <c r="B23" s="1"/>
      <c r="C23" s="1"/>
      <c r="D23" s="1"/>
      <c r="E23" s="1"/>
      <c r="F23" s="1"/>
      <c r="G23" s="1"/>
      <c r="H23" s="1"/>
      <c r="I23" s="1"/>
      <c r="J23" s="1"/>
      <c r="K23" s="1"/>
      <c r="L23" s="1"/>
      <c r="M23" s="1"/>
    </row>
    <row r="24" spans="1:13" ht="23" customHeight="1">
      <c r="A24" s="1"/>
      <c r="B24" s="1"/>
      <c r="C24" s="1"/>
      <c r="D24" s="1"/>
      <c r="E24" s="1"/>
      <c r="F24" s="1"/>
      <c r="G24" s="1"/>
      <c r="H24" s="1"/>
      <c r="I24" s="1"/>
      <c r="J24" s="1"/>
      <c r="K24" s="1"/>
      <c r="L24" s="1"/>
      <c r="M24" s="1"/>
    </row>
    <row r="25" spans="1:13" ht="23" customHeight="1">
      <c r="A25" s="1"/>
      <c r="B25" s="1"/>
      <c r="C25" s="1"/>
      <c r="D25" s="1"/>
      <c r="E25" s="1"/>
      <c r="F25" s="1"/>
      <c r="G25" s="1"/>
      <c r="H25" s="1"/>
      <c r="I25" s="1"/>
      <c r="J25" s="1"/>
      <c r="K25" s="1"/>
      <c r="L25" s="1"/>
      <c r="M25" s="1"/>
    </row>
    <row r="26" spans="1:13" ht="23" customHeight="1">
      <c r="A26" s="1"/>
      <c r="B26" s="1"/>
      <c r="C26" s="1"/>
      <c r="D26" s="1"/>
      <c r="E26" s="1"/>
      <c r="F26" s="1"/>
      <c r="G26" s="1"/>
      <c r="H26" s="1"/>
      <c r="I26" s="1"/>
      <c r="J26" s="1"/>
      <c r="K26" s="1"/>
      <c r="L26" s="1"/>
      <c r="M26" s="1"/>
    </row>
    <row r="27" spans="1:13" ht="23" customHeight="1">
      <c r="A27" s="1"/>
      <c r="B27" s="1"/>
      <c r="C27" s="1"/>
      <c r="D27" s="1"/>
      <c r="E27" s="1"/>
      <c r="F27" s="1"/>
      <c r="G27" s="1"/>
      <c r="H27" s="1"/>
      <c r="I27" s="1"/>
      <c r="J27" s="1"/>
      <c r="K27" s="1"/>
      <c r="L27" s="1"/>
      <c r="M27" s="1"/>
    </row>
    <row r="28" spans="1:13" ht="23" customHeight="1">
      <c r="A28" s="1"/>
      <c r="B28" s="1"/>
      <c r="C28" s="1"/>
      <c r="D28" s="1"/>
      <c r="E28" s="1"/>
      <c r="F28" s="1"/>
      <c r="G28" s="1"/>
      <c r="H28" s="1"/>
      <c r="I28" s="1"/>
      <c r="J28" s="1"/>
      <c r="K28" s="1"/>
      <c r="L28" s="1"/>
      <c r="M28" s="1"/>
    </row>
    <row r="29" spans="1:13" ht="23" customHeight="1">
      <c r="A29" s="1"/>
      <c r="B29" s="1"/>
      <c r="C29" s="1"/>
      <c r="D29" s="1"/>
      <c r="E29" s="1"/>
      <c r="F29" s="1"/>
      <c r="G29" s="1"/>
      <c r="H29" s="1"/>
      <c r="I29" s="1"/>
      <c r="J29" s="1"/>
      <c r="K29" s="1"/>
      <c r="L29" s="1"/>
      <c r="M29" s="1"/>
    </row>
    <row r="30" spans="1:13" ht="23" customHeight="1">
      <c r="A30" s="1"/>
      <c r="B30" s="1"/>
      <c r="C30" s="1"/>
      <c r="D30" s="1"/>
      <c r="E30" s="1"/>
      <c r="F30" s="1"/>
      <c r="G30" s="1"/>
      <c r="H30" s="1"/>
      <c r="I30" s="1"/>
      <c r="J30" s="1"/>
      <c r="K30" s="1"/>
      <c r="L30" s="1"/>
      <c r="M30" s="1"/>
    </row>
    <row r="31" spans="1:13" ht="23" customHeight="1">
      <c r="A31" s="1"/>
      <c r="B31" s="1"/>
      <c r="C31" s="1"/>
      <c r="D31" s="1"/>
      <c r="E31" s="1"/>
      <c r="F31" s="1"/>
      <c r="G31" s="1"/>
      <c r="H31" s="1"/>
      <c r="I31" s="1"/>
      <c r="J31" s="1"/>
      <c r="K31" s="1"/>
      <c r="L31" s="1"/>
      <c r="M31" s="1"/>
    </row>
    <row r="32" spans="1:13" ht="23" customHeight="1">
      <c r="A32" s="1"/>
      <c r="B32" s="1"/>
      <c r="C32" s="1"/>
      <c r="D32" s="1"/>
      <c r="E32" s="1"/>
      <c r="F32" s="1"/>
      <c r="G32" s="1"/>
      <c r="H32" s="1"/>
      <c r="I32" s="1"/>
      <c r="J32" s="1"/>
      <c r="K32" s="1"/>
      <c r="L32" s="1"/>
      <c r="M32" s="1"/>
    </row>
    <row r="33" spans="1:13" ht="23" customHeight="1">
      <c r="A33" s="1"/>
      <c r="B33" s="1"/>
      <c r="C33" s="1"/>
      <c r="D33" s="1"/>
      <c r="E33" s="1"/>
      <c r="F33" s="1"/>
      <c r="G33" s="1"/>
      <c r="H33" s="1"/>
      <c r="I33" s="1"/>
      <c r="J33" s="1"/>
      <c r="K33" s="1"/>
      <c r="L33" s="1"/>
      <c r="M33" s="1"/>
    </row>
    <row r="34" spans="1:13" ht="23" customHeight="1">
      <c r="A34" s="1"/>
      <c r="B34" s="1"/>
      <c r="C34" s="1"/>
      <c r="D34" s="1"/>
      <c r="E34" s="1"/>
      <c r="F34" s="1"/>
      <c r="G34" s="1"/>
      <c r="H34" s="1"/>
      <c r="I34" s="1"/>
      <c r="J34" s="1"/>
      <c r="K34" s="1"/>
      <c r="L34" s="1"/>
      <c r="M34" s="1"/>
    </row>
    <row r="35" spans="1:13" ht="23" customHeight="1">
      <c r="A35" s="1"/>
      <c r="B35" s="1"/>
      <c r="C35" s="1"/>
      <c r="D35" s="1"/>
      <c r="E35" s="1"/>
      <c r="F35" s="1"/>
      <c r="G35" s="1"/>
      <c r="H35" s="1"/>
      <c r="I35" s="1"/>
      <c r="J35" s="1"/>
      <c r="K35" s="1"/>
      <c r="L35" s="1"/>
      <c r="M35" s="1"/>
    </row>
    <row r="36" spans="1:13" ht="23" customHeight="1">
      <c r="A36" s="1"/>
      <c r="B36" s="1"/>
      <c r="C36" s="1"/>
      <c r="D36" s="1"/>
      <c r="E36" s="1"/>
      <c r="F36" s="1"/>
      <c r="G36" s="1"/>
      <c r="H36" s="1"/>
      <c r="I36" s="1"/>
      <c r="J36" s="1"/>
      <c r="K36" s="1"/>
      <c r="L36" s="1"/>
      <c r="M36" s="1"/>
    </row>
    <row r="37" spans="1:13" ht="23" customHeight="1">
      <c r="A37" s="1"/>
      <c r="B37" s="1"/>
      <c r="C37" s="1"/>
      <c r="D37" s="1"/>
      <c r="E37" s="1"/>
      <c r="F37" s="1"/>
      <c r="G37" s="1"/>
      <c r="H37" s="1"/>
      <c r="I37" s="1"/>
      <c r="J37" s="1"/>
      <c r="K37" s="1"/>
      <c r="L37" s="1"/>
      <c r="M37" s="1"/>
    </row>
    <row r="38" spans="1:13" ht="23" customHeight="1">
      <c r="A38" s="1"/>
      <c r="B38" s="1"/>
      <c r="C38" s="1"/>
      <c r="D38" s="1"/>
      <c r="E38" s="1"/>
      <c r="F38" s="1"/>
      <c r="G38" s="1"/>
      <c r="H38" s="1"/>
      <c r="I38" s="1"/>
      <c r="J38" s="1"/>
      <c r="K38" s="1"/>
      <c r="L38" s="1"/>
      <c r="M38" s="1"/>
    </row>
    <row r="39" spans="1:13" ht="23" customHeight="1">
      <c r="A39" s="1"/>
      <c r="B39" s="1"/>
      <c r="C39" s="1"/>
      <c r="D39" s="1"/>
      <c r="E39" s="1"/>
      <c r="F39" s="1"/>
      <c r="G39" s="1"/>
      <c r="H39" s="1"/>
      <c r="I39" s="1"/>
      <c r="J39" s="1"/>
      <c r="K39" s="1"/>
      <c r="L39" s="1"/>
      <c r="M39" s="1"/>
    </row>
    <row r="40" spans="1:13" ht="23" customHeight="1">
      <c r="A40" s="1"/>
      <c r="B40" s="1"/>
      <c r="C40" s="1"/>
      <c r="D40" s="1"/>
      <c r="E40" s="1"/>
      <c r="F40" s="1"/>
      <c r="G40" s="1"/>
      <c r="H40" s="1"/>
      <c r="I40" s="1"/>
      <c r="J40" s="1"/>
      <c r="K40" s="1"/>
      <c r="L40" s="1"/>
      <c r="M40" s="1"/>
    </row>
    <row r="41" spans="1:13" ht="23" customHeight="1">
      <c r="A41" s="1"/>
      <c r="B41" s="1"/>
      <c r="C41" s="1"/>
      <c r="D41" s="1"/>
      <c r="E41" s="1"/>
      <c r="F41" s="1"/>
      <c r="G41" s="1"/>
      <c r="H41" s="1"/>
      <c r="I41" s="1"/>
      <c r="J41" s="1"/>
      <c r="K41" s="1"/>
      <c r="L41" s="1"/>
      <c r="M41" s="1"/>
    </row>
    <row r="42" spans="1:13" ht="23" customHeight="1">
      <c r="A42" s="1"/>
      <c r="B42" s="1"/>
      <c r="C42" s="1"/>
      <c r="D42" s="1"/>
      <c r="E42" s="1"/>
      <c r="F42" s="1"/>
      <c r="G42" s="1"/>
      <c r="H42" s="1"/>
      <c r="I42" s="1"/>
      <c r="J42" s="1"/>
      <c r="K42" s="1"/>
      <c r="L42" s="1"/>
      <c r="M42" s="1"/>
    </row>
    <row r="43" spans="1:13" ht="23" customHeight="1">
      <c r="A43" s="1"/>
      <c r="B43" s="1"/>
      <c r="C43" s="1"/>
      <c r="D43" s="1"/>
      <c r="E43" s="1"/>
      <c r="F43" s="1"/>
      <c r="G43" s="1"/>
      <c r="H43" s="1"/>
      <c r="I43" s="1"/>
      <c r="J43" s="1"/>
      <c r="K43" s="1"/>
      <c r="L43" s="1"/>
      <c r="M43" s="1"/>
    </row>
    <row r="44" spans="1:13" ht="23" customHeight="1">
      <c r="A44" s="1"/>
      <c r="B44" s="1"/>
      <c r="C44" s="1"/>
      <c r="D44" s="1"/>
      <c r="E44" s="1"/>
      <c r="F44" s="1"/>
      <c r="G44" s="1"/>
      <c r="H44" s="1"/>
      <c r="I44" s="1"/>
      <c r="J44" s="1"/>
      <c r="K44" s="1"/>
      <c r="L44" s="1"/>
      <c r="M44" s="1"/>
    </row>
    <row r="45" spans="1:13" ht="23" customHeight="1">
      <c r="A45" s="1"/>
      <c r="B45" s="1"/>
      <c r="C45" s="1"/>
      <c r="D45" s="1"/>
      <c r="E45" s="1"/>
      <c r="F45" s="1"/>
      <c r="G45" s="1"/>
      <c r="H45" s="1"/>
      <c r="I45" s="1"/>
      <c r="J45" s="1"/>
      <c r="K45" s="1"/>
      <c r="L45" s="1"/>
      <c r="M45" s="1"/>
    </row>
    <row r="46" spans="1:13" ht="23" customHeight="1">
      <c r="A46" s="1"/>
      <c r="B46" s="1"/>
      <c r="C46" s="1"/>
      <c r="D46" s="1"/>
      <c r="E46" s="1"/>
      <c r="F46" s="1"/>
      <c r="G46" s="1"/>
      <c r="H46" s="1"/>
      <c r="I46" s="1"/>
      <c r="J46" s="1"/>
      <c r="K46" s="1"/>
      <c r="L46" s="1"/>
      <c r="M46" s="1"/>
    </row>
    <row r="47" spans="1:13" ht="23" customHeight="1">
      <c r="A47" s="1"/>
      <c r="B47" s="1"/>
      <c r="C47" s="1"/>
      <c r="D47" s="1"/>
      <c r="E47" s="1"/>
      <c r="F47" s="1"/>
      <c r="G47" s="1"/>
      <c r="H47" s="1"/>
      <c r="I47" s="1"/>
      <c r="J47" s="1"/>
      <c r="K47" s="1"/>
      <c r="L47" s="1"/>
      <c r="M47" s="1"/>
    </row>
    <row r="48" spans="1:13" ht="23" customHeight="1">
      <c r="A48" s="1"/>
      <c r="B48" s="1"/>
      <c r="C48" s="1"/>
      <c r="D48" s="1"/>
      <c r="E48" s="1"/>
      <c r="F48" s="1"/>
      <c r="G48" s="1"/>
      <c r="H48" s="1"/>
      <c r="I48" s="1"/>
      <c r="J48" s="1"/>
      <c r="K48" s="1"/>
      <c r="L48" s="1"/>
      <c r="M48" s="1"/>
    </row>
    <row r="49" spans="1:13" ht="23" customHeight="1">
      <c r="A49" s="1"/>
      <c r="B49" s="1"/>
      <c r="C49" s="1"/>
      <c r="D49" s="1"/>
      <c r="E49" s="1"/>
      <c r="F49" s="1"/>
      <c r="G49" s="1"/>
      <c r="H49" s="1"/>
      <c r="I49" s="1"/>
      <c r="J49" s="1"/>
      <c r="K49" s="1"/>
      <c r="L49" s="1"/>
      <c r="M49" s="1"/>
    </row>
    <row r="50" spans="1:13" ht="23" customHeight="1">
      <c r="A50" s="1"/>
      <c r="B50" s="1"/>
      <c r="C50" s="1"/>
      <c r="D50" s="1"/>
      <c r="E50" s="1"/>
      <c r="F50" s="1"/>
      <c r="G50" s="1"/>
      <c r="H50" s="1"/>
      <c r="I50" s="1"/>
      <c r="J50" s="1"/>
      <c r="K50" s="1"/>
      <c r="L50" s="1"/>
      <c r="M50" s="1"/>
    </row>
  </sheetData>
  <conditionalFormatting sqref="D2:D10">
    <cfRule type="containsText" dxfId="2" priority="1" operator="containsText" text="PASS"/>
    <cfRule type="containsText" dxfId="1" priority="2" operator="containsText" text="FAIL"/>
    <cfRule type="containsText" dxfId="0" priority="3" operator="containsText" text="INFO"/>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AA3AA"/>
  </sheetPr>
  <dimension ref="A1:Q2001"/>
  <sheetViews>
    <sheetView showGridLines="0" workbookViewId="0">
      <pane ySplit="1" topLeftCell="A2" activePane="bottomLeft" state="frozen"/>
      <selection pane="bottomLeft"/>
    </sheetView>
  </sheetViews>
  <sheetFormatPr defaultRowHeight="14"/>
  <cols>
    <col min="1" max="6" width="19" customWidth="1"/>
    <col min="7" max="7" width="30" customWidth="1"/>
    <col min="8" max="17" width="19" customWidth="1"/>
  </cols>
  <sheetData>
    <row r="1" spans="1:17" ht="21" customHeight="1">
      <c r="A1" s="2" t="s">
        <v>74</v>
      </c>
      <c r="B1" s="2" t="s">
        <v>75</v>
      </c>
      <c r="C1" s="2" t="s">
        <v>76</v>
      </c>
      <c r="D1" s="2" t="s">
        <v>77</v>
      </c>
      <c r="E1" s="2" t="s">
        <v>78</v>
      </c>
      <c r="F1" s="2" t="s">
        <v>79</v>
      </c>
      <c r="G1" s="2" t="s">
        <v>80</v>
      </c>
      <c r="H1" s="2" t="s">
        <v>81</v>
      </c>
      <c r="I1" s="2" t="s">
        <v>82</v>
      </c>
      <c r="J1" s="2" t="s">
        <v>83</v>
      </c>
      <c r="K1" s="2" t="s">
        <v>84</v>
      </c>
      <c r="L1" s="2" t="s">
        <v>85</v>
      </c>
      <c r="M1" s="2" t="s">
        <v>86</v>
      </c>
      <c r="N1" s="3" t="s">
        <v>14</v>
      </c>
      <c r="O1" s="3" t="s">
        <v>48</v>
      </c>
      <c r="P1" s="3" t="s">
        <v>8</v>
      </c>
      <c r="Q1" s="3" t="s">
        <v>87</v>
      </c>
    </row>
    <row r="2" spans="1:17" ht="21" customHeight="1">
      <c r="A2" s="2" t="s">
        <v>88</v>
      </c>
      <c r="B2" s="4">
        <v>45292</v>
      </c>
      <c r="C2" s="2" t="s">
        <v>89</v>
      </c>
      <c r="D2" s="2" t="s">
        <v>47</v>
      </c>
      <c r="E2" s="2" t="s">
        <v>42</v>
      </c>
      <c r="F2" s="2" t="s">
        <v>90</v>
      </c>
      <c r="G2" s="2" t="s">
        <v>91</v>
      </c>
      <c r="H2" s="2">
        <v>1</v>
      </c>
      <c r="I2" s="6">
        <v>1234.3699999999999</v>
      </c>
      <c r="J2" s="8">
        <v>0.1</v>
      </c>
      <c r="K2" s="6">
        <v>1110.93</v>
      </c>
      <c r="L2" s="6">
        <v>498.1</v>
      </c>
      <c r="M2" s="2" t="s">
        <v>56</v>
      </c>
      <c r="N2" s="3" t="str">
        <f t="shared" ref="N2:N65" si="0">TEXT(B2,"yyyy-mm")</f>
        <v>2024-01</v>
      </c>
      <c r="O2" s="3" t="str">
        <f t="shared" ref="O2:O65" si="1">IF(J2=0,"No discount",IF(J2&lt;=0.1,"1-10%",IF(J2&lt;=0.15,"11-15%",IF(J2&lt;=0.2,"16-20%","21%+"))))</f>
        <v>1-10%</v>
      </c>
      <c r="P2" s="9">
        <f t="shared" ref="P2:P65" si="2">IF(K2=0,0,L2/K2)</f>
        <v>0.44836308318255874</v>
      </c>
      <c r="Q2" s="3" t="str">
        <f t="shared" ref="Q2:Q65" si="3">IF(L2&lt;0,"Yes","No")</f>
        <v>No</v>
      </c>
    </row>
    <row r="3" spans="1:17" ht="21" customHeight="1">
      <c r="A3" s="2" t="s">
        <v>92</v>
      </c>
      <c r="B3" s="4">
        <v>45292</v>
      </c>
      <c r="C3" s="2" t="s">
        <v>93</v>
      </c>
      <c r="D3" s="2" t="s">
        <v>46</v>
      </c>
      <c r="E3" s="2" t="s">
        <v>38</v>
      </c>
      <c r="F3" s="2" t="s">
        <v>94</v>
      </c>
      <c r="G3" s="2" t="s">
        <v>95</v>
      </c>
      <c r="H3" s="2">
        <v>1</v>
      </c>
      <c r="I3" s="6">
        <v>80111.490000000005</v>
      </c>
      <c r="J3" s="8">
        <v>0.1</v>
      </c>
      <c r="K3" s="6">
        <v>72100.34</v>
      </c>
      <c r="L3" s="6">
        <v>5701.57</v>
      </c>
      <c r="M3" s="2" t="s">
        <v>60</v>
      </c>
      <c r="N3" s="3" t="str">
        <f t="shared" si="0"/>
        <v>2024-01</v>
      </c>
      <c r="O3" s="3" t="str">
        <f t="shared" si="1"/>
        <v>1-10%</v>
      </c>
      <c r="P3" s="9">
        <f t="shared" si="2"/>
        <v>7.9078267869471905E-2</v>
      </c>
      <c r="Q3" s="3" t="str">
        <f t="shared" si="3"/>
        <v>No</v>
      </c>
    </row>
    <row r="4" spans="1:17" ht="21" customHeight="1">
      <c r="A4" s="2" t="s">
        <v>96</v>
      </c>
      <c r="B4" s="4">
        <v>45293</v>
      </c>
      <c r="C4" s="2" t="s">
        <v>97</v>
      </c>
      <c r="D4" s="2" t="s">
        <v>46</v>
      </c>
      <c r="E4" s="2" t="s">
        <v>38</v>
      </c>
      <c r="F4" s="2" t="s">
        <v>98</v>
      </c>
      <c r="G4" s="2" t="s">
        <v>99</v>
      </c>
      <c r="H4" s="2">
        <v>1</v>
      </c>
      <c r="I4" s="6">
        <v>24219.42</v>
      </c>
      <c r="J4" s="8">
        <v>0.1</v>
      </c>
      <c r="K4" s="6">
        <v>21797.48</v>
      </c>
      <c r="L4" s="6">
        <v>2187.61</v>
      </c>
      <c r="M4" s="2" t="s">
        <v>56</v>
      </c>
      <c r="N4" s="3" t="str">
        <f t="shared" si="0"/>
        <v>2024-01</v>
      </c>
      <c r="O4" s="3" t="str">
        <f t="shared" si="1"/>
        <v>1-10%</v>
      </c>
      <c r="P4" s="9">
        <f t="shared" si="2"/>
        <v>0.10036068389556958</v>
      </c>
      <c r="Q4" s="3" t="str">
        <f t="shared" si="3"/>
        <v>No</v>
      </c>
    </row>
    <row r="5" spans="1:17" ht="21" customHeight="1">
      <c r="A5" s="2" t="s">
        <v>100</v>
      </c>
      <c r="B5" s="4">
        <v>45293</v>
      </c>
      <c r="C5" s="2" t="s">
        <v>101</v>
      </c>
      <c r="D5" s="2" t="s">
        <v>44</v>
      </c>
      <c r="E5" s="2" t="s">
        <v>40</v>
      </c>
      <c r="F5" s="2" t="s">
        <v>102</v>
      </c>
      <c r="G5" s="2" t="s">
        <v>103</v>
      </c>
      <c r="H5" s="2">
        <v>1</v>
      </c>
      <c r="I5" s="6">
        <v>6807.91</v>
      </c>
      <c r="J5" s="8">
        <v>0</v>
      </c>
      <c r="K5" s="6">
        <v>6807.91</v>
      </c>
      <c r="L5" s="6">
        <v>2498.96</v>
      </c>
      <c r="M5" s="2" t="s">
        <v>57</v>
      </c>
      <c r="N5" s="3" t="str">
        <f t="shared" si="0"/>
        <v>2024-01</v>
      </c>
      <c r="O5" s="3" t="str">
        <f t="shared" si="1"/>
        <v>No discount</v>
      </c>
      <c r="P5" s="9">
        <f t="shared" si="2"/>
        <v>0.36706713220356912</v>
      </c>
      <c r="Q5" s="3" t="str">
        <f t="shared" si="3"/>
        <v>No</v>
      </c>
    </row>
    <row r="6" spans="1:17" ht="21" customHeight="1">
      <c r="A6" s="2" t="s">
        <v>104</v>
      </c>
      <c r="B6" s="4">
        <v>45294</v>
      </c>
      <c r="C6" s="2" t="s">
        <v>105</v>
      </c>
      <c r="D6" s="2" t="s">
        <v>44</v>
      </c>
      <c r="E6" s="2" t="s">
        <v>42</v>
      </c>
      <c r="F6" s="2" t="s">
        <v>90</v>
      </c>
      <c r="G6" s="2" t="s">
        <v>106</v>
      </c>
      <c r="H6" s="2">
        <v>1</v>
      </c>
      <c r="I6" s="6">
        <v>924.01</v>
      </c>
      <c r="J6" s="8">
        <v>0.1</v>
      </c>
      <c r="K6" s="6">
        <v>831.61</v>
      </c>
      <c r="L6" s="6">
        <v>394.97</v>
      </c>
      <c r="M6" s="2" t="s">
        <v>56</v>
      </c>
      <c r="N6" s="3" t="str">
        <f t="shared" si="0"/>
        <v>2024-01</v>
      </c>
      <c r="O6" s="3" t="str">
        <f t="shared" si="1"/>
        <v>1-10%</v>
      </c>
      <c r="P6" s="9">
        <f t="shared" si="2"/>
        <v>0.47494618871826938</v>
      </c>
      <c r="Q6" s="3" t="str">
        <f t="shared" si="3"/>
        <v>No</v>
      </c>
    </row>
    <row r="7" spans="1:17" ht="21" customHeight="1">
      <c r="A7" s="2" t="s">
        <v>107</v>
      </c>
      <c r="B7" s="4">
        <v>45295</v>
      </c>
      <c r="C7" s="2" t="s">
        <v>108</v>
      </c>
      <c r="D7" s="2" t="s">
        <v>45</v>
      </c>
      <c r="E7" s="2" t="s">
        <v>39</v>
      </c>
      <c r="F7" s="2" t="s">
        <v>109</v>
      </c>
      <c r="G7" s="2" t="s">
        <v>110</v>
      </c>
      <c r="H7" s="2">
        <v>1</v>
      </c>
      <c r="I7" s="6">
        <v>2908.04</v>
      </c>
      <c r="J7" s="8">
        <v>0.05</v>
      </c>
      <c r="K7" s="6">
        <v>2762.64</v>
      </c>
      <c r="L7" s="6">
        <v>926.6</v>
      </c>
      <c r="M7" s="2" t="s">
        <v>57</v>
      </c>
      <c r="N7" s="3" t="str">
        <f t="shared" si="0"/>
        <v>2024-01</v>
      </c>
      <c r="O7" s="3" t="str">
        <f t="shared" si="1"/>
        <v>1-10%</v>
      </c>
      <c r="P7" s="9">
        <f t="shared" si="2"/>
        <v>0.33540381663915675</v>
      </c>
      <c r="Q7" s="3" t="str">
        <f t="shared" si="3"/>
        <v>No</v>
      </c>
    </row>
    <row r="8" spans="1:17" ht="21" customHeight="1">
      <c r="A8" s="2" t="s">
        <v>111</v>
      </c>
      <c r="B8" s="4">
        <v>45296</v>
      </c>
      <c r="C8" s="2" t="s">
        <v>112</v>
      </c>
      <c r="D8" s="2" t="s">
        <v>46</v>
      </c>
      <c r="E8" s="2" t="s">
        <v>41</v>
      </c>
      <c r="F8" s="2" t="s">
        <v>113</v>
      </c>
      <c r="G8" s="2" t="s">
        <v>114</v>
      </c>
      <c r="H8" s="2">
        <v>4</v>
      </c>
      <c r="I8" s="6">
        <v>12379.05</v>
      </c>
      <c r="J8" s="8">
        <v>0.2</v>
      </c>
      <c r="K8" s="6">
        <v>39612.959999999999</v>
      </c>
      <c r="L8" s="6">
        <v>6475.71</v>
      </c>
      <c r="M8" s="2" t="s">
        <v>56</v>
      </c>
      <c r="N8" s="3" t="str">
        <f t="shared" si="0"/>
        <v>2024-01</v>
      </c>
      <c r="O8" s="3" t="str">
        <f t="shared" si="1"/>
        <v>16-20%</v>
      </c>
      <c r="P8" s="9">
        <f t="shared" si="2"/>
        <v>0.16347452954790553</v>
      </c>
      <c r="Q8" s="3" t="str">
        <f t="shared" si="3"/>
        <v>No</v>
      </c>
    </row>
    <row r="9" spans="1:17" ht="21" customHeight="1">
      <c r="A9" s="2" t="s">
        <v>115</v>
      </c>
      <c r="B9" s="4">
        <v>45296</v>
      </c>
      <c r="C9" s="2" t="s">
        <v>116</v>
      </c>
      <c r="D9" s="2" t="s">
        <v>44</v>
      </c>
      <c r="E9" s="2" t="s">
        <v>38</v>
      </c>
      <c r="F9" s="2" t="s">
        <v>94</v>
      </c>
      <c r="G9" s="2" t="s">
        <v>95</v>
      </c>
      <c r="H9" s="2">
        <v>1</v>
      </c>
      <c r="I9" s="6">
        <v>80903.62</v>
      </c>
      <c r="J9" s="8">
        <v>0.05</v>
      </c>
      <c r="K9" s="6">
        <v>76858.44</v>
      </c>
      <c r="L9" s="6">
        <v>7182.52</v>
      </c>
      <c r="M9" s="2" t="s">
        <v>60</v>
      </c>
      <c r="N9" s="3" t="str">
        <f t="shared" si="0"/>
        <v>2024-01</v>
      </c>
      <c r="O9" s="3" t="str">
        <f t="shared" si="1"/>
        <v>1-10%</v>
      </c>
      <c r="P9" s="9">
        <f t="shared" si="2"/>
        <v>9.3451285245966478E-2</v>
      </c>
      <c r="Q9" s="3" t="str">
        <f t="shared" si="3"/>
        <v>No</v>
      </c>
    </row>
    <row r="10" spans="1:17" ht="21" customHeight="1">
      <c r="A10" s="2" t="s">
        <v>117</v>
      </c>
      <c r="B10" s="4">
        <v>45297</v>
      </c>
      <c r="C10" s="2" t="s">
        <v>118</v>
      </c>
      <c r="D10" s="2" t="s">
        <v>45</v>
      </c>
      <c r="E10" s="2" t="s">
        <v>41</v>
      </c>
      <c r="F10" s="2" t="s">
        <v>119</v>
      </c>
      <c r="G10" s="2" t="s">
        <v>120</v>
      </c>
      <c r="H10" s="2">
        <v>3</v>
      </c>
      <c r="I10" s="6">
        <v>1307.21</v>
      </c>
      <c r="J10" s="8">
        <v>0.05</v>
      </c>
      <c r="K10" s="6">
        <v>3725.55</v>
      </c>
      <c r="L10" s="6">
        <v>1285.69</v>
      </c>
      <c r="M10" s="2" t="s">
        <v>56</v>
      </c>
      <c r="N10" s="3" t="str">
        <f t="shared" si="0"/>
        <v>2024-01</v>
      </c>
      <c r="O10" s="3" t="str">
        <f t="shared" si="1"/>
        <v>1-10%</v>
      </c>
      <c r="P10" s="9">
        <f t="shared" si="2"/>
        <v>0.34510072338312464</v>
      </c>
      <c r="Q10" s="3" t="str">
        <f t="shared" si="3"/>
        <v>No</v>
      </c>
    </row>
    <row r="11" spans="1:17" ht="21" customHeight="1">
      <c r="A11" s="2" t="s">
        <v>121</v>
      </c>
      <c r="B11" s="4">
        <v>45297</v>
      </c>
      <c r="C11" s="2" t="s">
        <v>122</v>
      </c>
      <c r="D11" s="2" t="s">
        <v>45</v>
      </c>
      <c r="E11" s="2" t="s">
        <v>41</v>
      </c>
      <c r="F11" s="2" t="s">
        <v>113</v>
      </c>
      <c r="G11" s="2" t="s">
        <v>123</v>
      </c>
      <c r="H11" s="2">
        <v>2</v>
      </c>
      <c r="I11" s="6">
        <v>3333.3</v>
      </c>
      <c r="J11" s="8">
        <v>0.2</v>
      </c>
      <c r="K11" s="6">
        <v>5333.28</v>
      </c>
      <c r="L11" s="6">
        <v>623.79</v>
      </c>
      <c r="M11" s="2" t="s">
        <v>59</v>
      </c>
      <c r="N11" s="3" t="str">
        <f t="shared" si="0"/>
        <v>2024-01</v>
      </c>
      <c r="O11" s="3" t="str">
        <f t="shared" si="1"/>
        <v>16-20%</v>
      </c>
      <c r="P11" s="9">
        <f t="shared" si="2"/>
        <v>0.11696179461794617</v>
      </c>
      <c r="Q11" s="3" t="str">
        <f t="shared" si="3"/>
        <v>No</v>
      </c>
    </row>
    <row r="12" spans="1:17" ht="21" customHeight="1">
      <c r="A12" s="2" t="s">
        <v>124</v>
      </c>
      <c r="B12" s="4">
        <v>45298</v>
      </c>
      <c r="C12" s="2" t="s">
        <v>125</v>
      </c>
      <c r="D12" s="2" t="s">
        <v>47</v>
      </c>
      <c r="E12" s="2" t="s">
        <v>42</v>
      </c>
      <c r="F12" s="2" t="s">
        <v>126</v>
      </c>
      <c r="G12" s="2" t="s">
        <v>127</v>
      </c>
      <c r="H12" s="2">
        <v>2</v>
      </c>
      <c r="I12" s="6">
        <v>1036.74</v>
      </c>
      <c r="J12" s="8">
        <v>0.2</v>
      </c>
      <c r="K12" s="6">
        <v>1658.78</v>
      </c>
      <c r="L12" s="6">
        <v>471.56</v>
      </c>
      <c r="M12" s="2" t="s">
        <v>56</v>
      </c>
      <c r="N12" s="3" t="str">
        <f t="shared" si="0"/>
        <v>2024-01</v>
      </c>
      <c r="O12" s="3" t="str">
        <f t="shared" si="1"/>
        <v>16-20%</v>
      </c>
      <c r="P12" s="9">
        <f t="shared" si="2"/>
        <v>0.28428121872701623</v>
      </c>
      <c r="Q12" s="3" t="str">
        <f t="shared" si="3"/>
        <v>No</v>
      </c>
    </row>
    <row r="13" spans="1:17" ht="21" customHeight="1">
      <c r="A13" s="2" t="s">
        <v>128</v>
      </c>
      <c r="B13" s="4">
        <v>45298</v>
      </c>
      <c r="C13" s="2" t="s">
        <v>129</v>
      </c>
      <c r="D13" s="2" t="s">
        <v>46</v>
      </c>
      <c r="E13" s="2" t="s">
        <v>39</v>
      </c>
      <c r="F13" s="2" t="s">
        <v>130</v>
      </c>
      <c r="G13" s="2" t="s">
        <v>131</v>
      </c>
      <c r="H13" s="2">
        <v>2</v>
      </c>
      <c r="I13" s="6">
        <v>2226.69</v>
      </c>
      <c r="J13" s="8">
        <v>0.05</v>
      </c>
      <c r="K13" s="6">
        <v>4230.71</v>
      </c>
      <c r="L13" s="6">
        <v>1402.13</v>
      </c>
      <c r="M13" s="2" t="s">
        <v>56</v>
      </c>
      <c r="N13" s="3" t="str">
        <f t="shared" si="0"/>
        <v>2024-01</v>
      </c>
      <c r="O13" s="3" t="str">
        <f t="shared" si="1"/>
        <v>1-10%</v>
      </c>
      <c r="P13" s="9">
        <f t="shared" si="2"/>
        <v>0.33141718529513958</v>
      </c>
      <c r="Q13" s="3" t="str">
        <f t="shared" si="3"/>
        <v>No</v>
      </c>
    </row>
    <row r="14" spans="1:17" ht="21" customHeight="1">
      <c r="A14" s="2" t="s">
        <v>132</v>
      </c>
      <c r="B14" s="4">
        <v>45298</v>
      </c>
      <c r="C14" s="2" t="s">
        <v>133</v>
      </c>
      <c r="D14" s="2" t="s">
        <v>45</v>
      </c>
      <c r="E14" s="2" t="s">
        <v>39</v>
      </c>
      <c r="F14" s="2" t="s">
        <v>130</v>
      </c>
      <c r="G14" s="2" t="s">
        <v>131</v>
      </c>
      <c r="H14" s="2">
        <v>2</v>
      </c>
      <c r="I14" s="6">
        <v>2115.88</v>
      </c>
      <c r="J14" s="8">
        <v>0.25</v>
      </c>
      <c r="K14" s="6">
        <v>3173.82</v>
      </c>
      <c r="L14" s="6">
        <v>443.82</v>
      </c>
      <c r="M14" s="2" t="s">
        <v>56</v>
      </c>
      <c r="N14" s="3" t="str">
        <f t="shared" si="0"/>
        <v>2024-01</v>
      </c>
      <c r="O14" s="3" t="str">
        <f t="shared" si="1"/>
        <v>21%+</v>
      </c>
      <c r="P14" s="9">
        <f t="shared" si="2"/>
        <v>0.13983779798476284</v>
      </c>
      <c r="Q14" s="3" t="str">
        <f t="shared" si="3"/>
        <v>No</v>
      </c>
    </row>
    <row r="15" spans="1:17" ht="21" customHeight="1">
      <c r="A15" s="2" t="s">
        <v>134</v>
      </c>
      <c r="B15" s="4">
        <v>45298</v>
      </c>
      <c r="C15" s="2" t="s">
        <v>135</v>
      </c>
      <c r="D15" s="2" t="s">
        <v>45</v>
      </c>
      <c r="E15" s="2" t="s">
        <v>38</v>
      </c>
      <c r="F15" s="2" t="s">
        <v>94</v>
      </c>
      <c r="G15" s="2" t="s">
        <v>95</v>
      </c>
      <c r="H15" s="2">
        <v>2</v>
      </c>
      <c r="I15" s="6">
        <v>75503.570000000007</v>
      </c>
      <c r="J15" s="8">
        <v>0</v>
      </c>
      <c r="K15" s="6">
        <v>151007.14000000001</v>
      </c>
      <c r="L15" s="6">
        <v>25183.27</v>
      </c>
      <c r="M15" s="2" t="s">
        <v>56</v>
      </c>
      <c r="N15" s="3" t="str">
        <f t="shared" si="0"/>
        <v>2024-01</v>
      </c>
      <c r="O15" s="3" t="str">
        <f t="shared" si="1"/>
        <v>No discount</v>
      </c>
      <c r="P15" s="9">
        <f t="shared" si="2"/>
        <v>0.16676873689548719</v>
      </c>
      <c r="Q15" s="3" t="str">
        <f t="shared" si="3"/>
        <v>No</v>
      </c>
    </row>
    <row r="16" spans="1:17" ht="21" customHeight="1">
      <c r="A16" s="2" t="s">
        <v>136</v>
      </c>
      <c r="B16" s="4">
        <v>45298</v>
      </c>
      <c r="C16" s="2" t="s">
        <v>137</v>
      </c>
      <c r="D16" s="2" t="s">
        <v>44</v>
      </c>
      <c r="E16" s="2" t="s">
        <v>41</v>
      </c>
      <c r="F16" s="2" t="s">
        <v>113</v>
      </c>
      <c r="G16" s="2" t="s">
        <v>114</v>
      </c>
      <c r="H16" s="2">
        <v>1</v>
      </c>
      <c r="I16" s="6">
        <v>12085.24</v>
      </c>
      <c r="J16" s="8">
        <v>0.1</v>
      </c>
      <c r="K16" s="6">
        <v>10876.72</v>
      </c>
      <c r="L16" s="6">
        <v>3298.41</v>
      </c>
      <c r="M16" s="2" t="s">
        <v>58</v>
      </c>
      <c r="N16" s="3" t="str">
        <f t="shared" si="0"/>
        <v>2024-01</v>
      </c>
      <c r="O16" s="3" t="str">
        <f t="shared" si="1"/>
        <v>1-10%</v>
      </c>
      <c r="P16" s="9">
        <f t="shared" si="2"/>
        <v>0.30325410601725522</v>
      </c>
      <c r="Q16" s="3" t="str">
        <f t="shared" si="3"/>
        <v>No</v>
      </c>
    </row>
    <row r="17" spans="1:17" ht="21" customHeight="1">
      <c r="A17" s="2" t="s">
        <v>138</v>
      </c>
      <c r="B17" s="4">
        <v>45298</v>
      </c>
      <c r="C17" s="2" t="s">
        <v>139</v>
      </c>
      <c r="D17" s="2" t="s">
        <v>45</v>
      </c>
      <c r="E17" s="2" t="s">
        <v>41</v>
      </c>
      <c r="F17" s="2" t="s">
        <v>113</v>
      </c>
      <c r="G17" s="2" t="s">
        <v>123</v>
      </c>
      <c r="H17" s="2">
        <v>1</v>
      </c>
      <c r="I17" s="6">
        <v>3426.47</v>
      </c>
      <c r="J17" s="8">
        <v>0.15</v>
      </c>
      <c r="K17" s="6">
        <v>2912.5</v>
      </c>
      <c r="L17" s="6">
        <v>602.80999999999995</v>
      </c>
      <c r="M17" s="2" t="s">
        <v>59</v>
      </c>
      <c r="N17" s="3" t="str">
        <f t="shared" si="0"/>
        <v>2024-01</v>
      </c>
      <c r="O17" s="3" t="str">
        <f t="shared" si="1"/>
        <v>11-15%</v>
      </c>
      <c r="P17" s="9">
        <f t="shared" si="2"/>
        <v>0.2069733905579399</v>
      </c>
      <c r="Q17" s="3" t="str">
        <f t="shared" si="3"/>
        <v>No</v>
      </c>
    </row>
    <row r="18" spans="1:17" ht="21" customHeight="1">
      <c r="A18" s="2" t="s">
        <v>140</v>
      </c>
      <c r="B18" s="4">
        <v>45299</v>
      </c>
      <c r="C18" s="2" t="s">
        <v>141</v>
      </c>
      <c r="D18" s="2" t="s">
        <v>44</v>
      </c>
      <c r="E18" s="2" t="s">
        <v>38</v>
      </c>
      <c r="F18" s="2" t="s">
        <v>142</v>
      </c>
      <c r="G18" s="2" t="s">
        <v>143</v>
      </c>
      <c r="H18" s="2">
        <v>4</v>
      </c>
      <c r="I18" s="6">
        <v>8557.27</v>
      </c>
      <c r="J18" s="8">
        <v>0.05</v>
      </c>
      <c r="K18" s="6">
        <v>32517.63</v>
      </c>
      <c r="L18" s="6">
        <v>3802.44</v>
      </c>
      <c r="M18" s="2" t="s">
        <v>56</v>
      </c>
      <c r="N18" s="3" t="str">
        <f t="shared" si="0"/>
        <v>2024-01</v>
      </c>
      <c r="O18" s="3" t="str">
        <f t="shared" si="1"/>
        <v>1-10%</v>
      </c>
      <c r="P18" s="9">
        <f t="shared" si="2"/>
        <v>0.116934721257361</v>
      </c>
      <c r="Q18" s="3" t="str">
        <f t="shared" si="3"/>
        <v>No</v>
      </c>
    </row>
    <row r="19" spans="1:17" ht="21" customHeight="1">
      <c r="A19" s="2" t="s">
        <v>144</v>
      </c>
      <c r="B19" s="4">
        <v>45299</v>
      </c>
      <c r="C19" s="2" t="s">
        <v>145</v>
      </c>
      <c r="D19" s="2" t="s">
        <v>45</v>
      </c>
      <c r="E19" s="2" t="s">
        <v>40</v>
      </c>
      <c r="F19" s="2" t="s">
        <v>102</v>
      </c>
      <c r="G19" s="2" t="s">
        <v>146</v>
      </c>
      <c r="H19" s="2">
        <v>1</v>
      </c>
      <c r="I19" s="6">
        <v>8013.29</v>
      </c>
      <c r="J19" s="8">
        <v>0</v>
      </c>
      <c r="K19" s="6">
        <v>8013.29</v>
      </c>
      <c r="L19" s="6">
        <v>2928.63</v>
      </c>
      <c r="M19" s="2" t="s">
        <v>60</v>
      </c>
      <c r="N19" s="3" t="str">
        <f t="shared" si="0"/>
        <v>2024-01</v>
      </c>
      <c r="O19" s="3" t="str">
        <f t="shared" si="1"/>
        <v>No discount</v>
      </c>
      <c r="P19" s="9">
        <f t="shared" si="2"/>
        <v>0.36547161028741004</v>
      </c>
      <c r="Q19" s="3" t="str">
        <f t="shared" si="3"/>
        <v>No</v>
      </c>
    </row>
    <row r="20" spans="1:17" ht="21" customHeight="1">
      <c r="A20" s="2" t="s">
        <v>147</v>
      </c>
      <c r="B20" s="4">
        <v>45300</v>
      </c>
      <c r="C20" s="2" t="s">
        <v>148</v>
      </c>
      <c r="D20" s="2" t="s">
        <v>45</v>
      </c>
      <c r="E20" s="2" t="s">
        <v>42</v>
      </c>
      <c r="F20" s="2" t="s">
        <v>90</v>
      </c>
      <c r="G20" s="2" t="s">
        <v>91</v>
      </c>
      <c r="H20" s="2">
        <v>2</v>
      </c>
      <c r="I20" s="6">
        <v>1236.5</v>
      </c>
      <c r="J20" s="8">
        <v>0.05</v>
      </c>
      <c r="K20" s="6">
        <v>2349.35</v>
      </c>
      <c r="L20" s="6">
        <v>1218.5999999999999</v>
      </c>
      <c r="M20" s="2" t="s">
        <v>56</v>
      </c>
      <c r="N20" s="3" t="str">
        <f t="shared" si="0"/>
        <v>2024-01</v>
      </c>
      <c r="O20" s="3" t="str">
        <f t="shared" si="1"/>
        <v>1-10%</v>
      </c>
      <c r="P20" s="9">
        <f t="shared" si="2"/>
        <v>0.51869666077851317</v>
      </c>
      <c r="Q20" s="3" t="str">
        <f t="shared" si="3"/>
        <v>No</v>
      </c>
    </row>
    <row r="21" spans="1:17" ht="21" customHeight="1">
      <c r="A21" s="2" t="s">
        <v>149</v>
      </c>
      <c r="B21" s="4">
        <v>45300</v>
      </c>
      <c r="C21" s="2" t="s">
        <v>150</v>
      </c>
      <c r="D21" s="2" t="s">
        <v>46</v>
      </c>
      <c r="E21" s="2" t="s">
        <v>42</v>
      </c>
      <c r="F21" s="2" t="s">
        <v>126</v>
      </c>
      <c r="G21" s="2" t="s">
        <v>151</v>
      </c>
      <c r="H21" s="2">
        <v>2</v>
      </c>
      <c r="I21" s="6">
        <v>1445.88</v>
      </c>
      <c r="J21" s="8">
        <v>0.1</v>
      </c>
      <c r="K21" s="6">
        <v>2602.58</v>
      </c>
      <c r="L21" s="6">
        <v>1125.78</v>
      </c>
      <c r="M21" s="2" t="s">
        <v>56</v>
      </c>
      <c r="N21" s="3" t="str">
        <f t="shared" si="0"/>
        <v>2024-01</v>
      </c>
      <c r="O21" s="3" t="str">
        <f t="shared" si="1"/>
        <v>1-10%</v>
      </c>
      <c r="P21" s="9">
        <f t="shared" si="2"/>
        <v>0.43256307202852556</v>
      </c>
      <c r="Q21" s="3" t="str">
        <f t="shared" si="3"/>
        <v>No</v>
      </c>
    </row>
    <row r="22" spans="1:17" ht="21" customHeight="1">
      <c r="A22" s="2" t="s">
        <v>152</v>
      </c>
      <c r="B22" s="4">
        <v>45300</v>
      </c>
      <c r="C22" s="2" t="s">
        <v>153</v>
      </c>
      <c r="D22" s="2" t="s">
        <v>47</v>
      </c>
      <c r="E22" s="2" t="s">
        <v>38</v>
      </c>
      <c r="F22" s="2" t="s">
        <v>98</v>
      </c>
      <c r="G22" s="2" t="s">
        <v>99</v>
      </c>
      <c r="H22" s="2">
        <v>1</v>
      </c>
      <c r="I22" s="6">
        <v>25460.080000000002</v>
      </c>
      <c r="J22" s="8">
        <v>0</v>
      </c>
      <c r="K22" s="6">
        <v>25460.080000000002</v>
      </c>
      <c r="L22" s="6">
        <v>3670.41</v>
      </c>
      <c r="M22" s="2" t="s">
        <v>57</v>
      </c>
      <c r="N22" s="3" t="str">
        <f t="shared" si="0"/>
        <v>2024-01</v>
      </c>
      <c r="O22" s="3" t="str">
        <f t="shared" si="1"/>
        <v>No discount</v>
      </c>
      <c r="P22" s="9">
        <f t="shared" si="2"/>
        <v>0.14416333334380724</v>
      </c>
      <c r="Q22" s="3" t="str">
        <f t="shared" si="3"/>
        <v>No</v>
      </c>
    </row>
    <row r="23" spans="1:17" ht="21" customHeight="1">
      <c r="A23" s="2" t="s">
        <v>154</v>
      </c>
      <c r="B23" s="4">
        <v>45300</v>
      </c>
      <c r="C23" s="2" t="s">
        <v>155</v>
      </c>
      <c r="D23" s="2" t="s">
        <v>45</v>
      </c>
      <c r="E23" s="2" t="s">
        <v>38</v>
      </c>
      <c r="F23" s="2" t="s">
        <v>142</v>
      </c>
      <c r="G23" s="2" t="s">
        <v>143</v>
      </c>
      <c r="H23" s="2">
        <v>4</v>
      </c>
      <c r="I23" s="6">
        <v>8639.43</v>
      </c>
      <c r="J23" s="8">
        <v>0</v>
      </c>
      <c r="K23" s="6">
        <v>34557.72</v>
      </c>
      <c r="L23" s="6">
        <v>6787.42</v>
      </c>
      <c r="M23" s="2" t="s">
        <v>56</v>
      </c>
      <c r="N23" s="3" t="str">
        <f t="shared" si="0"/>
        <v>2024-01</v>
      </c>
      <c r="O23" s="3" t="str">
        <f t="shared" si="1"/>
        <v>No discount</v>
      </c>
      <c r="P23" s="9">
        <f t="shared" si="2"/>
        <v>0.19640821211584561</v>
      </c>
      <c r="Q23" s="3" t="str">
        <f t="shared" si="3"/>
        <v>No</v>
      </c>
    </row>
    <row r="24" spans="1:17" ht="21" customHeight="1">
      <c r="A24" s="2" t="s">
        <v>156</v>
      </c>
      <c r="B24" s="4">
        <v>45300</v>
      </c>
      <c r="C24" s="2" t="s">
        <v>157</v>
      </c>
      <c r="D24" s="2" t="s">
        <v>44</v>
      </c>
      <c r="E24" s="2" t="s">
        <v>42</v>
      </c>
      <c r="F24" s="2" t="s">
        <v>126</v>
      </c>
      <c r="G24" s="2" t="s">
        <v>151</v>
      </c>
      <c r="H24" s="2">
        <v>2</v>
      </c>
      <c r="I24" s="6">
        <v>1559.15</v>
      </c>
      <c r="J24" s="8">
        <v>0.1</v>
      </c>
      <c r="K24" s="6">
        <v>2806.47</v>
      </c>
      <c r="L24" s="6">
        <v>1180.93</v>
      </c>
      <c r="M24" s="2" t="s">
        <v>56</v>
      </c>
      <c r="N24" s="3" t="str">
        <f t="shared" si="0"/>
        <v>2024-01</v>
      </c>
      <c r="O24" s="3" t="str">
        <f t="shared" si="1"/>
        <v>1-10%</v>
      </c>
      <c r="P24" s="9">
        <f t="shared" si="2"/>
        <v>0.42078839253581907</v>
      </c>
      <c r="Q24" s="3" t="str">
        <f t="shared" si="3"/>
        <v>No</v>
      </c>
    </row>
    <row r="25" spans="1:17" ht="21" customHeight="1">
      <c r="A25" s="2" t="s">
        <v>158</v>
      </c>
      <c r="B25" s="4">
        <v>45300</v>
      </c>
      <c r="C25" s="2" t="s">
        <v>159</v>
      </c>
      <c r="D25" s="2" t="s">
        <v>44</v>
      </c>
      <c r="E25" s="2" t="s">
        <v>40</v>
      </c>
      <c r="F25" s="2" t="s">
        <v>160</v>
      </c>
      <c r="G25" s="2" t="s">
        <v>161</v>
      </c>
      <c r="H25" s="2">
        <v>1</v>
      </c>
      <c r="I25" s="6">
        <v>13120.47</v>
      </c>
      <c r="J25" s="8">
        <v>0.1</v>
      </c>
      <c r="K25" s="6">
        <v>11808.42</v>
      </c>
      <c r="L25" s="6">
        <v>2872.47</v>
      </c>
      <c r="M25" s="2" t="s">
        <v>56</v>
      </c>
      <c r="N25" s="3" t="str">
        <f t="shared" si="0"/>
        <v>2024-01</v>
      </c>
      <c r="O25" s="3" t="str">
        <f t="shared" si="1"/>
        <v>1-10%</v>
      </c>
      <c r="P25" s="9">
        <f t="shared" si="2"/>
        <v>0.24325608337101828</v>
      </c>
      <c r="Q25" s="3" t="str">
        <f t="shared" si="3"/>
        <v>No</v>
      </c>
    </row>
    <row r="26" spans="1:17" ht="21" customHeight="1">
      <c r="A26" s="2" t="s">
        <v>162</v>
      </c>
      <c r="B26" s="4">
        <v>45300</v>
      </c>
      <c r="C26" s="2" t="s">
        <v>163</v>
      </c>
      <c r="D26" s="2" t="s">
        <v>44</v>
      </c>
      <c r="E26" s="2" t="s">
        <v>39</v>
      </c>
      <c r="F26" s="2" t="s">
        <v>164</v>
      </c>
      <c r="G26" s="2" t="s">
        <v>165</v>
      </c>
      <c r="H26" s="2">
        <v>1</v>
      </c>
      <c r="I26" s="6">
        <v>2035.59</v>
      </c>
      <c r="J26" s="8">
        <v>0.15</v>
      </c>
      <c r="K26" s="6">
        <v>1730.25</v>
      </c>
      <c r="L26" s="6">
        <v>445.59</v>
      </c>
      <c r="M26" s="2" t="s">
        <v>56</v>
      </c>
      <c r="N26" s="3" t="str">
        <f t="shared" si="0"/>
        <v>2024-01</v>
      </c>
      <c r="O26" s="3" t="str">
        <f t="shared" si="1"/>
        <v>11-15%</v>
      </c>
      <c r="P26" s="9">
        <f t="shared" si="2"/>
        <v>0.25752925877763327</v>
      </c>
      <c r="Q26" s="3" t="str">
        <f t="shared" si="3"/>
        <v>No</v>
      </c>
    </row>
    <row r="27" spans="1:17" ht="21" customHeight="1">
      <c r="A27" s="2" t="s">
        <v>166</v>
      </c>
      <c r="B27" s="4">
        <v>45300</v>
      </c>
      <c r="C27" s="2" t="s">
        <v>167</v>
      </c>
      <c r="D27" s="2" t="s">
        <v>45</v>
      </c>
      <c r="E27" s="2" t="s">
        <v>41</v>
      </c>
      <c r="F27" s="2" t="s">
        <v>119</v>
      </c>
      <c r="G27" s="2" t="s">
        <v>168</v>
      </c>
      <c r="H27" s="2">
        <v>1</v>
      </c>
      <c r="I27" s="6">
        <v>9578.1200000000008</v>
      </c>
      <c r="J27" s="8">
        <v>0</v>
      </c>
      <c r="K27" s="6">
        <v>9578.1200000000008</v>
      </c>
      <c r="L27" s="6">
        <v>3519.58</v>
      </c>
      <c r="M27" s="2" t="s">
        <v>57</v>
      </c>
      <c r="N27" s="3" t="str">
        <f t="shared" si="0"/>
        <v>2024-01</v>
      </c>
      <c r="O27" s="3" t="str">
        <f t="shared" si="1"/>
        <v>No discount</v>
      </c>
      <c r="P27" s="9">
        <f t="shared" si="2"/>
        <v>0.3674604202077234</v>
      </c>
      <c r="Q27" s="3" t="str">
        <f t="shared" si="3"/>
        <v>No</v>
      </c>
    </row>
    <row r="28" spans="1:17" ht="21" customHeight="1">
      <c r="A28" s="2" t="s">
        <v>169</v>
      </c>
      <c r="B28" s="4">
        <v>45300</v>
      </c>
      <c r="C28" s="2" t="s">
        <v>170</v>
      </c>
      <c r="D28" s="2" t="s">
        <v>45</v>
      </c>
      <c r="E28" s="2" t="s">
        <v>42</v>
      </c>
      <c r="F28" s="2" t="s">
        <v>126</v>
      </c>
      <c r="G28" s="2" t="s">
        <v>127</v>
      </c>
      <c r="H28" s="2">
        <v>2</v>
      </c>
      <c r="I28" s="6">
        <v>981.13</v>
      </c>
      <c r="J28" s="8">
        <v>0.05</v>
      </c>
      <c r="K28" s="6">
        <v>1864.15</v>
      </c>
      <c r="L28" s="6">
        <v>850.92</v>
      </c>
      <c r="M28" s="2" t="s">
        <v>57</v>
      </c>
      <c r="N28" s="3" t="str">
        <f t="shared" si="0"/>
        <v>2024-01</v>
      </c>
      <c r="O28" s="3" t="str">
        <f t="shared" si="1"/>
        <v>1-10%</v>
      </c>
      <c r="P28" s="9">
        <f t="shared" si="2"/>
        <v>0.45646541319099854</v>
      </c>
      <c r="Q28" s="3" t="str">
        <f t="shared" si="3"/>
        <v>No</v>
      </c>
    </row>
    <row r="29" spans="1:17" ht="21" customHeight="1">
      <c r="A29" s="2" t="s">
        <v>171</v>
      </c>
      <c r="B29" s="4">
        <v>45300</v>
      </c>
      <c r="C29" s="2" t="s">
        <v>172</v>
      </c>
      <c r="D29" s="2" t="s">
        <v>45</v>
      </c>
      <c r="E29" s="2" t="s">
        <v>40</v>
      </c>
      <c r="F29" s="2" t="s">
        <v>160</v>
      </c>
      <c r="G29" s="2" t="s">
        <v>173</v>
      </c>
      <c r="H29" s="2">
        <v>5</v>
      </c>
      <c r="I29" s="6">
        <v>8706.41</v>
      </c>
      <c r="J29" s="8">
        <v>0</v>
      </c>
      <c r="K29" s="6">
        <v>43532.05</v>
      </c>
      <c r="L29" s="6">
        <v>13561.59</v>
      </c>
      <c r="M29" s="2" t="s">
        <v>58</v>
      </c>
      <c r="N29" s="3" t="str">
        <f t="shared" si="0"/>
        <v>2024-01</v>
      </c>
      <c r="O29" s="3" t="str">
        <f t="shared" si="1"/>
        <v>No discount</v>
      </c>
      <c r="P29" s="9">
        <f t="shared" si="2"/>
        <v>0.3115311592263631</v>
      </c>
      <c r="Q29" s="3" t="str">
        <f t="shared" si="3"/>
        <v>No</v>
      </c>
    </row>
    <row r="30" spans="1:17" ht="21" customHeight="1">
      <c r="A30" s="2" t="s">
        <v>174</v>
      </c>
      <c r="B30" s="4">
        <v>45301</v>
      </c>
      <c r="C30" s="2" t="s">
        <v>175</v>
      </c>
      <c r="D30" s="2" t="s">
        <v>46</v>
      </c>
      <c r="E30" s="2" t="s">
        <v>39</v>
      </c>
      <c r="F30" s="2" t="s">
        <v>164</v>
      </c>
      <c r="G30" s="2" t="s">
        <v>165</v>
      </c>
      <c r="H30" s="2">
        <v>2</v>
      </c>
      <c r="I30" s="6">
        <v>1980.91</v>
      </c>
      <c r="J30" s="8">
        <v>0</v>
      </c>
      <c r="K30" s="6">
        <v>3961.82</v>
      </c>
      <c r="L30" s="6">
        <v>1511.85</v>
      </c>
      <c r="M30" s="2" t="s">
        <v>58</v>
      </c>
      <c r="N30" s="3" t="str">
        <f t="shared" si="0"/>
        <v>2024-01</v>
      </c>
      <c r="O30" s="3" t="str">
        <f t="shared" si="1"/>
        <v>No discount</v>
      </c>
      <c r="P30" s="9">
        <f t="shared" si="2"/>
        <v>0.38160491895139098</v>
      </c>
      <c r="Q30" s="3" t="str">
        <f t="shared" si="3"/>
        <v>No</v>
      </c>
    </row>
    <row r="31" spans="1:17" ht="21" customHeight="1">
      <c r="A31" s="2" t="s">
        <v>176</v>
      </c>
      <c r="B31" s="4">
        <v>45301</v>
      </c>
      <c r="C31" s="2" t="s">
        <v>177</v>
      </c>
      <c r="D31" s="2" t="s">
        <v>46</v>
      </c>
      <c r="E31" s="2" t="s">
        <v>39</v>
      </c>
      <c r="F31" s="2" t="s">
        <v>109</v>
      </c>
      <c r="G31" s="2" t="s">
        <v>110</v>
      </c>
      <c r="H31" s="2">
        <v>3</v>
      </c>
      <c r="I31" s="6">
        <v>3005.89</v>
      </c>
      <c r="J31" s="8">
        <v>0.1</v>
      </c>
      <c r="K31" s="6">
        <v>8115.9</v>
      </c>
      <c r="L31" s="6">
        <v>2620.5700000000002</v>
      </c>
      <c r="M31" s="2" t="s">
        <v>56</v>
      </c>
      <c r="N31" s="3" t="str">
        <f t="shared" si="0"/>
        <v>2024-01</v>
      </c>
      <c r="O31" s="3" t="str">
        <f t="shared" si="1"/>
        <v>1-10%</v>
      </c>
      <c r="P31" s="9">
        <f t="shared" si="2"/>
        <v>0.32289333284047367</v>
      </c>
      <c r="Q31" s="3" t="str">
        <f t="shared" si="3"/>
        <v>No</v>
      </c>
    </row>
    <row r="32" spans="1:17" ht="21" customHeight="1">
      <c r="A32" s="2" t="s">
        <v>178</v>
      </c>
      <c r="B32" s="4">
        <v>45301</v>
      </c>
      <c r="C32" s="2" t="s">
        <v>179</v>
      </c>
      <c r="D32" s="2" t="s">
        <v>44</v>
      </c>
      <c r="E32" s="2" t="s">
        <v>38</v>
      </c>
      <c r="F32" s="2" t="s">
        <v>98</v>
      </c>
      <c r="G32" s="2" t="s">
        <v>99</v>
      </c>
      <c r="H32" s="2">
        <v>1</v>
      </c>
      <c r="I32" s="6">
        <v>25495.85</v>
      </c>
      <c r="J32" s="8">
        <v>0</v>
      </c>
      <c r="K32" s="6">
        <v>25495.85</v>
      </c>
      <c r="L32" s="6">
        <v>3772.82</v>
      </c>
      <c r="M32" s="2" t="s">
        <v>57</v>
      </c>
      <c r="N32" s="3" t="str">
        <f t="shared" si="0"/>
        <v>2024-01</v>
      </c>
      <c r="O32" s="3" t="str">
        <f t="shared" si="1"/>
        <v>No discount</v>
      </c>
      <c r="P32" s="9">
        <f t="shared" si="2"/>
        <v>0.14797780815309158</v>
      </c>
      <c r="Q32" s="3" t="str">
        <f t="shared" si="3"/>
        <v>No</v>
      </c>
    </row>
    <row r="33" spans="1:17" ht="21" customHeight="1">
      <c r="A33" s="2" t="s">
        <v>180</v>
      </c>
      <c r="B33" s="4">
        <v>45302</v>
      </c>
      <c r="C33" s="2" t="s">
        <v>181</v>
      </c>
      <c r="D33" s="2" t="s">
        <v>46</v>
      </c>
      <c r="E33" s="2" t="s">
        <v>38</v>
      </c>
      <c r="F33" s="2" t="s">
        <v>98</v>
      </c>
      <c r="G33" s="2" t="s">
        <v>182</v>
      </c>
      <c r="H33" s="2">
        <v>1</v>
      </c>
      <c r="I33" s="6">
        <v>72448.47</v>
      </c>
      <c r="J33" s="8">
        <v>0</v>
      </c>
      <c r="K33" s="6">
        <v>72448.47</v>
      </c>
      <c r="L33" s="6">
        <v>12470.89</v>
      </c>
      <c r="M33" s="2" t="s">
        <v>56</v>
      </c>
      <c r="N33" s="3" t="str">
        <f t="shared" si="0"/>
        <v>2024-01</v>
      </c>
      <c r="O33" s="3" t="str">
        <f t="shared" si="1"/>
        <v>No discount</v>
      </c>
      <c r="P33" s="9">
        <f t="shared" si="2"/>
        <v>0.17213462202859495</v>
      </c>
      <c r="Q33" s="3" t="str">
        <f t="shared" si="3"/>
        <v>No</v>
      </c>
    </row>
    <row r="34" spans="1:17" ht="21" customHeight="1">
      <c r="A34" s="2" t="s">
        <v>183</v>
      </c>
      <c r="B34" s="4">
        <v>45302</v>
      </c>
      <c r="C34" s="2" t="s">
        <v>184</v>
      </c>
      <c r="D34" s="2" t="s">
        <v>44</v>
      </c>
      <c r="E34" s="2" t="s">
        <v>39</v>
      </c>
      <c r="F34" s="2" t="s">
        <v>109</v>
      </c>
      <c r="G34" s="2" t="s">
        <v>110</v>
      </c>
      <c r="H34" s="2">
        <v>1</v>
      </c>
      <c r="I34" s="6">
        <v>2948.07</v>
      </c>
      <c r="J34" s="8">
        <v>0</v>
      </c>
      <c r="K34" s="6">
        <v>2948.07</v>
      </c>
      <c r="L34" s="6">
        <v>1255.55</v>
      </c>
      <c r="M34" s="2" t="s">
        <v>56</v>
      </c>
      <c r="N34" s="3" t="str">
        <f t="shared" si="0"/>
        <v>2024-01</v>
      </c>
      <c r="O34" s="3" t="str">
        <f t="shared" si="1"/>
        <v>No discount</v>
      </c>
      <c r="P34" s="9">
        <f t="shared" si="2"/>
        <v>0.42588880182627953</v>
      </c>
      <c r="Q34" s="3" t="str">
        <f t="shared" si="3"/>
        <v>No</v>
      </c>
    </row>
    <row r="35" spans="1:17" ht="21" customHeight="1">
      <c r="A35" s="2" t="s">
        <v>185</v>
      </c>
      <c r="B35" s="4">
        <v>45302</v>
      </c>
      <c r="C35" s="2" t="s">
        <v>186</v>
      </c>
      <c r="D35" s="2" t="s">
        <v>45</v>
      </c>
      <c r="E35" s="2" t="s">
        <v>39</v>
      </c>
      <c r="F35" s="2" t="s">
        <v>130</v>
      </c>
      <c r="G35" s="2" t="s">
        <v>131</v>
      </c>
      <c r="H35" s="2">
        <v>1</v>
      </c>
      <c r="I35" s="6">
        <v>2241.2800000000002</v>
      </c>
      <c r="J35" s="8">
        <v>0</v>
      </c>
      <c r="K35" s="6">
        <v>2241.2800000000002</v>
      </c>
      <c r="L35" s="6">
        <v>971.88</v>
      </c>
      <c r="M35" s="2" t="s">
        <v>57</v>
      </c>
      <c r="N35" s="3" t="str">
        <f t="shared" si="0"/>
        <v>2024-01</v>
      </c>
      <c r="O35" s="3" t="str">
        <f t="shared" si="1"/>
        <v>No discount</v>
      </c>
      <c r="P35" s="9">
        <f t="shared" si="2"/>
        <v>0.43362721302113072</v>
      </c>
      <c r="Q35" s="3" t="str">
        <f t="shared" si="3"/>
        <v>No</v>
      </c>
    </row>
    <row r="36" spans="1:17" ht="21" customHeight="1">
      <c r="A36" s="2" t="s">
        <v>187</v>
      </c>
      <c r="B36" s="4">
        <v>45303</v>
      </c>
      <c r="C36" s="2" t="s">
        <v>188</v>
      </c>
      <c r="D36" s="2" t="s">
        <v>45</v>
      </c>
      <c r="E36" s="2" t="s">
        <v>41</v>
      </c>
      <c r="F36" s="2" t="s">
        <v>113</v>
      </c>
      <c r="G36" s="2" t="s">
        <v>123</v>
      </c>
      <c r="H36" s="2">
        <v>1</v>
      </c>
      <c r="I36" s="6">
        <v>3480.36</v>
      </c>
      <c r="J36" s="8">
        <v>0.05</v>
      </c>
      <c r="K36" s="6">
        <v>3306.34</v>
      </c>
      <c r="L36" s="6">
        <v>1004.66</v>
      </c>
      <c r="M36" s="2" t="s">
        <v>57</v>
      </c>
      <c r="N36" s="3" t="str">
        <f t="shared" si="0"/>
        <v>2024-01</v>
      </c>
      <c r="O36" s="3" t="str">
        <f t="shared" si="1"/>
        <v>1-10%</v>
      </c>
      <c r="P36" s="9">
        <f t="shared" si="2"/>
        <v>0.30385864732604628</v>
      </c>
      <c r="Q36" s="3" t="str">
        <f t="shared" si="3"/>
        <v>No</v>
      </c>
    </row>
    <row r="37" spans="1:17" ht="21" customHeight="1">
      <c r="A37" s="2" t="s">
        <v>189</v>
      </c>
      <c r="B37" s="4">
        <v>45303</v>
      </c>
      <c r="C37" s="2" t="s">
        <v>190</v>
      </c>
      <c r="D37" s="2" t="s">
        <v>46</v>
      </c>
      <c r="E37" s="2" t="s">
        <v>41</v>
      </c>
      <c r="F37" s="2" t="s">
        <v>113</v>
      </c>
      <c r="G37" s="2" t="s">
        <v>123</v>
      </c>
      <c r="H37" s="2">
        <v>1</v>
      </c>
      <c r="I37" s="6">
        <v>3661.83</v>
      </c>
      <c r="J37" s="8">
        <v>0.2</v>
      </c>
      <c r="K37" s="6">
        <v>2929.46</v>
      </c>
      <c r="L37" s="6">
        <v>525.46</v>
      </c>
      <c r="M37" s="2" t="s">
        <v>60</v>
      </c>
      <c r="N37" s="3" t="str">
        <f t="shared" si="0"/>
        <v>2024-01</v>
      </c>
      <c r="O37" s="3" t="str">
        <f t="shared" si="1"/>
        <v>16-20%</v>
      </c>
      <c r="P37" s="9">
        <f t="shared" si="2"/>
        <v>0.17937094208488938</v>
      </c>
      <c r="Q37" s="3" t="str">
        <f t="shared" si="3"/>
        <v>No</v>
      </c>
    </row>
    <row r="38" spans="1:17" ht="21" customHeight="1">
      <c r="A38" s="2" t="s">
        <v>191</v>
      </c>
      <c r="B38" s="4">
        <v>45304</v>
      </c>
      <c r="C38" s="2" t="s">
        <v>192</v>
      </c>
      <c r="D38" s="2" t="s">
        <v>44</v>
      </c>
      <c r="E38" s="2" t="s">
        <v>39</v>
      </c>
      <c r="F38" s="2" t="s">
        <v>130</v>
      </c>
      <c r="G38" s="2" t="s">
        <v>193</v>
      </c>
      <c r="H38" s="2">
        <v>1</v>
      </c>
      <c r="I38" s="6">
        <v>1812.3</v>
      </c>
      <c r="J38" s="8">
        <v>0</v>
      </c>
      <c r="K38" s="6">
        <v>1812.3</v>
      </c>
      <c r="L38" s="6">
        <v>793.47</v>
      </c>
      <c r="M38" s="2" t="s">
        <v>57</v>
      </c>
      <c r="N38" s="3" t="str">
        <f t="shared" si="0"/>
        <v>2024-01</v>
      </c>
      <c r="O38" s="3" t="str">
        <f t="shared" si="1"/>
        <v>No discount</v>
      </c>
      <c r="P38" s="9">
        <f t="shared" si="2"/>
        <v>0.43782486343320642</v>
      </c>
      <c r="Q38" s="3" t="str">
        <f t="shared" si="3"/>
        <v>No</v>
      </c>
    </row>
    <row r="39" spans="1:17" ht="21" customHeight="1">
      <c r="A39" s="2" t="s">
        <v>194</v>
      </c>
      <c r="B39" s="4">
        <v>45304</v>
      </c>
      <c r="C39" s="2" t="s">
        <v>195</v>
      </c>
      <c r="D39" s="2" t="s">
        <v>47</v>
      </c>
      <c r="E39" s="2" t="s">
        <v>42</v>
      </c>
      <c r="F39" s="2" t="s">
        <v>126</v>
      </c>
      <c r="G39" s="2" t="s">
        <v>127</v>
      </c>
      <c r="H39" s="2">
        <v>3</v>
      </c>
      <c r="I39" s="6">
        <v>983.68</v>
      </c>
      <c r="J39" s="8">
        <v>0</v>
      </c>
      <c r="K39" s="6">
        <v>2951.04</v>
      </c>
      <c r="L39" s="6">
        <v>1740.37</v>
      </c>
      <c r="M39" s="2" t="s">
        <v>58</v>
      </c>
      <c r="N39" s="3" t="str">
        <f t="shared" si="0"/>
        <v>2024-01</v>
      </c>
      <c r="O39" s="3" t="str">
        <f t="shared" si="1"/>
        <v>No discount</v>
      </c>
      <c r="P39" s="9">
        <f t="shared" si="2"/>
        <v>0.58974802103665147</v>
      </c>
      <c r="Q39" s="3" t="str">
        <f t="shared" si="3"/>
        <v>No</v>
      </c>
    </row>
    <row r="40" spans="1:17" ht="21" customHeight="1">
      <c r="A40" s="2" t="s">
        <v>196</v>
      </c>
      <c r="B40" s="4">
        <v>45304</v>
      </c>
      <c r="C40" s="2" t="s">
        <v>197</v>
      </c>
      <c r="D40" s="2" t="s">
        <v>44</v>
      </c>
      <c r="E40" s="2" t="s">
        <v>42</v>
      </c>
      <c r="F40" s="2" t="s">
        <v>126</v>
      </c>
      <c r="G40" s="2" t="s">
        <v>151</v>
      </c>
      <c r="H40" s="2">
        <v>2</v>
      </c>
      <c r="I40" s="6">
        <v>1465.16</v>
      </c>
      <c r="J40" s="8">
        <v>0</v>
      </c>
      <c r="K40" s="6">
        <v>2930.32</v>
      </c>
      <c r="L40" s="6">
        <v>1557.46</v>
      </c>
      <c r="M40" s="2" t="s">
        <v>57</v>
      </c>
      <c r="N40" s="3" t="str">
        <f t="shared" si="0"/>
        <v>2024-01</v>
      </c>
      <c r="O40" s="3" t="str">
        <f t="shared" si="1"/>
        <v>No discount</v>
      </c>
      <c r="P40" s="9">
        <f t="shared" si="2"/>
        <v>0.53149826640093911</v>
      </c>
      <c r="Q40" s="3" t="str">
        <f t="shared" si="3"/>
        <v>No</v>
      </c>
    </row>
    <row r="41" spans="1:17" ht="21" customHeight="1">
      <c r="A41" s="2" t="s">
        <v>198</v>
      </c>
      <c r="B41" s="4">
        <v>45304</v>
      </c>
      <c r="C41" s="2" t="s">
        <v>199</v>
      </c>
      <c r="D41" s="2" t="s">
        <v>46</v>
      </c>
      <c r="E41" s="2" t="s">
        <v>39</v>
      </c>
      <c r="F41" s="2" t="s">
        <v>164</v>
      </c>
      <c r="G41" s="2" t="s">
        <v>200</v>
      </c>
      <c r="H41" s="2">
        <v>2</v>
      </c>
      <c r="I41" s="6">
        <v>1294.44</v>
      </c>
      <c r="J41" s="8">
        <v>0.2</v>
      </c>
      <c r="K41" s="6">
        <v>2071.1</v>
      </c>
      <c r="L41" s="6">
        <v>324.36</v>
      </c>
      <c r="M41" s="2" t="s">
        <v>56</v>
      </c>
      <c r="N41" s="3" t="str">
        <f t="shared" si="0"/>
        <v>2024-01</v>
      </c>
      <c r="O41" s="3" t="str">
        <f t="shared" si="1"/>
        <v>16-20%</v>
      </c>
      <c r="P41" s="9">
        <f t="shared" si="2"/>
        <v>0.15661242817826276</v>
      </c>
      <c r="Q41" s="3" t="str">
        <f t="shared" si="3"/>
        <v>No</v>
      </c>
    </row>
    <row r="42" spans="1:17" ht="21" customHeight="1">
      <c r="A42" s="2" t="s">
        <v>201</v>
      </c>
      <c r="B42" s="4">
        <v>45304</v>
      </c>
      <c r="C42" s="2" t="s">
        <v>202</v>
      </c>
      <c r="D42" s="2" t="s">
        <v>44</v>
      </c>
      <c r="E42" s="2" t="s">
        <v>40</v>
      </c>
      <c r="F42" s="2" t="s">
        <v>102</v>
      </c>
      <c r="G42" s="2" t="s">
        <v>103</v>
      </c>
      <c r="H42" s="2">
        <v>2</v>
      </c>
      <c r="I42" s="6">
        <v>6607.16</v>
      </c>
      <c r="J42" s="8">
        <v>0.25</v>
      </c>
      <c r="K42" s="6">
        <v>9910.74</v>
      </c>
      <c r="L42" s="6">
        <v>682.24</v>
      </c>
      <c r="M42" s="2" t="s">
        <v>60</v>
      </c>
      <c r="N42" s="3" t="str">
        <f t="shared" si="0"/>
        <v>2024-01</v>
      </c>
      <c r="O42" s="3" t="str">
        <f t="shared" si="1"/>
        <v>21%+</v>
      </c>
      <c r="P42" s="9">
        <f t="shared" si="2"/>
        <v>6.8838452022755112E-2</v>
      </c>
      <c r="Q42" s="3" t="str">
        <f t="shared" si="3"/>
        <v>No</v>
      </c>
    </row>
    <row r="43" spans="1:17" ht="21" customHeight="1">
      <c r="A43" s="2" t="s">
        <v>203</v>
      </c>
      <c r="B43" s="4">
        <v>45304</v>
      </c>
      <c r="C43" s="2" t="s">
        <v>204</v>
      </c>
      <c r="D43" s="2" t="s">
        <v>45</v>
      </c>
      <c r="E43" s="2" t="s">
        <v>41</v>
      </c>
      <c r="F43" s="2" t="s">
        <v>119</v>
      </c>
      <c r="G43" s="2" t="s">
        <v>120</v>
      </c>
      <c r="H43" s="2">
        <v>1</v>
      </c>
      <c r="I43" s="6">
        <v>1274.71</v>
      </c>
      <c r="J43" s="8">
        <v>0.05</v>
      </c>
      <c r="K43" s="6">
        <v>1210.97</v>
      </c>
      <c r="L43" s="6">
        <v>347.91</v>
      </c>
      <c r="M43" s="2" t="s">
        <v>56</v>
      </c>
      <c r="N43" s="3" t="str">
        <f t="shared" si="0"/>
        <v>2024-01</v>
      </c>
      <c r="O43" s="3" t="str">
        <f t="shared" si="1"/>
        <v>1-10%</v>
      </c>
      <c r="P43" s="9">
        <f t="shared" si="2"/>
        <v>0.28729861185661082</v>
      </c>
      <c r="Q43" s="3" t="str">
        <f t="shared" si="3"/>
        <v>No</v>
      </c>
    </row>
    <row r="44" spans="1:17" ht="21" customHeight="1">
      <c r="A44" s="2" t="s">
        <v>205</v>
      </c>
      <c r="B44" s="4">
        <v>45305</v>
      </c>
      <c r="C44" s="2" t="s">
        <v>206</v>
      </c>
      <c r="D44" s="2" t="s">
        <v>46</v>
      </c>
      <c r="E44" s="2" t="s">
        <v>41</v>
      </c>
      <c r="F44" s="2" t="s">
        <v>119</v>
      </c>
      <c r="G44" s="2" t="s">
        <v>168</v>
      </c>
      <c r="H44" s="2">
        <v>1</v>
      </c>
      <c r="I44" s="6">
        <v>9947.92</v>
      </c>
      <c r="J44" s="8">
        <v>0.25</v>
      </c>
      <c r="K44" s="6">
        <v>7460.94</v>
      </c>
      <c r="L44" s="6">
        <v>696.72</v>
      </c>
      <c r="M44" s="2" t="s">
        <v>57</v>
      </c>
      <c r="N44" s="3" t="str">
        <f t="shared" si="0"/>
        <v>2024-01</v>
      </c>
      <c r="O44" s="3" t="str">
        <f t="shared" si="1"/>
        <v>21%+</v>
      </c>
      <c r="P44" s="9">
        <f t="shared" si="2"/>
        <v>9.3382335201730615E-2</v>
      </c>
      <c r="Q44" s="3" t="str">
        <f t="shared" si="3"/>
        <v>No</v>
      </c>
    </row>
    <row r="45" spans="1:17" ht="21" customHeight="1">
      <c r="A45" s="2" t="s">
        <v>207</v>
      </c>
      <c r="B45" s="4">
        <v>45306</v>
      </c>
      <c r="C45" s="2" t="s">
        <v>208</v>
      </c>
      <c r="D45" s="2" t="s">
        <v>46</v>
      </c>
      <c r="E45" s="2" t="s">
        <v>38</v>
      </c>
      <c r="F45" s="2" t="s">
        <v>98</v>
      </c>
      <c r="G45" s="2" t="s">
        <v>99</v>
      </c>
      <c r="H45" s="2">
        <v>2</v>
      </c>
      <c r="I45" s="6">
        <v>25490.1</v>
      </c>
      <c r="J45" s="8">
        <v>0</v>
      </c>
      <c r="K45" s="6">
        <v>50980.2</v>
      </c>
      <c r="L45" s="6">
        <v>10295.49</v>
      </c>
      <c r="M45" s="2" t="s">
        <v>56</v>
      </c>
      <c r="N45" s="3" t="str">
        <f t="shared" si="0"/>
        <v>2024-01</v>
      </c>
      <c r="O45" s="3" t="str">
        <f t="shared" si="1"/>
        <v>No discount</v>
      </c>
      <c r="P45" s="9">
        <f t="shared" si="2"/>
        <v>0.20195075735285464</v>
      </c>
      <c r="Q45" s="3" t="str">
        <f t="shared" si="3"/>
        <v>No</v>
      </c>
    </row>
    <row r="46" spans="1:17" ht="21" customHeight="1">
      <c r="A46" s="2" t="s">
        <v>209</v>
      </c>
      <c r="B46" s="4">
        <v>45306</v>
      </c>
      <c r="C46" s="2" t="s">
        <v>210</v>
      </c>
      <c r="D46" s="2" t="s">
        <v>47</v>
      </c>
      <c r="E46" s="2" t="s">
        <v>39</v>
      </c>
      <c r="F46" s="2" t="s">
        <v>164</v>
      </c>
      <c r="G46" s="2" t="s">
        <v>165</v>
      </c>
      <c r="H46" s="2">
        <v>2</v>
      </c>
      <c r="I46" s="6">
        <v>1925.63</v>
      </c>
      <c r="J46" s="8">
        <v>0.1</v>
      </c>
      <c r="K46" s="6">
        <v>3466.13</v>
      </c>
      <c r="L46" s="6">
        <v>979.01</v>
      </c>
      <c r="M46" s="2" t="s">
        <v>57</v>
      </c>
      <c r="N46" s="3" t="str">
        <f t="shared" si="0"/>
        <v>2024-01</v>
      </c>
      <c r="O46" s="3" t="str">
        <f t="shared" si="1"/>
        <v>1-10%</v>
      </c>
      <c r="P46" s="9">
        <f t="shared" si="2"/>
        <v>0.28245045627255755</v>
      </c>
      <c r="Q46" s="3" t="str">
        <f t="shared" si="3"/>
        <v>No</v>
      </c>
    </row>
    <row r="47" spans="1:17" ht="21" customHeight="1">
      <c r="A47" s="2" t="s">
        <v>211</v>
      </c>
      <c r="B47" s="4">
        <v>45306</v>
      </c>
      <c r="C47" s="2" t="s">
        <v>212</v>
      </c>
      <c r="D47" s="2" t="s">
        <v>44</v>
      </c>
      <c r="E47" s="2" t="s">
        <v>38</v>
      </c>
      <c r="F47" s="2" t="s">
        <v>94</v>
      </c>
      <c r="G47" s="2" t="s">
        <v>213</v>
      </c>
      <c r="H47" s="2">
        <v>1</v>
      </c>
      <c r="I47" s="6">
        <v>53234.47</v>
      </c>
      <c r="J47" s="8">
        <v>0.2</v>
      </c>
      <c r="K47" s="6">
        <v>42587.58</v>
      </c>
      <c r="L47" s="6">
        <v>-3732.08</v>
      </c>
      <c r="M47" s="2" t="s">
        <v>56</v>
      </c>
      <c r="N47" s="3" t="str">
        <f t="shared" si="0"/>
        <v>2024-01</v>
      </c>
      <c r="O47" s="3" t="str">
        <f t="shared" si="1"/>
        <v>16-20%</v>
      </c>
      <c r="P47" s="9">
        <f t="shared" si="2"/>
        <v>-8.7633061094337827E-2</v>
      </c>
      <c r="Q47" s="3" t="str">
        <f t="shared" si="3"/>
        <v>Yes</v>
      </c>
    </row>
    <row r="48" spans="1:17" ht="21" customHeight="1">
      <c r="A48" s="2" t="s">
        <v>214</v>
      </c>
      <c r="B48" s="4">
        <v>45307</v>
      </c>
      <c r="C48" s="2" t="s">
        <v>215</v>
      </c>
      <c r="D48" s="2" t="s">
        <v>45</v>
      </c>
      <c r="E48" s="2" t="s">
        <v>38</v>
      </c>
      <c r="F48" s="2" t="s">
        <v>98</v>
      </c>
      <c r="G48" s="2" t="s">
        <v>182</v>
      </c>
      <c r="H48" s="2">
        <v>2</v>
      </c>
      <c r="I48" s="6">
        <v>69854.759999999995</v>
      </c>
      <c r="J48" s="8">
        <v>0.1</v>
      </c>
      <c r="K48" s="6">
        <v>125738.57</v>
      </c>
      <c r="L48" s="6">
        <v>11889.58</v>
      </c>
      <c r="M48" s="2" t="s">
        <v>60</v>
      </c>
      <c r="N48" s="3" t="str">
        <f t="shared" si="0"/>
        <v>2024-01</v>
      </c>
      <c r="O48" s="3" t="str">
        <f t="shared" si="1"/>
        <v>1-10%</v>
      </c>
      <c r="P48" s="9">
        <f t="shared" si="2"/>
        <v>9.4557938745446199E-2</v>
      </c>
      <c r="Q48" s="3" t="str">
        <f t="shared" si="3"/>
        <v>No</v>
      </c>
    </row>
    <row r="49" spans="1:17" ht="21" customHeight="1">
      <c r="A49" s="2" t="s">
        <v>216</v>
      </c>
      <c r="B49" s="4">
        <v>45307</v>
      </c>
      <c r="C49" s="2" t="s">
        <v>89</v>
      </c>
      <c r="D49" s="2" t="s">
        <v>44</v>
      </c>
      <c r="E49" s="2" t="s">
        <v>39</v>
      </c>
      <c r="F49" s="2" t="s">
        <v>164</v>
      </c>
      <c r="G49" s="2" t="s">
        <v>200</v>
      </c>
      <c r="H49" s="2">
        <v>4</v>
      </c>
      <c r="I49" s="6">
        <v>1326.59</v>
      </c>
      <c r="J49" s="8">
        <v>0.2</v>
      </c>
      <c r="K49" s="6">
        <v>4245.09</v>
      </c>
      <c r="L49" s="6">
        <v>661.54</v>
      </c>
      <c r="M49" s="2" t="s">
        <v>56</v>
      </c>
      <c r="N49" s="3" t="str">
        <f t="shared" si="0"/>
        <v>2024-01</v>
      </c>
      <c r="O49" s="3" t="str">
        <f t="shared" si="1"/>
        <v>16-20%</v>
      </c>
      <c r="P49" s="9">
        <f t="shared" si="2"/>
        <v>0.15583650758876724</v>
      </c>
      <c r="Q49" s="3" t="str">
        <f t="shared" si="3"/>
        <v>No</v>
      </c>
    </row>
    <row r="50" spans="1:17" ht="21" customHeight="1">
      <c r="A50" s="2" t="s">
        <v>217</v>
      </c>
      <c r="B50" s="4">
        <v>45307</v>
      </c>
      <c r="C50" s="2" t="s">
        <v>218</v>
      </c>
      <c r="D50" s="2" t="s">
        <v>46</v>
      </c>
      <c r="E50" s="2" t="s">
        <v>41</v>
      </c>
      <c r="F50" s="2" t="s">
        <v>113</v>
      </c>
      <c r="G50" s="2" t="s">
        <v>123</v>
      </c>
      <c r="H50" s="2">
        <v>1</v>
      </c>
      <c r="I50" s="6">
        <v>3406.61</v>
      </c>
      <c r="J50" s="8">
        <v>0.25</v>
      </c>
      <c r="K50" s="6">
        <v>2554.96</v>
      </c>
      <c r="L50" s="6">
        <v>216.93</v>
      </c>
      <c r="M50" s="2" t="s">
        <v>56</v>
      </c>
      <c r="N50" s="3" t="str">
        <f t="shared" si="0"/>
        <v>2024-01</v>
      </c>
      <c r="O50" s="3" t="str">
        <f t="shared" si="1"/>
        <v>21%+</v>
      </c>
      <c r="P50" s="9">
        <f t="shared" si="2"/>
        <v>8.4905438832701879E-2</v>
      </c>
      <c r="Q50" s="3" t="str">
        <f t="shared" si="3"/>
        <v>No</v>
      </c>
    </row>
    <row r="51" spans="1:17" ht="21" customHeight="1">
      <c r="A51" s="3" t="s">
        <v>219</v>
      </c>
      <c r="B51" s="5">
        <v>45307</v>
      </c>
      <c r="C51" s="3" t="s">
        <v>220</v>
      </c>
      <c r="D51" s="3" t="s">
        <v>45</v>
      </c>
      <c r="E51" s="3" t="s">
        <v>40</v>
      </c>
      <c r="F51" s="3" t="s">
        <v>221</v>
      </c>
      <c r="G51" s="3" t="s">
        <v>222</v>
      </c>
      <c r="H51" s="3">
        <v>3</v>
      </c>
      <c r="I51" s="7">
        <v>951.93</v>
      </c>
      <c r="J51" s="9">
        <v>0.1</v>
      </c>
      <c r="K51" s="7">
        <v>2570.21</v>
      </c>
      <c r="L51" s="7">
        <v>485.59</v>
      </c>
      <c r="M51" s="3" t="s">
        <v>58</v>
      </c>
      <c r="N51" s="3" t="str">
        <f t="shared" si="0"/>
        <v>2024-01</v>
      </c>
      <c r="O51" s="3" t="str">
        <f t="shared" si="1"/>
        <v>1-10%</v>
      </c>
      <c r="P51" s="9">
        <f t="shared" si="2"/>
        <v>0.18893008742476294</v>
      </c>
      <c r="Q51" s="3" t="str">
        <f t="shared" si="3"/>
        <v>No</v>
      </c>
    </row>
    <row r="52" spans="1:17" ht="21" customHeight="1">
      <c r="A52" s="3" t="s">
        <v>223</v>
      </c>
      <c r="B52" s="5">
        <v>45308</v>
      </c>
      <c r="C52" s="3" t="s">
        <v>224</v>
      </c>
      <c r="D52" s="3" t="s">
        <v>44</v>
      </c>
      <c r="E52" s="3" t="s">
        <v>39</v>
      </c>
      <c r="F52" s="3" t="s">
        <v>130</v>
      </c>
      <c r="G52" s="3" t="s">
        <v>131</v>
      </c>
      <c r="H52" s="3">
        <v>1</v>
      </c>
      <c r="I52" s="7">
        <v>2281.5100000000002</v>
      </c>
      <c r="J52" s="9">
        <v>0</v>
      </c>
      <c r="K52" s="7">
        <v>2281.5100000000002</v>
      </c>
      <c r="L52" s="7">
        <v>1006.69</v>
      </c>
      <c r="M52" s="3" t="s">
        <v>57</v>
      </c>
      <c r="N52" s="3" t="str">
        <f t="shared" si="0"/>
        <v>2024-01</v>
      </c>
      <c r="O52" s="3" t="str">
        <f t="shared" si="1"/>
        <v>No discount</v>
      </c>
      <c r="P52" s="9">
        <f t="shared" si="2"/>
        <v>0.44123847802551819</v>
      </c>
      <c r="Q52" s="3" t="str">
        <f t="shared" si="3"/>
        <v>No</v>
      </c>
    </row>
    <row r="53" spans="1:17" ht="21" customHeight="1">
      <c r="A53" s="3" t="s">
        <v>225</v>
      </c>
      <c r="B53" s="5">
        <v>45308</v>
      </c>
      <c r="C53" s="3" t="s">
        <v>226</v>
      </c>
      <c r="D53" s="3" t="s">
        <v>45</v>
      </c>
      <c r="E53" s="3" t="s">
        <v>42</v>
      </c>
      <c r="F53" s="3" t="s">
        <v>90</v>
      </c>
      <c r="G53" s="3" t="s">
        <v>91</v>
      </c>
      <c r="H53" s="3">
        <v>2</v>
      </c>
      <c r="I53" s="7">
        <v>1169.52</v>
      </c>
      <c r="J53" s="9">
        <v>0.25</v>
      </c>
      <c r="K53" s="7">
        <v>1754.28</v>
      </c>
      <c r="L53" s="7">
        <v>525.29</v>
      </c>
      <c r="M53" s="3" t="s">
        <v>56</v>
      </c>
      <c r="N53" s="3" t="str">
        <f t="shared" si="0"/>
        <v>2024-01</v>
      </c>
      <c r="O53" s="3" t="str">
        <f t="shared" si="1"/>
        <v>21%+</v>
      </c>
      <c r="P53" s="9">
        <f t="shared" si="2"/>
        <v>0.29943338577650086</v>
      </c>
      <c r="Q53" s="3" t="str">
        <f t="shared" si="3"/>
        <v>No</v>
      </c>
    </row>
    <row r="54" spans="1:17" ht="21" customHeight="1">
      <c r="A54" s="3" t="s">
        <v>227</v>
      </c>
      <c r="B54" s="5">
        <v>45308</v>
      </c>
      <c r="C54" s="3" t="s">
        <v>228</v>
      </c>
      <c r="D54" s="3" t="s">
        <v>44</v>
      </c>
      <c r="E54" s="3" t="s">
        <v>42</v>
      </c>
      <c r="F54" s="3" t="s">
        <v>126</v>
      </c>
      <c r="G54" s="3" t="s">
        <v>151</v>
      </c>
      <c r="H54" s="3">
        <v>3</v>
      </c>
      <c r="I54" s="7">
        <v>1573.57</v>
      </c>
      <c r="J54" s="9">
        <v>0</v>
      </c>
      <c r="K54" s="7">
        <v>4720.71</v>
      </c>
      <c r="L54" s="7">
        <v>2660.62</v>
      </c>
      <c r="M54" s="3" t="s">
        <v>56</v>
      </c>
      <c r="N54" s="3" t="str">
        <f t="shared" si="0"/>
        <v>2024-01</v>
      </c>
      <c r="O54" s="3" t="str">
        <f t="shared" si="1"/>
        <v>No discount</v>
      </c>
      <c r="P54" s="9">
        <f t="shared" si="2"/>
        <v>0.56360589826530327</v>
      </c>
      <c r="Q54" s="3" t="str">
        <f t="shared" si="3"/>
        <v>No</v>
      </c>
    </row>
    <row r="55" spans="1:17" ht="21" customHeight="1">
      <c r="A55" s="3" t="s">
        <v>229</v>
      </c>
      <c r="B55" s="5">
        <v>45308</v>
      </c>
      <c r="C55" s="3" t="s">
        <v>230</v>
      </c>
      <c r="D55" s="3" t="s">
        <v>47</v>
      </c>
      <c r="E55" s="3" t="s">
        <v>42</v>
      </c>
      <c r="F55" s="3" t="s">
        <v>90</v>
      </c>
      <c r="G55" s="3" t="s">
        <v>91</v>
      </c>
      <c r="H55" s="3">
        <v>1</v>
      </c>
      <c r="I55" s="7">
        <v>1216.19</v>
      </c>
      <c r="J55" s="9">
        <v>0.15</v>
      </c>
      <c r="K55" s="7">
        <v>1033.76</v>
      </c>
      <c r="L55" s="7">
        <v>390.22</v>
      </c>
      <c r="M55" s="3" t="s">
        <v>58</v>
      </c>
      <c r="N55" s="3" t="str">
        <f t="shared" si="0"/>
        <v>2024-01</v>
      </c>
      <c r="O55" s="3" t="str">
        <f t="shared" si="1"/>
        <v>11-15%</v>
      </c>
      <c r="P55" s="9">
        <f t="shared" si="2"/>
        <v>0.37747639684259404</v>
      </c>
      <c r="Q55" s="3" t="str">
        <f t="shared" si="3"/>
        <v>No</v>
      </c>
    </row>
    <row r="56" spans="1:17" ht="21" customHeight="1">
      <c r="A56" s="3" t="s">
        <v>231</v>
      </c>
      <c r="B56" s="5">
        <v>45308</v>
      </c>
      <c r="C56" s="3" t="s">
        <v>232</v>
      </c>
      <c r="D56" s="3" t="s">
        <v>47</v>
      </c>
      <c r="E56" s="3" t="s">
        <v>41</v>
      </c>
      <c r="F56" s="3" t="s">
        <v>119</v>
      </c>
      <c r="G56" s="3" t="s">
        <v>120</v>
      </c>
      <c r="H56" s="3">
        <v>1</v>
      </c>
      <c r="I56" s="7">
        <v>1260.26</v>
      </c>
      <c r="J56" s="9">
        <v>0.05</v>
      </c>
      <c r="K56" s="7">
        <v>1197.25</v>
      </c>
      <c r="L56" s="7">
        <v>362.14</v>
      </c>
      <c r="M56" s="3" t="s">
        <v>56</v>
      </c>
      <c r="N56" s="3" t="str">
        <f t="shared" si="0"/>
        <v>2024-01</v>
      </c>
      <c r="O56" s="3" t="str">
        <f t="shared" si="1"/>
        <v>1-10%</v>
      </c>
      <c r="P56" s="9">
        <f t="shared" si="2"/>
        <v>0.3024765086656922</v>
      </c>
      <c r="Q56" s="3" t="str">
        <f t="shared" si="3"/>
        <v>No</v>
      </c>
    </row>
    <row r="57" spans="1:17" ht="21" customHeight="1">
      <c r="A57" s="3" t="s">
        <v>233</v>
      </c>
      <c r="B57" s="5">
        <v>45310</v>
      </c>
      <c r="C57" s="3" t="s">
        <v>234</v>
      </c>
      <c r="D57" s="3" t="s">
        <v>45</v>
      </c>
      <c r="E57" s="3" t="s">
        <v>41</v>
      </c>
      <c r="F57" s="3" t="s">
        <v>119</v>
      </c>
      <c r="G57" s="3" t="s">
        <v>120</v>
      </c>
      <c r="H57" s="3">
        <v>1</v>
      </c>
      <c r="I57" s="7">
        <v>1292.26</v>
      </c>
      <c r="J57" s="9">
        <v>0.15</v>
      </c>
      <c r="K57" s="7">
        <v>1098.42</v>
      </c>
      <c r="L57" s="7">
        <v>259.26</v>
      </c>
      <c r="M57" s="3" t="s">
        <v>56</v>
      </c>
      <c r="N57" s="3" t="str">
        <f t="shared" si="0"/>
        <v>2024-01</v>
      </c>
      <c r="O57" s="3" t="str">
        <f t="shared" si="1"/>
        <v>11-15%</v>
      </c>
      <c r="P57" s="9">
        <f t="shared" si="2"/>
        <v>0.2360299339050636</v>
      </c>
      <c r="Q57" s="3" t="str">
        <f t="shared" si="3"/>
        <v>No</v>
      </c>
    </row>
    <row r="58" spans="1:17" ht="21" customHeight="1">
      <c r="A58" s="3" t="s">
        <v>235</v>
      </c>
      <c r="B58" s="5">
        <v>45310</v>
      </c>
      <c r="C58" s="3" t="s">
        <v>236</v>
      </c>
      <c r="D58" s="3" t="s">
        <v>44</v>
      </c>
      <c r="E58" s="3" t="s">
        <v>39</v>
      </c>
      <c r="F58" s="3" t="s">
        <v>109</v>
      </c>
      <c r="G58" s="3" t="s">
        <v>110</v>
      </c>
      <c r="H58" s="3">
        <v>1</v>
      </c>
      <c r="I58" s="7">
        <v>3046.32</v>
      </c>
      <c r="J58" s="9">
        <v>0.05</v>
      </c>
      <c r="K58" s="7">
        <v>2894</v>
      </c>
      <c r="L58" s="7">
        <v>1039.33</v>
      </c>
      <c r="M58" s="3" t="s">
        <v>59</v>
      </c>
      <c r="N58" s="3" t="str">
        <f t="shared" si="0"/>
        <v>2024-01</v>
      </c>
      <c r="O58" s="3" t="str">
        <f t="shared" si="1"/>
        <v>1-10%</v>
      </c>
      <c r="P58" s="9">
        <f t="shared" si="2"/>
        <v>0.35913268832066342</v>
      </c>
      <c r="Q58" s="3" t="str">
        <f t="shared" si="3"/>
        <v>No</v>
      </c>
    </row>
    <row r="59" spans="1:17" ht="21" customHeight="1">
      <c r="A59" s="3" t="s">
        <v>237</v>
      </c>
      <c r="B59" s="5">
        <v>45310</v>
      </c>
      <c r="C59" s="3" t="s">
        <v>238</v>
      </c>
      <c r="D59" s="3" t="s">
        <v>47</v>
      </c>
      <c r="E59" s="3" t="s">
        <v>42</v>
      </c>
      <c r="F59" s="3" t="s">
        <v>90</v>
      </c>
      <c r="G59" s="3" t="s">
        <v>91</v>
      </c>
      <c r="H59" s="3">
        <v>1</v>
      </c>
      <c r="I59" s="7">
        <v>1235.55</v>
      </c>
      <c r="J59" s="9">
        <v>0.05</v>
      </c>
      <c r="K59" s="7">
        <v>1173.77</v>
      </c>
      <c r="L59" s="7">
        <v>536.78</v>
      </c>
      <c r="M59" s="3" t="s">
        <v>58</v>
      </c>
      <c r="N59" s="3" t="str">
        <f t="shared" si="0"/>
        <v>2024-01</v>
      </c>
      <c r="O59" s="3" t="str">
        <f t="shared" si="1"/>
        <v>1-10%</v>
      </c>
      <c r="P59" s="9">
        <f t="shared" si="2"/>
        <v>0.45731276144389443</v>
      </c>
      <c r="Q59" s="3" t="str">
        <f t="shared" si="3"/>
        <v>No</v>
      </c>
    </row>
    <row r="60" spans="1:17" ht="21" customHeight="1">
      <c r="A60" s="3" t="s">
        <v>239</v>
      </c>
      <c r="B60" s="5">
        <v>45310</v>
      </c>
      <c r="C60" s="3" t="s">
        <v>240</v>
      </c>
      <c r="D60" s="3" t="s">
        <v>45</v>
      </c>
      <c r="E60" s="3" t="s">
        <v>39</v>
      </c>
      <c r="F60" s="3" t="s">
        <v>164</v>
      </c>
      <c r="G60" s="3" t="s">
        <v>165</v>
      </c>
      <c r="H60" s="3">
        <v>2</v>
      </c>
      <c r="I60" s="7">
        <v>1939.5</v>
      </c>
      <c r="J60" s="9">
        <v>0.15</v>
      </c>
      <c r="K60" s="7">
        <v>3297.15</v>
      </c>
      <c r="L60" s="7">
        <v>760.63</v>
      </c>
      <c r="M60" s="3" t="s">
        <v>59</v>
      </c>
      <c r="N60" s="3" t="str">
        <f t="shared" si="0"/>
        <v>2024-01</v>
      </c>
      <c r="O60" s="3" t="str">
        <f t="shared" si="1"/>
        <v>11-15%</v>
      </c>
      <c r="P60" s="9">
        <f t="shared" si="2"/>
        <v>0.230693174408201</v>
      </c>
      <c r="Q60" s="3" t="str">
        <f t="shared" si="3"/>
        <v>No</v>
      </c>
    </row>
    <row r="61" spans="1:17" ht="21" customHeight="1">
      <c r="A61" s="3" t="s">
        <v>241</v>
      </c>
      <c r="B61" s="5">
        <v>45310</v>
      </c>
      <c r="C61" s="3" t="s">
        <v>242</v>
      </c>
      <c r="D61" s="3" t="s">
        <v>47</v>
      </c>
      <c r="E61" s="3" t="s">
        <v>40</v>
      </c>
      <c r="F61" s="3" t="s">
        <v>160</v>
      </c>
      <c r="G61" s="3" t="s">
        <v>173</v>
      </c>
      <c r="H61" s="3">
        <v>2</v>
      </c>
      <c r="I61" s="7">
        <v>8676.41</v>
      </c>
      <c r="J61" s="9">
        <v>0.05</v>
      </c>
      <c r="K61" s="7">
        <v>16485.18</v>
      </c>
      <c r="L61" s="7">
        <v>4588.92</v>
      </c>
      <c r="M61" s="3" t="s">
        <v>56</v>
      </c>
      <c r="N61" s="3" t="str">
        <f t="shared" si="0"/>
        <v>2024-01</v>
      </c>
      <c r="O61" s="3" t="str">
        <f t="shared" si="1"/>
        <v>1-10%</v>
      </c>
      <c r="P61" s="9">
        <f t="shared" si="2"/>
        <v>0.27836638726419732</v>
      </c>
      <c r="Q61" s="3" t="str">
        <f t="shared" si="3"/>
        <v>No</v>
      </c>
    </row>
    <row r="62" spans="1:17" ht="21" customHeight="1">
      <c r="A62" s="3" t="s">
        <v>243</v>
      </c>
      <c r="B62" s="5">
        <v>45310</v>
      </c>
      <c r="C62" s="3" t="s">
        <v>244</v>
      </c>
      <c r="D62" s="3" t="s">
        <v>47</v>
      </c>
      <c r="E62" s="3" t="s">
        <v>38</v>
      </c>
      <c r="F62" s="3" t="s">
        <v>142</v>
      </c>
      <c r="G62" s="3" t="s">
        <v>245</v>
      </c>
      <c r="H62" s="3">
        <v>2</v>
      </c>
      <c r="I62" s="7">
        <v>5063.16</v>
      </c>
      <c r="J62" s="9">
        <v>0.25</v>
      </c>
      <c r="K62" s="7">
        <v>7594.74</v>
      </c>
      <c r="L62" s="7">
        <v>-642.48</v>
      </c>
      <c r="M62" s="3" t="s">
        <v>56</v>
      </c>
      <c r="N62" s="3" t="str">
        <f t="shared" si="0"/>
        <v>2024-01</v>
      </c>
      <c r="O62" s="3" t="str">
        <f t="shared" si="1"/>
        <v>21%+</v>
      </c>
      <c r="P62" s="9">
        <f t="shared" si="2"/>
        <v>-8.4595391020627436E-2</v>
      </c>
      <c r="Q62" s="3" t="str">
        <f t="shared" si="3"/>
        <v>Yes</v>
      </c>
    </row>
    <row r="63" spans="1:17" ht="21" customHeight="1">
      <c r="A63" s="3" t="s">
        <v>246</v>
      </c>
      <c r="B63" s="5">
        <v>45312</v>
      </c>
      <c r="C63" s="3" t="s">
        <v>247</v>
      </c>
      <c r="D63" s="3" t="s">
        <v>44</v>
      </c>
      <c r="E63" s="3" t="s">
        <v>39</v>
      </c>
      <c r="F63" s="3" t="s">
        <v>164</v>
      </c>
      <c r="G63" s="3" t="s">
        <v>165</v>
      </c>
      <c r="H63" s="3">
        <v>2</v>
      </c>
      <c r="I63" s="7">
        <v>1972.33</v>
      </c>
      <c r="J63" s="9">
        <v>0</v>
      </c>
      <c r="K63" s="7">
        <v>3944.66</v>
      </c>
      <c r="L63" s="7">
        <v>1704.26</v>
      </c>
      <c r="M63" s="3" t="s">
        <v>59</v>
      </c>
      <c r="N63" s="3" t="str">
        <f t="shared" si="0"/>
        <v>2024-01</v>
      </c>
      <c r="O63" s="3" t="str">
        <f t="shared" si="1"/>
        <v>No discount</v>
      </c>
      <c r="P63" s="9">
        <f t="shared" si="2"/>
        <v>0.43204230529373888</v>
      </c>
      <c r="Q63" s="3" t="str">
        <f t="shared" si="3"/>
        <v>No</v>
      </c>
    </row>
    <row r="64" spans="1:17" ht="21" customHeight="1">
      <c r="A64" s="3" t="s">
        <v>248</v>
      </c>
      <c r="B64" s="5">
        <v>45312</v>
      </c>
      <c r="C64" s="3" t="s">
        <v>249</v>
      </c>
      <c r="D64" s="3" t="s">
        <v>45</v>
      </c>
      <c r="E64" s="3" t="s">
        <v>38</v>
      </c>
      <c r="F64" s="3" t="s">
        <v>142</v>
      </c>
      <c r="G64" s="3" t="s">
        <v>245</v>
      </c>
      <c r="H64" s="3">
        <v>4</v>
      </c>
      <c r="I64" s="7">
        <v>4768.74</v>
      </c>
      <c r="J64" s="9">
        <v>0</v>
      </c>
      <c r="K64" s="7">
        <v>19074.96</v>
      </c>
      <c r="L64" s="7">
        <v>4013.73</v>
      </c>
      <c r="M64" s="3" t="s">
        <v>57</v>
      </c>
      <c r="N64" s="3" t="str">
        <f t="shared" si="0"/>
        <v>2024-01</v>
      </c>
      <c r="O64" s="3" t="str">
        <f t="shared" si="1"/>
        <v>No discount</v>
      </c>
      <c r="P64" s="9">
        <f t="shared" si="2"/>
        <v>0.21041878986902202</v>
      </c>
      <c r="Q64" s="3" t="str">
        <f t="shared" si="3"/>
        <v>No</v>
      </c>
    </row>
    <row r="65" spans="1:17" ht="21" customHeight="1">
      <c r="A65" s="3" t="s">
        <v>250</v>
      </c>
      <c r="B65" s="5">
        <v>45312</v>
      </c>
      <c r="C65" s="3" t="s">
        <v>251</v>
      </c>
      <c r="D65" s="3" t="s">
        <v>44</v>
      </c>
      <c r="E65" s="3" t="s">
        <v>42</v>
      </c>
      <c r="F65" s="3" t="s">
        <v>90</v>
      </c>
      <c r="G65" s="3" t="s">
        <v>91</v>
      </c>
      <c r="H65" s="3">
        <v>1</v>
      </c>
      <c r="I65" s="7">
        <v>1234.3399999999999</v>
      </c>
      <c r="J65" s="9">
        <v>0.1</v>
      </c>
      <c r="K65" s="7">
        <v>1110.9100000000001</v>
      </c>
      <c r="L65" s="7">
        <v>463.62</v>
      </c>
      <c r="M65" s="3" t="s">
        <v>56</v>
      </c>
      <c r="N65" s="3" t="str">
        <f t="shared" si="0"/>
        <v>2024-01</v>
      </c>
      <c r="O65" s="3" t="str">
        <f t="shared" si="1"/>
        <v>1-10%</v>
      </c>
      <c r="P65" s="9">
        <f t="shared" si="2"/>
        <v>0.41733353737026402</v>
      </c>
      <c r="Q65" s="3" t="str">
        <f t="shared" si="3"/>
        <v>No</v>
      </c>
    </row>
    <row r="66" spans="1:17" ht="21" customHeight="1">
      <c r="A66" s="3" t="s">
        <v>252</v>
      </c>
      <c r="B66" s="5">
        <v>45313</v>
      </c>
      <c r="C66" s="3" t="s">
        <v>253</v>
      </c>
      <c r="D66" s="3" t="s">
        <v>46</v>
      </c>
      <c r="E66" s="3" t="s">
        <v>39</v>
      </c>
      <c r="F66" s="3" t="s">
        <v>130</v>
      </c>
      <c r="G66" s="3" t="s">
        <v>193</v>
      </c>
      <c r="H66" s="3">
        <v>1</v>
      </c>
      <c r="I66" s="7">
        <v>1790.94</v>
      </c>
      <c r="J66" s="9">
        <v>0.05</v>
      </c>
      <c r="K66" s="7">
        <v>1701.39</v>
      </c>
      <c r="L66" s="7">
        <v>679.67</v>
      </c>
      <c r="M66" s="3" t="s">
        <v>57</v>
      </c>
      <c r="N66" s="3" t="str">
        <f t="shared" ref="N66:N129" si="4">TEXT(B66,"yyyy-mm")</f>
        <v>2024-01</v>
      </c>
      <c r="O66" s="3" t="str">
        <f t="shared" ref="O66:O129" si="5">IF(J66=0,"No discount",IF(J66&lt;=0.1,"1-10%",IF(J66&lt;=0.15,"11-15%",IF(J66&lt;=0.2,"16-20%","21%+"))))</f>
        <v>1-10%</v>
      </c>
      <c r="P66" s="9">
        <f t="shared" ref="P66:P129" si="6">IF(K66=0,0,L66/K66)</f>
        <v>0.39947924931967388</v>
      </c>
      <c r="Q66" s="3" t="str">
        <f t="shared" ref="Q66:Q129" si="7">IF(L66&lt;0,"Yes","No")</f>
        <v>No</v>
      </c>
    </row>
    <row r="67" spans="1:17" ht="21" customHeight="1">
      <c r="A67" s="3" t="s">
        <v>254</v>
      </c>
      <c r="B67" s="5">
        <v>45314</v>
      </c>
      <c r="C67" s="3" t="s">
        <v>255</v>
      </c>
      <c r="D67" s="3" t="s">
        <v>44</v>
      </c>
      <c r="E67" s="3" t="s">
        <v>39</v>
      </c>
      <c r="F67" s="3" t="s">
        <v>130</v>
      </c>
      <c r="G67" s="3" t="s">
        <v>131</v>
      </c>
      <c r="H67" s="3">
        <v>2</v>
      </c>
      <c r="I67" s="7">
        <v>2194.34</v>
      </c>
      <c r="J67" s="9">
        <v>0.05</v>
      </c>
      <c r="K67" s="7">
        <v>4169.25</v>
      </c>
      <c r="L67" s="7">
        <v>1414.86</v>
      </c>
      <c r="M67" s="3" t="s">
        <v>58</v>
      </c>
      <c r="N67" s="3" t="str">
        <f t="shared" si="4"/>
        <v>2024-01</v>
      </c>
      <c r="O67" s="3" t="str">
        <f t="shared" si="5"/>
        <v>1-10%</v>
      </c>
      <c r="P67" s="9">
        <f t="shared" si="6"/>
        <v>0.33935599928044607</v>
      </c>
      <c r="Q67" s="3" t="str">
        <f t="shared" si="7"/>
        <v>No</v>
      </c>
    </row>
    <row r="68" spans="1:17" ht="21" customHeight="1">
      <c r="A68" s="3" t="s">
        <v>256</v>
      </c>
      <c r="B68" s="5">
        <v>45314</v>
      </c>
      <c r="C68" s="3" t="s">
        <v>257</v>
      </c>
      <c r="D68" s="3" t="s">
        <v>45</v>
      </c>
      <c r="E68" s="3" t="s">
        <v>39</v>
      </c>
      <c r="F68" s="3" t="s">
        <v>164</v>
      </c>
      <c r="G68" s="3" t="s">
        <v>200</v>
      </c>
      <c r="H68" s="3">
        <v>2</v>
      </c>
      <c r="I68" s="7">
        <v>1290.98</v>
      </c>
      <c r="J68" s="9">
        <v>0.1</v>
      </c>
      <c r="K68" s="7">
        <v>2323.7600000000002</v>
      </c>
      <c r="L68" s="7">
        <v>676.74</v>
      </c>
      <c r="M68" s="3" t="s">
        <v>57</v>
      </c>
      <c r="N68" s="3" t="str">
        <f t="shared" si="4"/>
        <v>2024-01</v>
      </c>
      <c r="O68" s="3" t="str">
        <f t="shared" si="5"/>
        <v>1-10%</v>
      </c>
      <c r="P68" s="9">
        <f t="shared" si="6"/>
        <v>0.29122628842909765</v>
      </c>
      <c r="Q68" s="3" t="str">
        <f t="shared" si="7"/>
        <v>No</v>
      </c>
    </row>
    <row r="69" spans="1:17" ht="21" customHeight="1">
      <c r="A69" s="3" t="s">
        <v>258</v>
      </c>
      <c r="B69" s="5">
        <v>45314</v>
      </c>
      <c r="C69" s="3" t="s">
        <v>259</v>
      </c>
      <c r="D69" s="3" t="s">
        <v>44</v>
      </c>
      <c r="E69" s="3" t="s">
        <v>41</v>
      </c>
      <c r="F69" s="3" t="s">
        <v>119</v>
      </c>
      <c r="G69" s="3" t="s">
        <v>120</v>
      </c>
      <c r="H69" s="3">
        <v>2</v>
      </c>
      <c r="I69" s="7">
        <v>1246.3699999999999</v>
      </c>
      <c r="J69" s="9">
        <v>0</v>
      </c>
      <c r="K69" s="7">
        <v>2492.7399999999998</v>
      </c>
      <c r="L69" s="7">
        <v>925.56</v>
      </c>
      <c r="M69" s="3" t="s">
        <v>56</v>
      </c>
      <c r="N69" s="3" t="str">
        <f t="shared" si="4"/>
        <v>2024-01</v>
      </c>
      <c r="O69" s="3" t="str">
        <f t="shared" si="5"/>
        <v>No discount</v>
      </c>
      <c r="P69" s="9">
        <f t="shared" si="6"/>
        <v>0.37130226176817477</v>
      </c>
      <c r="Q69" s="3" t="str">
        <f t="shared" si="7"/>
        <v>No</v>
      </c>
    </row>
    <row r="70" spans="1:17" ht="21" customHeight="1">
      <c r="A70" s="3" t="s">
        <v>260</v>
      </c>
      <c r="B70" s="5">
        <v>45314</v>
      </c>
      <c r="C70" s="3" t="s">
        <v>139</v>
      </c>
      <c r="D70" s="3" t="s">
        <v>44</v>
      </c>
      <c r="E70" s="3" t="s">
        <v>39</v>
      </c>
      <c r="F70" s="3" t="s">
        <v>130</v>
      </c>
      <c r="G70" s="3" t="s">
        <v>131</v>
      </c>
      <c r="H70" s="3">
        <v>5</v>
      </c>
      <c r="I70" s="7">
        <v>2212.92</v>
      </c>
      <c r="J70" s="9">
        <v>0.1</v>
      </c>
      <c r="K70" s="7">
        <v>9958.14</v>
      </c>
      <c r="L70" s="7">
        <v>3153.13</v>
      </c>
      <c r="M70" s="3" t="s">
        <v>58</v>
      </c>
      <c r="N70" s="3" t="str">
        <f t="shared" si="4"/>
        <v>2024-01</v>
      </c>
      <c r="O70" s="3" t="str">
        <f t="shared" si="5"/>
        <v>1-10%</v>
      </c>
      <c r="P70" s="9">
        <f t="shared" si="6"/>
        <v>0.31663844854561196</v>
      </c>
      <c r="Q70" s="3" t="str">
        <f t="shared" si="7"/>
        <v>No</v>
      </c>
    </row>
    <row r="71" spans="1:17" ht="21" customHeight="1">
      <c r="A71" s="3" t="s">
        <v>261</v>
      </c>
      <c r="B71" s="5">
        <v>45314</v>
      </c>
      <c r="C71" s="3" t="s">
        <v>262</v>
      </c>
      <c r="D71" s="3" t="s">
        <v>44</v>
      </c>
      <c r="E71" s="3" t="s">
        <v>40</v>
      </c>
      <c r="F71" s="3" t="s">
        <v>102</v>
      </c>
      <c r="G71" s="3" t="s">
        <v>103</v>
      </c>
      <c r="H71" s="3">
        <v>1</v>
      </c>
      <c r="I71" s="7">
        <v>6228.5</v>
      </c>
      <c r="J71" s="9">
        <v>0.25</v>
      </c>
      <c r="K71" s="7">
        <v>4671.38</v>
      </c>
      <c r="L71" s="7">
        <v>118.58</v>
      </c>
      <c r="M71" s="3" t="s">
        <v>56</v>
      </c>
      <c r="N71" s="3" t="str">
        <f t="shared" si="4"/>
        <v>2024-01</v>
      </c>
      <c r="O71" s="3" t="str">
        <f t="shared" si="5"/>
        <v>21%+</v>
      </c>
      <c r="P71" s="9">
        <f t="shared" si="6"/>
        <v>2.5384361794587466E-2</v>
      </c>
      <c r="Q71" s="3" t="str">
        <f t="shared" si="7"/>
        <v>No</v>
      </c>
    </row>
    <row r="72" spans="1:17" ht="21" customHeight="1">
      <c r="A72" s="3" t="s">
        <v>263</v>
      </c>
      <c r="B72" s="5">
        <v>45315</v>
      </c>
      <c r="C72" s="3" t="s">
        <v>264</v>
      </c>
      <c r="D72" s="3" t="s">
        <v>44</v>
      </c>
      <c r="E72" s="3" t="s">
        <v>39</v>
      </c>
      <c r="F72" s="3" t="s">
        <v>109</v>
      </c>
      <c r="G72" s="3" t="s">
        <v>110</v>
      </c>
      <c r="H72" s="3">
        <v>3</v>
      </c>
      <c r="I72" s="7">
        <v>2853.17</v>
      </c>
      <c r="J72" s="9">
        <v>0.2</v>
      </c>
      <c r="K72" s="7">
        <v>6847.61</v>
      </c>
      <c r="L72" s="7">
        <v>1407.21</v>
      </c>
      <c r="M72" s="3" t="s">
        <v>57</v>
      </c>
      <c r="N72" s="3" t="str">
        <f t="shared" si="4"/>
        <v>2024-01</v>
      </c>
      <c r="O72" s="3" t="str">
        <f t="shared" si="5"/>
        <v>16-20%</v>
      </c>
      <c r="P72" s="9">
        <f t="shared" si="6"/>
        <v>0.20550381812048293</v>
      </c>
      <c r="Q72" s="3" t="str">
        <f t="shared" si="7"/>
        <v>No</v>
      </c>
    </row>
    <row r="73" spans="1:17" ht="21" customHeight="1">
      <c r="A73" s="3" t="s">
        <v>265</v>
      </c>
      <c r="B73" s="5">
        <v>45315</v>
      </c>
      <c r="C73" s="3" t="s">
        <v>266</v>
      </c>
      <c r="D73" s="3" t="s">
        <v>47</v>
      </c>
      <c r="E73" s="3" t="s">
        <v>39</v>
      </c>
      <c r="F73" s="3" t="s">
        <v>130</v>
      </c>
      <c r="G73" s="3" t="s">
        <v>193</v>
      </c>
      <c r="H73" s="3">
        <v>1</v>
      </c>
      <c r="I73" s="7">
        <v>1834.46</v>
      </c>
      <c r="J73" s="9">
        <v>0</v>
      </c>
      <c r="K73" s="7">
        <v>1834.46</v>
      </c>
      <c r="L73" s="7">
        <v>769.93</v>
      </c>
      <c r="M73" s="3" t="s">
        <v>57</v>
      </c>
      <c r="N73" s="3" t="str">
        <f t="shared" si="4"/>
        <v>2024-01</v>
      </c>
      <c r="O73" s="3" t="str">
        <f t="shared" si="5"/>
        <v>No discount</v>
      </c>
      <c r="P73" s="9">
        <f t="shared" si="6"/>
        <v>0.41970389106331013</v>
      </c>
      <c r="Q73" s="3" t="str">
        <f t="shared" si="7"/>
        <v>No</v>
      </c>
    </row>
    <row r="74" spans="1:17" ht="21" customHeight="1">
      <c r="A74" s="3" t="s">
        <v>267</v>
      </c>
      <c r="B74" s="5">
        <v>45315</v>
      </c>
      <c r="C74" s="3" t="s">
        <v>268</v>
      </c>
      <c r="D74" s="3" t="s">
        <v>46</v>
      </c>
      <c r="E74" s="3" t="s">
        <v>41</v>
      </c>
      <c r="F74" s="3" t="s">
        <v>113</v>
      </c>
      <c r="G74" s="3" t="s">
        <v>114</v>
      </c>
      <c r="H74" s="3">
        <v>1</v>
      </c>
      <c r="I74" s="7">
        <v>12302.13</v>
      </c>
      <c r="J74" s="9">
        <v>0.05</v>
      </c>
      <c r="K74" s="7">
        <v>11687.02</v>
      </c>
      <c r="L74" s="7">
        <v>4014.81</v>
      </c>
      <c r="M74" s="3" t="s">
        <v>56</v>
      </c>
      <c r="N74" s="3" t="str">
        <f t="shared" si="4"/>
        <v>2024-01</v>
      </c>
      <c r="O74" s="3" t="str">
        <f t="shared" si="5"/>
        <v>1-10%</v>
      </c>
      <c r="P74" s="9">
        <f t="shared" si="6"/>
        <v>0.34352726357959512</v>
      </c>
      <c r="Q74" s="3" t="str">
        <f t="shared" si="7"/>
        <v>No</v>
      </c>
    </row>
    <row r="75" spans="1:17" ht="21" customHeight="1">
      <c r="A75" s="3" t="s">
        <v>269</v>
      </c>
      <c r="B75" s="5">
        <v>45315</v>
      </c>
      <c r="C75" s="3" t="s">
        <v>270</v>
      </c>
      <c r="D75" s="3" t="s">
        <v>44</v>
      </c>
      <c r="E75" s="3" t="s">
        <v>39</v>
      </c>
      <c r="F75" s="3" t="s">
        <v>130</v>
      </c>
      <c r="G75" s="3" t="s">
        <v>193</v>
      </c>
      <c r="H75" s="3">
        <v>1</v>
      </c>
      <c r="I75" s="7">
        <v>1859.38</v>
      </c>
      <c r="J75" s="9">
        <v>0.05</v>
      </c>
      <c r="K75" s="7">
        <v>1766.41</v>
      </c>
      <c r="L75" s="7">
        <v>574.77</v>
      </c>
      <c r="M75" s="3" t="s">
        <v>57</v>
      </c>
      <c r="N75" s="3" t="str">
        <f t="shared" si="4"/>
        <v>2024-01</v>
      </c>
      <c r="O75" s="3" t="str">
        <f t="shared" si="5"/>
        <v>1-10%</v>
      </c>
      <c r="P75" s="9">
        <f t="shared" si="6"/>
        <v>0.32538878289864753</v>
      </c>
      <c r="Q75" s="3" t="str">
        <f t="shared" si="7"/>
        <v>No</v>
      </c>
    </row>
    <row r="76" spans="1:17" ht="21" customHeight="1">
      <c r="A76" s="3" t="s">
        <v>271</v>
      </c>
      <c r="B76" s="5">
        <v>45316</v>
      </c>
      <c r="C76" s="3" t="s">
        <v>272</v>
      </c>
      <c r="D76" s="3" t="s">
        <v>44</v>
      </c>
      <c r="E76" s="3" t="s">
        <v>40</v>
      </c>
      <c r="F76" s="3" t="s">
        <v>102</v>
      </c>
      <c r="G76" s="3" t="s">
        <v>146</v>
      </c>
      <c r="H76" s="3">
        <v>5</v>
      </c>
      <c r="I76" s="7">
        <v>7614.63</v>
      </c>
      <c r="J76" s="9">
        <v>0.15</v>
      </c>
      <c r="K76" s="7">
        <v>32362.18</v>
      </c>
      <c r="L76" s="7">
        <v>5626.07</v>
      </c>
      <c r="M76" s="3" t="s">
        <v>58</v>
      </c>
      <c r="N76" s="3" t="str">
        <f t="shared" si="4"/>
        <v>2024-01</v>
      </c>
      <c r="O76" s="3" t="str">
        <f t="shared" si="5"/>
        <v>11-15%</v>
      </c>
      <c r="P76" s="9">
        <f t="shared" si="6"/>
        <v>0.1738470646909448</v>
      </c>
      <c r="Q76" s="3" t="str">
        <f t="shared" si="7"/>
        <v>No</v>
      </c>
    </row>
    <row r="77" spans="1:17" ht="21" customHeight="1">
      <c r="A77" s="3" t="s">
        <v>273</v>
      </c>
      <c r="B77" s="5">
        <v>45316</v>
      </c>
      <c r="C77" s="3" t="s">
        <v>274</v>
      </c>
      <c r="D77" s="3" t="s">
        <v>47</v>
      </c>
      <c r="E77" s="3" t="s">
        <v>40</v>
      </c>
      <c r="F77" s="3" t="s">
        <v>102</v>
      </c>
      <c r="G77" s="3" t="s">
        <v>103</v>
      </c>
      <c r="H77" s="3">
        <v>1</v>
      </c>
      <c r="I77" s="7">
        <v>6445.54</v>
      </c>
      <c r="J77" s="9">
        <v>0.2</v>
      </c>
      <c r="K77" s="7">
        <v>5156.43</v>
      </c>
      <c r="L77" s="7">
        <v>379.13</v>
      </c>
      <c r="M77" s="3" t="s">
        <v>56</v>
      </c>
      <c r="N77" s="3" t="str">
        <f t="shared" si="4"/>
        <v>2024-01</v>
      </c>
      <c r="O77" s="3" t="str">
        <f t="shared" si="5"/>
        <v>16-20%</v>
      </c>
      <c r="P77" s="9">
        <f t="shared" si="6"/>
        <v>7.3525675709744914E-2</v>
      </c>
      <c r="Q77" s="3" t="str">
        <f t="shared" si="7"/>
        <v>No</v>
      </c>
    </row>
    <row r="78" spans="1:17" ht="21" customHeight="1">
      <c r="A78" s="3" t="s">
        <v>275</v>
      </c>
      <c r="B78" s="5">
        <v>45316</v>
      </c>
      <c r="C78" s="3" t="s">
        <v>276</v>
      </c>
      <c r="D78" s="3" t="s">
        <v>44</v>
      </c>
      <c r="E78" s="3" t="s">
        <v>40</v>
      </c>
      <c r="F78" s="3" t="s">
        <v>102</v>
      </c>
      <c r="G78" s="3" t="s">
        <v>103</v>
      </c>
      <c r="H78" s="3">
        <v>1</v>
      </c>
      <c r="I78" s="7">
        <v>6629.49</v>
      </c>
      <c r="J78" s="9">
        <v>0.05</v>
      </c>
      <c r="K78" s="7">
        <v>6298.02</v>
      </c>
      <c r="L78" s="7">
        <v>1923.62</v>
      </c>
      <c r="M78" s="3" t="s">
        <v>56</v>
      </c>
      <c r="N78" s="3" t="str">
        <f t="shared" si="4"/>
        <v>2024-01</v>
      </c>
      <c r="O78" s="3" t="str">
        <f t="shared" si="5"/>
        <v>1-10%</v>
      </c>
      <c r="P78" s="9">
        <f t="shared" si="6"/>
        <v>0.30543250100825337</v>
      </c>
      <c r="Q78" s="3" t="str">
        <f t="shared" si="7"/>
        <v>No</v>
      </c>
    </row>
    <row r="79" spans="1:17" ht="21" customHeight="1">
      <c r="A79" s="3" t="s">
        <v>277</v>
      </c>
      <c r="B79" s="5">
        <v>45317</v>
      </c>
      <c r="C79" s="3" t="s">
        <v>278</v>
      </c>
      <c r="D79" s="3" t="s">
        <v>46</v>
      </c>
      <c r="E79" s="3" t="s">
        <v>40</v>
      </c>
      <c r="F79" s="3" t="s">
        <v>221</v>
      </c>
      <c r="G79" s="3" t="s">
        <v>279</v>
      </c>
      <c r="H79" s="3">
        <v>4</v>
      </c>
      <c r="I79" s="7">
        <v>1461.45</v>
      </c>
      <c r="J79" s="9">
        <v>0</v>
      </c>
      <c r="K79" s="7">
        <v>5845.8</v>
      </c>
      <c r="L79" s="7">
        <v>1743.35</v>
      </c>
      <c r="M79" s="3" t="s">
        <v>59</v>
      </c>
      <c r="N79" s="3" t="str">
        <f t="shared" si="4"/>
        <v>2024-01</v>
      </c>
      <c r="O79" s="3" t="str">
        <f t="shared" si="5"/>
        <v>No discount</v>
      </c>
      <c r="P79" s="9">
        <f t="shared" si="6"/>
        <v>0.29822265558178518</v>
      </c>
      <c r="Q79" s="3" t="str">
        <f t="shared" si="7"/>
        <v>No</v>
      </c>
    </row>
    <row r="80" spans="1:17" ht="21" customHeight="1">
      <c r="A80" s="3" t="s">
        <v>280</v>
      </c>
      <c r="B80" s="5">
        <v>45317</v>
      </c>
      <c r="C80" s="3" t="s">
        <v>281</v>
      </c>
      <c r="D80" s="3" t="s">
        <v>46</v>
      </c>
      <c r="E80" s="3" t="s">
        <v>40</v>
      </c>
      <c r="F80" s="3" t="s">
        <v>102</v>
      </c>
      <c r="G80" s="3" t="s">
        <v>146</v>
      </c>
      <c r="H80" s="3">
        <v>4</v>
      </c>
      <c r="I80" s="7">
        <v>7934.18</v>
      </c>
      <c r="J80" s="9">
        <v>0.3</v>
      </c>
      <c r="K80" s="7">
        <v>22215.7</v>
      </c>
      <c r="L80" s="7">
        <v>-833.07</v>
      </c>
      <c r="M80" s="3" t="s">
        <v>56</v>
      </c>
      <c r="N80" s="3" t="str">
        <f t="shared" si="4"/>
        <v>2024-01</v>
      </c>
      <c r="O80" s="3" t="str">
        <f t="shared" si="5"/>
        <v>21%+</v>
      </c>
      <c r="P80" s="9">
        <f t="shared" si="6"/>
        <v>-3.749915600228667E-2</v>
      </c>
      <c r="Q80" s="3" t="str">
        <f t="shared" si="7"/>
        <v>Yes</v>
      </c>
    </row>
    <row r="81" spans="1:17" ht="21" customHeight="1">
      <c r="A81" s="3" t="s">
        <v>282</v>
      </c>
      <c r="B81" s="5">
        <v>45318</v>
      </c>
      <c r="C81" s="3" t="s">
        <v>283</v>
      </c>
      <c r="D81" s="3" t="s">
        <v>46</v>
      </c>
      <c r="E81" s="3" t="s">
        <v>39</v>
      </c>
      <c r="F81" s="3" t="s">
        <v>109</v>
      </c>
      <c r="G81" s="3" t="s">
        <v>110</v>
      </c>
      <c r="H81" s="3">
        <v>3</v>
      </c>
      <c r="I81" s="7">
        <v>3081.28</v>
      </c>
      <c r="J81" s="9">
        <v>0</v>
      </c>
      <c r="K81" s="7">
        <v>9243.84</v>
      </c>
      <c r="L81" s="7">
        <v>4095.87</v>
      </c>
      <c r="M81" s="3" t="s">
        <v>56</v>
      </c>
      <c r="N81" s="3" t="str">
        <f t="shared" si="4"/>
        <v>2024-01</v>
      </c>
      <c r="O81" s="3" t="str">
        <f t="shared" si="5"/>
        <v>No discount</v>
      </c>
      <c r="P81" s="9">
        <f t="shared" si="6"/>
        <v>0.44309183196593621</v>
      </c>
      <c r="Q81" s="3" t="str">
        <f t="shared" si="7"/>
        <v>No</v>
      </c>
    </row>
    <row r="82" spans="1:17" ht="21" customHeight="1">
      <c r="A82" s="3" t="s">
        <v>284</v>
      </c>
      <c r="B82" s="5">
        <v>45318</v>
      </c>
      <c r="C82" s="3" t="s">
        <v>285</v>
      </c>
      <c r="D82" s="3" t="s">
        <v>44</v>
      </c>
      <c r="E82" s="3" t="s">
        <v>42</v>
      </c>
      <c r="F82" s="3" t="s">
        <v>90</v>
      </c>
      <c r="G82" s="3" t="s">
        <v>106</v>
      </c>
      <c r="H82" s="3">
        <v>2</v>
      </c>
      <c r="I82" s="7">
        <v>934.12</v>
      </c>
      <c r="J82" s="9">
        <v>0</v>
      </c>
      <c r="K82" s="7">
        <v>1868.24</v>
      </c>
      <c r="L82" s="7">
        <v>1033.2</v>
      </c>
      <c r="M82" s="3" t="s">
        <v>57</v>
      </c>
      <c r="N82" s="3" t="str">
        <f t="shared" si="4"/>
        <v>2024-01</v>
      </c>
      <c r="O82" s="3" t="str">
        <f t="shared" si="5"/>
        <v>No discount</v>
      </c>
      <c r="P82" s="9">
        <f t="shared" si="6"/>
        <v>0.55303387145120542</v>
      </c>
      <c r="Q82" s="3" t="str">
        <f t="shared" si="7"/>
        <v>No</v>
      </c>
    </row>
    <row r="83" spans="1:17" ht="21" customHeight="1">
      <c r="A83" s="3" t="s">
        <v>286</v>
      </c>
      <c r="B83" s="5">
        <v>45318</v>
      </c>
      <c r="C83" s="3" t="s">
        <v>287</v>
      </c>
      <c r="D83" s="3" t="s">
        <v>44</v>
      </c>
      <c r="E83" s="3" t="s">
        <v>41</v>
      </c>
      <c r="F83" s="3" t="s">
        <v>119</v>
      </c>
      <c r="G83" s="3" t="s">
        <v>168</v>
      </c>
      <c r="H83" s="3">
        <v>2</v>
      </c>
      <c r="I83" s="7">
        <v>9959.75</v>
      </c>
      <c r="J83" s="9">
        <v>0.05</v>
      </c>
      <c r="K83" s="7">
        <v>18923.52</v>
      </c>
      <c r="L83" s="7">
        <v>6653</v>
      </c>
      <c r="M83" s="3" t="s">
        <v>56</v>
      </c>
      <c r="N83" s="3" t="str">
        <f t="shared" si="4"/>
        <v>2024-01</v>
      </c>
      <c r="O83" s="3" t="str">
        <f t="shared" si="5"/>
        <v>1-10%</v>
      </c>
      <c r="P83" s="9">
        <f t="shared" si="6"/>
        <v>0.35157306885822509</v>
      </c>
      <c r="Q83" s="3" t="str">
        <f t="shared" si="7"/>
        <v>No</v>
      </c>
    </row>
    <row r="84" spans="1:17" ht="21" customHeight="1">
      <c r="A84" s="3" t="s">
        <v>288</v>
      </c>
      <c r="B84" s="5">
        <v>45318</v>
      </c>
      <c r="C84" s="3" t="s">
        <v>289</v>
      </c>
      <c r="D84" s="3" t="s">
        <v>44</v>
      </c>
      <c r="E84" s="3" t="s">
        <v>42</v>
      </c>
      <c r="F84" s="3" t="s">
        <v>126</v>
      </c>
      <c r="G84" s="3" t="s">
        <v>151</v>
      </c>
      <c r="H84" s="3">
        <v>3</v>
      </c>
      <c r="I84" s="7">
        <v>1530.88</v>
      </c>
      <c r="J84" s="9">
        <v>0.05</v>
      </c>
      <c r="K84" s="7">
        <v>4363.01</v>
      </c>
      <c r="L84" s="7">
        <v>2188.4499999999998</v>
      </c>
      <c r="M84" s="3" t="s">
        <v>56</v>
      </c>
      <c r="N84" s="3" t="str">
        <f t="shared" si="4"/>
        <v>2024-01</v>
      </c>
      <c r="O84" s="3" t="str">
        <f t="shared" si="5"/>
        <v>1-10%</v>
      </c>
      <c r="P84" s="9">
        <f t="shared" si="6"/>
        <v>0.5015917909883314</v>
      </c>
      <c r="Q84" s="3" t="str">
        <f t="shared" si="7"/>
        <v>No</v>
      </c>
    </row>
    <row r="85" spans="1:17" ht="21" customHeight="1">
      <c r="A85" s="3" t="s">
        <v>290</v>
      </c>
      <c r="B85" s="5">
        <v>45319</v>
      </c>
      <c r="C85" s="3" t="s">
        <v>291</v>
      </c>
      <c r="D85" s="3" t="s">
        <v>47</v>
      </c>
      <c r="E85" s="3" t="s">
        <v>42</v>
      </c>
      <c r="F85" s="3" t="s">
        <v>126</v>
      </c>
      <c r="G85" s="3" t="s">
        <v>151</v>
      </c>
      <c r="H85" s="3">
        <v>1</v>
      </c>
      <c r="I85" s="7">
        <v>1449.39</v>
      </c>
      <c r="J85" s="9">
        <v>0.05</v>
      </c>
      <c r="K85" s="7">
        <v>1376.92</v>
      </c>
      <c r="L85" s="7">
        <v>628.74</v>
      </c>
      <c r="M85" s="3" t="s">
        <v>58</v>
      </c>
      <c r="N85" s="3" t="str">
        <f t="shared" si="4"/>
        <v>2024-01</v>
      </c>
      <c r="O85" s="3" t="str">
        <f t="shared" si="5"/>
        <v>1-10%</v>
      </c>
      <c r="P85" s="9">
        <f t="shared" si="6"/>
        <v>0.45662783603985707</v>
      </c>
      <c r="Q85" s="3" t="str">
        <f t="shared" si="7"/>
        <v>No</v>
      </c>
    </row>
    <row r="86" spans="1:17" ht="21" customHeight="1">
      <c r="A86" s="3" t="s">
        <v>292</v>
      </c>
      <c r="B86" s="5">
        <v>45319</v>
      </c>
      <c r="C86" s="3" t="s">
        <v>293</v>
      </c>
      <c r="D86" s="3" t="s">
        <v>47</v>
      </c>
      <c r="E86" s="3" t="s">
        <v>40</v>
      </c>
      <c r="F86" s="3" t="s">
        <v>160</v>
      </c>
      <c r="G86" s="3" t="s">
        <v>161</v>
      </c>
      <c r="H86" s="3">
        <v>1</v>
      </c>
      <c r="I86" s="7">
        <v>13637.26</v>
      </c>
      <c r="J86" s="9">
        <v>0</v>
      </c>
      <c r="K86" s="7">
        <v>13637.26</v>
      </c>
      <c r="L86" s="7">
        <v>4208.9799999999996</v>
      </c>
      <c r="M86" s="3" t="s">
        <v>58</v>
      </c>
      <c r="N86" s="3" t="str">
        <f t="shared" si="4"/>
        <v>2024-01</v>
      </c>
      <c r="O86" s="3" t="str">
        <f t="shared" si="5"/>
        <v>No discount</v>
      </c>
      <c r="P86" s="9">
        <f t="shared" si="6"/>
        <v>0.30863824551266161</v>
      </c>
      <c r="Q86" s="3" t="str">
        <f t="shared" si="7"/>
        <v>No</v>
      </c>
    </row>
    <row r="87" spans="1:17" ht="21" customHeight="1">
      <c r="A87" s="3" t="s">
        <v>294</v>
      </c>
      <c r="B87" s="5">
        <v>45320</v>
      </c>
      <c r="C87" s="3" t="s">
        <v>295</v>
      </c>
      <c r="D87" s="3" t="s">
        <v>45</v>
      </c>
      <c r="E87" s="3" t="s">
        <v>39</v>
      </c>
      <c r="F87" s="3" t="s">
        <v>164</v>
      </c>
      <c r="G87" s="3" t="s">
        <v>200</v>
      </c>
      <c r="H87" s="3">
        <v>4</v>
      </c>
      <c r="I87" s="7">
        <v>1308.26</v>
      </c>
      <c r="J87" s="9">
        <v>0.15</v>
      </c>
      <c r="K87" s="7">
        <v>4448.08</v>
      </c>
      <c r="L87" s="7">
        <v>984.67</v>
      </c>
      <c r="M87" s="3" t="s">
        <v>56</v>
      </c>
      <c r="N87" s="3" t="str">
        <f t="shared" si="4"/>
        <v>2024-01</v>
      </c>
      <c r="O87" s="3" t="str">
        <f t="shared" si="5"/>
        <v>11-15%</v>
      </c>
      <c r="P87" s="9">
        <f t="shared" si="6"/>
        <v>0.22136966961025881</v>
      </c>
      <c r="Q87" s="3" t="str">
        <f t="shared" si="7"/>
        <v>No</v>
      </c>
    </row>
    <row r="88" spans="1:17" ht="21" customHeight="1">
      <c r="A88" s="3" t="s">
        <v>296</v>
      </c>
      <c r="B88" s="5">
        <v>45320</v>
      </c>
      <c r="C88" s="3" t="s">
        <v>297</v>
      </c>
      <c r="D88" s="3" t="s">
        <v>45</v>
      </c>
      <c r="E88" s="3" t="s">
        <v>41</v>
      </c>
      <c r="F88" s="3" t="s">
        <v>113</v>
      </c>
      <c r="G88" s="3" t="s">
        <v>123</v>
      </c>
      <c r="H88" s="3">
        <v>2</v>
      </c>
      <c r="I88" s="7">
        <v>3632.6</v>
      </c>
      <c r="J88" s="9">
        <v>0.05</v>
      </c>
      <c r="K88" s="7">
        <v>6901.94</v>
      </c>
      <c r="L88" s="7">
        <v>2225.77</v>
      </c>
      <c r="M88" s="3" t="s">
        <v>56</v>
      </c>
      <c r="N88" s="3" t="str">
        <f t="shared" si="4"/>
        <v>2024-01</v>
      </c>
      <c r="O88" s="3" t="str">
        <f t="shared" si="5"/>
        <v>1-10%</v>
      </c>
      <c r="P88" s="9">
        <f t="shared" si="6"/>
        <v>0.32248469270958602</v>
      </c>
      <c r="Q88" s="3" t="str">
        <f t="shared" si="7"/>
        <v>No</v>
      </c>
    </row>
    <row r="89" spans="1:17" ht="21" customHeight="1">
      <c r="A89" s="3" t="s">
        <v>298</v>
      </c>
      <c r="B89" s="5">
        <v>45320</v>
      </c>
      <c r="C89" s="3" t="s">
        <v>299</v>
      </c>
      <c r="D89" s="3" t="s">
        <v>44</v>
      </c>
      <c r="E89" s="3" t="s">
        <v>41</v>
      </c>
      <c r="F89" s="3" t="s">
        <v>113</v>
      </c>
      <c r="G89" s="3" t="s">
        <v>114</v>
      </c>
      <c r="H89" s="3">
        <v>1</v>
      </c>
      <c r="I89" s="7">
        <v>12024.58</v>
      </c>
      <c r="J89" s="9">
        <v>0.15</v>
      </c>
      <c r="K89" s="7">
        <v>10220.89</v>
      </c>
      <c r="L89" s="7">
        <v>2254.9299999999998</v>
      </c>
      <c r="M89" s="3" t="s">
        <v>56</v>
      </c>
      <c r="N89" s="3" t="str">
        <f t="shared" si="4"/>
        <v>2024-01</v>
      </c>
      <c r="O89" s="3" t="str">
        <f t="shared" si="5"/>
        <v>11-15%</v>
      </c>
      <c r="P89" s="9">
        <f t="shared" si="6"/>
        <v>0.22061973076708583</v>
      </c>
      <c r="Q89" s="3" t="str">
        <f t="shared" si="7"/>
        <v>No</v>
      </c>
    </row>
    <row r="90" spans="1:17" ht="21" customHeight="1">
      <c r="A90" s="3" t="s">
        <v>300</v>
      </c>
      <c r="B90" s="5">
        <v>45321</v>
      </c>
      <c r="C90" s="3" t="s">
        <v>301</v>
      </c>
      <c r="D90" s="3" t="s">
        <v>46</v>
      </c>
      <c r="E90" s="3" t="s">
        <v>41</v>
      </c>
      <c r="F90" s="3" t="s">
        <v>119</v>
      </c>
      <c r="G90" s="3" t="s">
        <v>168</v>
      </c>
      <c r="H90" s="3">
        <v>3</v>
      </c>
      <c r="I90" s="7">
        <v>10494.16</v>
      </c>
      <c r="J90" s="9">
        <v>0.1</v>
      </c>
      <c r="K90" s="7">
        <v>28334.23</v>
      </c>
      <c r="L90" s="7">
        <v>7016.61</v>
      </c>
      <c r="M90" s="3" t="s">
        <v>56</v>
      </c>
      <c r="N90" s="3" t="str">
        <f t="shared" si="4"/>
        <v>2024-01</v>
      </c>
      <c r="O90" s="3" t="str">
        <f t="shared" si="5"/>
        <v>1-10%</v>
      </c>
      <c r="P90" s="9">
        <f t="shared" si="6"/>
        <v>0.24763722183380313</v>
      </c>
      <c r="Q90" s="3" t="str">
        <f t="shared" si="7"/>
        <v>No</v>
      </c>
    </row>
    <row r="91" spans="1:17" ht="21" customHeight="1">
      <c r="A91" s="3" t="s">
        <v>302</v>
      </c>
      <c r="B91" s="5">
        <v>45321</v>
      </c>
      <c r="C91" s="3" t="s">
        <v>303</v>
      </c>
      <c r="D91" s="3" t="s">
        <v>46</v>
      </c>
      <c r="E91" s="3" t="s">
        <v>41</v>
      </c>
      <c r="F91" s="3" t="s">
        <v>119</v>
      </c>
      <c r="G91" s="3" t="s">
        <v>168</v>
      </c>
      <c r="H91" s="3">
        <v>1</v>
      </c>
      <c r="I91" s="7">
        <v>9714.1</v>
      </c>
      <c r="J91" s="9">
        <v>0.05</v>
      </c>
      <c r="K91" s="7">
        <v>9228.4</v>
      </c>
      <c r="L91" s="7">
        <v>2934</v>
      </c>
      <c r="M91" s="3" t="s">
        <v>56</v>
      </c>
      <c r="N91" s="3" t="str">
        <f t="shared" si="4"/>
        <v>2024-01</v>
      </c>
      <c r="O91" s="3" t="str">
        <f t="shared" si="5"/>
        <v>1-10%</v>
      </c>
      <c r="P91" s="9">
        <f t="shared" si="6"/>
        <v>0.31793160244462748</v>
      </c>
      <c r="Q91" s="3" t="str">
        <f t="shared" si="7"/>
        <v>No</v>
      </c>
    </row>
    <row r="92" spans="1:17" ht="21" customHeight="1">
      <c r="A92" s="3" t="s">
        <v>304</v>
      </c>
      <c r="B92" s="5">
        <v>45321</v>
      </c>
      <c r="C92" s="3" t="s">
        <v>274</v>
      </c>
      <c r="D92" s="3" t="s">
        <v>44</v>
      </c>
      <c r="E92" s="3" t="s">
        <v>39</v>
      </c>
      <c r="F92" s="3" t="s">
        <v>130</v>
      </c>
      <c r="G92" s="3" t="s">
        <v>131</v>
      </c>
      <c r="H92" s="3">
        <v>1</v>
      </c>
      <c r="I92" s="7">
        <v>2248.4499999999998</v>
      </c>
      <c r="J92" s="9">
        <v>0.15</v>
      </c>
      <c r="K92" s="7">
        <v>1911.18</v>
      </c>
      <c r="L92" s="7">
        <v>411.95</v>
      </c>
      <c r="M92" s="3" t="s">
        <v>57</v>
      </c>
      <c r="N92" s="3" t="str">
        <f t="shared" si="4"/>
        <v>2024-01</v>
      </c>
      <c r="O92" s="3" t="str">
        <f t="shared" si="5"/>
        <v>11-15%</v>
      </c>
      <c r="P92" s="9">
        <f t="shared" si="6"/>
        <v>0.21554746282401446</v>
      </c>
      <c r="Q92" s="3" t="str">
        <f t="shared" si="7"/>
        <v>No</v>
      </c>
    </row>
    <row r="93" spans="1:17" ht="21" customHeight="1">
      <c r="A93" s="3" t="s">
        <v>305</v>
      </c>
      <c r="B93" s="5">
        <v>45322</v>
      </c>
      <c r="C93" s="3" t="s">
        <v>167</v>
      </c>
      <c r="D93" s="3" t="s">
        <v>46</v>
      </c>
      <c r="E93" s="3" t="s">
        <v>39</v>
      </c>
      <c r="F93" s="3" t="s">
        <v>130</v>
      </c>
      <c r="G93" s="3" t="s">
        <v>193</v>
      </c>
      <c r="H93" s="3">
        <v>1</v>
      </c>
      <c r="I93" s="7">
        <v>1736.28</v>
      </c>
      <c r="J93" s="9">
        <v>0.05</v>
      </c>
      <c r="K93" s="7">
        <v>1649.47</v>
      </c>
      <c r="L93" s="7">
        <v>638.76</v>
      </c>
      <c r="M93" s="3" t="s">
        <v>56</v>
      </c>
      <c r="N93" s="3" t="str">
        <f t="shared" si="4"/>
        <v>2024-01</v>
      </c>
      <c r="O93" s="3" t="str">
        <f t="shared" si="5"/>
        <v>1-10%</v>
      </c>
      <c r="P93" s="9">
        <f t="shared" si="6"/>
        <v>0.38725166265527716</v>
      </c>
      <c r="Q93" s="3" t="str">
        <f t="shared" si="7"/>
        <v>No</v>
      </c>
    </row>
    <row r="94" spans="1:17" ht="21" customHeight="1">
      <c r="A94" s="3" t="s">
        <v>306</v>
      </c>
      <c r="B94" s="5">
        <v>45323</v>
      </c>
      <c r="C94" s="3" t="s">
        <v>307</v>
      </c>
      <c r="D94" s="3" t="s">
        <v>44</v>
      </c>
      <c r="E94" s="3" t="s">
        <v>40</v>
      </c>
      <c r="F94" s="3" t="s">
        <v>221</v>
      </c>
      <c r="G94" s="3" t="s">
        <v>222</v>
      </c>
      <c r="H94" s="3">
        <v>1</v>
      </c>
      <c r="I94" s="7">
        <v>1005.63</v>
      </c>
      <c r="J94" s="9">
        <v>0.2</v>
      </c>
      <c r="K94" s="7">
        <v>804.5</v>
      </c>
      <c r="L94" s="7">
        <v>74.06</v>
      </c>
      <c r="M94" s="3" t="s">
        <v>57</v>
      </c>
      <c r="N94" s="3" t="str">
        <f t="shared" si="4"/>
        <v>2024-02</v>
      </c>
      <c r="O94" s="3" t="str">
        <f t="shared" si="5"/>
        <v>16-20%</v>
      </c>
      <c r="P94" s="9">
        <f t="shared" si="6"/>
        <v>9.2057178371659415E-2</v>
      </c>
      <c r="Q94" s="3" t="str">
        <f t="shared" si="7"/>
        <v>No</v>
      </c>
    </row>
    <row r="95" spans="1:17" ht="21" customHeight="1">
      <c r="A95" s="3" t="s">
        <v>308</v>
      </c>
      <c r="B95" s="5">
        <v>45323</v>
      </c>
      <c r="C95" s="3" t="s">
        <v>309</v>
      </c>
      <c r="D95" s="3" t="s">
        <v>46</v>
      </c>
      <c r="E95" s="3" t="s">
        <v>38</v>
      </c>
      <c r="F95" s="3" t="s">
        <v>98</v>
      </c>
      <c r="G95" s="3" t="s">
        <v>99</v>
      </c>
      <c r="H95" s="3">
        <v>1</v>
      </c>
      <c r="I95" s="7">
        <v>25190.92</v>
      </c>
      <c r="J95" s="9">
        <v>0.1</v>
      </c>
      <c r="K95" s="7">
        <v>22671.83</v>
      </c>
      <c r="L95" s="7">
        <v>1747.78</v>
      </c>
      <c r="M95" s="3" t="s">
        <v>56</v>
      </c>
      <c r="N95" s="3" t="str">
        <f t="shared" si="4"/>
        <v>2024-02</v>
      </c>
      <c r="O95" s="3" t="str">
        <f t="shared" si="5"/>
        <v>1-10%</v>
      </c>
      <c r="P95" s="9">
        <f t="shared" si="6"/>
        <v>7.7090380441278888E-2</v>
      </c>
      <c r="Q95" s="3" t="str">
        <f t="shared" si="7"/>
        <v>No</v>
      </c>
    </row>
    <row r="96" spans="1:17" ht="21" customHeight="1">
      <c r="A96" s="3" t="s">
        <v>310</v>
      </c>
      <c r="B96" s="5">
        <v>45323</v>
      </c>
      <c r="C96" s="3" t="s">
        <v>220</v>
      </c>
      <c r="D96" s="3" t="s">
        <v>46</v>
      </c>
      <c r="E96" s="3" t="s">
        <v>39</v>
      </c>
      <c r="F96" s="3" t="s">
        <v>109</v>
      </c>
      <c r="G96" s="3" t="s">
        <v>110</v>
      </c>
      <c r="H96" s="3">
        <v>1</v>
      </c>
      <c r="I96" s="7">
        <v>2876.97</v>
      </c>
      <c r="J96" s="9">
        <v>0.2</v>
      </c>
      <c r="K96" s="7">
        <v>2301.58</v>
      </c>
      <c r="L96" s="7">
        <v>454.61</v>
      </c>
      <c r="M96" s="3" t="s">
        <v>57</v>
      </c>
      <c r="N96" s="3" t="str">
        <f t="shared" si="4"/>
        <v>2024-02</v>
      </c>
      <c r="O96" s="3" t="str">
        <f t="shared" si="5"/>
        <v>16-20%</v>
      </c>
      <c r="P96" s="9">
        <f t="shared" si="6"/>
        <v>0.19752083351436842</v>
      </c>
      <c r="Q96" s="3" t="str">
        <f t="shared" si="7"/>
        <v>No</v>
      </c>
    </row>
    <row r="97" spans="1:17" ht="21" customHeight="1">
      <c r="A97" s="3" t="s">
        <v>311</v>
      </c>
      <c r="B97" s="5">
        <v>45323</v>
      </c>
      <c r="C97" s="3" t="s">
        <v>312</v>
      </c>
      <c r="D97" s="3" t="s">
        <v>44</v>
      </c>
      <c r="E97" s="3" t="s">
        <v>42</v>
      </c>
      <c r="F97" s="3" t="s">
        <v>90</v>
      </c>
      <c r="G97" s="3" t="s">
        <v>106</v>
      </c>
      <c r="H97" s="3">
        <v>2</v>
      </c>
      <c r="I97" s="7">
        <v>936.42</v>
      </c>
      <c r="J97" s="9">
        <v>0.05</v>
      </c>
      <c r="K97" s="7">
        <v>1779.2</v>
      </c>
      <c r="L97" s="7">
        <v>918.36</v>
      </c>
      <c r="M97" s="3" t="s">
        <v>56</v>
      </c>
      <c r="N97" s="3" t="str">
        <f t="shared" si="4"/>
        <v>2024-02</v>
      </c>
      <c r="O97" s="3" t="str">
        <f t="shared" si="5"/>
        <v>1-10%</v>
      </c>
      <c r="P97" s="9">
        <f t="shared" si="6"/>
        <v>0.51616456834532376</v>
      </c>
      <c r="Q97" s="3" t="str">
        <f t="shared" si="7"/>
        <v>No</v>
      </c>
    </row>
    <row r="98" spans="1:17" ht="21" customHeight="1">
      <c r="A98" s="3" t="s">
        <v>313</v>
      </c>
      <c r="B98" s="5">
        <v>45324</v>
      </c>
      <c r="C98" s="3" t="s">
        <v>314</v>
      </c>
      <c r="D98" s="3" t="s">
        <v>47</v>
      </c>
      <c r="E98" s="3" t="s">
        <v>41</v>
      </c>
      <c r="F98" s="3" t="s">
        <v>119</v>
      </c>
      <c r="G98" s="3" t="s">
        <v>168</v>
      </c>
      <c r="H98" s="3">
        <v>1</v>
      </c>
      <c r="I98" s="7">
        <v>9802.81</v>
      </c>
      <c r="J98" s="9">
        <v>0.05</v>
      </c>
      <c r="K98" s="7">
        <v>9312.67</v>
      </c>
      <c r="L98" s="7">
        <v>3092.18</v>
      </c>
      <c r="M98" s="3" t="s">
        <v>57</v>
      </c>
      <c r="N98" s="3" t="str">
        <f t="shared" si="4"/>
        <v>2024-02</v>
      </c>
      <c r="O98" s="3" t="str">
        <f t="shared" si="5"/>
        <v>1-10%</v>
      </c>
      <c r="P98" s="9">
        <f t="shared" si="6"/>
        <v>0.3320401130932375</v>
      </c>
      <c r="Q98" s="3" t="str">
        <f t="shared" si="7"/>
        <v>No</v>
      </c>
    </row>
    <row r="99" spans="1:17" ht="21" customHeight="1">
      <c r="A99" s="3" t="s">
        <v>315</v>
      </c>
      <c r="B99" s="5">
        <v>45324</v>
      </c>
      <c r="C99" s="3" t="s">
        <v>316</v>
      </c>
      <c r="D99" s="3" t="s">
        <v>47</v>
      </c>
      <c r="E99" s="3" t="s">
        <v>40</v>
      </c>
      <c r="F99" s="3" t="s">
        <v>160</v>
      </c>
      <c r="G99" s="3" t="s">
        <v>161</v>
      </c>
      <c r="H99" s="3">
        <v>2</v>
      </c>
      <c r="I99" s="7">
        <v>12861.86</v>
      </c>
      <c r="J99" s="9">
        <v>0.05</v>
      </c>
      <c r="K99" s="7">
        <v>24437.53</v>
      </c>
      <c r="L99" s="7">
        <v>5701.11</v>
      </c>
      <c r="M99" s="3" t="s">
        <v>56</v>
      </c>
      <c r="N99" s="3" t="str">
        <f t="shared" si="4"/>
        <v>2024-02</v>
      </c>
      <c r="O99" s="3" t="str">
        <f t="shared" si="5"/>
        <v>1-10%</v>
      </c>
      <c r="P99" s="9">
        <f t="shared" si="6"/>
        <v>0.23329321744055148</v>
      </c>
      <c r="Q99" s="3" t="str">
        <f t="shared" si="7"/>
        <v>No</v>
      </c>
    </row>
    <row r="100" spans="1:17" ht="21" customHeight="1">
      <c r="A100" s="3" t="s">
        <v>317</v>
      </c>
      <c r="B100" s="5">
        <v>45324</v>
      </c>
      <c r="C100" s="3" t="s">
        <v>318</v>
      </c>
      <c r="D100" s="3" t="s">
        <v>45</v>
      </c>
      <c r="E100" s="3" t="s">
        <v>41</v>
      </c>
      <c r="F100" s="3" t="s">
        <v>119</v>
      </c>
      <c r="G100" s="3" t="s">
        <v>168</v>
      </c>
      <c r="H100" s="3">
        <v>1</v>
      </c>
      <c r="I100" s="7">
        <v>10022.36</v>
      </c>
      <c r="J100" s="9">
        <v>0.2</v>
      </c>
      <c r="K100" s="7">
        <v>8017.89</v>
      </c>
      <c r="L100" s="7">
        <v>1187.68</v>
      </c>
      <c r="M100" s="3" t="s">
        <v>59</v>
      </c>
      <c r="N100" s="3" t="str">
        <f t="shared" si="4"/>
        <v>2024-02</v>
      </c>
      <c r="O100" s="3" t="str">
        <f t="shared" si="5"/>
        <v>16-20%</v>
      </c>
      <c r="P100" s="9">
        <f t="shared" si="6"/>
        <v>0.1481287470893215</v>
      </c>
      <c r="Q100" s="3" t="str">
        <f t="shared" si="7"/>
        <v>No</v>
      </c>
    </row>
    <row r="101" spans="1:17" ht="21" customHeight="1">
      <c r="A101" s="3" t="s">
        <v>319</v>
      </c>
      <c r="B101" s="5">
        <v>45324</v>
      </c>
      <c r="C101" s="3" t="s">
        <v>320</v>
      </c>
      <c r="D101" s="3" t="s">
        <v>46</v>
      </c>
      <c r="E101" s="3" t="s">
        <v>42</v>
      </c>
      <c r="F101" s="3" t="s">
        <v>90</v>
      </c>
      <c r="G101" s="3" t="s">
        <v>91</v>
      </c>
      <c r="H101" s="3">
        <v>1</v>
      </c>
      <c r="I101" s="7">
        <v>1226.43</v>
      </c>
      <c r="J101" s="9">
        <v>0.2</v>
      </c>
      <c r="K101" s="7">
        <v>981.14</v>
      </c>
      <c r="L101" s="7">
        <v>352.96</v>
      </c>
      <c r="M101" s="3" t="s">
        <v>59</v>
      </c>
      <c r="N101" s="3" t="str">
        <f t="shared" si="4"/>
        <v>2024-02</v>
      </c>
      <c r="O101" s="3" t="str">
        <f t="shared" si="5"/>
        <v>16-20%</v>
      </c>
      <c r="P101" s="9">
        <f t="shared" si="6"/>
        <v>0.35974478667672299</v>
      </c>
      <c r="Q101" s="3" t="str">
        <f t="shared" si="7"/>
        <v>No</v>
      </c>
    </row>
    <row r="102" spans="1:17" ht="21" customHeight="1">
      <c r="A102" s="3" t="s">
        <v>321</v>
      </c>
      <c r="B102" s="5">
        <v>45325</v>
      </c>
      <c r="C102" s="3" t="s">
        <v>322</v>
      </c>
      <c r="D102" s="3" t="s">
        <v>44</v>
      </c>
      <c r="E102" s="3" t="s">
        <v>42</v>
      </c>
      <c r="F102" s="3" t="s">
        <v>126</v>
      </c>
      <c r="G102" s="3" t="s">
        <v>127</v>
      </c>
      <c r="H102" s="3">
        <v>2</v>
      </c>
      <c r="I102" s="7">
        <v>986.85</v>
      </c>
      <c r="J102" s="9">
        <v>0.15</v>
      </c>
      <c r="K102" s="7">
        <v>1677.64</v>
      </c>
      <c r="L102" s="7">
        <v>664.71</v>
      </c>
      <c r="M102" s="3" t="s">
        <v>56</v>
      </c>
      <c r="N102" s="3" t="str">
        <f t="shared" si="4"/>
        <v>2024-02</v>
      </c>
      <c r="O102" s="3" t="str">
        <f t="shared" si="5"/>
        <v>11-15%</v>
      </c>
      <c r="P102" s="9">
        <f t="shared" si="6"/>
        <v>0.39621730526215398</v>
      </c>
      <c r="Q102" s="3" t="str">
        <f t="shared" si="7"/>
        <v>No</v>
      </c>
    </row>
    <row r="103" spans="1:17" ht="21" customHeight="1">
      <c r="A103" s="3" t="s">
        <v>323</v>
      </c>
      <c r="B103" s="5">
        <v>45325</v>
      </c>
      <c r="C103" s="3" t="s">
        <v>324</v>
      </c>
      <c r="D103" s="3" t="s">
        <v>45</v>
      </c>
      <c r="E103" s="3" t="s">
        <v>39</v>
      </c>
      <c r="F103" s="3" t="s">
        <v>109</v>
      </c>
      <c r="G103" s="3" t="s">
        <v>110</v>
      </c>
      <c r="H103" s="3">
        <v>1</v>
      </c>
      <c r="I103" s="7">
        <v>3075.93</v>
      </c>
      <c r="J103" s="9">
        <v>0.1</v>
      </c>
      <c r="K103" s="7">
        <v>2768.34</v>
      </c>
      <c r="L103" s="7">
        <v>802.07</v>
      </c>
      <c r="M103" s="3" t="s">
        <v>57</v>
      </c>
      <c r="N103" s="3" t="str">
        <f t="shared" si="4"/>
        <v>2024-02</v>
      </c>
      <c r="O103" s="3" t="str">
        <f t="shared" si="5"/>
        <v>1-10%</v>
      </c>
      <c r="P103" s="9">
        <f t="shared" si="6"/>
        <v>0.28972958523880737</v>
      </c>
      <c r="Q103" s="3" t="str">
        <f t="shared" si="7"/>
        <v>No</v>
      </c>
    </row>
    <row r="104" spans="1:17" ht="21" customHeight="1">
      <c r="A104" s="3" t="s">
        <v>325</v>
      </c>
      <c r="B104" s="5">
        <v>45325</v>
      </c>
      <c r="C104" s="3" t="s">
        <v>262</v>
      </c>
      <c r="D104" s="3" t="s">
        <v>44</v>
      </c>
      <c r="E104" s="3" t="s">
        <v>40</v>
      </c>
      <c r="F104" s="3" t="s">
        <v>160</v>
      </c>
      <c r="G104" s="3" t="s">
        <v>173</v>
      </c>
      <c r="H104" s="3">
        <v>3</v>
      </c>
      <c r="I104" s="7">
        <v>8861.82</v>
      </c>
      <c r="J104" s="9">
        <v>0.05</v>
      </c>
      <c r="K104" s="7">
        <v>25256.19</v>
      </c>
      <c r="L104" s="7">
        <v>7267.47</v>
      </c>
      <c r="M104" s="3" t="s">
        <v>59</v>
      </c>
      <c r="N104" s="3" t="str">
        <f t="shared" si="4"/>
        <v>2024-02</v>
      </c>
      <c r="O104" s="3" t="str">
        <f t="shared" si="5"/>
        <v>1-10%</v>
      </c>
      <c r="P104" s="9">
        <f t="shared" si="6"/>
        <v>0.28775005256137209</v>
      </c>
      <c r="Q104" s="3" t="str">
        <f t="shared" si="7"/>
        <v>No</v>
      </c>
    </row>
    <row r="105" spans="1:17" ht="21" customHeight="1">
      <c r="A105" s="3" t="s">
        <v>326</v>
      </c>
      <c r="B105" s="5">
        <v>45325</v>
      </c>
      <c r="C105" s="3" t="s">
        <v>327</v>
      </c>
      <c r="D105" s="3" t="s">
        <v>44</v>
      </c>
      <c r="E105" s="3" t="s">
        <v>42</v>
      </c>
      <c r="F105" s="3" t="s">
        <v>90</v>
      </c>
      <c r="G105" s="3" t="s">
        <v>106</v>
      </c>
      <c r="H105" s="3">
        <v>1</v>
      </c>
      <c r="I105" s="7">
        <v>887.44</v>
      </c>
      <c r="J105" s="9">
        <v>0</v>
      </c>
      <c r="K105" s="7">
        <v>887.44</v>
      </c>
      <c r="L105" s="7">
        <v>511.19</v>
      </c>
      <c r="M105" s="3" t="s">
        <v>58</v>
      </c>
      <c r="N105" s="3" t="str">
        <f t="shared" si="4"/>
        <v>2024-02</v>
      </c>
      <c r="O105" s="3" t="str">
        <f t="shared" si="5"/>
        <v>No discount</v>
      </c>
      <c r="P105" s="9">
        <f t="shared" si="6"/>
        <v>0.57602767511042996</v>
      </c>
      <c r="Q105" s="3" t="str">
        <f t="shared" si="7"/>
        <v>No</v>
      </c>
    </row>
    <row r="106" spans="1:17" ht="21" customHeight="1">
      <c r="A106" s="3" t="s">
        <v>328</v>
      </c>
      <c r="B106" s="5">
        <v>45326</v>
      </c>
      <c r="C106" s="3" t="s">
        <v>329</v>
      </c>
      <c r="D106" s="3" t="s">
        <v>45</v>
      </c>
      <c r="E106" s="3" t="s">
        <v>39</v>
      </c>
      <c r="F106" s="3" t="s">
        <v>164</v>
      </c>
      <c r="G106" s="3" t="s">
        <v>165</v>
      </c>
      <c r="H106" s="3">
        <v>1</v>
      </c>
      <c r="I106" s="7">
        <v>1963.01</v>
      </c>
      <c r="J106" s="9">
        <v>0.05</v>
      </c>
      <c r="K106" s="7">
        <v>1864.86</v>
      </c>
      <c r="L106" s="7">
        <v>637.11</v>
      </c>
      <c r="M106" s="3" t="s">
        <v>56</v>
      </c>
      <c r="N106" s="3" t="str">
        <f t="shared" si="4"/>
        <v>2024-02</v>
      </c>
      <c r="O106" s="3" t="str">
        <f t="shared" si="5"/>
        <v>1-10%</v>
      </c>
      <c r="P106" s="9">
        <f t="shared" si="6"/>
        <v>0.34163958688587887</v>
      </c>
      <c r="Q106" s="3" t="str">
        <f t="shared" si="7"/>
        <v>No</v>
      </c>
    </row>
    <row r="107" spans="1:17" ht="21" customHeight="1">
      <c r="A107" s="3" t="s">
        <v>330</v>
      </c>
      <c r="B107" s="5">
        <v>45327</v>
      </c>
      <c r="C107" s="3" t="s">
        <v>206</v>
      </c>
      <c r="D107" s="3" t="s">
        <v>44</v>
      </c>
      <c r="E107" s="3" t="s">
        <v>38</v>
      </c>
      <c r="F107" s="3" t="s">
        <v>142</v>
      </c>
      <c r="G107" s="3" t="s">
        <v>143</v>
      </c>
      <c r="H107" s="3">
        <v>3</v>
      </c>
      <c r="I107" s="7">
        <v>8664.9699999999993</v>
      </c>
      <c r="J107" s="9">
        <v>0</v>
      </c>
      <c r="K107" s="7">
        <v>25994.91</v>
      </c>
      <c r="L107" s="7">
        <v>4068.16</v>
      </c>
      <c r="M107" s="3" t="s">
        <v>57</v>
      </c>
      <c r="N107" s="3" t="str">
        <f t="shared" si="4"/>
        <v>2024-02</v>
      </c>
      <c r="O107" s="3" t="str">
        <f t="shared" si="5"/>
        <v>No discount</v>
      </c>
      <c r="P107" s="9">
        <f t="shared" si="6"/>
        <v>0.1564983298653467</v>
      </c>
      <c r="Q107" s="3" t="str">
        <f t="shared" si="7"/>
        <v>No</v>
      </c>
    </row>
    <row r="108" spans="1:17" ht="21" customHeight="1">
      <c r="A108" s="3" t="s">
        <v>331</v>
      </c>
      <c r="B108" s="5">
        <v>45328</v>
      </c>
      <c r="C108" s="3" t="s">
        <v>257</v>
      </c>
      <c r="D108" s="3" t="s">
        <v>46</v>
      </c>
      <c r="E108" s="3" t="s">
        <v>40</v>
      </c>
      <c r="F108" s="3" t="s">
        <v>102</v>
      </c>
      <c r="G108" s="3" t="s">
        <v>146</v>
      </c>
      <c r="H108" s="3">
        <v>1</v>
      </c>
      <c r="I108" s="7">
        <v>8360.2800000000007</v>
      </c>
      <c r="J108" s="9">
        <v>0</v>
      </c>
      <c r="K108" s="7">
        <v>8360.2800000000007</v>
      </c>
      <c r="L108" s="7">
        <v>2915.23</v>
      </c>
      <c r="M108" s="3" t="s">
        <v>58</v>
      </c>
      <c r="N108" s="3" t="str">
        <f t="shared" si="4"/>
        <v>2024-02</v>
      </c>
      <c r="O108" s="3" t="str">
        <f t="shared" si="5"/>
        <v>No discount</v>
      </c>
      <c r="P108" s="9">
        <f t="shared" si="6"/>
        <v>0.34870004353921158</v>
      </c>
      <c r="Q108" s="3" t="str">
        <f t="shared" si="7"/>
        <v>No</v>
      </c>
    </row>
    <row r="109" spans="1:17" ht="21" customHeight="1">
      <c r="A109" s="3" t="s">
        <v>332</v>
      </c>
      <c r="B109" s="5">
        <v>45329</v>
      </c>
      <c r="C109" s="3" t="s">
        <v>333</v>
      </c>
      <c r="D109" s="3" t="s">
        <v>47</v>
      </c>
      <c r="E109" s="3" t="s">
        <v>38</v>
      </c>
      <c r="F109" s="3" t="s">
        <v>94</v>
      </c>
      <c r="G109" s="3" t="s">
        <v>95</v>
      </c>
      <c r="H109" s="3">
        <v>2</v>
      </c>
      <c r="I109" s="7">
        <v>78678.759999999995</v>
      </c>
      <c r="J109" s="9">
        <v>0.3</v>
      </c>
      <c r="K109" s="7">
        <v>110150.26</v>
      </c>
      <c r="L109" s="7">
        <v>-20290.05</v>
      </c>
      <c r="M109" s="3" t="s">
        <v>57</v>
      </c>
      <c r="N109" s="3" t="str">
        <f t="shared" si="4"/>
        <v>2024-02</v>
      </c>
      <c r="O109" s="3" t="str">
        <f t="shared" si="5"/>
        <v>21%+</v>
      </c>
      <c r="P109" s="9">
        <f t="shared" si="6"/>
        <v>-0.18420337818539875</v>
      </c>
      <c r="Q109" s="3" t="str">
        <f t="shared" si="7"/>
        <v>Yes</v>
      </c>
    </row>
    <row r="110" spans="1:17" ht="21" customHeight="1">
      <c r="A110" s="3" t="s">
        <v>334</v>
      </c>
      <c r="B110" s="5">
        <v>45329</v>
      </c>
      <c r="C110" s="3" t="s">
        <v>335</v>
      </c>
      <c r="D110" s="3" t="s">
        <v>46</v>
      </c>
      <c r="E110" s="3" t="s">
        <v>40</v>
      </c>
      <c r="F110" s="3" t="s">
        <v>221</v>
      </c>
      <c r="G110" s="3" t="s">
        <v>222</v>
      </c>
      <c r="H110" s="3">
        <v>1</v>
      </c>
      <c r="I110" s="7">
        <v>954.31</v>
      </c>
      <c r="J110" s="9">
        <v>0.25</v>
      </c>
      <c r="K110" s="7">
        <v>715.73</v>
      </c>
      <c r="L110" s="7">
        <v>35.43</v>
      </c>
      <c r="M110" s="3" t="s">
        <v>56</v>
      </c>
      <c r="N110" s="3" t="str">
        <f t="shared" si="4"/>
        <v>2024-02</v>
      </c>
      <c r="O110" s="3" t="str">
        <f t="shared" si="5"/>
        <v>21%+</v>
      </c>
      <c r="P110" s="9">
        <f t="shared" si="6"/>
        <v>4.9501907143755325E-2</v>
      </c>
      <c r="Q110" s="3" t="str">
        <f t="shared" si="7"/>
        <v>No</v>
      </c>
    </row>
    <row r="111" spans="1:17" ht="21" customHeight="1">
      <c r="A111" s="3" t="s">
        <v>336</v>
      </c>
      <c r="B111" s="5">
        <v>45332</v>
      </c>
      <c r="C111" s="3" t="s">
        <v>337</v>
      </c>
      <c r="D111" s="3" t="s">
        <v>44</v>
      </c>
      <c r="E111" s="3" t="s">
        <v>41</v>
      </c>
      <c r="F111" s="3" t="s">
        <v>113</v>
      </c>
      <c r="G111" s="3" t="s">
        <v>114</v>
      </c>
      <c r="H111" s="3">
        <v>3</v>
      </c>
      <c r="I111" s="7">
        <v>12268.17</v>
      </c>
      <c r="J111" s="9">
        <v>0.1</v>
      </c>
      <c r="K111" s="7">
        <v>33124.06</v>
      </c>
      <c r="L111" s="7">
        <v>8123.89</v>
      </c>
      <c r="M111" s="3" t="s">
        <v>57</v>
      </c>
      <c r="N111" s="3" t="str">
        <f t="shared" si="4"/>
        <v>2024-02</v>
      </c>
      <c r="O111" s="3" t="str">
        <f t="shared" si="5"/>
        <v>1-10%</v>
      </c>
      <c r="P111" s="9">
        <f t="shared" si="6"/>
        <v>0.24525646916470992</v>
      </c>
      <c r="Q111" s="3" t="str">
        <f t="shared" si="7"/>
        <v>No</v>
      </c>
    </row>
    <row r="112" spans="1:17" ht="21" customHeight="1">
      <c r="A112" s="3" t="s">
        <v>338</v>
      </c>
      <c r="B112" s="5">
        <v>45332</v>
      </c>
      <c r="C112" s="3" t="s">
        <v>339</v>
      </c>
      <c r="D112" s="3" t="s">
        <v>44</v>
      </c>
      <c r="E112" s="3" t="s">
        <v>41</v>
      </c>
      <c r="F112" s="3" t="s">
        <v>119</v>
      </c>
      <c r="G112" s="3" t="s">
        <v>120</v>
      </c>
      <c r="H112" s="3">
        <v>2</v>
      </c>
      <c r="I112" s="7">
        <v>1334.48</v>
      </c>
      <c r="J112" s="9">
        <v>0</v>
      </c>
      <c r="K112" s="7">
        <v>2668.96</v>
      </c>
      <c r="L112" s="7">
        <v>999.84</v>
      </c>
      <c r="M112" s="3" t="s">
        <v>56</v>
      </c>
      <c r="N112" s="3" t="str">
        <f t="shared" si="4"/>
        <v>2024-02</v>
      </c>
      <c r="O112" s="3" t="str">
        <f t="shared" si="5"/>
        <v>No discount</v>
      </c>
      <c r="P112" s="9">
        <f t="shared" si="6"/>
        <v>0.37461782866734611</v>
      </c>
      <c r="Q112" s="3" t="str">
        <f t="shared" si="7"/>
        <v>No</v>
      </c>
    </row>
    <row r="113" spans="1:17" ht="21" customHeight="1">
      <c r="A113" s="3" t="s">
        <v>340</v>
      </c>
      <c r="B113" s="5">
        <v>45332</v>
      </c>
      <c r="C113" s="3" t="s">
        <v>341</v>
      </c>
      <c r="D113" s="3" t="s">
        <v>44</v>
      </c>
      <c r="E113" s="3" t="s">
        <v>39</v>
      </c>
      <c r="F113" s="3" t="s">
        <v>130</v>
      </c>
      <c r="G113" s="3" t="s">
        <v>193</v>
      </c>
      <c r="H113" s="3">
        <v>3</v>
      </c>
      <c r="I113" s="7">
        <v>1885.29</v>
      </c>
      <c r="J113" s="9">
        <v>0.15</v>
      </c>
      <c r="K113" s="7">
        <v>4807.49</v>
      </c>
      <c r="L113" s="7">
        <v>1104.7</v>
      </c>
      <c r="M113" s="3" t="s">
        <v>57</v>
      </c>
      <c r="N113" s="3" t="str">
        <f t="shared" si="4"/>
        <v>2024-02</v>
      </c>
      <c r="O113" s="3" t="str">
        <f t="shared" si="5"/>
        <v>11-15%</v>
      </c>
      <c r="P113" s="9">
        <f t="shared" si="6"/>
        <v>0.22978726944829841</v>
      </c>
      <c r="Q113" s="3" t="str">
        <f t="shared" si="7"/>
        <v>No</v>
      </c>
    </row>
    <row r="114" spans="1:17" ht="21" customHeight="1">
      <c r="A114" s="3" t="s">
        <v>342</v>
      </c>
      <c r="B114" s="5">
        <v>45332</v>
      </c>
      <c r="C114" s="3" t="s">
        <v>343</v>
      </c>
      <c r="D114" s="3" t="s">
        <v>46</v>
      </c>
      <c r="E114" s="3" t="s">
        <v>39</v>
      </c>
      <c r="F114" s="3" t="s">
        <v>164</v>
      </c>
      <c r="G114" s="3" t="s">
        <v>165</v>
      </c>
      <c r="H114" s="3">
        <v>3</v>
      </c>
      <c r="I114" s="7">
        <v>1940.83</v>
      </c>
      <c r="J114" s="9">
        <v>0</v>
      </c>
      <c r="K114" s="7">
        <v>5822.49</v>
      </c>
      <c r="L114" s="7">
        <v>2390.77</v>
      </c>
      <c r="M114" s="3" t="s">
        <v>58</v>
      </c>
      <c r="N114" s="3" t="str">
        <f t="shared" si="4"/>
        <v>2024-02</v>
      </c>
      <c r="O114" s="3" t="str">
        <f t="shared" si="5"/>
        <v>No discount</v>
      </c>
      <c r="P114" s="9">
        <f t="shared" si="6"/>
        <v>0.41060955020961826</v>
      </c>
      <c r="Q114" s="3" t="str">
        <f t="shared" si="7"/>
        <v>No</v>
      </c>
    </row>
    <row r="115" spans="1:17" ht="21" customHeight="1">
      <c r="A115" s="3" t="s">
        <v>344</v>
      </c>
      <c r="B115" s="5">
        <v>45333</v>
      </c>
      <c r="C115" s="3" t="s">
        <v>345</v>
      </c>
      <c r="D115" s="3" t="s">
        <v>47</v>
      </c>
      <c r="E115" s="3" t="s">
        <v>38</v>
      </c>
      <c r="F115" s="3" t="s">
        <v>98</v>
      </c>
      <c r="G115" s="3" t="s">
        <v>99</v>
      </c>
      <c r="H115" s="3">
        <v>1</v>
      </c>
      <c r="I115" s="7">
        <v>25513.89</v>
      </c>
      <c r="J115" s="9">
        <v>0</v>
      </c>
      <c r="K115" s="7">
        <v>25513.89</v>
      </c>
      <c r="L115" s="7">
        <v>4462.75</v>
      </c>
      <c r="M115" s="3" t="s">
        <v>59</v>
      </c>
      <c r="N115" s="3" t="str">
        <f t="shared" si="4"/>
        <v>2024-02</v>
      </c>
      <c r="O115" s="3" t="str">
        <f t="shared" si="5"/>
        <v>No discount</v>
      </c>
      <c r="P115" s="9">
        <f t="shared" si="6"/>
        <v>0.17491452694983009</v>
      </c>
      <c r="Q115" s="3" t="str">
        <f t="shared" si="7"/>
        <v>No</v>
      </c>
    </row>
    <row r="116" spans="1:17" ht="21" customHeight="1">
      <c r="A116" s="3" t="s">
        <v>346</v>
      </c>
      <c r="B116" s="5">
        <v>45333</v>
      </c>
      <c r="C116" s="3" t="s">
        <v>347</v>
      </c>
      <c r="D116" s="3" t="s">
        <v>47</v>
      </c>
      <c r="E116" s="3" t="s">
        <v>40</v>
      </c>
      <c r="F116" s="3" t="s">
        <v>102</v>
      </c>
      <c r="G116" s="3" t="s">
        <v>103</v>
      </c>
      <c r="H116" s="3">
        <v>1</v>
      </c>
      <c r="I116" s="7">
        <v>6430.34</v>
      </c>
      <c r="J116" s="9">
        <v>0.1</v>
      </c>
      <c r="K116" s="7">
        <v>5787.31</v>
      </c>
      <c r="L116" s="7">
        <v>1040.97</v>
      </c>
      <c r="M116" s="3" t="s">
        <v>58</v>
      </c>
      <c r="N116" s="3" t="str">
        <f t="shared" si="4"/>
        <v>2024-02</v>
      </c>
      <c r="O116" s="3" t="str">
        <f t="shared" si="5"/>
        <v>1-10%</v>
      </c>
      <c r="P116" s="9">
        <f t="shared" si="6"/>
        <v>0.17987113183845344</v>
      </c>
      <c r="Q116" s="3" t="str">
        <f t="shared" si="7"/>
        <v>No</v>
      </c>
    </row>
    <row r="117" spans="1:17" ht="21" customHeight="1">
      <c r="A117" s="3" t="s">
        <v>348</v>
      </c>
      <c r="B117" s="5">
        <v>45334</v>
      </c>
      <c r="C117" s="3" t="s">
        <v>349</v>
      </c>
      <c r="D117" s="3" t="s">
        <v>46</v>
      </c>
      <c r="E117" s="3" t="s">
        <v>38</v>
      </c>
      <c r="F117" s="3" t="s">
        <v>94</v>
      </c>
      <c r="G117" s="3" t="s">
        <v>95</v>
      </c>
      <c r="H117" s="3">
        <v>5</v>
      </c>
      <c r="I117" s="7">
        <v>82748.759999999995</v>
      </c>
      <c r="J117" s="9">
        <v>0.15</v>
      </c>
      <c r="K117" s="7">
        <v>351682.23</v>
      </c>
      <c r="L117" s="7">
        <v>10561.79</v>
      </c>
      <c r="M117" s="3" t="s">
        <v>59</v>
      </c>
      <c r="N117" s="3" t="str">
        <f t="shared" si="4"/>
        <v>2024-02</v>
      </c>
      <c r="O117" s="3" t="str">
        <f t="shared" si="5"/>
        <v>11-15%</v>
      </c>
      <c r="P117" s="9">
        <f t="shared" si="6"/>
        <v>3.0032196963719213E-2</v>
      </c>
      <c r="Q117" s="3" t="str">
        <f t="shared" si="7"/>
        <v>No</v>
      </c>
    </row>
    <row r="118" spans="1:17" ht="21" customHeight="1">
      <c r="A118" s="3" t="s">
        <v>350</v>
      </c>
      <c r="B118" s="5">
        <v>45334</v>
      </c>
      <c r="C118" s="3" t="s">
        <v>181</v>
      </c>
      <c r="D118" s="3" t="s">
        <v>47</v>
      </c>
      <c r="E118" s="3" t="s">
        <v>39</v>
      </c>
      <c r="F118" s="3" t="s">
        <v>164</v>
      </c>
      <c r="G118" s="3" t="s">
        <v>200</v>
      </c>
      <c r="H118" s="3">
        <v>1</v>
      </c>
      <c r="I118" s="7">
        <v>1265.9000000000001</v>
      </c>
      <c r="J118" s="9">
        <v>0</v>
      </c>
      <c r="K118" s="7">
        <v>1265.9000000000001</v>
      </c>
      <c r="L118" s="7">
        <v>577.51</v>
      </c>
      <c r="M118" s="3" t="s">
        <v>57</v>
      </c>
      <c r="N118" s="3" t="str">
        <f t="shared" si="4"/>
        <v>2024-02</v>
      </c>
      <c r="O118" s="3" t="str">
        <f t="shared" si="5"/>
        <v>No discount</v>
      </c>
      <c r="P118" s="9">
        <f t="shared" si="6"/>
        <v>0.45620507149063905</v>
      </c>
      <c r="Q118" s="3" t="str">
        <f t="shared" si="7"/>
        <v>No</v>
      </c>
    </row>
    <row r="119" spans="1:17" ht="21" customHeight="1">
      <c r="A119" s="3" t="s">
        <v>351</v>
      </c>
      <c r="B119" s="5">
        <v>45334</v>
      </c>
      <c r="C119" s="3" t="s">
        <v>352</v>
      </c>
      <c r="D119" s="3" t="s">
        <v>46</v>
      </c>
      <c r="E119" s="3" t="s">
        <v>38</v>
      </c>
      <c r="F119" s="3" t="s">
        <v>142</v>
      </c>
      <c r="G119" s="3" t="s">
        <v>245</v>
      </c>
      <c r="H119" s="3">
        <v>1</v>
      </c>
      <c r="I119" s="7">
        <v>4799.4399999999996</v>
      </c>
      <c r="J119" s="9">
        <v>0.1</v>
      </c>
      <c r="K119" s="7">
        <v>4319.5</v>
      </c>
      <c r="L119" s="7">
        <v>129.09</v>
      </c>
      <c r="M119" s="3" t="s">
        <v>56</v>
      </c>
      <c r="N119" s="3" t="str">
        <f t="shared" si="4"/>
        <v>2024-02</v>
      </c>
      <c r="O119" s="3" t="str">
        <f t="shared" si="5"/>
        <v>1-10%</v>
      </c>
      <c r="P119" s="9">
        <f t="shared" si="6"/>
        <v>2.9885403403171664E-2</v>
      </c>
      <c r="Q119" s="3" t="str">
        <f t="shared" si="7"/>
        <v>No</v>
      </c>
    </row>
    <row r="120" spans="1:17" ht="21" customHeight="1">
      <c r="A120" s="3" t="s">
        <v>353</v>
      </c>
      <c r="B120" s="5">
        <v>45334</v>
      </c>
      <c r="C120" s="3" t="s">
        <v>268</v>
      </c>
      <c r="D120" s="3" t="s">
        <v>44</v>
      </c>
      <c r="E120" s="3" t="s">
        <v>38</v>
      </c>
      <c r="F120" s="3" t="s">
        <v>98</v>
      </c>
      <c r="G120" s="3" t="s">
        <v>182</v>
      </c>
      <c r="H120" s="3">
        <v>3</v>
      </c>
      <c r="I120" s="7">
        <v>67310.58</v>
      </c>
      <c r="J120" s="9">
        <v>0.1</v>
      </c>
      <c r="K120" s="7">
        <v>181738.57</v>
      </c>
      <c r="L120" s="7">
        <v>10105.86</v>
      </c>
      <c r="M120" s="3" t="s">
        <v>59</v>
      </c>
      <c r="N120" s="3" t="str">
        <f t="shared" si="4"/>
        <v>2024-02</v>
      </c>
      <c r="O120" s="3" t="str">
        <f t="shared" si="5"/>
        <v>1-10%</v>
      </c>
      <c r="P120" s="9">
        <f t="shared" si="6"/>
        <v>5.5606578174352314E-2</v>
      </c>
      <c r="Q120" s="3" t="str">
        <f t="shared" si="7"/>
        <v>No</v>
      </c>
    </row>
    <row r="121" spans="1:17" ht="21" customHeight="1">
      <c r="A121" s="3" t="s">
        <v>354</v>
      </c>
      <c r="B121" s="5">
        <v>45334</v>
      </c>
      <c r="C121" s="3" t="s">
        <v>218</v>
      </c>
      <c r="D121" s="3" t="s">
        <v>45</v>
      </c>
      <c r="E121" s="3" t="s">
        <v>39</v>
      </c>
      <c r="F121" s="3" t="s">
        <v>109</v>
      </c>
      <c r="G121" s="3" t="s">
        <v>355</v>
      </c>
      <c r="H121" s="3">
        <v>1</v>
      </c>
      <c r="I121" s="7">
        <v>3469.75</v>
      </c>
      <c r="J121" s="9">
        <v>0.15</v>
      </c>
      <c r="K121" s="7">
        <v>2949.29</v>
      </c>
      <c r="L121" s="7">
        <v>811.38</v>
      </c>
      <c r="M121" s="3" t="s">
        <v>58</v>
      </c>
      <c r="N121" s="3" t="str">
        <f t="shared" si="4"/>
        <v>2024-02</v>
      </c>
      <c r="O121" s="3" t="str">
        <f t="shared" si="5"/>
        <v>11-15%</v>
      </c>
      <c r="P121" s="9">
        <f t="shared" si="6"/>
        <v>0.27511028077944183</v>
      </c>
      <c r="Q121" s="3" t="str">
        <f t="shared" si="7"/>
        <v>No</v>
      </c>
    </row>
    <row r="122" spans="1:17" ht="21" customHeight="1">
      <c r="A122" s="3" t="s">
        <v>356</v>
      </c>
      <c r="B122" s="5">
        <v>45334</v>
      </c>
      <c r="C122" s="3" t="s">
        <v>357</v>
      </c>
      <c r="D122" s="3" t="s">
        <v>47</v>
      </c>
      <c r="E122" s="3" t="s">
        <v>41</v>
      </c>
      <c r="F122" s="3" t="s">
        <v>113</v>
      </c>
      <c r="G122" s="3" t="s">
        <v>123</v>
      </c>
      <c r="H122" s="3">
        <v>1</v>
      </c>
      <c r="I122" s="7">
        <v>3464.46</v>
      </c>
      <c r="J122" s="9">
        <v>0.05</v>
      </c>
      <c r="K122" s="7">
        <v>3291.24</v>
      </c>
      <c r="L122" s="7">
        <v>1016.83</v>
      </c>
      <c r="M122" s="3" t="s">
        <v>56</v>
      </c>
      <c r="N122" s="3" t="str">
        <f t="shared" si="4"/>
        <v>2024-02</v>
      </c>
      <c r="O122" s="3" t="str">
        <f t="shared" si="5"/>
        <v>1-10%</v>
      </c>
      <c r="P122" s="9">
        <f t="shared" si="6"/>
        <v>0.3089504259792662</v>
      </c>
      <c r="Q122" s="3" t="str">
        <f t="shared" si="7"/>
        <v>No</v>
      </c>
    </row>
    <row r="123" spans="1:17" ht="21" customHeight="1">
      <c r="A123" s="3" t="s">
        <v>358</v>
      </c>
      <c r="B123" s="5">
        <v>45334</v>
      </c>
      <c r="C123" s="3" t="s">
        <v>359</v>
      </c>
      <c r="D123" s="3" t="s">
        <v>47</v>
      </c>
      <c r="E123" s="3" t="s">
        <v>41</v>
      </c>
      <c r="F123" s="3" t="s">
        <v>113</v>
      </c>
      <c r="G123" s="3" t="s">
        <v>114</v>
      </c>
      <c r="H123" s="3">
        <v>2</v>
      </c>
      <c r="I123" s="7">
        <v>12427.93</v>
      </c>
      <c r="J123" s="9">
        <v>0.05</v>
      </c>
      <c r="K123" s="7">
        <v>23613.07</v>
      </c>
      <c r="L123" s="7">
        <v>7755.91</v>
      </c>
      <c r="M123" s="3" t="s">
        <v>60</v>
      </c>
      <c r="N123" s="3" t="str">
        <f t="shared" si="4"/>
        <v>2024-02</v>
      </c>
      <c r="O123" s="3" t="str">
        <f t="shared" si="5"/>
        <v>1-10%</v>
      </c>
      <c r="P123" s="9">
        <f t="shared" si="6"/>
        <v>0.32845834954963499</v>
      </c>
      <c r="Q123" s="3" t="str">
        <f t="shared" si="7"/>
        <v>No</v>
      </c>
    </row>
    <row r="124" spans="1:17" ht="21" customHeight="1">
      <c r="A124" s="3" t="s">
        <v>360</v>
      </c>
      <c r="B124" s="5">
        <v>45336</v>
      </c>
      <c r="C124" s="3" t="s">
        <v>361</v>
      </c>
      <c r="D124" s="3" t="s">
        <v>45</v>
      </c>
      <c r="E124" s="3" t="s">
        <v>38</v>
      </c>
      <c r="F124" s="3" t="s">
        <v>98</v>
      </c>
      <c r="G124" s="3" t="s">
        <v>362</v>
      </c>
      <c r="H124" s="3">
        <v>2</v>
      </c>
      <c r="I124" s="7">
        <v>31704.84</v>
      </c>
      <c r="J124" s="9">
        <v>0</v>
      </c>
      <c r="K124" s="7">
        <v>63409.68</v>
      </c>
      <c r="L124" s="7">
        <v>12900.35</v>
      </c>
      <c r="M124" s="3" t="s">
        <v>56</v>
      </c>
      <c r="N124" s="3" t="str">
        <f t="shared" si="4"/>
        <v>2024-02</v>
      </c>
      <c r="O124" s="3" t="str">
        <f t="shared" si="5"/>
        <v>No discount</v>
      </c>
      <c r="P124" s="9">
        <f t="shared" si="6"/>
        <v>0.20344448986337732</v>
      </c>
      <c r="Q124" s="3" t="str">
        <f t="shared" si="7"/>
        <v>No</v>
      </c>
    </row>
    <row r="125" spans="1:17" ht="21" customHeight="1">
      <c r="A125" s="3" t="s">
        <v>363</v>
      </c>
      <c r="B125" s="5">
        <v>45336</v>
      </c>
      <c r="C125" s="3" t="s">
        <v>364</v>
      </c>
      <c r="D125" s="3" t="s">
        <v>45</v>
      </c>
      <c r="E125" s="3" t="s">
        <v>41</v>
      </c>
      <c r="F125" s="3" t="s">
        <v>119</v>
      </c>
      <c r="G125" s="3" t="s">
        <v>120</v>
      </c>
      <c r="H125" s="3">
        <v>5</v>
      </c>
      <c r="I125" s="7">
        <v>1296.68</v>
      </c>
      <c r="J125" s="9">
        <v>0</v>
      </c>
      <c r="K125" s="7">
        <v>6483.4</v>
      </c>
      <c r="L125" s="7">
        <v>2333.5300000000002</v>
      </c>
      <c r="M125" s="3" t="s">
        <v>58</v>
      </c>
      <c r="N125" s="3" t="str">
        <f t="shared" si="4"/>
        <v>2024-02</v>
      </c>
      <c r="O125" s="3" t="str">
        <f t="shared" si="5"/>
        <v>No discount</v>
      </c>
      <c r="P125" s="9">
        <f t="shared" si="6"/>
        <v>0.35992380541074132</v>
      </c>
      <c r="Q125" s="3" t="str">
        <f t="shared" si="7"/>
        <v>No</v>
      </c>
    </row>
    <row r="126" spans="1:17" ht="21" customHeight="1">
      <c r="A126" s="3" t="s">
        <v>365</v>
      </c>
      <c r="B126" s="5">
        <v>45336</v>
      </c>
      <c r="C126" s="3" t="s">
        <v>366</v>
      </c>
      <c r="D126" s="3" t="s">
        <v>44</v>
      </c>
      <c r="E126" s="3" t="s">
        <v>38</v>
      </c>
      <c r="F126" s="3" t="s">
        <v>98</v>
      </c>
      <c r="G126" s="3" t="s">
        <v>99</v>
      </c>
      <c r="H126" s="3">
        <v>1</v>
      </c>
      <c r="I126" s="7">
        <v>25984.5</v>
      </c>
      <c r="J126" s="9">
        <v>0</v>
      </c>
      <c r="K126" s="7">
        <v>25984.5</v>
      </c>
      <c r="L126" s="7">
        <v>4824.82</v>
      </c>
      <c r="M126" s="3" t="s">
        <v>57</v>
      </c>
      <c r="N126" s="3" t="str">
        <f t="shared" si="4"/>
        <v>2024-02</v>
      </c>
      <c r="O126" s="3" t="str">
        <f t="shared" si="5"/>
        <v>No discount</v>
      </c>
      <c r="P126" s="9">
        <f t="shared" si="6"/>
        <v>0.18568069426003964</v>
      </c>
      <c r="Q126" s="3" t="str">
        <f t="shared" si="7"/>
        <v>No</v>
      </c>
    </row>
    <row r="127" spans="1:17" ht="21" customHeight="1">
      <c r="A127" s="3" t="s">
        <v>367</v>
      </c>
      <c r="B127" s="5">
        <v>45337</v>
      </c>
      <c r="C127" s="3" t="s">
        <v>368</v>
      </c>
      <c r="D127" s="3" t="s">
        <v>46</v>
      </c>
      <c r="E127" s="3" t="s">
        <v>40</v>
      </c>
      <c r="F127" s="3" t="s">
        <v>160</v>
      </c>
      <c r="G127" s="3" t="s">
        <v>173</v>
      </c>
      <c r="H127" s="3">
        <v>1</v>
      </c>
      <c r="I127" s="7">
        <v>9366.2999999999993</v>
      </c>
      <c r="J127" s="9">
        <v>0</v>
      </c>
      <c r="K127" s="7">
        <v>9366.2999999999993</v>
      </c>
      <c r="L127" s="7">
        <v>2754.29</v>
      </c>
      <c r="M127" s="3" t="s">
        <v>58</v>
      </c>
      <c r="N127" s="3" t="str">
        <f t="shared" si="4"/>
        <v>2024-02</v>
      </c>
      <c r="O127" s="3" t="str">
        <f t="shared" si="5"/>
        <v>No discount</v>
      </c>
      <c r="P127" s="9">
        <f t="shared" si="6"/>
        <v>0.29406382456252739</v>
      </c>
      <c r="Q127" s="3" t="str">
        <f t="shared" si="7"/>
        <v>No</v>
      </c>
    </row>
    <row r="128" spans="1:17" ht="21" customHeight="1">
      <c r="A128" s="3" t="s">
        <v>369</v>
      </c>
      <c r="B128" s="5">
        <v>45337</v>
      </c>
      <c r="C128" s="3" t="s">
        <v>370</v>
      </c>
      <c r="D128" s="3" t="s">
        <v>45</v>
      </c>
      <c r="E128" s="3" t="s">
        <v>39</v>
      </c>
      <c r="F128" s="3" t="s">
        <v>109</v>
      </c>
      <c r="G128" s="3" t="s">
        <v>355</v>
      </c>
      <c r="H128" s="3">
        <v>2</v>
      </c>
      <c r="I128" s="7">
        <v>3669.06</v>
      </c>
      <c r="J128" s="9">
        <v>0.1</v>
      </c>
      <c r="K128" s="7">
        <v>6604.31</v>
      </c>
      <c r="L128" s="7">
        <v>1936.18</v>
      </c>
      <c r="M128" s="3" t="s">
        <v>56</v>
      </c>
      <c r="N128" s="3" t="str">
        <f t="shared" si="4"/>
        <v>2024-02</v>
      </c>
      <c r="O128" s="3" t="str">
        <f t="shared" si="5"/>
        <v>1-10%</v>
      </c>
      <c r="P128" s="9">
        <f t="shared" si="6"/>
        <v>0.29316915771670315</v>
      </c>
      <c r="Q128" s="3" t="str">
        <f t="shared" si="7"/>
        <v>No</v>
      </c>
    </row>
    <row r="129" spans="1:17" ht="21" customHeight="1">
      <c r="A129" s="3" t="s">
        <v>371</v>
      </c>
      <c r="B129" s="5">
        <v>45337</v>
      </c>
      <c r="C129" s="3" t="s">
        <v>266</v>
      </c>
      <c r="D129" s="3" t="s">
        <v>46</v>
      </c>
      <c r="E129" s="3" t="s">
        <v>41</v>
      </c>
      <c r="F129" s="3" t="s">
        <v>119</v>
      </c>
      <c r="G129" s="3" t="s">
        <v>120</v>
      </c>
      <c r="H129" s="3">
        <v>1</v>
      </c>
      <c r="I129" s="7">
        <v>1355.35</v>
      </c>
      <c r="J129" s="9">
        <v>0.05</v>
      </c>
      <c r="K129" s="7">
        <v>1287.58</v>
      </c>
      <c r="L129" s="7">
        <v>440.19</v>
      </c>
      <c r="M129" s="3" t="s">
        <v>57</v>
      </c>
      <c r="N129" s="3" t="str">
        <f t="shared" si="4"/>
        <v>2024-02</v>
      </c>
      <c r="O129" s="3" t="str">
        <f t="shared" si="5"/>
        <v>1-10%</v>
      </c>
      <c r="P129" s="9">
        <f t="shared" si="6"/>
        <v>0.34187390298078568</v>
      </c>
      <c r="Q129" s="3" t="str">
        <f t="shared" si="7"/>
        <v>No</v>
      </c>
    </row>
    <row r="130" spans="1:17" ht="21" customHeight="1">
      <c r="A130" s="3" t="s">
        <v>372</v>
      </c>
      <c r="B130" s="5">
        <v>45338</v>
      </c>
      <c r="C130" s="3" t="s">
        <v>373</v>
      </c>
      <c r="D130" s="3" t="s">
        <v>46</v>
      </c>
      <c r="E130" s="3" t="s">
        <v>38</v>
      </c>
      <c r="F130" s="3" t="s">
        <v>98</v>
      </c>
      <c r="G130" s="3" t="s">
        <v>362</v>
      </c>
      <c r="H130" s="3">
        <v>4</v>
      </c>
      <c r="I130" s="7">
        <v>32518.21</v>
      </c>
      <c r="J130" s="9">
        <v>0.05</v>
      </c>
      <c r="K130" s="7">
        <v>123569.2</v>
      </c>
      <c r="L130" s="7">
        <v>16188.8</v>
      </c>
      <c r="M130" s="3" t="s">
        <v>58</v>
      </c>
      <c r="N130" s="3" t="str">
        <f t="shared" ref="N130:N193" si="8">TEXT(B130,"yyyy-mm")</f>
        <v>2024-02</v>
      </c>
      <c r="O130" s="3" t="str">
        <f t="shared" ref="O130:O193" si="9">IF(J130=0,"No discount",IF(J130&lt;=0.1,"1-10%",IF(J130&lt;=0.15,"11-15%",IF(J130&lt;=0.2,"16-20%","21%+"))))</f>
        <v>1-10%</v>
      </c>
      <c r="P130" s="9">
        <f t="shared" ref="P130:P193" si="10">IF(K130=0,0,L130/K130)</f>
        <v>0.13100999278137271</v>
      </c>
      <c r="Q130" s="3" t="str">
        <f t="shared" ref="Q130:Q193" si="11">IF(L130&lt;0,"Yes","No")</f>
        <v>No</v>
      </c>
    </row>
    <row r="131" spans="1:17" ht="21" customHeight="1">
      <c r="A131" s="3" t="s">
        <v>374</v>
      </c>
      <c r="B131" s="5">
        <v>45339</v>
      </c>
      <c r="C131" s="3" t="s">
        <v>375</v>
      </c>
      <c r="D131" s="3" t="s">
        <v>45</v>
      </c>
      <c r="E131" s="3" t="s">
        <v>41</v>
      </c>
      <c r="F131" s="3" t="s">
        <v>113</v>
      </c>
      <c r="G131" s="3" t="s">
        <v>114</v>
      </c>
      <c r="H131" s="3">
        <v>2</v>
      </c>
      <c r="I131" s="7">
        <v>11430.04</v>
      </c>
      <c r="J131" s="9">
        <v>0</v>
      </c>
      <c r="K131" s="7">
        <v>22860.080000000002</v>
      </c>
      <c r="L131" s="7">
        <v>7824.54</v>
      </c>
      <c r="M131" s="3" t="s">
        <v>58</v>
      </c>
      <c r="N131" s="3" t="str">
        <f t="shared" si="8"/>
        <v>2024-02</v>
      </c>
      <c r="O131" s="3" t="str">
        <f t="shared" si="9"/>
        <v>No discount</v>
      </c>
      <c r="P131" s="9">
        <f t="shared" si="10"/>
        <v>0.34227964206599448</v>
      </c>
      <c r="Q131" s="3" t="str">
        <f t="shared" si="11"/>
        <v>No</v>
      </c>
    </row>
    <row r="132" spans="1:17" ht="21" customHeight="1">
      <c r="A132" s="3" t="s">
        <v>376</v>
      </c>
      <c r="B132" s="5">
        <v>45339</v>
      </c>
      <c r="C132" s="3" t="s">
        <v>377</v>
      </c>
      <c r="D132" s="3" t="s">
        <v>45</v>
      </c>
      <c r="E132" s="3" t="s">
        <v>41</v>
      </c>
      <c r="F132" s="3" t="s">
        <v>119</v>
      </c>
      <c r="G132" s="3" t="s">
        <v>168</v>
      </c>
      <c r="H132" s="3">
        <v>2</v>
      </c>
      <c r="I132" s="7">
        <v>9836.51</v>
      </c>
      <c r="J132" s="9">
        <v>0.15</v>
      </c>
      <c r="K132" s="7">
        <v>16722.07</v>
      </c>
      <c r="L132" s="7">
        <v>3459.63</v>
      </c>
      <c r="M132" s="3" t="s">
        <v>57</v>
      </c>
      <c r="N132" s="3" t="str">
        <f t="shared" si="8"/>
        <v>2024-02</v>
      </c>
      <c r="O132" s="3" t="str">
        <f t="shared" si="9"/>
        <v>11-15%</v>
      </c>
      <c r="P132" s="9">
        <f t="shared" si="10"/>
        <v>0.20689005607559352</v>
      </c>
      <c r="Q132" s="3" t="str">
        <f t="shared" si="11"/>
        <v>No</v>
      </c>
    </row>
    <row r="133" spans="1:17" ht="21" customHeight="1">
      <c r="A133" s="3" t="s">
        <v>378</v>
      </c>
      <c r="B133" s="5">
        <v>45339</v>
      </c>
      <c r="C133" s="3" t="s">
        <v>379</v>
      </c>
      <c r="D133" s="3" t="s">
        <v>47</v>
      </c>
      <c r="E133" s="3" t="s">
        <v>39</v>
      </c>
      <c r="F133" s="3" t="s">
        <v>109</v>
      </c>
      <c r="G133" s="3" t="s">
        <v>355</v>
      </c>
      <c r="H133" s="3">
        <v>3</v>
      </c>
      <c r="I133" s="7">
        <v>3334.21</v>
      </c>
      <c r="J133" s="9">
        <v>0</v>
      </c>
      <c r="K133" s="7">
        <v>10002.629999999999</v>
      </c>
      <c r="L133" s="7">
        <v>4017.74</v>
      </c>
      <c r="M133" s="3" t="s">
        <v>58</v>
      </c>
      <c r="N133" s="3" t="str">
        <f t="shared" si="8"/>
        <v>2024-02</v>
      </c>
      <c r="O133" s="3" t="str">
        <f t="shared" si="9"/>
        <v>No discount</v>
      </c>
      <c r="P133" s="9">
        <f t="shared" si="10"/>
        <v>0.40166836122099892</v>
      </c>
      <c r="Q133" s="3" t="str">
        <f t="shared" si="11"/>
        <v>No</v>
      </c>
    </row>
    <row r="134" spans="1:17" ht="21" customHeight="1">
      <c r="A134" s="3" t="s">
        <v>380</v>
      </c>
      <c r="B134" s="5">
        <v>45339</v>
      </c>
      <c r="C134" s="3" t="s">
        <v>381</v>
      </c>
      <c r="D134" s="3" t="s">
        <v>45</v>
      </c>
      <c r="E134" s="3" t="s">
        <v>40</v>
      </c>
      <c r="F134" s="3" t="s">
        <v>221</v>
      </c>
      <c r="G134" s="3" t="s">
        <v>222</v>
      </c>
      <c r="H134" s="3">
        <v>1</v>
      </c>
      <c r="I134" s="7">
        <v>1003.44</v>
      </c>
      <c r="J134" s="9">
        <v>0</v>
      </c>
      <c r="K134" s="7">
        <v>1003.44</v>
      </c>
      <c r="L134" s="7">
        <v>359.4</v>
      </c>
      <c r="M134" s="3" t="s">
        <v>56</v>
      </c>
      <c r="N134" s="3" t="str">
        <f t="shared" si="8"/>
        <v>2024-02</v>
      </c>
      <c r="O134" s="3" t="str">
        <f t="shared" si="9"/>
        <v>No discount</v>
      </c>
      <c r="P134" s="9">
        <f t="shared" si="10"/>
        <v>0.35816790241568996</v>
      </c>
      <c r="Q134" s="3" t="str">
        <f t="shared" si="11"/>
        <v>No</v>
      </c>
    </row>
    <row r="135" spans="1:17" ht="21" customHeight="1">
      <c r="A135" s="3" t="s">
        <v>382</v>
      </c>
      <c r="B135" s="5">
        <v>45340</v>
      </c>
      <c r="C135" s="3" t="s">
        <v>177</v>
      </c>
      <c r="D135" s="3" t="s">
        <v>44</v>
      </c>
      <c r="E135" s="3" t="s">
        <v>42</v>
      </c>
      <c r="F135" s="3" t="s">
        <v>90</v>
      </c>
      <c r="G135" s="3" t="s">
        <v>91</v>
      </c>
      <c r="H135" s="3">
        <v>1</v>
      </c>
      <c r="I135" s="7">
        <v>1183.93</v>
      </c>
      <c r="J135" s="9">
        <v>0</v>
      </c>
      <c r="K135" s="7">
        <v>1183.93</v>
      </c>
      <c r="L135" s="7">
        <v>672.36</v>
      </c>
      <c r="M135" s="3" t="s">
        <v>57</v>
      </c>
      <c r="N135" s="3" t="str">
        <f t="shared" si="8"/>
        <v>2024-02</v>
      </c>
      <c r="O135" s="3" t="str">
        <f t="shared" si="9"/>
        <v>No discount</v>
      </c>
      <c r="P135" s="9">
        <f t="shared" si="10"/>
        <v>0.56790519709780141</v>
      </c>
      <c r="Q135" s="3" t="str">
        <f t="shared" si="11"/>
        <v>No</v>
      </c>
    </row>
    <row r="136" spans="1:17" ht="21" customHeight="1">
      <c r="A136" s="3" t="s">
        <v>383</v>
      </c>
      <c r="B136" s="5">
        <v>45340</v>
      </c>
      <c r="C136" s="3" t="s">
        <v>384</v>
      </c>
      <c r="D136" s="3" t="s">
        <v>44</v>
      </c>
      <c r="E136" s="3" t="s">
        <v>39</v>
      </c>
      <c r="F136" s="3" t="s">
        <v>130</v>
      </c>
      <c r="G136" s="3" t="s">
        <v>193</v>
      </c>
      <c r="H136" s="3">
        <v>1</v>
      </c>
      <c r="I136" s="7">
        <v>1872.35</v>
      </c>
      <c r="J136" s="9">
        <v>0.4</v>
      </c>
      <c r="K136" s="7">
        <v>1123.4100000000001</v>
      </c>
      <c r="L136" s="7">
        <v>-2.78</v>
      </c>
      <c r="M136" s="3" t="s">
        <v>59</v>
      </c>
      <c r="N136" s="3" t="str">
        <f t="shared" si="8"/>
        <v>2024-02</v>
      </c>
      <c r="O136" s="3" t="str">
        <f t="shared" si="9"/>
        <v>21%+</v>
      </c>
      <c r="P136" s="9">
        <f t="shared" si="10"/>
        <v>-2.4746085578729047E-3</v>
      </c>
      <c r="Q136" s="3" t="str">
        <f t="shared" si="11"/>
        <v>Yes</v>
      </c>
    </row>
    <row r="137" spans="1:17" ht="21" customHeight="1">
      <c r="A137" s="3" t="s">
        <v>385</v>
      </c>
      <c r="B137" s="5">
        <v>45340</v>
      </c>
      <c r="C137" s="3" t="s">
        <v>108</v>
      </c>
      <c r="D137" s="3" t="s">
        <v>46</v>
      </c>
      <c r="E137" s="3" t="s">
        <v>42</v>
      </c>
      <c r="F137" s="3" t="s">
        <v>126</v>
      </c>
      <c r="G137" s="3" t="s">
        <v>151</v>
      </c>
      <c r="H137" s="3">
        <v>5</v>
      </c>
      <c r="I137" s="7">
        <v>1446.44</v>
      </c>
      <c r="J137" s="9">
        <v>0</v>
      </c>
      <c r="K137" s="7">
        <v>7232.2</v>
      </c>
      <c r="L137" s="7">
        <v>4243.93</v>
      </c>
      <c r="M137" s="3" t="s">
        <v>59</v>
      </c>
      <c r="N137" s="3" t="str">
        <f t="shared" si="8"/>
        <v>2024-02</v>
      </c>
      <c r="O137" s="3" t="str">
        <f t="shared" si="9"/>
        <v>No discount</v>
      </c>
      <c r="P137" s="9">
        <f t="shared" si="10"/>
        <v>0.58681037581925288</v>
      </c>
      <c r="Q137" s="3" t="str">
        <f t="shared" si="11"/>
        <v>No</v>
      </c>
    </row>
    <row r="138" spans="1:17" ht="21" customHeight="1">
      <c r="A138" s="3" t="s">
        <v>386</v>
      </c>
      <c r="B138" s="5">
        <v>45340</v>
      </c>
      <c r="C138" s="3" t="s">
        <v>387</v>
      </c>
      <c r="D138" s="3" t="s">
        <v>46</v>
      </c>
      <c r="E138" s="3" t="s">
        <v>42</v>
      </c>
      <c r="F138" s="3" t="s">
        <v>90</v>
      </c>
      <c r="G138" s="3" t="s">
        <v>106</v>
      </c>
      <c r="H138" s="3">
        <v>2</v>
      </c>
      <c r="I138" s="7">
        <v>885.18</v>
      </c>
      <c r="J138" s="9">
        <v>0.05</v>
      </c>
      <c r="K138" s="7">
        <v>1681.84</v>
      </c>
      <c r="L138" s="7">
        <v>768.47</v>
      </c>
      <c r="M138" s="3" t="s">
        <v>57</v>
      </c>
      <c r="N138" s="3" t="str">
        <f t="shared" si="8"/>
        <v>2024-02</v>
      </c>
      <c r="O138" s="3" t="str">
        <f t="shared" si="9"/>
        <v>1-10%</v>
      </c>
      <c r="P138" s="9">
        <f t="shared" si="10"/>
        <v>0.45692218046901018</v>
      </c>
      <c r="Q138" s="3" t="str">
        <f t="shared" si="11"/>
        <v>No</v>
      </c>
    </row>
    <row r="139" spans="1:17" ht="21" customHeight="1">
      <c r="A139" s="3" t="s">
        <v>388</v>
      </c>
      <c r="B139" s="5">
        <v>45341</v>
      </c>
      <c r="C139" s="3" t="s">
        <v>389</v>
      </c>
      <c r="D139" s="3" t="s">
        <v>47</v>
      </c>
      <c r="E139" s="3" t="s">
        <v>39</v>
      </c>
      <c r="F139" s="3" t="s">
        <v>130</v>
      </c>
      <c r="G139" s="3" t="s">
        <v>131</v>
      </c>
      <c r="H139" s="3">
        <v>1</v>
      </c>
      <c r="I139" s="7">
        <v>2209.4</v>
      </c>
      <c r="J139" s="9">
        <v>0</v>
      </c>
      <c r="K139" s="7">
        <v>2209.4</v>
      </c>
      <c r="L139" s="7">
        <v>862.65</v>
      </c>
      <c r="M139" s="3" t="s">
        <v>58</v>
      </c>
      <c r="N139" s="3" t="str">
        <f t="shared" si="8"/>
        <v>2024-02</v>
      </c>
      <c r="O139" s="3" t="str">
        <f t="shared" si="9"/>
        <v>No discount</v>
      </c>
      <c r="P139" s="9">
        <f t="shared" si="10"/>
        <v>0.39044536978365163</v>
      </c>
      <c r="Q139" s="3" t="str">
        <f t="shared" si="11"/>
        <v>No</v>
      </c>
    </row>
    <row r="140" spans="1:17" ht="21" customHeight="1">
      <c r="A140" s="3" t="s">
        <v>390</v>
      </c>
      <c r="B140" s="5">
        <v>45342</v>
      </c>
      <c r="C140" s="3" t="s">
        <v>391</v>
      </c>
      <c r="D140" s="3" t="s">
        <v>44</v>
      </c>
      <c r="E140" s="3" t="s">
        <v>39</v>
      </c>
      <c r="F140" s="3" t="s">
        <v>130</v>
      </c>
      <c r="G140" s="3" t="s">
        <v>131</v>
      </c>
      <c r="H140" s="3">
        <v>1</v>
      </c>
      <c r="I140" s="7">
        <v>2145.9299999999998</v>
      </c>
      <c r="J140" s="9">
        <v>0.2</v>
      </c>
      <c r="K140" s="7">
        <v>1716.74</v>
      </c>
      <c r="L140" s="7">
        <v>371.62</v>
      </c>
      <c r="M140" s="3" t="s">
        <v>56</v>
      </c>
      <c r="N140" s="3" t="str">
        <f t="shared" si="8"/>
        <v>2024-02</v>
      </c>
      <c r="O140" s="3" t="str">
        <f t="shared" si="9"/>
        <v>16-20%</v>
      </c>
      <c r="P140" s="9">
        <f t="shared" si="10"/>
        <v>0.21646842270815617</v>
      </c>
      <c r="Q140" s="3" t="str">
        <f t="shared" si="11"/>
        <v>No</v>
      </c>
    </row>
    <row r="141" spans="1:17" ht="21" customHeight="1">
      <c r="A141" s="3" t="s">
        <v>392</v>
      </c>
      <c r="B141" s="5">
        <v>45342</v>
      </c>
      <c r="C141" s="3" t="s">
        <v>293</v>
      </c>
      <c r="D141" s="3" t="s">
        <v>45</v>
      </c>
      <c r="E141" s="3" t="s">
        <v>42</v>
      </c>
      <c r="F141" s="3" t="s">
        <v>90</v>
      </c>
      <c r="G141" s="3" t="s">
        <v>106</v>
      </c>
      <c r="H141" s="3">
        <v>1</v>
      </c>
      <c r="I141" s="7">
        <v>857.86</v>
      </c>
      <c r="J141" s="9">
        <v>0.2</v>
      </c>
      <c r="K141" s="7">
        <v>686.29</v>
      </c>
      <c r="L141" s="7">
        <v>246.84</v>
      </c>
      <c r="M141" s="3" t="s">
        <v>56</v>
      </c>
      <c r="N141" s="3" t="str">
        <f t="shared" si="8"/>
        <v>2024-02</v>
      </c>
      <c r="O141" s="3" t="str">
        <f t="shared" si="9"/>
        <v>16-20%</v>
      </c>
      <c r="P141" s="9">
        <f t="shared" si="10"/>
        <v>0.3596730245231608</v>
      </c>
      <c r="Q141" s="3" t="str">
        <f t="shared" si="11"/>
        <v>No</v>
      </c>
    </row>
    <row r="142" spans="1:17" ht="21" customHeight="1">
      <c r="A142" s="3" t="s">
        <v>393</v>
      </c>
      <c r="B142" s="5">
        <v>45342</v>
      </c>
      <c r="C142" s="3" t="s">
        <v>394</v>
      </c>
      <c r="D142" s="3" t="s">
        <v>45</v>
      </c>
      <c r="E142" s="3" t="s">
        <v>40</v>
      </c>
      <c r="F142" s="3" t="s">
        <v>221</v>
      </c>
      <c r="G142" s="3" t="s">
        <v>279</v>
      </c>
      <c r="H142" s="3">
        <v>1</v>
      </c>
      <c r="I142" s="7">
        <v>1442.99</v>
      </c>
      <c r="J142" s="9">
        <v>0.1</v>
      </c>
      <c r="K142" s="7">
        <v>1298.69</v>
      </c>
      <c r="L142" s="7">
        <v>317.62</v>
      </c>
      <c r="M142" s="3" t="s">
        <v>56</v>
      </c>
      <c r="N142" s="3" t="str">
        <f t="shared" si="8"/>
        <v>2024-02</v>
      </c>
      <c r="O142" s="3" t="str">
        <f t="shared" si="9"/>
        <v>1-10%</v>
      </c>
      <c r="P142" s="9">
        <f t="shared" si="10"/>
        <v>0.24456952775489146</v>
      </c>
      <c r="Q142" s="3" t="str">
        <f t="shared" si="11"/>
        <v>No</v>
      </c>
    </row>
    <row r="143" spans="1:17" ht="21" customHeight="1">
      <c r="A143" s="3" t="s">
        <v>395</v>
      </c>
      <c r="B143" s="5">
        <v>45343</v>
      </c>
      <c r="C143" s="3" t="s">
        <v>396</v>
      </c>
      <c r="D143" s="3" t="s">
        <v>44</v>
      </c>
      <c r="E143" s="3" t="s">
        <v>42</v>
      </c>
      <c r="F143" s="3" t="s">
        <v>90</v>
      </c>
      <c r="G143" s="3" t="s">
        <v>106</v>
      </c>
      <c r="H143" s="3">
        <v>1</v>
      </c>
      <c r="I143" s="7">
        <v>884.5</v>
      </c>
      <c r="J143" s="9">
        <v>0.1</v>
      </c>
      <c r="K143" s="7">
        <v>796.05</v>
      </c>
      <c r="L143" s="7">
        <v>342.69</v>
      </c>
      <c r="M143" s="3" t="s">
        <v>57</v>
      </c>
      <c r="N143" s="3" t="str">
        <f t="shared" si="8"/>
        <v>2024-02</v>
      </c>
      <c r="O143" s="3" t="str">
        <f t="shared" si="9"/>
        <v>1-10%</v>
      </c>
      <c r="P143" s="9">
        <f t="shared" si="10"/>
        <v>0.43048803467118901</v>
      </c>
      <c r="Q143" s="3" t="str">
        <f t="shared" si="11"/>
        <v>No</v>
      </c>
    </row>
    <row r="144" spans="1:17" ht="21" customHeight="1">
      <c r="A144" s="3" t="s">
        <v>397</v>
      </c>
      <c r="B144" s="5">
        <v>45343</v>
      </c>
      <c r="C144" s="3" t="s">
        <v>398</v>
      </c>
      <c r="D144" s="3" t="s">
        <v>46</v>
      </c>
      <c r="E144" s="3" t="s">
        <v>40</v>
      </c>
      <c r="F144" s="3" t="s">
        <v>221</v>
      </c>
      <c r="G144" s="3" t="s">
        <v>222</v>
      </c>
      <c r="H144" s="3">
        <v>1</v>
      </c>
      <c r="I144" s="7">
        <v>982.05</v>
      </c>
      <c r="J144" s="9">
        <v>0.05</v>
      </c>
      <c r="K144" s="7">
        <v>932.95</v>
      </c>
      <c r="L144" s="7">
        <v>260.89</v>
      </c>
      <c r="M144" s="3" t="s">
        <v>58</v>
      </c>
      <c r="N144" s="3" t="str">
        <f t="shared" si="8"/>
        <v>2024-02</v>
      </c>
      <c r="O144" s="3" t="str">
        <f t="shared" si="9"/>
        <v>1-10%</v>
      </c>
      <c r="P144" s="9">
        <f t="shared" si="10"/>
        <v>0.27963985208210512</v>
      </c>
      <c r="Q144" s="3" t="str">
        <f t="shared" si="11"/>
        <v>No</v>
      </c>
    </row>
    <row r="145" spans="1:17" ht="21" customHeight="1">
      <c r="A145" s="3" t="s">
        <v>399</v>
      </c>
      <c r="B145" s="5">
        <v>45343</v>
      </c>
      <c r="C145" s="3" t="s">
        <v>400</v>
      </c>
      <c r="D145" s="3" t="s">
        <v>47</v>
      </c>
      <c r="E145" s="3" t="s">
        <v>42</v>
      </c>
      <c r="F145" s="3" t="s">
        <v>90</v>
      </c>
      <c r="G145" s="3" t="s">
        <v>91</v>
      </c>
      <c r="H145" s="3">
        <v>2</v>
      </c>
      <c r="I145" s="7">
        <v>1252.1500000000001</v>
      </c>
      <c r="J145" s="9">
        <v>0.05</v>
      </c>
      <c r="K145" s="7">
        <v>2379.09</v>
      </c>
      <c r="L145" s="7">
        <v>1204.1099999999999</v>
      </c>
      <c r="M145" s="3" t="s">
        <v>57</v>
      </c>
      <c r="N145" s="3" t="str">
        <f t="shared" si="8"/>
        <v>2024-02</v>
      </c>
      <c r="O145" s="3" t="str">
        <f t="shared" si="9"/>
        <v>1-10%</v>
      </c>
      <c r="P145" s="9">
        <f t="shared" si="10"/>
        <v>0.5061220886977793</v>
      </c>
      <c r="Q145" s="3" t="str">
        <f t="shared" si="11"/>
        <v>No</v>
      </c>
    </row>
    <row r="146" spans="1:17" ht="21" customHeight="1">
      <c r="A146" s="3" t="s">
        <v>401</v>
      </c>
      <c r="B146" s="5">
        <v>45343</v>
      </c>
      <c r="C146" s="3" t="s">
        <v>402</v>
      </c>
      <c r="D146" s="3" t="s">
        <v>44</v>
      </c>
      <c r="E146" s="3" t="s">
        <v>38</v>
      </c>
      <c r="F146" s="3" t="s">
        <v>142</v>
      </c>
      <c r="G146" s="3" t="s">
        <v>245</v>
      </c>
      <c r="H146" s="3">
        <v>2</v>
      </c>
      <c r="I146" s="7">
        <v>5058.84</v>
      </c>
      <c r="J146" s="9">
        <v>0.05</v>
      </c>
      <c r="K146" s="7">
        <v>9611.7999999999993</v>
      </c>
      <c r="L146" s="7">
        <v>1229.1600000000001</v>
      </c>
      <c r="M146" s="3" t="s">
        <v>56</v>
      </c>
      <c r="N146" s="3" t="str">
        <f t="shared" si="8"/>
        <v>2024-02</v>
      </c>
      <c r="O146" s="3" t="str">
        <f t="shared" si="9"/>
        <v>1-10%</v>
      </c>
      <c r="P146" s="9">
        <f t="shared" si="10"/>
        <v>0.12788031378097756</v>
      </c>
      <c r="Q146" s="3" t="str">
        <f t="shared" si="11"/>
        <v>No</v>
      </c>
    </row>
    <row r="147" spans="1:17" ht="21" customHeight="1">
      <c r="A147" s="3" t="s">
        <v>403</v>
      </c>
      <c r="B147" s="5">
        <v>45343</v>
      </c>
      <c r="C147" s="3" t="s">
        <v>404</v>
      </c>
      <c r="D147" s="3" t="s">
        <v>44</v>
      </c>
      <c r="E147" s="3" t="s">
        <v>40</v>
      </c>
      <c r="F147" s="3" t="s">
        <v>221</v>
      </c>
      <c r="G147" s="3" t="s">
        <v>279</v>
      </c>
      <c r="H147" s="3">
        <v>4</v>
      </c>
      <c r="I147" s="7">
        <v>1506.14</v>
      </c>
      <c r="J147" s="9">
        <v>0.2</v>
      </c>
      <c r="K147" s="7">
        <v>4819.6499999999996</v>
      </c>
      <c r="L147" s="7">
        <v>474.26</v>
      </c>
      <c r="M147" s="3" t="s">
        <v>56</v>
      </c>
      <c r="N147" s="3" t="str">
        <f t="shared" si="8"/>
        <v>2024-02</v>
      </c>
      <c r="O147" s="3" t="str">
        <f t="shared" si="9"/>
        <v>16-20%</v>
      </c>
      <c r="P147" s="9">
        <f t="shared" si="10"/>
        <v>9.8401336196611788E-2</v>
      </c>
      <c r="Q147" s="3" t="str">
        <f t="shared" si="11"/>
        <v>No</v>
      </c>
    </row>
    <row r="148" spans="1:17" ht="21" customHeight="1">
      <c r="A148" s="3" t="s">
        <v>405</v>
      </c>
      <c r="B148" s="5">
        <v>45345</v>
      </c>
      <c r="C148" s="3" t="s">
        <v>406</v>
      </c>
      <c r="D148" s="3" t="s">
        <v>47</v>
      </c>
      <c r="E148" s="3" t="s">
        <v>39</v>
      </c>
      <c r="F148" s="3" t="s">
        <v>130</v>
      </c>
      <c r="G148" s="3" t="s">
        <v>131</v>
      </c>
      <c r="H148" s="3">
        <v>1</v>
      </c>
      <c r="I148" s="7">
        <v>2157.58</v>
      </c>
      <c r="J148" s="9">
        <v>0</v>
      </c>
      <c r="K148" s="7">
        <v>2157.58</v>
      </c>
      <c r="L148" s="7">
        <v>875.87</v>
      </c>
      <c r="M148" s="3" t="s">
        <v>57</v>
      </c>
      <c r="N148" s="3" t="str">
        <f t="shared" si="8"/>
        <v>2024-02</v>
      </c>
      <c r="O148" s="3" t="str">
        <f t="shared" si="9"/>
        <v>No discount</v>
      </c>
      <c r="P148" s="9">
        <f t="shared" si="10"/>
        <v>0.40595018492941165</v>
      </c>
      <c r="Q148" s="3" t="str">
        <f t="shared" si="11"/>
        <v>No</v>
      </c>
    </row>
    <row r="149" spans="1:17" ht="21" customHeight="1">
      <c r="A149" s="3" t="s">
        <v>407</v>
      </c>
      <c r="B149" s="5">
        <v>45345</v>
      </c>
      <c r="C149" s="3" t="s">
        <v>408</v>
      </c>
      <c r="D149" s="3" t="s">
        <v>44</v>
      </c>
      <c r="E149" s="3" t="s">
        <v>38</v>
      </c>
      <c r="F149" s="3" t="s">
        <v>98</v>
      </c>
      <c r="G149" s="3" t="s">
        <v>99</v>
      </c>
      <c r="H149" s="3">
        <v>5</v>
      </c>
      <c r="I149" s="7">
        <v>25559.61</v>
      </c>
      <c r="J149" s="9">
        <v>0.2</v>
      </c>
      <c r="K149" s="7">
        <v>102238.44</v>
      </c>
      <c r="L149" s="7">
        <v>-7350.2</v>
      </c>
      <c r="M149" s="3" t="s">
        <v>58</v>
      </c>
      <c r="N149" s="3" t="str">
        <f t="shared" si="8"/>
        <v>2024-02</v>
      </c>
      <c r="O149" s="3" t="str">
        <f t="shared" si="9"/>
        <v>16-20%</v>
      </c>
      <c r="P149" s="9">
        <f t="shared" si="10"/>
        <v>-7.1892724497752511E-2</v>
      </c>
      <c r="Q149" s="3" t="str">
        <f t="shared" si="11"/>
        <v>Yes</v>
      </c>
    </row>
    <row r="150" spans="1:17" ht="21" customHeight="1">
      <c r="A150" s="3" t="s">
        <v>409</v>
      </c>
      <c r="B150" s="5">
        <v>45345</v>
      </c>
      <c r="C150" s="3" t="s">
        <v>410</v>
      </c>
      <c r="D150" s="3" t="s">
        <v>44</v>
      </c>
      <c r="E150" s="3" t="s">
        <v>42</v>
      </c>
      <c r="F150" s="3" t="s">
        <v>126</v>
      </c>
      <c r="G150" s="3" t="s">
        <v>127</v>
      </c>
      <c r="H150" s="3">
        <v>3</v>
      </c>
      <c r="I150" s="7">
        <v>1015.48</v>
      </c>
      <c r="J150" s="9">
        <v>0.3</v>
      </c>
      <c r="K150" s="7">
        <v>2132.5100000000002</v>
      </c>
      <c r="L150" s="7">
        <v>504.93</v>
      </c>
      <c r="M150" s="3" t="s">
        <v>57</v>
      </c>
      <c r="N150" s="3" t="str">
        <f t="shared" si="8"/>
        <v>2024-02</v>
      </c>
      <c r="O150" s="3" t="str">
        <f t="shared" si="9"/>
        <v>21%+</v>
      </c>
      <c r="P150" s="9">
        <f t="shared" si="10"/>
        <v>0.23677731874645369</v>
      </c>
      <c r="Q150" s="3" t="str">
        <f t="shared" si="11"/>
        <v>No</v>
      </c>
    </row>
    <row r="151" spans="1:17" ht="21" customHeight="1">
      <c r="A151" s="3" t="s">
        <v>411</v>
      </c>
      <c r="B151" s="5">
        <v>45345</v>
      </c>
      <c r="C151" s="3" t="s">
        <v>412</v>
      </c>
      <c r="D151" s="3" t="s">
        <v>46</v>
      </c>
      <c r="E151" s="3" t="s">
        <v>41</v>
      </c>
      <c r="F151" s="3" t="s">
        <v>113</v>
      </c>
      <c r="G151" s="3" t="s">
        <v>114</v>
      </c>
      <c r="H151" s="3">
        <v>2</v>
      </c>
      <c r="I151" s="7">
        <v>11811.5</v>
      </c>
      <c r="J151" s="9">
        <v>0.1</v>
      </c>
      <c r="K151" s="7">
        <v>21260.7</v>
      </c>
      <c r="L151" s="7">
        <v>5881.05</v>
      </c>
      <c r="M151" s="3" t="s">
        <v>58</v>
      </c>
      <c r="N151" s="3" t="str">
        <f t="shared" si="8"/>
        <v>2024-02</v>
      </c>
      <c r="O151" s="3" t="str">
        <f t="shared" si="9"/>
        <v>1-10%</v>
      </c>
      <c r="P151" s="9">
        <f t="shared" si="10"/>
        <v>0.2766160098209372</v>
      </c>
      <c r="Q151" s="3" t="str">
        <f t="shared" si="11"/>
        <v>No</v>
      </c>
    </row>
    <row r="152" spans="1:17" ht="21" customHeight="1">
      <c r="A152" s="3" t="s">
        <v>413</v>
      </c>
      <c r="B152" s="5">
        <v>45345</v>
      </c>
      <c r="C152" s="3" t="s">
        <v>414</v>
      </c>
      <c r="D152" s="3" t="s">
        <v>47</v>
      </c>
      <c r="E152" s="3" t="s">
        <v>38</v>
      </c>
      <c r="F152" s="3" t="s">
        <v>94</v>
      </c>
      <c r="G152" s="3" t="s">
        <v>95</v>
      </c>
      <c r="H152" s="3">
        <v>3</v>
      </c>
      <c r="I152" s="7">
        <v>78479.83</v>
      </c>
      <c r="J152" s="9">
        <v>0.25</v>
      </c>
      <c r="K152" s="7">
        <v>176579.62</v>
      </c>
      <c r="L152" s="7">
        <v>-21706.3</v>
      </c>
      <c r="M152" s="3" t="s">
        <v>56</v>
      </c>
      <c r="N152" s="3" t="str">
        <f t="shared" si="8"/>
        <v>2024-02</v>
      </c>
      <c r="O152" s="3" t="str">
        <f t="shared" si="9"/>
        <v>21%+</v>
      </c>
      <c r="P152" s="9">
        <f t="shared" si="10"/>
        <v>-0.12292641698968432</v>
      </c>
      <c r="Q152" s="3" t="str">
        <f t="shared" si="11"/>
        <v>Yes</v>
      </c>
    </row>
    <row r="153" spans="1:17" ht="21" customHeight="1">
      <c r="A153" s="3" t="s">
        <v>415</v>
      </c>
      <c r="B153" s="5">
        <v>45345</v>
      </c>
      <c r="C153" s="3" t="s">
        <v>416</v>
      </c>
      <c r="D153" s="3" t="s">
        <v>46</v>
      </c>
      <c r="E153" s="3" t="s">
        <v>39</v>
      </c>
      <c r="F153" s="3" t="s">
        <v>164</v>
      </c>
      <c r="G153" s="3" t="s">
        <v>165</v>
      </c>
      <c r="H153" s="3">
        <v>3</v>
      </c>
      <c r="I153" s="7">
        <v>1954.75</v>
      </c>
      <c r="J153" s="9">
        <v>0.15</v>
      </c>
      <c r="K153" s="7">
        <v>4984.6099999999997</v>
      </c>
      <c r="L153" s="7">
        <v>1111.45</v>
      </c>
      <c r="M153" s="3" t="s">
        <v>57</v>
      </c>
      <c r="N153" s="3" t="str">
        <f t="shared" si="8"/>
        <v>2024-02</v>
      </c>
      <c r="O153" s="3" t="str">
        <f t="shared" si="9"/>
        <v>11-15%</v>
      </c>
      <c r="P153" s="9">
        <f t="shared" si="10"/>
        <v>0.22297632111639629</v>
      </c>
      <c r="Q153" s="3" t="str">
        <f t="shared" si="11"/>
        <v>No</v>
      </c>
    </row>
    <row r="154" spans="1:17" ht="21" customHeight="1">
      <c r="A154" s="3" t="s">
        <v>417</v>
      </c>
      <c r="B154" s="5">
        <v>45346</v>
      </c>
      <c r="C154" s="3" t="s">
        <v>418</v>
      </c>
      <c r="D154" s="3" t="s">
        <v>47</v>
      </c>
      <c r="E154" s="3" t="s">
        <v>40</v>
      </c>
      <c r="F154" s="3" t="s">
        <v>160</v>
      </c>
      <c r="G154" s="3" t="s">
        <v>161</v>
      </c>
      <c r="H154" s="3">
        <v>2</v>
      </c>
      <c r="I154" s="7">
        <v>13187.44</v>
      </c>
      <c r="J154" s="9">
        <v>0.15</v>
      </c>
      <c r="K154" s="7">
        <v>22418.65</v>
      </c>
      <c r="L154" s="7">
        <v>3627.92</v>
      </c>
      <c r="M154" s="3" t="s">
        <v>57</v>
      </c>
      <c r="N154" s="3" t="str">
        <f t="shared" si="8"/>
        <v>2024-02</v>
      </c>
      <c r="O154" s="3" t="str">
        <f t="shared" si="9"/>
        <v>11-15%</v>
      </c>
      <c r="P154" s="9">
        <f t="shared" si="10"/>
        <v>0.16182597970885845</v>
      </c>
      <c r="Q154" s="3" t="str">
        <f t="shared" si="11"/>
        <v>No</v>
      </c>
    </row>
    <row r="155" spans="1:17" ht="21" customHeight="1">
      <c r="A155" s="3" t="s">
        <v>419</v>
      </c>
      <c r="B155" s="5">
        <v>45347</v>
      </c>
      <c r="C155" s="3" t="s">
        <v>420</v>
      </c>
      <c r="D155" s="3" t="s">
        <v>45</v>
      </c>
      <c r="E155" s="3" t="s">
        <v>41</v>
      </c>
      <c r="F155" s="3" t="s">
        <v>119</v>
      </c>
      <c r="G155" s="3" t="s">
        <v>168</v>
      </c>
      <c r="H155" s="3">
        <v>1</v>
      </c>
      <c r="I155" s="7">
        <v>9883.89</v>
      </c>
      <c r="J155" s="9">
        <v>0.1</v>
      </c>
      <c r="K155" s="7">
        <v>8895.5</v>
      </c>
      <c r="L155" s="7">
        <v>2598.58</v>
      </c>
      <c r="M155" s="3" t="s">
        <v>60</v>
      </c>
      <c r="N155" s="3" t="str">
        <f t="shared" si="8"/>
        <v>2024-02</v>
      </c>
      <c r="O155" s="3" t="str">
        <f t="shared" si="9"/>
        <v>1-10%</v>
      </c>
      <c r="P155" s="9">
        <f t="shared" si="10"/>
        <v>0.2921229835309988</v>
      </c>
      <c r="Q155" s="3" t="str">
        <f t="shared" si="11"/>
        <v>No</v>
      </c>
    </row>
    <row r="156" spans="1:17" ht="21" customHeight="1">
      <c r="A156" s="3" t="s">
        <v>421</v>
      </c>
      <c r="B156" s="5">
        <v>45347</v>
      </c>
      <c r="C156" s="3" t="s">
        <v>422</v>
      </c>
      <c r="D156" s="3" t="s">
        <v>46</v>
      </c>
      <c r="E156" s="3" t="s">
        <v>42</v>
      </c>
      <c r="F156" s="3" t="s">
        <v>90</v>
      </c>
      <c r="G156" s="3" t="s">
        <v>106</v>
      </c>
      <c r="H156" s="3">
        <v>1</v>
      </c>
      <c r="I156" s="7">
        <v>921.72</v>
      </c>
      <c r="J156" s="9">
        <v>0.15</v>
      </c>
      <c r="K156" s="7">
        <v>783.46</v>
      </c>
      <c r="L156" s="7">
        <v>270.58999999999997</v>
      </c>
      <c r="M156" s="3" t="s">
        <v>56</v>
      </c>
      <c r="N156" s="3" t="str">
        <f t="shared" si="8"/>
        <v>2024-02</v>
      </c>
      <c r="O156" s="3" t="str">
        <f t="shared" si="9"/>
        <v>11-15%</v>
      </c>
      <c r="P156" s="9">
        <f t="shared" si="10"/>
        <v>0.34537819416434784</v>
      </c>
      <c r="Q156" s="3" t="str">
        <f t="shared" si="11"/>
        <v>No</v>
      </c>
    </row>
    <row r="157" spans="1:17" ht="21" customHeight="1">
      <c r="A157" s="3" t="s">
        <v>423</v>
      </c>
      <c r="B157" s="5">
        <v>45348</v>
      </c>
      <c r="C157" s="3" t="s">
        <v>424</v>
      </c>
      <c r="D157" s="3" t="s">
        <v>47</v>
      </c>
      <c r="E157" s="3" t="s">
        <v>38</v>
      </c>
      <c r="F157" s="3" t="s">
        <v>94</v>
      </c>
      <c r="G157" s="3" t="s">
        <v>213</v>
      </c>
      <c r="H157" s="3">
        <v>2</v>
      </c>
      <c r="I157" s="7">
        <v>53917.82</v>
      </c>
      <c r="J157" s="9">
        <v>0.05</v>
      </c>
      <c r="K157" s="7">
        <v>102443.86</v>
      </c>
      <c r="L157" s="7">
        <v>15416.44</v>
      </c>
      <c r="M157" s="3" t="s">
        <v>56</v>
      </c>
      <c r="N157" s="3" t="str">
        <f t="shared" si="8"/>
        <v>2024-02</v>
      </c>
      <c r="O157" s="3" t="str">
        <f t="shared" si="9"/>
        <v>1-10%</v>
      </c>
      <c r="P157" s="9">
        <f t="shared" si="10"/>
        <v>0.15048671535805075</v>
      </c>
      <c r="Q157" s="3" t="str">
        <f t="shared" si="11"/>
        <v>No</v>
      </c>
    </row>
    <row r="158" spans="1:17" ht="21" customHeight="1">
      <c r="A158" s="3" t="s">
        <v>425</v>
      </c>
      <c r="B158" s="5">
        <v>45348</v>
      </c>
      <c r="C158" s="3" t="s">
        <v>426</v>
      </c>
      <c r="D158" s="3" t="s">
        <v>46</v>
      </c>
      <c r="E158" s="3" t="s">
        <v>41</v>
      </c>
      <c r="F158" s="3" t="s">
        <v>119</v>
      </c>
      <c r="G158" s="3" t="s">
        <v>168</v>
      </c>
      <c r="H158" s="3">
        <v>2</v>
      </c>
      <c r="I158" s="7">
        <v>9804.92</v>
      </c>
      <c r="J158" s="9">
        <v>0.1</v>
      </c>
      <c r="K158" s="7">
        <v>17648.86</v>
      </c>
      <c r="L158" s="7">
        <v>5372.01</v>
      </c>
      <c r="M158" s="3" t="s">
        <v>58</v>
      </c>
      <c r="N158" s="3" t="str">
        <f t="shared" si="8"/>
        <v>2024-02</v>
      </c>
      <c r="O158" s="3" t="str">
        <f t="shared" si="9"/>
        <v>1-10%</v>
      </c>
      <c r="P158" s="9">
        <f t="shared" si="10"/>
        <v>0.30438283265887994</v>
      </c>
      <c r="Q158" s="3" t="str">
        <f t="shared" si="11"/>
        <v>No</v>
      </c>
    </row>
    <row r="159" spans="1:17" ht="21" customHeight="1">
      <c r="A159" s="3" t="s">
        <v>427</v>
      </c>
      <c r="B159" s="5">
        <v>45348</v>
      </c>
      <c r="C159" s="3" t="s">
        <v>428</v>
      </c>
      <c r="D159" s="3" t="s">
        <v>45</v>
      </c>
      <c r="E159" s="3" t="s">
        <v>38</v>
      </c>
      <c r="F159" s="3" t="s">
        <v>94</v>
      </c>
      <c r="G159" s="3" t="s">
        <v>213</v>
      </c>
      <c r="H159" s="3">
        <v>4</v>
      </c>
      <c r="I159" s="7">
        <v>54921.2</v>
      </c>
      <c r="J159" s="9">
        <v>0</v>
      </c>
      <c r="K159" s="7">
        <v>219684.8</v>
      </c>
      <c r="L159" s="7">
        <v>31410.92</v>
      </c>
      <c r="M159" s="3" t="s">
        <v>56</v>
      </c>
      <c r="N159" s="3" t="str">
        <f t="shared" si="8"/>
        <v>2024-02</v>
      </c>
      <c r="O159" s="3" t="str">
        <f t="shared" si="9"/>
        <v>No discount</v>
      </c>
      <c r="P159" s="9">
        <f t="shared" si="10"/>
        <v>0.14298176296220766</v>
      </c>
      <c r="Q159" s="3" t="str">
        <f t="shared" si="11"/>
        <v>No</v>
      </c>
    </row>
    <row r="160" spans="1:17" ht="21" customHeight="1">
      <c r="A160" s="3" t="s">
        <v>429</v>
      </c>
      <c r="B160" s="5">
        <v>45349</v>
      </c>
      <c r="C160" s="3" t="s">
        <v>153</v>
      </c>
      <c r="D160" s="3" t="s">
        <v>44</v>
      </c>
      <c r="E160" s="3" t="s">
        <v>38</v>
      </c>
      <c r="F160" s="3" t="s">
        <v>142</v>
      </c>
      <c r="G160" s="3" t="s">
        <v>245</v>
      </c>
      <c r="H160" s="3">
        <v>1</v>
      </c>
      <c r="I160" s="7">
        <v>5185.07</v>
      </c>
      <c r="J160" s="9">
        <v>0.1</v>
      </c>
      <c r="K160" s="7">
        <v>4666.5600000000004</v>
      </c>
      <c r="L160" s="7">
        <v>208.03</v>
      </c>
      <c r="M160" s="3" t="s">
        <v>57</v>
      </c>
      <c r="N160" s="3" t="str">
        <f t="shared" si="8"/>
        <v>2024-02</v>
      </c>
      <c r="O160" s="3" t="str">
        <f t="shared" si="9"/>
        <v>1-10%</v>
      </c>
      <c r="P160" s="9">
        <f t="shared" si="10"/>
        <v>4.4578876088596307E-2</v>
      </c>
      <c r="Q160" s="3" t="str">
        <f t="shared" si="11"/>
        <v>No</v>
      </c>
    </row>
    <row r="161" spans="1:17" ht="21" customHeight="1">
      <c r="A161" s="3" t="s">
        <v>430</v>
      </c>
      <c r="B161" s="5">
        <v>45349</v>
      </c>
      <c r="C161" s="3" t="s">
        <v>259</v>
      </c>
      <c r="D161" s="3" t="s">
        <v>45</v>
      </c>
      <c r="E161" s="3" t="s">
        <v>42</v>
      </c>
      <c r="F161" s="3" t="s">
        <v>90</v>
      </c>
      <c r="G161" s="3" t="s">
        <v>106</v>
      </c>
      <c r="H161" s="3">
        <v>1</v>
      </c>
      <c r="I161" s="7">
        <v>890.65</v>
      </c>
      <c r="J161" s="9">
        <v>0.25</v>
      </c>
      <c r="K161" s="7">
        <v>667.99</v>
      </c>
      <c r="L161" s="7">
        <v>174.52</v>
      </c>
      <c r="M161" s="3" t="s">
        <v>56</v>
      </c>
      <c r="N161" s="3" t="str">
        <f t="shared" si="8"/>
        <v>2024-02</v>
      </c>
      <c r="O161" s="3" t="str">
        <f t="shared" si="9"/>
        <v>21%+</v>
      </c>
      <c r="P161" s="9">
        <f t="shared" si="10"/>
        <v>0.2612613961286846</v>
      </c>
      <c r="Q161" s="3" t="str">
        <f t="shared" si="11"/>
        <v>No</v>
      </c>
    </row>
    <row r="162" spans="1:17" ht="21" customHeight="1">
      <c r="A162" s="3" t="s">
        <v>431</v>
      </c>
      <c r="B162" s="5">
        <v>45349</v>
      </c>
      <c r="C162" s="3" t="s">
        <v>432</v>
      </c>
      <c r="D162" s="3" t="s">
        <v>45</v>
      </c>
      <c r="E162" s="3" t="s">
        <v>38</v>
      </c>
      <c r="F162" s="3" t="s">
        <v>98</v>
      </c>
      <c r="G162" s="3" t="s">
        <v>99</v>
      </c>
      <c r="H162" s="3">
        <v>1</v>
      </c>
      <c r="I162" s="7">
        <v>24859.82</v>
      </c>
      <c r="J162" s="9">
        <v>0.1</v>
      </c>
      <c r="K162" s="7">
        <v>22373.84</v>
      </c>
      <c r="L162" s="7">
        <v>851.36</v>
      </c>
      <c r="M162" s="3" t="s">
        <v>56</v>
      </c>
      <c r="N162" s="3" t="str">
        <f t="shared" si="8"/>
        <v>2024-02</v>
      </c>
      <c r="O162" s="3" t="str">
        <f t="shared" si="9"/>
        <v>1-10%</v>
      </c>
      <c r="P162" s="9">
        <f t="shared" si="10"/>
        <v>3.8051581668591537E-2</v>
      </c>
      <c r="Q162" s="3" t="str">
        <f t="shared" si="11"/>
        <v>No</v>
      </c>
    </row>
    <row r="163" spans="1:17" ht="21" customHeight="1">
      <c r="A163" s="3" t="s">
        <v>433</v>
      </c>
      <c r="B163" s="5">
        <v>45349</v>
      </c>
      <c r="C163" s="3" t="s">
        <v>422</v>
      </c>
      <c r="D163" s="3" t="s">
        <v>44</v>
      </c>
      <c r="E163" s="3" t="s">
        <v>39</v>
      </c>
      <c r="F163" s="3" t="s">
        <v>130</v>
      </c>
      <c r="G163" s="3" t="s">
        <v>131</v>
      </c>
      <c r="H163" s="3">
        <v>2</v>
      </c>
      <c r="I163" s="7">
        <v>2286.66</v>
      </c>
      <c r="J163" s="9">
        <v>0.05</v>
      </c>
      <c r="K163" s="7">
        <v>4344.6499999999996</v>
      </c>
      <c r="L163" s="7">
        <v>1420.84</v>
      </c>
      <c r="M163" s="3" t="s">
        <v>56</v>
      </c>
      <c r="N163" s="3" t="str">
        <f t="shared" si="8"/>
        <v>2024-02</v>
      </c>
      <c r="O163" s="3" t="str">
        <f t="shared" si="9"/>
        <v>1-10%</v>
      </c>
      <c r="P163" s="9">
        <f t="shared" si="10"/>
        <v>0.32703209694681967</v>
      </c>
      <c r="Q163" s="3" t="str">
        <f t="shared" si="11"/>
        <v>No</v>
      </c>
    </row>
    <row r="164" spans="1:17" ht="21" customHeight="1">
      <c r="A164" s="3" t="s">
        <v>434</v>
      </c>
      <c r="B164" s="5">
        <v>45350</v>
      </c>
      <c r="C164" s="3" t="s">
        <v>116</v>
      </c>
      <c r="D164" s="3" t="s">
        <v>45</v>
      </c>
      <c r="E164" s="3" t="s">
        <v>40</v>
      </c>
      <c r="F164" s="3" t="s">
        <v>221</v>
      </c>
      <c r="G164" s="3" t="s">
        <v>222</v>
      </c>
      <c r="H164" s="3">
        <v>1</v>
      </c>
      <c r="I164" s="7">
        <v>1045.82</v>
      </c>
      <c r="J164" s="9">
        <v>0</v>
      </c>
      <c r="K164" s="7">
        <v>1045.82</v>
      </c>
      <c r="L164" s="7">
        <v>351.75</v>
      </c>
      <c r="M164" s="3" t="s">
        <v>58</v>
      </c>
      <c r="N164" s="3" t="str">
        <f t="shared" si="8"/>
        <v>2024-02</v>
      </c>
      <c r="O164" s="3" t="str">
        <f t="shared" si="9"/>
        <v>No discount</v>
      </c>
      <c r="P164" s="9">
        <f t="shared" si="10"/>
        <v>0.33633894934118685</v>
      </c>
      <c r="Q164" s="3" t="str">
        <f t="shared" si="11"/>
        <v>No</v>
      </c>
    </row>
    <row r="165" spans="1:17" ht="21" customHeight="1">
      <c r="A165" s="3" t="s">
        <v>435</v>
      </c>
      <c r="B165" s="5">
        <v>45350</v>
      </c>
      <c r="C165" s="3" t="s">
        <v>436</v>
      </c>
      <c r="D165" s="3" t="s">
        <v>46</v>
      </c>
      <c r="E165" s="3" t="s">
        <v>38</v>
      </c>
      <c r="F165" s="3" t="s">
        <v>98</v>
      </c>
      <c r="G165" s="3" t="s">
        <v>99</v>
      </c>
      <c r="H165" s="3">
        <v>1</v>
      </c>
      <c r="I165" s="7">
        <v>24458.57</v>
      </c>
      <c r="J165" s="9">
        <v>0.3</v>
      </c>
      <c r="K165" s="7">
        <v>17121</v>
      </c>
      <c r="L165" s="7">
        <v>-3190.62</v>
      </c>
      <c r="M165" s="3" t="s">
        <v>56</v>
      </c>
      <c r="N165" s="3" t="str">
        <f t="shared" si="8"/>
        <v>2024-02</v>
      </c>
      <c r="O165" s="3" t="str">
        <f t="shared" si="9"/>
        <v>21%+</v>
      </c>
      <c r="P165" s="9">
        <f t="shared" si="10"/>
        <v>-0.1863571053092693</v>
      </c>
      <c r="Q165" s="3" t="str">
        <f t="shared" si="11"/>
        <v>Yes</v>
      </c>
    </row>
    <row r="166" spans="1:17" ht="21" customHeight="1">
      <c r="A166" s="3" t="s">
        <v>437</v>
      </c>
      <c r="B166" s="5">
        <v>45350</v>
      </c>
      <c r="C166" s="3" t="s">
        <v>438</v>
      </c>
      <c r="D166" s="3" t="s">
        <v>45</v>
      </c>
      <c r="E166" s="3" t="s">
        <v>38</v>
      </c>
      <c r="F166" s="3" t="s">
        <v>98</v>
      </c>
      <c r="G166" s="3" t="s">
        <v>362</v>
      </c>
      <c r="H166" s="3">
        <v>1</v>
      </c>
      <c r="I166" s="7">
        <v>34164.51</v>
      </c>
      <c r="J166" s="9">
        <v>0.1</v>
      </c>
      <c r="K166" s="7">
        <v>30748.06</v>
      </c>
      <c r="L166" s="7">
        <v>3060.81</v>
      </c>
      <c r="M166" s="3" t="s">
        <v>56</v>
      </c>
      <c r="N166" s="3" t="str">
        <f t="shared" si="8"/>
        <v>2024-02</v>
      </c>
      <c r="O166" s="3" t="str">
        <f t="shared" si="9"/>
        <v>1-10%</v>
      </c>
      <c r="P166" s="9">
        <f t="shared" si="10"/>
        <v>9.9544816811206943E-2</v>
      </c>
      <c r="Q166" s="3" t="str">
        <f t="shared" si="11"/>
        <v>No</v>
      </c>
    </row>
    <row r="167" spans="1:17" ht="21" customHeight="1">
      <c r="A167" s="3" t="s">
        <v>439</v>
      </c>
      <c r="B167" s="5">
        <v>45350</v>
      </c>
      <c r="C167" s="3" t="s">
        <v>440</v>
      </c>
      <c r="D167" s="3" t="s">
        <v>44</v>
      </c>
      <c r="E167" s="3" t="s">
        <v>38</v>
      </c>
      <c r="F167" s="3" t="s">
        <v>142</v>
      </c>
      <c r="G167" s="3" t="s">
        <v>143</v>
      </c>
      <c r="H167" s="3">
        <v>1</v>
      </c>
      <c r="I167" s="7">
        <v>9058.91</v>
      </c>
      <c r="J167" s="9">
        <v>0.05</v>
      </c>
      <c r="K167" s="7">
        <v>8605.9599999999991</v>
      </c>
      <c r="L167" s="7">
        <v>915.9</v>
      </c>
      <c r="M167" s="3" t="s">
        <v>57</v>
      </c>
      <c r="N167" s="3" t="str">
        <f t="shared" si="8"/>
        <v>2024-02</v>
      </c>
      <c r="O167" s="3" t="str">
        <f t="shared" si="9"/>
        <v>1-10%</v>
      </c>
      <c r="P167" s="9">
        <f t="shared" si="10"/>
        <v>0.10642624413778359</v>
      </c>
      <c r="Q167" s="3" t="str">
        <f t="shared" si="11"/>
        <v>No</v>
      </c>
    </row>
    <row r="168" spans="1:17" ht="21" customHeight="1">
      <c r="A168" s="3" t="s">
        <v>441</v>
      </c>
      <c r="B168" s="5">
        <v>45351</v>
      </c>
      <c r="C168" s="3" t="s">
        <v>442</v>
      </c>
      <c r="D168" s="3" t="s">
        <v>44</v>
      </c>
      <c r="E168" s="3" t="s">
        <v>38</v>
      </c>
      <c r="F168" s="3" t="s">
        <v>94</v>
      </c>
      <c r="G168" s="3" t="s">
        <v>95</v>
      </c>
      <c r="H168" s="3">
        <v>1</v>
      </c>
      <c r="I168" s="7">
        <v>81995.69</v>
      </c>
      <c r="J168" s="9">
        <v>0.2</v>
      </c>
      <c r="K168" s="7">
        <v>65596.55</v>
      </c>
      <c r="L168" s="7">
        <v>-5751.78</v>
      </c>
      <c r="M168" s="3" t="s">
        <v>58</v>
      </c>
      <c r="N168" s="3" t="str">
        <f t="shared" si="8"/>
        <v>2024-02</v>
      </c>
      <c r="O168" s="3" t="str">
        <f t="shared" si="9"/>
        <v>16-20%</v>
      </c>
      <c r="P168" s="9">
        <f t="shared" si="10"/>
        <v>-8.7684184610318669E-2</v>
      </c>
      <c r="Q168" s="3" t="str">
        <f t="shared" si="11"/>
        <v>Yes</v>
      </c>
    </row>
    <row r="169" spans="1:17" ht="21" customHeight="1">
      <c r="A169" s="3" t="s">
        <v>443</v>
      </c>
      <c r="B169" s="5">
        <v>45351</v>
      </c>
      <c r="C169" s="3" t="s">
        <v>444</v>
      </c>
      <c r="D169" s="3" t="s">
        <v>45</v>
      </c>
      <c r="E169" s="3" t="s">
        <v>38</v>
      </c>
      <c r="F169" s="3" t="s">
        <v>94</v>
      </c>
      <c r="G169" s="3" t="s">
        <v>95</v>
      </c>
      <c r="H169" s="3">
        <v>1</v>
      </c>
      <c r="I169" s="7">
        <v>82367.86</v>
      </c>
      <c r="J169" s="9">
        <v>0.05</v>
      </c>
      <c r="K169" s="7">
        <v>78249.47</v>
      </c>
      <c r="L169" s="7">
        <v>9073.84</v>
      </c>
      <c r="M169" s="3" t="s">
        <v>56</v>
      </c>
      <c r="N169" s="3" t="str">
        <f t="shared" si="8"/>
        <v>2024-02</v>
      </c>
      <c r="O169" s="3" t="str">
        <f t="shared" si="9"/>
        <v>1-10%</v>
      </c>
      <c r="P169" s="9">
        <f t="shared" si="10"/>
        <v>0.11596040203211599</v>
      </c>
      <c r="Q169" s="3" t="str">
        <f t="shared" si="11"/>
        <v>No</v>
      </c>
    </row>
    <row r="170" spans="1:17" ht="21" customHeight="1">
      <c r="A170" s="3" t="s">
        <v>445</v>
      </c>
      <c r="B170" s="5">
        <v>45352</v>
      </c>
      <c r="C170" s="3" t="s">
        <v>446</v>
      </c>
      <c r="D170" s="3" t="s">
        <v>47</v>
      </c>
      <c r="E170" s="3" t="s">
        <v>40</v>
      </c>
      <c r="F170" s="3" t="s">
        <v>102</v>
      </c>
      <c r="G170" s="3" t="s">
        <v>103</v>
      </c>
      <c r="H170" s="3">
        <v>1</v>
      </c>
      <c r="I170" s="7">
        <v>6219.97</v>
      </c>
      <c r="J170" s="9">
        <v>0.05</v>
      </c>
      <c r="K170" s="7">
        <v>5908.97</v>
      </c>
      <c r="L170" s="7">
        <v>1401.88</v>
      </c>
      <c r="M170" s="3" t="s">
        <v>57</v>
      </c>
      <c r="N170" s="3" t="str">
        <f t="shared" si="8"/>
        <v>2024-03</v>
      </c>
      <c r="O170" s="3" t="str">
        <f t="shared" si="9"/>
        <v>1-10%</v>
      </c>
      <c r="P170" s="9">
        <f t="shared" si="10"/>
        <v>0.23724608518912774</v>
      </c>
      <c r="Q170" s="3" t="str">
        <f t="shared" si="11"/>
        <v>No</v>
      </c>
    </row>
    <row r="171" spans="1:17" ht="21" customHeight="1">
      <c r="A171" s="3" t="s">
        <v>447</v>
      </c>
      <c r="B171" s="5">
        <v>45352</v>
      </c>
      <c r="C171" s="3" t="s">
        <v>448</v>
      </c>
      <c r="D171" s="3" t="s">
        <v>45</v>
      </c>
      <c r="E171" s="3" t="s">
        <v>39</v>
      </c>
      <c r="F171" s="3" t="s">
        <v>130</v>
      </c>
      <c r="G171" s="3" t="s">
        <v>193</v>
      </c>
      <c r="H171" s="3">
        <v>1</v>
      </c>
      <c r="I171" s="7">
        <v>1801.01</v>
      </c>
      <c r="J171" s="9">
        <v>0.1</v>
      </c>
      <c r="K171" s="7">
        <v>1620.91</v>
      </c>
      <c r="L171" s="7">
        <v>531.14</v>
      </c>
      <c r="M171" s="3" t="s">
        <v>56</v>
      </c>
      <c r="N171" s="3" t="str">
        <f t="shared" si="8"/>
        <v>2024-03</v>
      </c>
      <c r="O171" s="3" t="str">
        <f t="shared" si="9"/>
        <v>1-10%</v>
      </c>
      <c r="P171" s="9">
        <f t="shared" si="10"/>
        <v>0.32768013029717874</v>
      </c>
      <c r="Q171" s="3" t="str">
        <f t="shared" si="11"/>
        <v>No</v>
      </c>
    </row>
    <row r="172" spans="1:17" ht="21" customHeight="1">
      <c r="A172" s="3" t="s">
        <v>449</v>
      </c>
      <c r="B172" s="5">
        <v>45353</v>
      </c>
      <c r="C172" s="3" t="s">
        <v>450</v>
      </c>
      <c r="D172" s="3" t="s">
        <v>47</v>
      </c>
      <c r="E172" s="3" t="s">
        <v>40</v>
      </c>
      <c r="F172" s="3" t="s">
        <v>102</v>
      </c>
      <c r="G172" s="3" t="s">
        <v>103</v>
      </c>
      <c r="H172" s="3">
        <v>1</v>
      </c>
      <c r="I172" s="7">
        <v>6644.4</v>
      </c>
      <c r="J172" s="9">
        <v>0.05</v>
      </c>
      <c r="K172" s="7">
        <v>6312.18</v>
      </c>
      <c r="L172" s="7">
        <v>1686.16</v>
      </c>
      <c r="M172" s="3" t="s">
        <v>56</v>
      </c>
      <c r="N172" s="3" t="str">
        <f t="shared" si="8"/>
        <v>2024-03</v>
      </c>
      <c r="O172" s="3" t="str">
        <f t="shared" si="9"/>
        <v>1-10%</v>
      </c>
      <c r="P172" s="9">
        <f t="shared" si="10"/>
        <v>0.26712799698360945</v>
      </c>
      <c r="Q172" s="3" t="str">
        <f t="shared" si="11"/>
        <v>No</v>
      </c>
    </row>
    <row r="173" spans="1:17" ht="21" customHeight="1">
      <c r="A173" s="3" t="s">
        <v>451</v>
      </c>
      <c r="B173" s="5">
        <v>45354</v>
      </c>
      <c r="C173" s="3" t="s">
        <v>452</v>
      </c>
      <c r="D173" s="3" t="s">
        <v>44</v>
      </c>
      <c r="E173" s="3" t="s">
        <v>41</v>
      </c>
      <c r="F173" s="3" t="s">
        <v>119</v>
      </c>
      <c r="G173" s="3" t="s">
        <v>120</v>
      </c>
      <c r="H173" s="3">
        <v>1</v>
      </c>
      <c r="I173" s="7">
        <v>1318.47</v>
      </c>
      <c r="J173" s="9">
        <v>0.2</v>
      </c>
      <c r="K173" s="7">
        <v>1054.78</v>
      </c>
      <c r="L173" s="7">
        <v>144.16999999999999</v>
      </c>
      <c r="M173" s="3" t="s">
        <v>56</v>
      </c>
      <c r="N173" s="3" t="str">
        <f t="shared" si="8"/>
        <v>2024-03</v>
      </c>
      <c r="O173" s="3" t="str">
        <f t="shared" si="9"/>
        <v>16-20%</v>
      </c>
      <c r="P173" s="9">
        <f t="shared" si="10"/>
        <v>0.13668253095432223</v>
      </c>
      <c r="Q173" s="3" t="str">
        <f t="shared" si="11"/>
        <v>No</v>
      </c>
    </row>
    <row r="174" spans="1:17" ht="21" customHeight="1">
      <c r="A174" s="3" t="s">
        <v>453</v>
      </c>
      <c r="B174" s="5">
        <v>45354</v>
      </c>
      <c r="C174" s="3" t="s">
        <v>454</v>
      </c>
      <c r="D174" s="3" t="s">
        <v>46</v>
      </c>
      <c r="E174" s="3" t="s">
        <v>39</v>
      </c>
      <c r="F174" s="3" t="s">
        <v>130</v>
      </c>
      <c r="G174" s="3" t="s">
        <v>193</v>
      </c>
      <c r="H174" s="3">
        <v>2</v>
      </c>
      <c r="I174" s="7">
        <v>1836.11</v>
      </c>
      <c r="J174" s="9">
        <v>0.05</v>
      </c>
      <c r="K174" s="7">
        <v>3488.61</v>
      </c>
      <c r="L174" s="7">
        <v>1256.03</v>
      </c>
      <c r="M174" s="3" t="s">
        <v>57</v>
      </c>
      <c r="N174" s="3" t="str">
        <f t="shared" si="8"/>
        <v>2024-03</v>
      </c>
      <c r="O174" s="3" t="str">
        <f t="shared" si="9"/>
        <v>1-10%</v>
      </c>
      <c r="P174" s="9">
        <f t="shared" si="10"/>
        <v>0.36003737878410025</v>
      </c>
      <c r="Q174" s="3" t="str">
        <f t="shared" si="11"/>
        <v>No</v>
      </c>
    </row>
    <row r="175" spans="1:17" ht="21" customHeight="1">
      <c r="A175" s="3" t="s">
        <v>455</v>
      </c>
      <c r="B175" s="5">
        <v>45354</v>
      </c>
      <c r="C175" s="3" t="s">
        <v>456</v>
      </c>
      <c r="D175" s="3" t="s">
        <v>44</v>
      </c>
      <c r="E175" s="3" t="s">
        <v>42</v>
      </c>
      <c r="F175" s="3" t="s">
        <v>90</v>
      </c>
      <c r="G175" s="3" t="s">
        <v>91</v>
      </c>
      <c r="H175" s="3">
        <v>1</v>
      </c>
      <c r="I175" s="7">
        <v>1254.21</v>
      </c>
      <c r="J175" s="9">
        <v>0.2</v>
      </c>
      <c r="K175" s="7">
        <v>1003.37</v>
      </c>
      <c r="L175" s="7">
        <v>310.62</v>
      </c>
      <c r="M175" s="3" t="s">
        <v>57</v>
      </c>
      <c r="N175" s="3" t="str">
        <f t="shared" si="8"/>
        <v>2024-03</v>
      </c>
      <c r="O175" s="3" t="str">
        <f t="shared" si="9"/>
        <v>16-20%</v>
      </c>
      <c r="P175" s="9">
        <f t="shared" si="10"/>
        <v>0.30957672643192441</v>
      </c>
      <c r="Q175" s="3" t="str">
        <f t="shared" si="11"/>
        <v>No</v>
      </c>
    </row>
    <row r="176" spans="1:17" ht="21" customHeight="1">
      <c r="A176" s="3" t="s">
        <v>457</v>
      </c>
      <c r="B176" s="5">
        <v>45354</v>
      </c>
      <c r="C176" s="3" t="s">
        <v>291</v>
      </c>
      <c r="D176" s="3" t="s">
        <v>47</v>
      </c>
      <c r="E176" s="3" t="s">
        <v>38</v>
      </c>
      <c r="F176" s="3" t="s">
        <v>142</v>
      </c>
      <c r="G176" s="3" t="s">
        <v>143</v>
      </c>
      <c r="H176" s="3">
        <v>1</v>
      </c>
      <c r="I176" s="7">
        <v>9208.2199999999993</v>
      </c>
      <c r="J176" s="9">
        <v>0</v>
      </c>
      <c r="K176" s="7">
        <v>9208.2199999999993</v>
      </c>
      <c r="L176" s="7">
        <v>1769.8</v>
      </c>
      <c r="M176" s="3" t="s">
        <v>56</v>
      </c>
      <c r="N176" s="3" t="str">
        <f t="shared" si="8"/>
        <v>2024-03</v>
      </c>
      <c r="O176" s="3" t="str">
        <f t="shared" si="9"/>
        <v>No discount</v>
      </c>
      <c r="P176" s="9">
        <f t="shared" si="10"/>
        <v>0.1921978406250068</v>
      </c>
      <c r="Q176" s="3" t="str">
        <f t="shared" si="11"/>
        <v>No</v>
      </c>
    </row>
    <row r="177" spans="1:17" ht="21" customHeight="1">
      <c r="A177" s="3" t="s">
        <v>458</v>
      </c>
      <c r="B177" s="5">
        <v>45355</v>
      </c>
      <c r="C177" s="3" t="s">
        <v>459</v>
      </c>
      <c r="D177" s="3" t="s">
        <v>45</v>
      </c>
      <c r="E177" s="3" t="s">
        <v>41</v>
      </c>
      <c r="F177" s="3" t="s">
        <v>113</v>
      </c>
      <c r="G177" s="3" t="s">
        <v>123</v>
      </c>
      <c r="H177" s="3">
        <v>1</v>
      </c>
      <c r="I177" s="7">
        <v>3552.13</v>
      </c>
      <c r="J177" s="9">
        <v>0.15</v>
      </c>
      <c r="K177" s="7">
        <v>3019.31</v>
      </c>
      <c r="L177" s="7">
        <v>583.4</v>
      </c>
      <c r="M177" s="3" t="s">
        <v>56</v>
      </c>
      <c r="N177" s="3" t="str">
        <f t="shared" si="8"/>
        <v>2024-03</v>
      </c>
      <c r="O177" s="3" t="str">
        <f t="shared" si="9"/>
        <v>11-15%</v>
      </c>
      <c r="P177" s="9">
        <f t="shared" si="10"/>
        <v>0.19322295491353986</v>
      </c>
      <c r="Q177" s="3" t="str">
        <f t="shared" si="11"/>
        <v>No</v>
      </c>
    </row>
    <row r="178" spans="1:17" ht="21" customHeight="1">
      <c r="A178" s="3" t="s">
        <v>460</v>
      </c>
      <c r="B178" s="5">
        <v>45355</v>
      </c>
      <c r="C178" s="3" t="s">
        <v>461</v>
      </c>
      <c r="D178" s="3" t="s">
        <v>44</v>
      </c>
      <c r="E178" s="3" t="s">
        <v>42</v>
      </c>
      <c r="F178" s="3" t="s">
        <v>90</v>
      </c>
      <c r="G178" s="3" t="s">
        <v>106</v>
      </c>
      <c r="H178" s="3">
        <v>3</v>
      </c>
      <c r="I178" s="7">
        <v>891.77</v>
      </c>
      <c r="J178" s="9">
        <v>0</v>
      </c>
      <c r="K178" s="7">
        <v>2675.31</v>
      </c>
      <c r="L178" s="7">
        <v>1545.43</v>
      </c>
      <c r="M178" s="3" t="s">
        <v>57</v>
      </c>
      <c r="N178" s="3" t="str">
        <f t="shared" si="8"/>
        <v>2024-03</v>
      </c>
      <c r="O178" s="3" t="str">
        <f t="shared" si="9"/>
        <v>No discount</v>
      </c>
      <c r="P178" s="9">
        <f t="shared" si="10"/>
        <v>0.57766389689419173</v>
      </c>
      <c r="Q178" s="3" t="str">
        <f t="shared" si="11"/>
        <v>No</v>
      </c>
    </row>
    <row r="179" spans="1:17" ht="21" customHeight="1">
      <c r="A179" s="3" t="s">
        <v>462</v>
      </c>
      <c r="B179" s="5">
        <v>45357</v>
      </c>
      <c r="C179" s="3" t="s">
        <v>463</v>
      </c>
      <c r="D179" s="3" t="s">
        <v>47</v>
      </c>
      <c r="E179" s="3" t="s">
        <v>38</v>
      </c>
      <c r="F179" s="3" t="s">
        <v>98</v>
      </c>
      <c r="G179" s="3" t="s">
        <v>362</v>
      </c>
      <c r="H179" s="3">
        <v>3</v>
      </c>
      <c r="I179" s="7">
        <v>31872.43</v>
      </c>
      <c r="J179" s="9">
        <v>0.05</v>
      </c>
      <c r="K179" s="7">
        <v>90836.43</v>
      </c>
      <c r="L179" s="7">
        <v>13510.64</v>
      </c>
      <c r="M179" s="3" t="s">
        <v>56</v>
      </c>
      <c r="N179" s="3" t="str">
        <f t="shared" si="8"/>
        <v>2024-03</v>
      </c>
      <c r="O179" s="3" t="str">
        <f t="shared" si="9"/>
        <v>1-10%</v>
      </c>
      <c r="P179" s="9">
        <f t="shared" si="10"/>
        <v>0.14873592015890541</v>
      </c>
      <c r="Q179" s="3" t="str">
        <f t="shared" si="11"/>
        <v>No</v>
      </c>
    </row>
    <row r="180" spans="1:17" ht="21" customHeight="1">
      <c r="A180" s="3" t="s">
        <v>464</v>
      </c>
      <c r="B180" s="5">
        <v>45357</v>
      </c>
      <c r="C180" s="3" t="s">
        <v>465</v>
      </c>
      <c r="D180" s="3" t="s">
        <v>46</v>
      </c>
      <c r="E180" s="3" t="s">
        <v>39</v>
      </c>
      <c r="F180" s="3" t="s">
        <v>109</v>
      </c>
      <c r="G180" s="3" t="s">
        <v>355</v>
      </c>
      <c r="H180" s="3">
        <v>1</v>
      </c>
      <c r="I180" s="7">
        <v>3504.48</v>
      </c>
      <c r="J180" s="9">
        <v>0.25</v>
      </c>
      <c r="K180" s="7">
        <v>2628.36</v>
      </c>
      <c r="L180" s="7">
        <v>322.62</v>
      </c>
      <c r="M180" s="3" t="s">
        <v>57</v>
      </c>
      <c r="N180" s="3" t="str">
        <f t="shared" si="8"/>
        <v>2024-03</v>
      </c>
      <c r="O180" s="3" t="str">
        <f t="shared" si="9"/>
        <v>21%+</v>
      </c>
      <c r="P180" s="9">
        <f t="shared" si="10"/>
        <v>0.12274574259233895</v>
      </c>
      <c r="Q180" s="3" t="str">
        <f t="shared" si="11"/>
        <v>No</v>
      </c>
    </row>
    <row r="181" spans="1:17" ht="21" customHeight="1">
      <c r="A181" s="3" t="s">
        <v>466</v>
      </c>
      <c r="B181" s="5">
        <v>45358</v>
      </c>
      <c r="C181" s="3" t="s">
        <v>368</v>
      </c>
      <c r="D181" s="3" t="s">
        <v>46</v>
      </c>
      <c r="E181" s="3" t="s">
        <v>40</v>
      </c>
      <c r="F181" s="3" t="s">
        <v>221</v>
      </c>
      <c r="G181" s="3" t="s">
        <v>279</v>
      </c>
      <c r="H181" s="3">
        <v>1</v>
      </c>
      <c r="I181" s="7">
        <v>1449.74</v>
      </c>
      <c r="J181" s="9">
        <v>0.05</v>
      </c>
      <c r="K181" s="7">
        <v>1377.25</v>
      </c>
      <c r="L181" s="7">
        <v>378.27</v>
      </c>
      <c r="M181" s="3" t="s">
        <v>57</v>
      </c>
      <c r="N181" s="3" t="str">
        <f t="shared" si="8"/>
        <v>2024-03</v>
      </c>
      <c r="O181" s="3" t="str">
        <f t="shared" si="9"/>
        <v>1-10%</v>
      </c>
      <c r="P181" s="9">
        <f t="shared" si="10"/>
        <v>0.27465601742603013</v>
      </c>
      <c r="Q181" s="3" t="str">
        <f t="shared" si="11"/>
        <v>No</v>
      </c>
    </row>
    <row r="182" spans="1:17" ht="21" customHeight="1">
      <c r="A182" s="3" t="s">
        <v>467</v>
      </c>
      <c r="B182" s="5">
        <v>45358</v>
      </c>
      <c r="C182" s="3" t="s">
        <v>468</v>
      </c>
      <c r="D182" s="3" t="s">
        <v>44</v>
      </c>
      <c r="E182" s="3" t="s">
        <v>39</v>
      </c>
      <c r="F182" s="3" t="s">
        <v>164</v>
      </c>
      <c r="G182" s="3" t="s">
        <v>200</v>
      </c>
      <c r="H182" s="3">
        <v>3</v>
      </c>
      <c r="I182" s="7">
        <v>1359.84</v>
      </c>
      <c r="J182" s="9">
        <v>0.2</v>
      </c>
      <c r="K182" s="7">
        <v>3263.62</v>
      </c>
      <c r="L182" s="7">
        <v>720.83</v>
      </c>
      <c r="M182" s="3" t="s">
        <v>56</v>
      </c>
      <c r="N182" s="3" t="str">
        <f t="shared" si="8"/>
        <v>2024-03</v>
      </c>
      <c r="O182" s="3" t="str">
        <f t="shared" si="9"/>
        <v>16-20%</v>
      </c>
      <c r="P182" s="9">
        <f t="shared" si="10"/>
        <v>0.22086823833657107</v>
      </c>
      <c r="Q182" s="3" t="str">
        <f t="shared" si="11"/>
        <v>No</v>
      </c>
    </row>
    <row r="183" spans="1:17" ht="21" customHeight="1">
      <c r="A183" s="3" t="s">
        <v>469</v>
      </c>
      <c r="B183" s="5">
        <v>45358</v>
      </c>
      <c r="C183" s="3" t="s">
        <v>283</v>
      </c>
      <c r="D183" s="3" t="s">
        <v>45</v>
      </c>
      <c r="E183" s="3" t="s">
        <v>41</v>
      </c>
      <c r="F183" s="3" t="s">
        <v>119</v>
      </c>
      <c r="G183" s="3" t="s">
        <v>168</v>
      </c>
      <c r="H183" s="3">
        <v>2</v>
      </c>
      <c r="I183" s="7">
        <v>9972.66</v>
      </c>
      <c r="J183" s="9">
        <v>0</v>
      </c>
      <c r="K183" s="7">
        <v>19945.32</v>
      </c>
      <c r="L183" s="7">
        <v>7226.43</v>
      </c>
      <c r="M183" s="3" t="s">
        <v>57</v>
      </c>
      <c r="N183" s="3" t="str">
        <f t="shared" si="8"/>
        <v>2024-03</v>
      </c>
      <c r="O183" s="3" t="str">
        <f t="shared" si="9"/>
        <v>No discount</v>
      </c>
      <c r="P183" s="9">
        <f t="shared" si="10"/>
        <v>0.36231206117525316</v>
      </c>
      <c r="Q183" s="3" t="str">
        <f t="shared" si="11"/>
        <v>No</v>
      </c>
    </row>
    <row r="184" spans="1:17" ht="21" customHeight="1">
      <c r="A184" s="3" t="s">
        <v>470</v>
      </c>
      <c r="B184" s="5">
        <v>45359</v>
      </c>
      <c r="C184" s="3" t="s">
        <v>471</v>
      </c>
      <c r="D184" s="3" t="s">
        <v>47</v>
      </c>
      <c r="E184" s="3" t="s">
        <v>38</v>
      </c>
      <c r="F184" s="3" t="s">
        <v>142</v>
      </c>
      <c r="G184" s="3" t="s">
        <v>245</v>
      </c>
      <c r="H184" s="3">
        <v>1</v>
      </c>
      <c r="I184" s="7">
        <v>5004.6499999999996</v>
      </c>
      <c r="J184" s="9">
        <v>0.05</v>
      </c>
      <c r="K184" s="7">
        <v>4754.42</v>
      </c>
      <c r="L184" s="7">
        <v>469.53</v>
      </c>
      <c r="M184" s="3" t="s">
        <v>57</v>
      </c>
      <c r="N184" s="3" t="str">
        <f t="shared" si="8"/>
        <v>2024-03</v>
      </c>
      <c r="O184" s="3" t="str">
        <f t="shared" si="9"/>
        <v>1-10%</v>
      </c>
      <c r="P184" s="9">
        <f t="shared" si="10"/>
        <v>9.8756525506791565E-2</v>
      </c>
      <c r="Q184" s="3" t="str">
        <f t="shared" si="11"/>
        <v>No</v>
      </c>
    </row>
    <row r="185" spans="1:17" ht="21" customHeight="1">
      <c r="A185" s="3" t="s">
        <v>472</v>
      </c>
      <c r="B185" s="5">
        <v>45359</v>
      </c>
      <c r="C185" s="3" t="s">
        <v>473</v>
      </c>
      <c r="D185" s="3" t="s">
        <v>47</v>
      </c>
      <c r="E185" s="3" t="s">
        <v>41</v>
      </c>
      <c r="F185" s="3" t="s">
        <v>113</v>
      </c>
      <c r="G185" s="3" t="s">
        <v>123</v>
      </c>
      <c r="H185" s="3">
        <v>1</v>
      </c>
      <c r="I185" s="7">
        <v>3467.02</v>
      </c>
      <c r="J185" s="9">
        <v>0</v>
      </c>
      <c r="K185" s="7">
        <v>3467.02</v>
      </c>
      <c r="L185" s="7">
        <v>1447.5</v>
      </c>
      <c r="M185" s="3" t="s">
        <v>60</v>
      </c>
      <c r="N185" s="3" t="str">
        <f t="shared" si="8"/>
        <v>2024-03</v>
      </c>
      <c r="O185" s="3" t="str">
        <f t="shared" si="9"/>
        <v>No discount</v>
      </c>
      <c r="P185" s="9">
        <f t="shared" si="10"/>
        <v>0.41750552347549191</v>
      </c>
      <c r="Q185" s="3" t="str">
        <f t="shared" si="11"/>
        <v>No</v>
      </c>
    </row>
    <row r="186" spans="1:17" ht="21" customHeight="1">
      <c r="A186" s="3" t="s">
        <v>474</v>
      </c>
      <c r="B186" s="5">
        <v>45359</v>
      </c>
      <c r="C186" s="3" t="s">
        <v>475</v>
      </c>
      <c r="D186" s="3" t="s">
        <v>45</v>
      </c>
      <c r="E186" s="3" t="s">
        <v>42</v>
      </c>
      <c r="F186" s="3" t="s">
        <v>90</v>
      </c>
      <c r="G186" s="3" t="s">
        <v>91</v>
      </c>
      <c r="H186" s="3">
        <v>1</v>
      </c>
      <c r="I186" s="7">
        <v>1252.8800000000001</v>
      </c>
      <c r="J186" s="9">
        <v>0.05</v>
      </c>
      <c r="K186" s="7">
        <v>1190.24</v>
      </c>
      <c r="L186" s="7">
        <v>564.22</v>
      </c>
      <c r="M186" s="3" t="s">
        <v>57</v>
      </c>
      <c r="N186" s="3" t="str">
        <f t="shared" si="8"/>
        <v>2024-03</v>
      </c>
      <c r="O186" s="3" t="str">
        <f t="shared" si="9"/>
        <v>1-10%</v>
      </c>
      <c r="P186" s="9">
        <f t="shared" si="10"/>
        <v>0.47403884930770268</v>
      </c>
      <c r="Q186" s="3" t="str">
        <f t="shared" si="11"/>
        <v>No</v>
      </c>
    </row>
    <row r="187" spans="1:17" ht="21" customHeight="1">
      <c r="A187" s="3" t="s">
        <v>476</v>
      </c>
      <c r="B187" s="5">
        <v>45359</v>
      </c>
      <c r="C187" s="3" t="s">
        <v>477</v>
      </c>
      <c r="D187" s="3" t="s">
        <v>47</v>
      </c>
      <c r="E187" s="3" t="s">
        <v>42</v>
      </c>
      <c r="F187" s="3" t="s">
        <v>90</v>
      </c>
      <c r="G187" s="3" t="s">
        <v>106</v>
      </c>
      <c r="H187" s="3">
        <v>1</v>
      </c>
      <c r="I187" s="7">
        <v>943.71</v>
      </c>
      <c r="J187" s="9">
        <v>0.1</v>
      </c>
      <c r="K187" s="7">
        <v>849.34</v>
      </c>
      <c r="L187" s="7">
        <v>398</v>
      </c>
      <c r="M187" s="3" t="s">
        <v>59</v>
      </c>
      <c r="N187" s="3" t="str">
        <f t="shared" si="8"/>
        <v>2024-03</v>
      </c>
      <c r="O187" s="3" t="str">
        <f t="shared" si="9"/>
        <v>1-10%</v>
      </c>
      <c r="P187" s="9">
        <f t="shared" si="10"/>
        <v>0.46859914757340992</v>
      </c>
      <c r="Q187" s="3" t="str">
        <f t="shared" si="11"/>
        <v>No</v>
      </c>
    </row>
    <row r="188" spans="1:17" ht="21" customHeight="1">
      <c r="A188" s="3" t="s">
        <v>478</v>
      </c>
      <c r="B188" s="5">
        <v>45359</v>
      </c>
      <c r="C188" s="3" t="s">
        <v>314</v>
      </c>
      <c r="D188" s="3" t="s">
        <v>46</v>
      </c>
      <c r="E188" s="3" t="s">
        <v>38</v>
      </c>
      <c r="F188" s="3" t="s">
        <v>98</v>
      </c>
      <c r="G188" s="3" t="s">
        <v>362</v>
      </c>
      <c r="H188" s="3">
        <v>1</v>
      </c>
      <c r="I188" s="7">
        <v>33138.400000000001</v>
      </c>
      <c r="J188" s="9">
        <v>0.25</v>
      </c>
      <c r="K188" s="7">
        <v>24853.8</v>
      </c>
      <c r="L188" s="7">
        <v>-1814.36</v>
      </c>
      <c r="M188" s="3" t="s">
        <v>56</v>
      </c>
      <c r="N188" s="3" t="str">
        <f t="shared" si="8"/>
        <v>2024-03</v>
      </c>
      <c r="O188" s="3" t="str">
        <f t="shared" si="9"/>
        <v>21%+</v>
      </c>
      <c r="P188" s="9">
        <f t="shared" si="10"/>
        <v>-7.3001311670649965E-2</v>
      </c>
      <c r="Q188" s="3" t="str">
        <f t="shared" si="11"/>
        <v>Yes</v>
      </c>
    </row>
    <row r="189" spans="1:17" ht="21" customHeight="1">
      <c r="A189" s="3" t="s">
        <v>479</v>
      </c>
      <c r="B189" s="5">
        <v>45359</v>
      </c>
      <c r="C189" s="3" t="s">
        <v>188</v>
      </c>
      <c r="D189" s="3" t="s">
        <v>44</v>
      </c>
      <c r="E189" s="3" t="s">
        <v>38</v>
      </c>
      <c r="F189" s="3" t="s">
        <v>94</v>
      </c>
      <c r="G189" s="3" t="s">
        <v>213</v>
      </c>
      <c r="H189" s="3">
        <v>1</v>
      </c>
      <c r="I189" s="7">
        <v>53782.21</v>
      </c>
      <c r="J189" s="9">
        <v>0.05</v>
      </c>
      <c r="K189" s="7">
        <v>51093.1</v>
      </c>
      <c r="L189" s="7">
        <v>5079.3599999999997</v>
      </c>
      <c r="M189" s="3" t="s">
        <v>58</v>
      </c>
      <c r="N189" s="3" t="str">
        <f t="shared" si="8"/>
        <v>2024-03</v>
      </c>
      <c r="O189" s="3" t="str">
        <f t="shared" si="9"/>
        <v>1-10%</v>
      </c>
      <c r="P189" s="9">
        <f t="shared" si="10"/>
        <v>9.9413815172694542E-2</v>
      </c>
      <c r="Q189" s="3" t="str">
        <f t="shared" si="11"/>
        <v>No</v>
      </c>
    </row>
    <row r="190" spans="1:17" ht="21" customHeight="1">
      <c r="A190" s="3" t="s">
        <v>480</v>
      </c>
      <c r="B190" s="5">
        <v>45359</v>
      </c>
      <c r="C190" s="3" t="s">
        <v>481</v>
      </c>
      <c r="D190" s="3" t="s">
        <v>47</v>
      </c>
      <c r="E190" s="3" t="s">
        <v>38</v>
      </c>
      <c r="F190" s="3" t="s">
        <v>94</v>
      </c>
      <c r="G190" s="3" t="s">
        <v>213</v>
      </c>
      <c r="H190" s="3">
        <v>1</v>
      </c>
      <c r="I190" s="7">
        <v>55215.81</v>
      </c>
      <c r="J190" s="9">
        <v>0.05</v>
      </c>
      <c r="K190" s="7">
        <v>52455.02</v>
      </c>
      <c r="L190" s="7">
        <v>6499.52</v>
      </c>
      <c r="M190" s="3" t="s">
        <v>60</v>
      </c>
      <c r="N190" s="3" t="str">
        <f t="shared" si="8"/>
        <v>2024-03</v>
      </c>
      <c r="O190" s="3" t="str">
        <f t="shared" si="9"/>
        <v>1-10%</v>
      </c>
      <c r="P190" s="9">
        <f t="shared" si="10"/>
        <v>0.12390653935505126</v>
      </c>
      <c r="Q190" s="3" t="str">
        <f t="shared" si="11"/>
        <v>No</v>
      </c>
    </row>
    <row r="191" spans="1:17" ht="21" customHeight="1">
      <c r="A191" s="3" t="s">
        <v>482</v>
      </c>
      <c r="B191" s="5">
        <v>45360</v>
      </c>
      <c r="C191" s="3" t="s">
        <v>483</v>
      </c>
      <c r="D191" s="3" t="s">
        <v>45</v>
      </c>
      <c r="E191" s="3" t="s">
        <v>38</v>
      </c>
      <c r="F191" s="3" t="s">
        <v>142</v>
      </c>
      <c r="G191" s="3" t="s">
        <v>143</v>
      </c>
      <c r="H191" s="3">
        <v>3</v>
      </c>
      <c r="I191" s="7">
        <v>8878.0499999999993</v>
      </c>
      <c r="J191" s="9">
        <v>0</v>
      </c>
      <c r="K191" s="7">
        <v>26634.15</v>
      </c>
      <c r="L191" s="7">
        <v>5047.99</v>
      </c>
      <c r="M191" s="3" t="s">
        <v>56</v>
      </c>
      <c r="N191" s="3" t="str">
        <f t="shared" si="8"/>
        <v>2024-03</v>
      </c>
      <c r="O191" s="3" t="str">
        <f t="shared" si="9"/>
        <v>No discount</v>
      </c>
      <c r="P191" s="9">
        <f t="shared" si="10"/>
        <v>0.18953073403881857</v>
      </c>
      <c r="Q191" s="3" t="str">
        <f t="shared" si="11"/>
        <v>No</v>
      </c>
    </row>
    <row r="192" spans="1:17" ht="21" customHeight="1">
      <c r="A192" s="3" t="s">
        <v>484</v>
      </c>
      <c r="B192" s="5">
        <v>45360</v>
      </c>
      <c r="C192" s="3" t="s">
        <v>446</v>
      </c>
      <c r="D192" s="3" t="s">
        <v>44</v>
      </c>
      <c r="E192" s="3" t="s">
        <v>39</v>
      </c>
      <c r="F192" s="3" t="s">
        <v>109</v>
      </c>
      <c r="G192" s="3" t="s">
        <v>355</v>
      </c>
      <c r="H192" s="3">
        <v>2</v>
      </c>
      <c r="I192" s="7">
        <v>3638.17</v>
      </c>
      <c r="J192" s="9">
        <v>0.15</v>
      </c>
      <c r="K192" s="7">
        <v>6184.89</v>
      </c>
      <c r="L192" s="7">
        <v>1458.34</v>
      </c>
      <c r="M192" s="3" t="s">
        <v>57</v>
      </c>
      <c r="N192" s="3" t="str">
        <f t="shared" si="8"/>
        <v>2024-03</v>
      </c>
      <c r="O192" s="3" t="str">
        <f t="shared" si="9"/>
        <v>11-15%</v>
      </c>
      <c r="P192" s="9">
        <f t="shared" si="10"/>
        <v>0.23579077396687731</v>
      </c>
      <c r="Q192" s="3" t="str">
        <f t="shared" si="11"/>
        <v>No</v>
      </c>
    </row>
    <row r="193" spans="1:17" ht="21" customHeight="1">
      <c r="A193" s="3" t="s">
        <v>485</v>
      </c>
      <c r="B193" s="5">
        <v>45360</v>
      </c>
      <c r="C193" s="3" t="s">
        <v>159</v>
      </c>
      <c r="D193" s="3" t="s">
        <v>45</v>
      </c>
      <c r="E193" s="3" t="s">
        <v>42</v>
      </c>
      <c r="F193" s="3" t="s">
        <v>126</v>
      </c>
      <c r="G193" s="3" t="s">
        <v>151</v>
      </c>
      <c r="H193" s="3">
        <v>1</v>
      </c>
      <c r="I193" s="7">
        <v>1465.55</v>
      </c>
      <c r="J193" s="9">
        <v>0.05</v>
      </c>
      <c r="K193" s="7">
        <v>1392.27</v>
      </c>
      <c r="L193" s="7">
        <v>683.04</v>
      </c>
      <c r="M193" s="3" t="s">
        <v>56</v>
      </c>
      <c r="N193" s="3" t="str">
        <f t="shared" si="8"/>
        <v>2024-03</v>
      </c>
      <c r="O193" s="3" t="str">
        <f t="shared" si="9"/>
        <v>1-10%</v>
      </c>
      <c r="P193" s="9">
        <f t="shared" si="10"/>
        <v>0.49059449675709449</v>
      </c>
      <c r="Q193" s="3" t="str">
        <f t="shared" si="11"/>
        <v>No</v>
      </c>
    </row>
    <row r="194" spans="1:17" ht="21" customHeight="1">
      <c r="A194" s="3" t="s">
        <v>486</v>
      </c>
      <c r="B194" s="5">
        <v>45361</v>
      </c>
      <c r="C194" s="3" t="s">
        <v>487</v>
      </c>
      <c r="D194" s="3" t="s">
        <v>46</v>
      </c>
      <c r="E194" s="3" t="s">
        <v>42</v>
      </c>
      <c r="F194" s="3" t="s">
        <v>90</v>
      </c>
      <c r="G194" s="3" t="s">
        <v>91</v>
      </c>
      <c r="H194" s="3">
        <v>3</v>
      </c>
      <c r="I194" s="7">
        <v>1185.44</v>
      </c>
      <c r="J194" s="9">
        <v>0</v>
      </c>
      <c r="K194" s="7">
        <v>3556.32</v>
      </c>
      <c r="L194" s="7">
        <v>1919.93</v>
      </c>
      <c r="M194" s="3" t="s">
        <v>56</v>
      </c>
      <c r="N194" s="3" t="str">
        <f t="shared" ref="N194:N257" si="12">TEXT(B194,"yyyy-mm")</f>
        <v>2024-03</v>
      </c>
      <c r="O194" s="3" t="str">
        <f t="shared" ref="O194:O257" si="13">IF(J194=0,"No discount",IF(J194&lt;=0.1,"1-10%",IF(J194&lt;=0.15,"11-15%",IF(J194&lt;=0.2,"16-20%","21%+"))))</f>
        <v>No discount</v>
      </c>
      <c r="P194" s="9">
        <f t="shared" ref="P194:P257" si="14">IF(K194=0,0,L194/K194)</f>
        <v>0.53986424168803704</v>
      </c>
      <c r="Q194" s="3" t="str">
        <f t="shared" ref="Q194:Q257" si="15">IF(L194&lt;0,"Yes","No")</f>
        <v>No</v>
      </c>
    </row>
    <row r="195" spans="1:17" ht="21" customHeight="1">
      <c r="A195" s="3" t="s">
        <v>488</v>
      </c>
      <c r="B195" s="5">
        <v>45361</v>
      </c>
      <c r="C195" s="3" t="s">
        <v>489</v>
      </c>
      <c r="D195" s="3" t="s">
        <v>46</v>
      </c>
      <c r="E195" s="3" t="s">
        <v>41</v>
      </c>
      <c r="F195" s="3" t="s">
        <v>113</v>
      </c>
      <c r="G195" s="3" t="s">
        <v>123</v>
      </c>
      <c r="H195" s="3">
        <v>2</v>
      </c>
      <c r="I195" s="7">
        <v>3392.25</v>
      </c>
      <c r="J195" s="9">
        <v>0.1</v>
      </c>
      <c r="K195" s="7">
        <v>6106.05</v>
      </c>
      <c r="L195" s="7">
        <v>1538.68</v>
      </c>
      <c r="M195" s="3" t="s">
        <v>56</v>
      </c>
      <c r="N195" s="3" t="str">
        <f t="shared" si="12"/>
        <v>2024-03</v>
      </c>
      <c r="O195" s="3" t="str">
        <f t="shared" si="13"/>
        <v>1-10%</v>
      </c>
      <c r="P195" s="9">
        <f t="shared" si="14"/>
        <v>0.25199269576895045</v>
      </c>
      <c r="Q195" s="3" t="str">
        <f t="shared" si="15"/>
        <v>No</v>
      </c>
    </row>
    <row r="196" spans="1:17" ht="21" customHeight="1">
      <c r="A196" s="3" t="s">
        <v>490</v>
      </c>
      <c r="B196" s="5">
        <v>45361</v>
      </c>
      <c r="C196" s="3" t="s">
        <v>491</v>
      </c>
      <c r="D196" s="3" t="s">
        <v>46</v>
      </c>
      <c r="E196" s="3" t="s">
        <v>41</v>
      </c>
      <c r="F196" s="3" t="s">
        <v>119</v>
      </c>
      <c r="G196" s="3" t="s">
        <v>168</v>
      </c>
      <c r="H196" s="3">
        <v>2</v>
      </c>
      <c r="I196" s="7">
        <v>9525.02</v>
      </c>
      <c r="J196" s="9">
        <v>0.1</v>
      </c>
      <c r="K196" s="7">
        <v>17145.04</v>
      </c>
      <c r="L196" s="7">
        <v>4567.04</v>
      </c>
      <c r="M196" s="3" t="s">
        <v>56</v>
      </c>
      <c r="N196" s="3" t="str">
        <f t="shared" si="12"/>
        <v>2024-03</v>
      </c>
      <c r="O196" s="3" t="str">
        <f t="shared" si="13"/>
        <v>1-10%</v>
      </c>
      <c r="P196" s="9">
        <f t="shared" si="14"/>
        <v>0.26637674802741784</v>
      </c>
      <c r="Q196" s="3" t="str">
        <f t="shared" si="15"/>
        <v>No</v>
      </c>
    </row>
    <row r="197" spans="1:17" ht="21" customHeight="1">
      <c r="A197" s="3" t="s">
        <v>492</v>
      </c>
      <c r="B197" s="5">
        <v>45361</v>
      </c>
      <c r="C197" s="3" t="s">
        <v>493</v>
      </c>
      <c r="D197" s="3" t="s">
        <v>47</v>
      </c>
      <c r="E197" s="3" t="s">
        <v>41</v>
      </c>
      <c r="F197" s="3" t="s">
        <v>113</v>
      </c>
      <c r="G197" s="3" t="s">
        <v>123</v>
      </c>
      <c r="H197" s="3">
        <v>1</v>
      </c>
      <c r="I197" s="7">
        <v>3545.68</v>
      </c>
      <c r="J197" s="9">
        <v>0.05</v>
      </c>
      <c r="K197" s="7">
        <v>3368.4</v>
      </c>
      <c r="L197" s="7">
        <v>1097.47</v>
      </c>
      <c r="M197" s="3" t="s">
        <v>56</v>
      </c>
      <c r="N197" s="3" t="str">
        <f t="shared" si="12"/>
        <v>2024-03</v>
      </c>
      <c r="O197" s="3" t="str">
        <f t="shared" si="13"/>
        <v>1-10%</v>
      </c>
      <c r="P197" s="9">
        <f t="shared" si="14"/>
        <v>0.32581344258401612</v>
      </c>
      <c r="Q197" s="3" t="str">
        <f t="shared" si="15"/>
        <v>No</v>
      </c>
    </row>
    <row r="198" spans="1:17" ht="21" customHeight="1">
      <c r="A198" s="3" t="s">
        <v>494</v>
      </c>
      <c r="B198" s="5">
        <v>45362</v>
      </c>
      <c r="C198" s="3" t="s">
        <v>495</v>
      </c>
      <c r="D198" s="3" t="s">
        <v>47</v>
      </c>
      <c r="E198" s="3" t="s">
        <v>40</v>
      </c>
      <c r="F198" s="3" t="s">
        <v>221</v>
      </c>
      <c r="G198" s="3" t="s">
        <v>279</v>
      </c>
      <c r="H198" s="3">
        <v>4</v>
      </c>
      <c r="I198" s="7">
        <v>1448.62</v>
      </c>
      <c r="J198" s="9">
        <v>0</v>
      </c>
      <c r="K198" s="7">
        <v>5794.48</v>
      </c>
      <c r="L198" s="7">
        <v>1725.64</v>
      </c>
      <c r="M198" s="3" t="s">
        <v>56</v>
      </c>
      <c r="N198" s="3" t="str">
        <f t="shared" si="12"/>
        <v>2024-03</v>
      </c>
      <c r="O198" s="3" t="str">
        <f t="shared" si="13"/>
        <v>No discount</v>
      </c>
      <c r="P198" s="9">
        <f t="shared" si="14"/>
        <v>0.29780756858251306</v>
      </c>
      <c r="Q198" s="3" t="str">
        <f t="shared" si="15"/>
        <v>No</v>
      </c>
    </row>
    <row r="199" spans="1:17" ht="21" customHeight="1">
      <c r="A199" s="3" t="s">
        <v>496</v>
      </c>
      <c r="B199" s="5">
        <v>45363</v>
      </c>
      <c r="C199" s="3" t="s">
        <v>172</v>
      </c>
      <c r="D199" s="3" t="s">
        <v>47</v>
      </c>
      <c r="E199" s="3" t="s">
        <v>38</v>
      </c>
      <c r="F199" s="3" t="s">
        <v>98</v>
      </c>
      <c r="G199" s="3" t="s">
        <v>99</v>
      </c>
      <c r="H199" s="3">
        <v>1</v>
      </c>
      <c r="I199" s="7">
        <v>25730.03</v>
      </c>
      <c r="J199" s="9">
        <v>0.05</v>
      </c>
      <c r="K199" s="7">
        <v>24443.53</v>
      </c>
      <c r="L199" s="7">
        <v>2781.04</v>
      </c>
      <c r="M199" s="3" t="s">
        <v>58</v>
      </c>
      <c r="N199" s="3" t="str">
        <f t="shared" si="12"/>
        <v>2024-03</v>
      </c>
      <c r="O199" s="3" t="str">
        <f t="shared" si="13"/>
        <v>1-10%</v>
      </c>
      <c r="P199" s="9">
        <f t="shared" si="14"/>
        <v>0.11377407436650926</v>
      </c>
      <c r="Q199" s="3" t="str">
        <f t="shared" si="15"/>
        <v>No</v>
      </c>
    </row>
    <row r="200" spans="1:17" ht="21" customHeight="1">
      <c r="A200" s="3" t="s">
        <v>497</v>
      </c>
      <c r="B200" s="5">
        <v>45363</v>
      </c>
      <c r="C200" s="3" t="s">
        <v>498</v>
      </c>
      <c r="D200" s="3" t="s">
        <v>45</v>
      </c>
      <c r="E200" s="3" t="s">
        <v>40</v>
      </c>
      <c r="F200" s="3" t="s">
        <v>221</v>
      </c>
      <c r="G200" s="3" t="s">
        <v>222</v>
      </c>
      <c r="H200" s="3">
        <v>1</v>
      </c>
      <c r="I200" s="7">
        <v>1040.44</v>
      </c>
      <c r="J200" s="9">
        <v>0.05</v>
      </c>
      <c r="K200" s="7">
        <v>988.42</v>
      </c>
      <c r="L200" s="7">
        <v>264.8</v>
      </c>
      <c r="M200" s="3" t="s">
        <v>57</v>
      </c>
      <c r="N200" s="3" t="str">
        <f t="shared" si="12"/>
        <v>2024-03</v>
      </c>
      <c r="O200" s="3" t="str">
        <f t="shared" si="13"/>
        <v>1-10%</v>
      </c>
      <c r="P200" s="9">
        <f t="shared" si="14"/>
        <v>0.26790230873515308</v>
      </c>
      <c r="Q200" s="3" t="str">
        <f t="shared" si="15"/>
        <v>No</v>
      </c>
    </row>
    <row r="201" spans="1:17" ht="21" customHeight="1">
      <c r="A201" s="3" t="s">
        <v>499</v>
      </c>
      <c r="B201" s="5">
        <v>45364</v>
      </c>
      <c r="C201" s="3" t="s">
        <v>500</v>
      </c>
      <c r="D201" s="3" t="s">
        <v>45</v>
      </c>
      <c r="E201" s="3" t="s">
        <v>40</v>
      </c>
      <c r="F201" s="3" t="s">
        <v>160</v>
      </c>
      <c r="G201" s="3" t="s">
        <v>173</v>
      </c>
      <c r="H201" s="3">
        <v>1</v>
      </c>
      <c r="I201" s="7">
        <v>8883.5300000000007</v>
      </c>
      <c r="J201" s="9">
        <v>0.2</v>
      </c>
      <c r="K201" s="7">
        <v>7106.82</v>
      </c>
      <c r="L201" s="7">
        <v>759.33</v>
      </c>
      <c r="M201" s="3" t="s">
        <v>56</v>
      </c>
      <c r="N201" s="3" t="str">
        <f t="shared" si="12"/>
        <v>2024-03</v>
      </c>
      <c r="O201" s="3" t="str">
        <f t="shared" si="13"/>
        <v>16-20%</v>
      </c>
      <c r="P201" s="9">
        <f t="shared" si="14"/>
        <v>0.10684525568397681</v>
      </c>
      <c r="Q201" s="3" t="str">
        <f t="shared" si="15"/>
        <v>No</v>
      </c>
    </row>
    <row r="202" spans="1:17" ht="21" customHeight="1">
      <c r="A202" s="3" t="s">
        <v>501</v>
      </c>
      <c r="B202" s="5">
        <v>45364</v>
      </c>
      <c r="C202" s="3" t="s">
        <v>502</v>
      </c>
      <c r="D202" s="3" t="s">
        <v>44</v>
      </c>
      <c r="E202" s="3" t="s">
        <v>38</v>
      </c>
      <c r="F202" s="3" t="s">
        <v>142</v>
      </c>
      <c r="G202" s="3" t="s">
        <v>245</v>
      </c>
      <c r="H202" s="3">
        <v>1</v>
      </c>
      <c r="I202" s="7">
        <v>4767.99</v>
      </c>
      <c r="J202" s="9">
        <v>0.15</v>
      </c>
      <c r="K202" s="7">
        <v>4052.79</v>
      </c>
      <c r="L202" s="7">
        <v>-107.97</v>
      </c>
      <c r="M202" s="3" t="s">
        <v>56</v>
      </c>
      <c r="N202" s="3" t="str">
        <f t="shared" si="12"/>
        <v>2024-03</v>
      </c>
      <c r="O202" s="3" t="str">
        <f t="shared" si="13"/>
        <v>11-15%</v>
      </c>
      <c r="P202" s="9">
        <f t="shared" si="14"/>
        <v>-2.6640906634688696E-2</v>
      </c>
      <c r="Q202" s="3" t="str">
        <f t="shared" si="15"/>
        <v>Yes</v>
      </c>
    </row>
    <row r="203" spans="1:17" ht="21" customHeight="1">
      <c r="A203" s="3" t="s">
        <v>503</v>
      </c>
      <c r="B203" s="5">
        <v>45364</v>
      </c>
      <c r="C203" s="3" t="s">
        <v>255</v>
      </c>
      <c r="D203" s="3" t="s">
        <v>45</v>
      </c>
      <c r="E203" s="3" t="s">
        <v>42</v>
      </c>
      <c r="F203" s="3" t="s">
        <v>126</v>
      </c>
      <c r="G203" s="3" t="s">
        <v>151</v>
      </c>
      <c r="H203" s="3">
        <v>1</v>
      </c>
      <c r="I203" s="7">
        <v>1551.98</v>
      </c>
      <c r="J203" s="9">
        <v>0.2</v>
      </c>
      <c r="K203" s="7">
        <v>1241.58</v>
      </c>
      <c r="L203" s="7">
        <v>427.26</v>
      </c>
      <c r="M203" s="3" t="s">
        <v>57</v>
      </c>
      <c r="N203" s="3" t="str">
        <f t="shared" si="12"/>
        <v>2024-03</v>
      </c>
      <c r="O203" s="3" t="str">
        <f t="shared" si="13"/>
        <v>16-20%</v>
      </c>
      <c r="P203" s="9">
        <f t="shared" si="14"/>
        <v>0.34412603295800515</v>
      </c>
      <c r="Q203" s="3" t="str">
        <f t="shared" si="15"/>
        <v>No</v>
      </c>
    </row>
    <row r="204" spans="1:17" ht="21" customHeight="1">
      <c r="A204" s="3" t="s">
        <v>504</v>
      </c>
      <c r="B204" s="5">
        <v>45364</v>
      </c>
      <c r="C204" s="3" t="s">
        <v>505</v>
      </c>
      <c r="D204" s="3" t="s">
        <v>44</v>
      </c>
      <c r="E204" s="3" t="s">
        <v>41</v>
      </c>
      <c r="F204" s="3" t="s">
        <v>113</v>
      </c>
      <c r="G204" s="3" t="s">
        <v>114</v>
      </c>
      <c r="H204" s="3">
        <v>1</v>
      </c>
      <c r="I204" s="7">
        <v>11994.6</v>
      </c>
      <c r="J204" s="9">
        <v>0</v>
      </c>
      <c r="K204" s="7">
        <v>11994.6</v>
      </c>
      <c r="L204" s="7">
        <v>5009.6000000000004</v>
      </c>
      <c r="M204" s="3" t="s">
        <v>56</v>
      </c>
      <c r="N204" s="3" t="str">
        <f t="shared" si="12"/>
        <v>2024-03</v>
      </c>
      <c r="O204" s="3" t="str">
        <f t="shared" si="13"/>
        <v>No discount</v>
      </c>
      <c r="P204" s="9">
        <f t="shared" si="14"/>
        <v>0.41765461124172548</v>
      </c>
      <c r="Q204" s="3" t="str">
        <f t="shared" si="15"/>
        <v>No</v>
      </c>
    </row>
    <row r="205" spans="1:17" ht="21" customHeight="1">
      <c r="A205" s="3" t="s">
        <v>506</v>
      </c>
      <c r="B205" s="5">
        <v>45365</v>
      </c>
      <c r="C205" s="3" t="s">
        <v>507</v>
      </c>
      <c r="D205" s="3" t="s">
        <v>47</v>
      </c>
      <c r="E205" s="3" t="s">
        <v>38</v>
      </c>
      <c r="F205" s="3" t="s">
        <v>94</v>
      </c>
      <c r="G205" s="3" t="s">
        <v>95</v>
      </c>
      <c r="H205" s="3">
        <v>1</v>
      </c>
      <c r="I205" s="7">
        <v>80607.98</v>
      </c>
      <c r="J205" s="9">
        <v>0.05</v>
      </c>
      <c r="K205" s="7">
        <v>76577.58</v>
      </c>
      <c r="L205" s="7">
        <v>9382.36</v>
      </c>
      <c r="M205" s="3" t="s">
        <v>58</v>
      </c>
      <c r="N205" s="3" t="str">
        <f t="shared" si="12"/>
        <v>2024-03</v>
      </c>
      <c r="O205" s="3" t="str">
        <f t="shared" si="13"/>
        <v>1-10%</v>
      </c>
      <c r="P205" s="9">
        <f t="shared" si="14"/>
        <v>0.12252097807217205</v>
      </c>
      <c r="Q205" s="3" t="str">
        <f t="shared" si="15"/>
        <v>No</v>
      </c>
    </row>
    <row r="206" spans="1:17" ht="21" customHeight="1">
      <c r="A206" s="3" t="s">
        <v>508</v>
      </c>
      <c r="B206" s="5">
        <v>45365</v>
      </c>
      <c r="C206" s="3" t="s">
        <v>509</v>
      </c>
      <c r="D206" s="3" t="s">
        <v>46</v>
      </c>
      <c r="E206" s="3" t="s">
        <v>39</v>
      </c>
      <c r="F206" s="3" t="s">
        <v>130</v>
      </c>
      <c r="G206" s="3" t="s">
        <v>193</v>
      </c>
      <c r="H206" s="3">
        <v>1</v>
      </c>
      <c r="I206" s="7">
        <v>1744.33</v>
      </c>
      <c r="J206" s="9">
        <v>0.1</v>
      </c>
      <c r="K206" s="7">
        <v>1569.9</v>
      </c>
      <c r="L206" s="7">
        <v>493.39</v>
      </c>
      <c r="M206" s="3" t="s">
        <v>56</v>
      </c>
      <c r="N206" s="3" t="str">
        <f t="shared" si="12"/>
        <v>2024-03</v>
      </c>
      <c r="O206" s="3" t="str">
        <f t="shared" si="13"/>
        <v>1-10%</v>
      </c>
      <c r="P206" s="9">
        <f t="shared" si="14"/>
        <v>0.31428116440537612</v>
      </c>
      <c r="Q206" s="3" t="str">
        <f t="shared" si="15"/>
        <v>No</v>
      </c>
    </row>
    <row r="207" spans="1:17" ht="21" customHeight="1">
      <c r="A207" s="3" t="s">
        <v>510</v>
      </c>
      <c r="B207" s="5">
        <v>45365</v>
      </c>
      <c r="C207" s="3" t="s">
        <v>511</v>
      </c>
      <c r="D207" s="3" t="s">
        <v>46</v>
      </c>
      <c r="E207" s="3" t="s">
        <v>41</v>
      </c>
      <c r="F207" s="3" t="s">
        <v>113</v>
      </c>
      <c r="G207" s="3" t="s">
        <v>114</v>
      </c>
      <c r="H207" s="3">
        <v>2</v>
      </c>
      <c r="I207" s="7">
        <v>12020.97</v>
      </c>
      <c r="J207" s="9">
        <v>0</v>
      </c>
      <c r="K207" s="7">
        <v>24041.94</v>
      </c>
      <c r="L207" s="7">
        <v>8388.06</v>
      </c>
      <c r="M207" s="3" t="s">
        <v>56</v>
      </c>
      <c r="N207" s="3" t="str">
        <f t="shared" si="12"/>
        <v>2024-03</v>
      </c>
      <c r="O207" s="3" t="str">
        <f t="shared" si="13"/>
        <v>No discount</v>
      </c>
      <c r="P207" s="9">
        <f t="shared" si="14"/>
        <v>0.34889280981484855</v>
      </c>
      <c r="Q207" s="3" t="str">
        <f t="shared" si="15"/>
        <v>No</v>
      </c>
    </row>
    <row r="208" spans="1:17" ht="21" customHeight="1">
      <c r="A208" s="3" t="s">
        <v>512</v>
      </c>
      <c r="B208" s="5">
        <v>45366</v>
      </c>
      <c r="C208" s="3" t="s">
        <v>257</v>
      </c>
      <c r="D208" s="3" t="s">
        <v>45</v>
      </c>
      <c r="E208" s="3" t="s">
        <v>42</v>
      </c>
      <c r="F208" s="3" t="s">
        <v>90</v>
      </c>
      <c r="G208" s="3" t="s">
        <v>91</v>
      </c>
      <c r="H208" s="3">
        <v>4</v>
      </c>
      <c r="I208" s="7">
        <v>1242.26</v>
      </c>
      <c r="J208" s="9">
        <v>0</v>
      </c>
      <c r="K208" s="7">
        <v>4969.04</v>
      </c>
      <c r="L208" s="7">
        <v>2760.15</v>
      </c>
      <c r="M208" s="3" t="s">
        <v>57</v>
      </c>
      <c r="N208" s="3" t="str">
        <f t="shared" si="12"/>
        <v>2024-03</v>
      </c>
      <c r="O208" s="3" t="str">
        <f t="shared" si="13"/>
        <v>No discount</v>
      </c>
      <c r="P208" s="9">
        <f t="shared" si="14"/>
        <v>0.55546946693928811</v>
      </c>
      <c r="Q208" s="3" t="str">
        <f t="shared" si="15"/>
        <v>No</v>
      </c>
    </row>
    <row r="209" spans="1:17" ht="21" customHeight="1">
      <c r="A209" s="3" t="s">
        <v>513</v>
      </c>
      <c r="B209" s="5">
        <v>45366</v>
      </c>
      <c r="C209" s="3" t="s">
        <v>514</v>
      </c>
      <c r="D209" s="3" t="s">
        <v>45</v>
      </c>
      <c r="E209" s="3" t="s">
        <v>40</v>
      </c>
      <c r="F209" s="3" t="s">
        <v>160</v>
      </c>
      <c r="G209" s="3" t="s">
        <v>161</v>
      </c>
      <c r="H209" s="3">
        <v>1</v>
      </c>
      <c r="I209" s="7">
        <v>12533.18</v>
      </c>
      <c r="J209" s="9">
        <v>0.15</v>
      </c>
      <c r="K209" s="7">
        <v>10653.2</v>
      </c>
      <c r="L209" s="7">
        <v>1346.28</v>
      </c>
      <c r="M209" s="3" t="s">
        <v>56</v>
      </c>
      <c r="N209" s="3" t="str">
        <f t="shared" si="12"/>
        <v>2024-03</v>
      </c>
      <c r="O209" s="3" t="str">
        <f t="shared" si="13"/>
        <v>11-15%</v>
      </c>
      <c r="P209" s="9">
        <f t="shared" si="14"/>
        <v>0.12637329628656177</v>
      </c>
      <c r="Q209" s="3" t="str">
        <f t="shared" si="15"/>
        <v>No</v>
      </c>
    </row>
    <row r="210" spans="1:17" ht="21" customHeight="1">
      <c r="A210" s="3" t="s">
        <v>515</v>
      </c>
      <c r="B210" s="5">
        <v>45366</v>
      </c>
      <c r="C210" s="3" t="s">
        <v>516</v>
      </c>
      <c r="D210" s="3" t="s">
        <v>44</v>
      </c>
      <c r="E210" s="3" t="s">
        <v>40</v>
      </c>
      <c r="F210" s="3" t="s">
        <v>221</v>
      </c>
      <c r="G210" s="3" t="s">
        <v>222</v>
      </c>
      <c r="H210" s="3">
        <v>1</v>
      </c>
      <c r="I210" s="7">
        <v>980.66</v>
      </c>
      <c r="J210" s="9">
        <v>0.05</v>
      </c>
      <c r="K210" s="7">
        <v>931.63</v>
      </c>
      <c r="L210" s="7">
        <v>245.63</v>
      </c>
      <c r="M210" s="3" t="s">
        <v>56</v>
      </c>
      <c r="N210" s="3" t="str">
        <f t="shared" si="12"/>
        <v>2024-03</v>
      </c>
      <c r="O210" s="3" t="str">
        <f t="shared" si="13"/>
        <v>1-10%</v>
      </c>
      <c r="P210" s="9">
        <f t="shared" si="14"/>
        <v>0.26365617251483958</v>
      </c>
      <c r="Q210" s="3" t="str">
        <f t="shared" si="15"/>
        <v>No</v>
      </c>
    </row>
    <row r="211" spans="1:17" ht="21" customHeight="1">
      <c r="A211" s="3" t="s">
        <v>517</v>
      </c>
      <c r="B211" s="5">
        <v>45366</v>
      </c>
      <c r="C211" s="3" t="s">
        <v>518</v>
      </c>
      <c r="D211" s="3" t="s">
        <v>45</v>
      </c>
      <c r="E211" s="3" t="s">
        <v>42</v>
      </c>
      <c r="F211" s="3" t="s">
        <v>90</v>
      </c>
      <c r="G211" s="3" t="s">
        <v>106</v>
      </c>
      <c r="H211" s="3">
        <v>2</v>
      </c>
      <c r="I211" s="7">
        <v>867.95</v>
      </c>
      <c r="J211" s="9">
        <v>0.1</v>
      </c>
      <c r="K211" s="7">
        <v>1562.31</v>
      </c>
      <c r="L211" s="7">
        <v>630.27</v>
      </c>
      <c r="M211" s="3" t="s">
        <v>57</v>
      </c>
      <c r="N211" s="3" t="str">
        <f t="shared" si="12"/>
        <v>2024-03</v>
      </c>
      <c r="O211" s="3" t="str">
        <f t="shared" si="13"/>
        <v>1-10%</v>
      </c>
      <c r="P211" s="9">
        <f t="shared" si="14"/>
        <v>0.40342185609770148</v>
      </c>
      <c r="Q211" s="3" t="str">
        <f t="shared" si="15"/>
        <v>No</v>
      </c>
    </row>
    <row r="212" spans="1:17" ht="21" customHeight="1">
      <c r="A212" s="3" t="s">
        <v>519</v>
      </c>
      <c r="B212" s="5">
        <v>45366</v>
      </c>
      <c r="C212" s="3" t="s">
        <v>520</v>
      </c>
      <c r="D212" s="3" t="s">
        <v>44</v>
      </c>
      <c r="E212" s="3" t="s">
        <v>39</v>
      </c>
      <c r="F212" s="3" t="s">
        <v>164</v>
      </c>
      <c r="G212" s="3" t="s">
        <v>165</v>
      </c>
      <c r="H212" s="3">
        <v>2</v>
      </c>
      <c r="I212" s="7">
        <v>2093.62</v>
      </c>
      <c r="J212" s="9">
        <v>0.05</v>
      </c>
      <c r="K212" s="7">
        <v>3977.88</v>
      </c>
      <c r="L212" s="7">
        <v>1576.39</v>
      </c>
      <c r="M212" s="3" t="s">
        <v>56</v>
      </c>
      <c r="N212" s="3" t="str">
        <f t="shared" si="12"/>
        <v>2024-03</v>
      </c>
      <c r="O212" s="3" t="str">
        <f t="shared" si="13"/>
        <v>1-10%</v>
      </c>
      <c r="P212" s="9">
        <f t="shared" si="14"/>
        <v>0.3962889780486088</v>
      </c>
      <c r="Q212" s="3" t="str">
        <f t="shared" si="15"/>
        <v>No</v>
      </c>
    </row>
    <row r="213" spans="1:17" ht="21" customHeight="1">
      <c r="A213" s="3" t="s">
        <v>521</v>
      </c>
      <c r="B213" s="5">
        <v>45366</v>
      </c>
      <c r="C213" s="3" t="s">
        <v>148</v>
      </c>
      <c r="D213" s="3" t="s">
        <v>44</v>
      </c>
      <c r="E213" s="3" t="s">
        <v>38</v>
      </c>
      <c r="F213" s="3" t="s">
        <v>142</v>
      </c>
      <c r="G213" s="3" t="s">
        <v>245</v>
      </c>
      <c r="H213" s="3">
        <v>1</v>
      </c>
      <c r="I213" s="7">
        <v>5009.0200000000004</v>
      </c>
      <c r="J213" s="9">
        <v>0.1</v>
      </c>
      <c r="K213" s="7">
        <v>4508.12</v>
      </c>
      <c r="L213" s="7">
        <v>341.82</v>
      </c>
      <c r="M213" s="3" t="s">
        <v>57</v>
      </c>
      <c r="N213" s="3" t="str">
        <f t="shared" si="12"/>
        <v>2024-03</v>
      </c>
      <c r="O213" s="3" t="str">
        <f t="shared" si="13"/>
        <v>1-10%</v>
      </c>
      <c r="P213" s="9">
        <f t="shared" si="14"/>
        <v>7.5823181281775995E-2</v>
      </c>
      <c r="Q213" s="3" t="str">
        <f t="shared" si="15"/>
        <v>No</v>
      </c>
    </row>
    <row r="214" spans="1:17" ht="21" customHeight="1">
      <c r="A214" s="3" t="s">
        <v>522</v>
      </c>
      <c r="B214" s="5">
        <v>45367</v>
      </c>
      <c r="C214" s="3" t="s">
        <v>523</v>
      </c>
      <c r="D214" s="3" t="s">
        <v>44</v>
      </c>
      <c r="E214" s="3" t="s">
        <v>42</v>
      </c>
      <c r="F214" s="3" t="s">
        <v>126</v>
      </c>
      <c r="G214" s="3" t="s">
        <v>151</v>
      </c>
      <c r="H214" s="3">
        <v>1</v>
      </c>
      <c r="I214" s="7">
        <v>1481.02</v>
      </c>
      <c r="J214" s="9">
        <v>0.1</v>
      </c>
      <c r="K214" s="7">
        <v>1332.92</v>
      </c>
      <c r="L214" s="7">
        <v>608.84</v>
      </c>
      <c r="M214" s="3" t="s">
        <v>56</v>
      </c>
      <c r="N214" s="3" t="str">
        <f t="shared" si="12"/>
        <v>2024-03</v>
      </c>
      <c r="O214" s="3" t="str">
        <f t="shared" si="13"/>
        <v>1-10%</v>
      </c>
      <c r="P214" s="9">
        <f t="shared" si="14"/>
        <v>0.45677159919575067</v>
      </c>
      <c r="Q214" s="3" t="str">
        <f t="shared" si="15"/>
        <v>No</v>
      </c>
    </row>
    <row r="215" spans="1:17" ht="21" customHeight="1">
      <c r="A215" s="3" t="s">
        <v>524</v>
      </c>
      <c r="B215" s="5">
        <v>45367</v>
      </c>
      <c r="C215" s="3" t="s">
        <v>525</v>
      </c>
      <c r="D215" s="3" t="s">
        <v>45</v>
      </c>
      <c r="E215" s="3" t="s">
        <v>41</v>
      </c>
      <c r="F215" s="3" t="s">
        <v>113</v>
      </c>
      <c r="G215" s="3" t="s">
        <v>114</v>
      </c>
      <c r="H215" s="3">
        <v>1</v>
      </c>
      <c r="I215" s="7">
        <v>11789.84</v>
      </c>
      <c r="J215" s="9">
        <v>0.1</v>
      </c>
      <c r="K215" s="7">
        <v>10610.86</v>
      </c>
      <c r="L215" s="7">
        <v>3048.69</v>
      </c>
      <c r="M215" s="3" t="s">
        <v>56</v>
      </c>
      <c r="N215" s="3" t="str">
        <f t="shared" si="12"/>
        <v>2024-03</v>
      </c>
      <c r="O215" s="3" t="str">
        <f t="shared" si="13"/>
        <v>1-10%</v>
      </c>
      <c r="P215" s="9">
        <f t="shared" si="14"/>
        <v>0.28731789883195141</v>
      </c>
      <c r="Q215" s="3" t="str">
        <f t="shared" si="15"/>
        <v>No</v>
      </c>
    </row>
    <row r="216" spans="1:17" ht="21" customHeight="1">
      <c r="A216" s="3" t="s">
        <v>526</v>
      </c>
      <c r="B216" s="5">
        <v>45367</v>
      </c>
      <c r="C216" s="3" t="s">
        <v>527</v>
      </c>
      <c r="D216" s="3" t="s">
        <v>44</v>
      </c>
      <c r="E216" s="3" t="s">
        <v>38</v>
      </c>
      <c r="F216" s="3" t="s">
        <v>98</v>
      </c>
      <c r="G216" s="3" t="s">
        <v>99</v>
      </c>
      <c r="H216" s="3">
        <v>2</v>
      </c>
      <c r="I216" s="7">
        <v>24672.639999999999</v>
      </c>
      <c r="J216" s="9">
        <v>0</v>
      </c>
      <c r="K216" s="7">
        <v>49345.279999999999</v>
      </c>
      <c r="L216" s="7">
        <v>10554.39</v>
      </c>
      <c r="M216" s="3" t="s">
        <v>56</v>
      </c>
      <c r="N216" s="3" t="str">
        <f t="shared" si="12"/>
        <v>2024-03</v>
      </c>
      <c r="O216" s="3" t="str">
        <f t="shared" si="13"/>
        <v>No discount</v>
      </c>
      <c r="P216" s="9">
        <f t="shared" si="14"/>
        <v>0.21388854212601488</v>
      </c>
      <c r="Q216" s="3" t="str">
        <f t="shared" si="15"/>
        <v>No</v>
      </c>
    </row>
    <row r="217" spans="1:17" ht="21" customHeight="1">
      <c r="A217" s="3" t="s">
        <v>528</v>
      </c>
      <c r="B217" s="5">
        <v>45367</v>
      </c>
      <c r="C217" s="3" t="s">
        <v>529</v>
      </c>
      <c r="D217" s="3" t="s">
        <v>45</v>
      </c>
      <c r="E217" s="3" t="s">
        <v>38</v>
      </c>
      <c r="F217" s="3" t="s">
        <v>142</v>
      </c>
      <c r="G217" s="3" t="s">
        <v>245</v>
      </c>
      <c r="H217" s="3">
        <v>1</v>
      </c>
      <c r="I217" s="7">
        <v>4778.25</v>
      </c>
      <c r="J217" s="9">
        <v>0</v>
      </c>
      <c r="K217" s="7">
        <v>4778.25</v>
      </c>
      <c r="L217" s="7">
        <v>817.09</v>
      </c>
      <c r="M217" s="3" t="s">
        <v>59</v>
      </c>
      <c r="N217" s="3" t="str">
        <f t="shared" si="12"/>
        <v>2024-03</v>
      </c>
      <c r="O217" s="3" t="str">
        <f t="shared" si="13"/>
        <v>No discount</v>
      </c>
      <c r="P217" s="9">
        <f t="shared" si="14"/>
        <v>0.17100193585517712</v>
      </c>
      <c r="Q217" s="3" t="str">
        <f t="shared" si="15"/>
        <v>No</v>
      </c>
    </row>
    <row r="218" spans="1:17" ht="21" customHeight="1">
      <c r="A218" s="3" t="s">
        <v>530</v>
      </c>
      <c r="B218" s="5">
        <v>45367</v>
      </c>
      <c r="C218" s="3" t="s">
        <v>531</v>
      </c>
      <c r="D218" s="3" t="s">
        <v>47</v>
      </c>
      <c r="E218" s="3" t="s">
        <v>42</v>
      </c>
      <c r="F218" s="3" t="s">
        <v>90</v>
      </c>
      <c r="G218" s="3" t="s">
        <v>106</v>
      </c>
      <c r="H218" s="3">
        <v>1</v>
      </c>
      <c r="I218" s="7">
        <v>874.89</v>
      </c>
      <c r="J218" s="9">
        <v>0.1</v>
      </c>
      <c r="K218" s="7">
        <v>787.4</v>
      </c>
      <c r="L218" s="7">
        <v>318.99</v>
      </c>
      <c r="M218" s="3" t="s">
        <v>57</v>
      </c>
      <c r="N218" s="3" t="str">
        <f t="shared" si="12"/>
        <v>2024-03</v>
      </c>
      <c r="O218" s="3" t="str">
        <f t="shared" si="13"/>
        <v>1-10%</v>
      </c>
      <c r="P218" s="9">
        <f t="shared" si="14"/>
        <v>0.40511811023622052</v>
      </c>
      <c r="Q218" s="3" t="str">
        <f t="shared" si="15"/>
        <v>No</v>
      </c>
    </row>
    <row r="219" spans="1:17" ht="21" customHeight="1">
      <c r="A219" s="3" t="s">
        <v>532</v>
      </c>
      <c r="B219" s="5">
        <v>45367</v>
      </c>
      <c r="C219" s="3" t="s">
        <v>533</v>
      </c>
      <c r="D219" s="3" t="s">
        <v>46</v>
      </c>
      <c r="E219" s="3" t="s">
        <v>41</v>
      </c>
      <c r="F219" s="3" t="s">
        <v>119</v>
      </c>
      <c r="G219" s="3" t="s">
        <v>120</v>
      </c>
      <c r="H219" s="3">
        <v>1</v>
      </c>
      <c r="I219" s="7">
        <v>1237.03</v>
      </c>
      <c r="J219" s="9">
        <v>0</v>
      </c>
      <c r="K219" s="7">
        <v>1237.03</v>
      </c>
      <c r="L219" s="7">
        <v>436.61</v>
      </c>
      <c r="M219" s="3" t="s">
        <v>56</v>
      </c>
      <c r="N219" s="3" t="str">
        <f t="shared" si="12"/>
        <v>2024-03</v>
      </c>
      <c r="O219" s="3" t="str">
        <f t="shared" si="13"/>
        <v>No discount</v>
      </c>
      <c r="P219" s="9">
        <f t="shared" si="14"/>
        <v>0.35295021139341815</v>
      </c>
      <c r="Q219" s="3" t="str">
        <f t="shared" si="15"/>
        <v>No</v>
      </c>
    </row>
    <row r="220" spans="1:17" ht="21" customHeight="1">
      <c r="A220" s="3" t="s">
        <v>534</v>
      </c>
      <c r="B220" s="5">
        <v>45367</v>
      </c>
      <c r="C220" s="3" t="s">
        <v>406</v>
      </c>
      <c r="D220" s="3" t="s">
        <v>45</v>
      </c>
      <c r="E220" s="3" t="s">
        <v>38</v>
      </c>
      <c r="F220" s="3" t="s">
        <v>142</v>
      </c>
      <c r="G220" s="3" t="s">
        <v>143</v>
      </c>
      <c r="H220" s="3">
        <v>5</v>
      </c>
      <c r="I220" s="7">
        <v>9176.18</v>
      </c>
      <c r="J220" s="9">
        <v>0</v>
      </c>
      <c r="K220" s="7">
        <v>45880.9</v>
      </c>
      <c r="L220" s="7">
        <v>10029.64</v>
      </c>
      <c r="M220" s="3" t="s">
        <v>58</v>
      </c>
      <c r="N220" s="3" t="str">
        <f t="shared" si="12"/>
        <v>2024-03</v>
      </c>
      <c r="O220" s="3" t="str">
        <f t="shared" si="13"/>
        <v>No discount</v>
      </c>
      <c r="P220" s="9">
        <f t="shared" si="14"/>
        <v>0.21860164033399518</v>
      </c>
      <c r="Q220" s="3" t="str">
        <f t="shared" si="15"/>
        <v>No</v>
      </c>
    </row>
    <row r="221" spans="1:17" ht="21" customHeight="1">
      <c r="A221" s="3" t="s">
        <v>535</v>
      </c>
      <c r="B221" s="5">
        <v>45368</v>
      </c>
      <c r="C221" s="3" t="s">
        <v>422</v>
      </c>
      <c r="D221" s="3" t="s">
        <v>47</v>
      </c>
      <c r="E221" s="3" t="s">
        <v>39</v>
      </c>
      <c r="F221" s="3" t="s">
        <v>109</v>
      </c>
      <c r="G221" s="3" t="s">
        <v>355</v>
      </c>
      <c r="H221" s="3">
        <v>2</v>
      </c>
      <c r="I221" s="7">
        <v>3535.18</v>
      </c>
      <c r="J221" s="9">
        <v>0.1</v>
      </c>
      <c r="K221" s="7">
        <v>6363.32</v>
      </c>
      <c r="L221" s="7">
        <v>2081.39</v>
      </c>
      <c r="M221" s="3" t="s">
        <v>56</v>
      </c>
      <c r="N221" s="3" t="str">
        <f t="shared" si="12"/>
        <v>2024-03</v>
      </c>
      <c r="O221" s="3" t="str">
        <f t="shared" si="13"/>
        <v>1-10%</v>
      </c>
      <c r="P221" s="9">
        <f t="shared" si="14"/>
        <v>0.32709183256539037</v>
      </c>
      <c r="Q221" s="3" t="str">
        <f t="shared" si="15"/>
        <v>No</v>
      </c>
    </row>
    <row r="222" spans="1:17" ht="21" customHeight="1">
      <c r="A222" s="3" t="s">
        <v>536</v>
      </c>
      <c r="B222" s="5">
        <v>45368</v>
      </c>
      <c r="C222" s="3" t="s">
        <v>242</v>
      </c>
      <c r="D222" s="3" t="s">
        <v>44</v>
      </c>
      <c r="E222" s="3" t="s">
        <v>39</v>
      </c>
      <c r="F222" s="3" t="s">
        <v>130</v>
      </c>
      <c r="G222" s="3" t="s">
        <v>193</v>
      </c>
      <c r="H222" s="3">
        <v>4</v>
      </c>
      <c r="I222" s="7">
        <v>1747.92</v>
      </c>
      <c r="J222" s="9">
        <v>0.1</v>
      </c>
      <c r="K222" s="7">
        <v>6292.51</v>
      </c>
      <c r="L222" s="7">
        <v>1848.27</v>
      </c>
      <c r="M222" s="3" t="s">
        <v>57</v>
      </c>
      <c r="N222" s="3" t="str">
        <f t="shared" si="12"/>
        <v>2024-03</v>
      </c>
      <c r="O222" s="3" t="str">
        <f t="shared" si="13"/>
        <v>1-10%</v>
      </c>
      <c r="P222" s="9">
        <f t="shared" si="14"/>
        <v>0.29372539733746944</v>
      </c>
      <c r="Q222" s="3" t="str">
        <f t="shared" si="15"/>
        <v>No</v>
      </c>
    </row>
    <row r="223" spans="1:17" ht="21" customHeight="1">
      <c r="A223" s="3" t="s">
        <v>537</v>
      </c>
      <c r="B223" s="5">
        <v>45368</v>
      </c>
      <c r="C223" s="3" t="s">
        <v>129</v>
      </c>
      <c r="D223" s="3" t="s">
        <v>46</v>
      </c>
      <c r="E223" s="3" t="s">
        <v>40</v>
      </c>
      <c r="F223" s="3" t="s">
        <v>160</v>
      </c>
      <c r="G223" s="3" t="s">
        <v>161</v>
      </c>
      <c r="H223" s="3">
        <v>3</v>
      </c>
      <c r="I223" s="7">
        <v>13311.91</v>
      </c>
      <c r="J223" s="9">
        <v>0.1</v>
      </c>
      <c r="K223" s="7">
        <v>35942.160000000003</v>
      </c>
      <c r="L223" s="7">
        <v>7432.82</v>
      </c>
      <c r="M223" s="3" t="s">
        <v>59</v>
      </c>
      <c r="N223" s="3" t="str">
        <f t="shared" si="12"/>
        <v>2024-03</v>
      </c>
      <c r="O223" s="3" t="str">
        <f t="shared" si="13"/>
        <v>1-10%</v>
      </c>
      <c r="P223" s="9">
        <f t="shared" si="14"/>
        <v>0.20679948005350815</v>
      </c>
      <c r="Q223" s="3" t="str">
        <f t="shared" si="15"/>
        <v>No</v>
      </c>
    </row>
    <row r="224" spans="1:17" ht="21" customHeight="1">
      <c r="A224" s="3" t="s">
        <v>538</v>
      </c>
      <c r="B224" s="5">
        <v>45368</v>
      </c>
      <c r="C224" s="3" t="s">
        <v>539</v>
      </c>
      <c r="D224" s="3" t="s">
        <v>47</v>
      </c>
      <c r="E224" s="3" t="s">
        <v>40</v>
      </c>
      <c r="F224" s="3" t="s">
        <v>102</v>
      </c>
      <c r="G224" s="3" t="s">
        <v>146</v>
      </c>
      <c r="H224" s="3">
        <v>1</v>
      </c>
      <c r="I224" s="7">
        <v>7821.46</v>
      </c>
      <c r="J224" s="9">
        <v>0</v>
      </c>
      <c r="K224" s="7">
        <v>7821.46</v>
      </c>
      <c r="L224" s="7">
        <v>2648.6</v>
      </c>
      <c r="M224" s="3" t="s">
        <v>59</v>
      </c>
      <c r="N224" s="3" t="str">
        <f t="shared" si="12"/>
        <v>2024-03</v>
      </c>
      <c r="O224" s="3" t="str">
        <f t="shared" si="13"/>
        <v>No discount</v>
      </c>
      <c r="P224" s="9">
        <f t="shared" si="14"/>
        <v>0.33863242923955372</v>
      </c>
      <c r="Q224" s="3" t="str">
        <f t="shared" si="15"/>
        <v>No</v>
      </c>
    </row>
    <row r="225" spans="1:17" ht="21" customHeight="1">
      <c r="A225" s="3" t="s">
        <v>540</v>
      </c>
      <c r="B225" s="5">
        <v>45368</v>
      </c>
      <c r="C225" s="3" t="s">
        <v>541</v>
      </c>
      <c r="D225" s="3" t="s">
        <v>44</v>
      </c>
      <c r="E225" s="3" t="s">
        <v>38</v>
      </c>
      <c r="F225" s="3" t="s">
        <v>94</v>
      </c>
      <c r="G225" s="3" t="s">
        <v>95</v>
      </c>
      <c r="H225" s="3">
        <v>1</v>
      </c>
      <c r="I225" s="7">
        <v>80349.600000000006</v>
      </c>
      <c r="J225" s="9">
        <v>0.15</v>
      </c>
      <c r="K225" s="7">
        <v>68297.16</v>
      </c>
      <c r="L225" s="7">
        <v>-1465.82</v>
      </c>
      <c r="M225" s="3" t="s">
        <v>57</v>
      </c>
      <c r="N225" s="3" t="str">
        <f t="shared" si="12"/>
        <v>2024-03</v>
      </c>
      <c r="O225" s="3" t="str">
        <f t="shared" si="13"/>
        <v>11-15%</v>
      </c>
      <c r="P225" s="9">
        <f t="shared" si="14"/>
        <v>-2.1462385844447995E-2</v>
      </c>
      <c r="Q225" s="3" t="str">
        <f t="shared" si="15"/>
        <v>Yes</v>
      </c>
    </row>
    <row r="226" spans="1:17" ht="21" customHeight="1">
      <c r="A226" s="3" t="s">
        <v>542</v>
      </c>
      <c r="B226" s="5">
        <v>45368</v>
      </c>
      <c r="C226" s="3" t="s">
        <v>543</v>
      </c>
      <c r="D226" s="3" t="s">
        <v>46</v>
      </c>
      <c r="E226" s="3" t="s">
        <v>42</v>
      </c>
      <c r="F226" s="3" t="s">
        <v>126</v>
      </c>
      <c r="G226" s="3" t="s">
        <v>127</v>
      </c>
      <c r="H226" s="3">
        <v>1</v>
      </c>
      <c r="I226" s="7">
        <v>992.41</v>
      </c>
      <c r="J226" s="9">
        <v>0</v>
      </c>
      <c r="K226" s="7">
        <v>992.41</v>
      </c>
      <c r="L226" s="7">
        <v>530.32000000000005</v>
      </c>
      <c r="M226" s="3" t="s">
        <v>56</v>
      </c>
      <c r="N226" s="3" t="str">
        <f t="shared" si="12"/>
        <v>2024-03</v>
      </c>
      <c r="O226" s="3" t="str">
        <f t="shared" si="13"/>
        <v>No discount</v>
      </c>
      <c r="P226" s="9">
        <f t="shared" si="14"/>
        <v>0.53437591318104416</v>
      </c>
      <c r="Q226" s="3" t="str">
        <f t="shared" si="15"/>
        <v>No</v>
      </c>
    </row>
    <row r="227" spans="1:17" ht="21" customHeight="1">
      <c r="A227" s="3" t="s">
        <v>544</v>
      </c>
      <c r="B227" s="5">
        <v>45368</v>
      </c>
      <c r="C227" s="3" t="s">
        <v>545</v>
      </c>
      <c r="D227" s="3" t="s">
        <v>47</v>
      </c>
      <c r="E227" s="3" t="s">
        <v>40</v>
      </c>
      <c r="F227" s="3" t="s">
        <v>221</v>
      </c>
      <c r="G227" s="3" t="s">
        <v>279</v>
      </c>
      <c r="H227" s="3">
        <v>5</v>
      </c>
      <c r="I227" s="7">
        <v>1453.16</v>
      </c>
      <c r="J227" s="9">
        <v>0.05</v>
      </c>
      <c r="K227" s="7">
        <v>6902.51</v>
      </c>
      <c r="L227" s="7">
        <v>1641.69</v>
      </c>
      <c r="M227" s="3" t="s">
        <v>57</v>
      </c>
      <c r="N227" s="3" t="str">
        <f t="shared" si="12"/>
        <v>2024-03</v>
      </c>
      <c r="O227" s="3" t="str">
        <f t="shared" si="13"/>
        <v>1-10%</v>
      </c>
      <c r="P227" s="9">
        <f t="shared" si="14"/>
        <v>0.23783956850479029</v>
      </c>
      <c r="Q227" s="3" t="str">
        <f t="shared" si="15"/>
        <v>No</v>
      </c>
    </row>
    <row r="228" spans="1:17" ht="21" customHeight="1">
      <c r="A228" s="3" t="s">
        <v>546</v>
      </c>
      <c r="B228" s="5">
        <v>45368</v>
      </c>
      <c r="C228" s="3" t="s">
        <v>208</v>
      </c>
      <c r="D228" s="3" t="s">
        <v>44</v>
      </c>
      <c r="E228" s="3" t="s">
        <v>41</v>
      </c>
      <c r="F228" s="3" t="s">
        <v>113</v>
      </c>
      <c r="G228" s="3" t="s">
        <v>123</v>
      </c>
      <c r="H228" s="3">
        <v>1</v>
      </c>
      <c r="I228" s="7">
        <v>3412.67</v>
      </c>
      <c r="J228" s="9">
        <v>0.05</v>
      </c>
      <c r="K228" s="7">
        <v>3242.04</v>
      </c>
      <c r="L228" s="7">
        <v>1005.2</v>
      </c>
      <c r="M228" s="3" t="s">
        <v>56</v>
      </c>
      <c r="N228" s="3" t="str">
        <f t="shared" si="12"/>
        <v>2024-03</v>
      </c>
      <c r="O228" s="3" t="str">
        <f t="shared" si="13"/>
        <v>1-10%</v>
      </c>
      <c r="P228" s="9">
        <f t="shared" si="14"/>
        <v>0.31005169584582548</v>
      </c>
      <c r="Q228" s="3" t="str">
        <f t="shared" si="15"/>
        <v>No</v>
      </c>
    </row>
    <row r="229" spans="1:17" ht="21" customHeight="1">
      <c r="A229" s="3" t="s">
        <v>547</v>
      </c>
      <c r="B229" s="5">
        <v>45369</v>
      </c>
      <c r="C229" s="3" t="s">
        <v>548</v>
      </c>
      <c r="D229" s="3" t="s">
        <v>45</v>
      </c>
      <c r="E229" s="3" t="s">
        <v>39</v>
      </c>
      <c r="F229" s="3" t="s">
        <v>109</v>
      </c>
      <c r="G229" s="3" t="s">
        <v>355</v>
      </c>
      <c r="H229" s="3">
        <v>4</v>
      </c>
      <c r="I229" s="7">
        <v>3520.16</v>
      </c>
      <c r="J229" s="9">
        <v>0.15</v>
      </c>
      <c r="K229" s="7">
        <v>11968.54</v>
      </c>
      <c r="L229" s="7">
        <v>3208.07</v>
      </c>
      <c r="M229" s="3" t="s">
        <v>56</v>
      </c>
      <c r="N229" s="3" t="str">
        <f t="shared" si="12"/>
        <v>2024-03</v>
      </c>
      <c r="O229" s="3" t="str">
        <f t="shared" si="13"/>
        <v>11-15%</v>
      </c>
      <c r="P229" s="9">
        <f t="shared" si="14"/>
        <v>0.26804188313695737</v>
      </c>
      <c r="Q229" s="3" t="str">
        <f t="shared" si="15"/>
        <v>No</v>
      </c>
    </row>
    <row r="230" spans="1:17" ht="21" customHeight="1">
      <c r="A230" s="3" t="s">
        <v>549</v>
      </c>
      <c r="B230" s="5">
        <v>45369</v>
      </c>
      <c r="C230" s="3" t="s">
        <v>550</v>
      </c>
      <c r="D230" s="3" t="s">
        <v>44</v>
      </c>
      <c r="E230" s="3" t="s">
        <v>38</v>
      </c>
      <c r="F230" s="3" t="s">
        <v>98</v>
      </c>
      <c r="G230" s="3" t="s">
        <v>99</v>
      </c>
      <c r="H230" s="3">
        <v>1</v>
      </c>
      <c r="I230" s="7">
        <v>23911.439999999999</v>
      </c>
      <c r="J230" s="9">
        <v>0</v>
      </c>
      <c r="K230" s="7">
        <v>23911.439999999999</v>
      </c>
      <c r="L230" s="7">
        <v>4441.6099999999997</v>
      </c>
      <c r="M230" s="3" t="s">
        <v>56</v>
      </c>
      <c r="N230" s="3" t="str">
        <f t="shared" si="12"/>
        <v>2024-03</v>
      </c>
      <c r="O230" s="3" t="str">
        <f t="shared" si="13"/>
        <v>No discount</v>
      </c>
      <c r="P230" s="9">
        <f t="shared" si="14"/>
        <v>0.18575251009558605</v>
      </c>
      <c r="Q230" s="3" t="str">
        <f t="shared" si="15"/>
        <v>No</v>
      </c>
    </row>
    <row r="231" spans="1:17" ht="21" customHeight="1">
      <c r="A231" s="3" t="s">
        <v>551</v>
      </c>
      <c r="B231" s="5">
        <v>45369</v>
      </c>
      <c r="C231" s="3" t="s">
        <v>552</v>
      </c>
      <c r="D231" s="3" t="s">
        <v>44</v>
      </c>
      <c r="E231" s="3" t="s">
        <v>38</v>
      </c>
      <c r="F231" s="3" t="s">
        <v>98</v>
      </c>
      <c r="G231" s="3" t="s">
        <v>99</v>
      </c>
      <c r="H231" s="3">
        <v>5</v>
      </c>
      <c r="I231" s="7">
        <v>25944.400000000001</v>
      </c>
      <c r="J231" s="9">
        <v>0</v>
      </c>
      <c r="K231" s="7">
        <v>129722</v>
      </c>
      <c r="L231" s="7">
        <v>24132.799999999999</v>
      </c>
      <c r="M231" s="3" t="s">
        <v>56</v>
      </c>
      <c r="N231" s="3" t="str">
        <f t="shared" si="12"/>
        <v>2024-03</v>
      </c>
      <c r="O231" s="3" t="str">
        <f t="shared" si="13"/>
        <v>No discount</v>
      </c>
      <c r="P231" s="9">
        <f t="shared" si="14"/>
        <v>0.18603475123726121</v>
      </c>
      <c r="Q231" s="3" t="str">
        <f t="shared" si="15"/>
        <v>No</v>
      </c>
    </row>
    <row r="232" spans="1:17" ht="21" customHeight="1">
      <c r="A232" s="3" t="s">
        <v>553</v>
      </c>
      <c r="B232" s="5">
        <v>45370</v>
      </c>
      <c r="C232" s="3" t="s">
        <v>473</v>
      </c>
      <c r="D232" s="3" t="s">
        <v>46</v>
      </c>
      <c r="E232" s="3" t="s">
        <v>42</v>
      </c>
      <c r="F232" s="3" t="s">
        <v>126</v>
      </c>
      <c r="G232" s="3" t="s">
        <v>151</v>
      </c>
      <c r="H232" s="3">
        <v>1</v>
      </c>
      <c r="I232" s="7">
        <v>1432.73</v>
      </c>
      <c r="J232" s="9">
        <v>0.05</v>
      </c>
      <c r="K232" s="7">
        <v>1361.09</v>
      </c>
      <c r="L232" s="7">
        <v>641.16</v>
      </c>
      <c r="M232" s="3" t="s">
        <v>56</v>
      </c>
      <c r="N232" s="3" t="str">
        <f t="shared" si="12"/>
        <v>2024-03</v>
      </c>
      <c r="O232" s="3" t="str">
        <f t="shared" si="13"/>
        <v>1-10%</v>
      </c>
      <c r="P232" s="9">
        <f t="shared" si="14"/>
        <v>0.47106363282369279</v>
      </c>
      <c r="Q232" s="3" t="str">
        <f t="shared" si="15"/>
        <v>No</v>
      </c>
    </row>
    <row r="233" spans="1:17" ht="21" customHeight="1">
      <c r="A233" s="3" t="s">
        <v>554</v>
      </c>
      <c r="B233" s="5">
        <v>45370</v>
      </c>
      <c r="C233" s="3" t="s">
        <v>555</v>
      </c>
      <c r="D233" s="3" t="s">
        <v>44</v>
      </c>
      <c r="E233" s="3" t="s">
        <v>38</v>
      </c>
      <c r="F233" s="3" t="s">
        <v>98</v>
      </c>
      <c r="G233" s="3" t="s">
        <v>362</v>
      </c>
      <c r="H233" s="3">
        <v>1</v>
      </c>
      <c r="I233" s="7">
        <v>33897.93</v>
      </c>
      <c r="J233" s="9">
        <v>0</v>
      </c>
      <c r="K233" s="7">
        <v>33897.93</v>
      </c>
      <c r="L233" s="7">
        <v>5416.37</v>
      </c>
      <c r="M233" s="3" t="s">
        <v>56</v>
      </c>
      <c r="N233" s="3" t="str">
        <f t="shared" si="12"/>
        <v>2024-03</v>
      </c>
      <c r="O233" s="3" t="str">
        <f t="shared" si="13"/>
        <v>No discount</v>
      </c>
      <c r="P233" s="9">
        <f t="shared" si="14"/>
        <v>0.15978468301751758</v>
      </c>
      <c r="Q233" s="3" t="str">
        <f t="shared" si="15"/>
        <v>No</v>
      </c>
    </row>
    <row r="234" spans="1:17" ht="21" customHeight="1">
      <c r="A234" s="3" t="s">
        <v>556</v>
      </c>
      <c r="B234" s="5">
        <v>45370</v>
      </c>
      <c r="C234" s="3" t="s">
        <v>418</v>
      </c>
      <c r="D234" s="3" t="s">
        <v>45</v>
      </c>
      <c r="E234" s="3" t="s">
        <v>42</v>
      </c>
      <c r="F234" s="3" t="s">
        <v>126</v>
      </c>
      <c r="G234" s="3" t="s">
        <v>127</v>
      </c>
      <c r="H234" s="3">
        <v>2</v>
      </c>
      <c r="I234" s="7">
        <v>1046.77</v>
      </c>
      <c r="J234" s="9">
        <v>0</v>
      </c>
      <c r="K234" s="7">
        <v>2093.54</v>
      </c>
      <c r="L234" s="7">
        <v>1145.8599999999999</v>
      </c>
      <c r="M234" s="3" t="s">
        <v>59</v>
      </c>
      <c r="N234" s="3" t="str">
        <f t="shared" si="12"/>
        <v>2024-03</v>
      </c>
      <c r="O234" s="3" t="str">
        <f t="shared" si="13"/>
        <v>No discount</v>
      </c>
      <c r="P234" s="9">
        <f t="shared" si="14"/>
        <v>0.54733131442437211</v>
      </c>
      <c r="Q234" s="3" t="str">
        <f t="shared" si="15"/>
        <v>No</v>
      </c>
    </row>
    <row r="235" spans="1:17" ht="21" customHeight="1">
      <c r="A235" s="3" t="s">
        <v>557</v>
      </c>
      <c r="B235" s="5">
        <v>45371</v>
      </c>
      <c r="C235" s="3" t="s">
        <v>558</v>
      </c>
      <c r="D235" s="3" t="s">
        <v>45</v>
      </c>
      <c r="E235" s="3" t="s">
        <v>40</v>
      </c>
      <c r="F235" s="3" t="s">
        <v>160</v>
      </c>
      <c r="G235" s="3" t="s">
        <v>173</v>
      </c>
      <c r="H235" s="3">
        <v>1</v>
      </c>
      <c r="I235" s="7">
        <v>8760.25</v>
      </c>
      <c r="J235" s="9">
        <v>0</v>
      </c>
      <c r="K235" s="7">
        <v>8760.25</v>
      </c>
      <c r="L235" s="7">
        <v>2616.98</v>
      </c>
      <c r="M235" s="3" t="s">
        <v>56</v>
      </c>
      <c r="N235" s="3" t="str">
        <f t="shared" si="12"/>
        <v>2024-03</v>
      </c>
      <c r="O235" s="3" t="str">
        <f t="shared" si="13"/>
        <v>No discount</v>
      </c>
      <c r="P235" s="9">
        <f t="shared" si="14"/>
        <v>0.29873348363345797</v>
      </c>
      <c r="Q235" s="3" t="str">
        <f t="shared" si="15"/>
        <v>No</v>
      </c>
    </row>
    <row r="236" spans="1:17" ht="21" customHeight="1">
      <c r="A236" s="3" t="s">
        <v>559</v>
      </c>
      <c r="B236" s="5">
        <v>45371</v>
      </c>
      <c r="C236" s="3" t="s">
        <v>550</v>
      </c>
      <c r="D236" s="3" t="s">
        <v>44</v>
      </c>
      <c r="E236" s="3" t="s">
        <v>39</v>
      </c>
      <c r="F236" s="3" t="s">
        <v>130</v>
      </c>
      <c r="G236" s="3" t="s">
        <v>131</v>
      </c>
      <c r="H236" s="3">
        <v>2</v>
      </c>
      <c r="I236" s="7">
        <v>2277.87</v>
      </c>
      <c r="J236" s="9">
        <v>0.05</v>
      </c>
      <c r="K236" s="7">
        <v>4327.95</v>
      </c>
      <c r="L236" s="7">
        <v>1739.49</v>
      </c>
      <c r="M236" s="3" t="s">
        <v>56</v>
      </c>
      <c r="N236" s="3" t="str">
        <f t="shared" si="12"/>
        <v>2024-03</v>
      </c>
      <c r="O236" s="3" t="str">
        <f t="shared" si="13"/>
        <v>1-10%</v>
      </c>
      <c r="P236" s="9">
        <f t="shared" si="14"/>
        <v>0.401920077634908</v>
      </c>
      <c r="Q236" s="3" t="str">
        <f t="shared" si="15"/>
        <v>No</v>
      </c>
    </row>
    <row r="237" spans="1:17" ht="21" customHeight="1">
      <c r="A237" s="3" t="s">
        <v>560</v>
      </c>
      <c r="B237" s="5">
        <v>45371</v>
      </c>
      <c r="C237" s="3" t="s">
        <v>561</v>
      </c>
      <c r="D237" s="3" t="s">
        <v>46</v>
      </c>
      <c r="E237" s="3" t="s">
        <v>38</v>
      </c>
      <c r="F237" s="3" t="s">
        <v>142</v>
      </c>
      <c r="G237" s="3" t="s">
        <v>245</v>
      </c>
      <c r="H237" s="3">
        <v>5</v>
      </c>
      <c r="I237" s="7">
        <v>5034.3599999999997</v>
      </c>
      <c r="J237" s="9">
        <v>0.1</v>
      </c>
      <c r="K237" s="7">
        <v>22654.62</v>
      </c>
      <c r="L237" s="7">
        <v>1444.29</v>
      </c>
      <c r="M237" s="3" t="s">
        <v>57</v>
      </c>
      <c r="N237" s="3" t="str">
        <f t="shared" si="12"/>
        <v>2024-03</v>
      </c>
      <c r="O237" s="3" t="str">
        <f t="shared" si="13"/>
        <v>1-10%</v>
      </c>
      <c r="P237" s="9">
        <f t="shared" si="14"/>
        <v>6.3752559080664337E-2</v>
      </c>
      <c r="Q237" s="3" t="str">
        <f t="shared" si="15"/>
        <v>No</v>
      </c>
    </row>
    <row r="238" spans="1:17" ht="21" customHeight="1">
      <c r="A238" s="3" t="s">
        <v>562</v>
      </c>
      <c r="B238" s="5">
        <v>45372</v>
      </c>
      <c r="C238" s="3" t="s">
        <v>563</v>
      </c>
      <c r="D238" s="3" t="s">
        <v>44</v>
      </c>
      <c r="E238" s="3" t="s">
        <v>38</v>
      </c>
      <c r="F238" s="3" t="s">
        <v>142</v>
      </c>
      <c r="G238" s="3" t="s">
        <v>245</v>
      </c>
      <c r="H238" s="3">
        <v>1</v>
      </c>
      <c r="I238" s="7">
        <v>4820.22</v>
      </c>
      <c r="J238" s="9">
        <v>0.2</v>
      </c>
      <c r="K238" s="7">
        <v>3856.18</v>
      </c>
      <c r="L238" s="7">
        <v>-277.16000000000003</v>
      </c>
      <c r="M238" s="3" t="s">
        <v>56</v>
      </c>
      <c r="N238" s="3" t="str">
        <f t="shared" si="12"/>
        <v>2024-03</v>
      </c>
      <c r="O238" s="3" t="str">
        <f t="shared" si="13"/>
        <v>16-20%</v>
      </c>
      <c r="P238" s="9">
        <f t="shared" si="14"/>
        <v>-7.187423823576701E-2</v>
      </c>
      <c r="Q238" s="3" t="str">
        <f t="shared" si="15"/>
        <v>Yes</v>
      </c>
    </row>
    <row r="239" spans="1:17" ht="21" customHeight="1">
      <c r="A239" s="3" t="s">
        <v>564</v>
      </c>
      <c r="B239" s="5">
        <v>45372</v>
      </c>
      <c r="C239" s="3" t="s">
        <v>226</v>
      </c>
      <c r="D239" s="3" t="s">
        <v>44</v>
      </c>
      <c r="E239" s="3" t="s">
        <v>38</v>
      </c>
      <c r="F239" s="3" t="s">
        <v>94</v>
      </c>
      <c r="G239" s="3" t="s">
        <v>95</v>
      </c>
      <c r="H239" s="3">
        <v>1</v>
      </c>
      <c r="I239" s="7">
        <v>80767.08</v>
      </c>
      <c r="J239" s="9">
        <v>0.1</v>
      </c>
      <c r="K239" s="7">
        <v>72690.37</v>
      </c>
      <c r="L239" s="7">
        <v>6542</v>
      </c>
      <c r="M239" s="3" t="s">
        <v>57</v>
      </c>
      <c r="N239" s="3" t="str">
        <f t="shared" si="12"/>
        <v>2024-03</v>
      </c>
      <c r="O239" s="3" t="str">
        <f t="shared" si="13"/>
        <v>1-10%</v>
      </c>
      <c r="P239" s="9">
        <f t="shared" si="14"/>
        <v>8.9998166194504181E-2</v>
      </c>
      <c r="Q239" s="3" t="str">
        <f t="shared" si="15"/>
        <v>No</v>
      </c>
    </row>
    <row r="240" spans="1:17" ht="21" customHeight="1">
      <c r="A240" s="3" t="s">
        <v>565</v>
      </c>
      <c r="B240" s="5">
        <v>45372</v>
      </c>
      <c r="C240" s="3" t="s">
        <v>566</v>
      </c>
      <c r="D240" s="3" t="s">
        <v>46</v>
      </c>
      <c r="E240" s="3" t="s">
        <v>40</v>
      </c>
      <c r="F240" s="3" t="s">
        <v>160</v>
      </c>
      <c r="G240" s="3" t="s">
        <v>161</v>
      </c>
      <c r="H240" s="3">
        <v>5</v>
      </c>
      <c r="I240" s="7">
        <v>12762.82</v>
      </c>
      <c r="J240" s="9">
        <v>0.15</v>
      </c>
      <c r="K240" s="7">
        <v>54241.99</v>
      </c>
      <c r="L240" s="7">
        <v>6910.33</v>
      </c>
      <c r="M240" s="3" t="s">
        <v>57</v>
      </c>
      <c r="N240" s="3" t="str">
        <f t="shared" si="12"/>
        <v>2024-03</v>
      </c>
      <c r="O240" s="3" t="str">
        <f t="shared" si="13"/>
        <v>11-15%</v>
      </c>
      <c r="P240" s="9">
        <f t="shared" si="14"/>
        <v>0.12739816514843944</v>
      </c>
      <c r="Q240" s="3" t="str">
        <f t="shared" si="15"/>
        <v>No</v>
      </c>
    </row>
    <row r="241" spans="1:17" ht="21" customHeight="1">
      <c r="A241" s="3" t="s">
        <v>567</v>
      </c>
      <c r="B241" s="5">
        <v>45372</v>
      </c>
      <c r="C241" s="3" t="s">
        <v>568</v>
      </c>
      <c r="D241" s="3" t="s">
        <v>46</v>
      </c>
      <c r="E241" s="3" t="s">
        <v>40</v>
      </c>
      <c r="F241" s="3" t="s">
        <v>160</v>
      </c>
      <c r="G241" s="3" t="s">
        <v>173</v>
      </c>
      <c r="H241" s="3">
        <v>1</v>
      </c>
      <c r="I241" s="7">
        <v>8857.94</v>
      </c>
      <c r="J241" s="9">
        <v>0</v>
      </c>
      <c r="K241" s="7">
        <v>8857.94</v>
      </c>
      <c r="L241" s="7">
        <v>3062.83</v>
      </c>
      <c r="M241" s="3" t="s">
        <v>57</v>
      </c>
      <c r="N241" s="3" t="str">
        <f t="shared" si="12"/>
        <v>2024-03</v>
      </c>
      <c r="O241" s="3" t="str">
        <f t="shared" si="13"/>
        <v>No discount</v>
      </c>
      <c r="P241" s="9">
        <f t="shared" si="14"/>
        <v>0.34577226759269081</v>
      </c>
      <c r="Q241" s="3" t="str">
        <f t="shared" si="15"/>
        <v>No</v>
      </c>
    </row>
    <row r="242" spans="1:17" ht="21" customHeight="1">
      <c r="A242" s="3" t="s">
        <v>569</v>
      </c>
      <c r="B242" s="5">
        <v>45372</v>
      </c>
      <c r="C242" s="3" t="s">
        <v>150</v>
      </c>
      <c r="D242" s="3" t="s">
        <v>44</v>
      </c>
      <c r="E242" s="3" t="s">
        <v>41</v>
      </c>
      <c r="F242" s="3" t="s">
        <v>119</v>
      </c>
      <c r="G242" s="3" t="s">
        <v>120</v>
      </c>
      <c r="H242" s="3">
        <v>1</v>
      </c>
      <c r="I242" s="7">
        <v>1249.31</v>
      </c>
      <c r="J242" s="9">
        <v>0.1</v>
      </c>
      <c r="K242" s="7">
        <v>1124.3800000000001</v>
      </c>
      <c r="L242" s="7">
        <v>315.89</v>
      </c>
      <c r="M242" s="3" t="s">
        <v>58</v>
      </c>
      <c r="N242" s="3" t="str">
        <f t="shared" si="12"/>
        <v>2024-03</v>
      </c>
      <c r="O242" s="3" t="str">
        <f t="shared" si="13"/>
        <v>1-10%</v>
      </c>
      <c r="P242" s="9">
        <f t="shared" si="14"/>
        <v>0.2809459435422188</v>
      </c>
      <c r="Q242" s="3" t="str">
        <f t="shared" si="15"/>
        <v>No</v>
      </c>
    </row>
    <row r="243" spans="1:17" ht="21" customHeight="1">
      <c r="A243" s="3" t="s">
        <v>570</v>
      </c>
      <c r="B243" s="5">
        <v>45373</v>
      </c>
      <c r="C243" s="3" t="s">
        <v>571</v>
      </c>
      <c r="D243" s="3" t="s">
        <v>45</v>
      </c>
      <c r="E243" s="3" t="s">
        <v>38</v>
      </c>
      <c r="F243" s="3" t="s">
        <v>94</v>
      </c>
      <c r="G243" s="3" t="s">
        <v>213</v>
      </c>
      <c r="H243" s="3">
        <v>2</v>
      </c>
      <c r="I243" s="7">
        <v>57365.120000000003</v>
      </c>
      <c r="J243" s="9">
        <v>0</v>
      </c>
      <c r="K243" s="7">
        <v>114730.24000000001</v>
      </c>
      <c r="L243" s="7">
        <v>17978.12</v>
      </c>
      <c r="M243" s="3" t="s">
        <v>59</v>
      </c>
      <c r="N243" s="3" t="str">
        <f t="shared" si="12"/>
        <v>2024-03</v>
      </c>
      <c r="O243" s="3" t="str">
        <f t="shared" si="13"/>
        <v>No discount</v>
      </c>
      <c r="P243" s="9">
        <f t="shared" si="14"/>
        <v>0.15669905336204298</v>
      </c>
      <c r="Q243" s="3" t="str">
        <f t="shared" si="15"/>
        <v>No</v>
      </c>
    </row>
    <row r="244" spans="1:17" ht="21" customHeight="1">
      <c r="A244" s="3" t="s">
        <v>572</v>
      </c>
      <c r="B244" s="5">
        <v>45373</v>
      </c>
      <c r="C244" s="3" t="s">
        <v>573</v>
      </c>
      <c r="D244" s="3" t="s">
        <v>44</v>
      </c>
      <c r="E244" s="3" t="s">
        <v>42</v>
      </c>
      <c r="F244" s="3" t="s">
        <v>126</v>
      </c>
      <c r="G244" s="3" t="s">
        <v>151</v>
      </c>
      <c r="H244" s="3">
        <v>2</v>
      </c>
      <c r="I244" s="7">
        <v>1569.72</v>
      </c>
      <c r="J244" s="9">
        <v>0.2</v>
      </c>
      <c r="K244" s="7">
        <v>2511.5500000000002</v>
      </c>
      <c r="L244" s="7">
        <v>725.67</v>
      </c>
      <c r="M244" s="3" t="s">
        <v>57</v>
      </c>
      <c r="N244" s="3" t="str">
        <f t="shared" si="12"/>
        <v>2024-03</v>
      </c>
      <c r="O244" s="3" t="str">
        <f t="shared" si="13"/>
        <v>16-20%</v>
      </c>
      <c r="P244" s="9">
        <f t="shared" si="14"/>
        <v>0.28893312894427742</v>
      </c>
      <c r="Q244" s="3" t="str">
        <f t="shared" si="15"/>
        <v>No</v>
      </c>
    </row>
    <row r="245" spans="1:17" ht="21" customHeight="1">
      <c r="A245" s="3" t="s">
        <v>574</v>
      </c>
      <c r="B245" s="5">
        <v>45373</v>
      </c>
      <c r="C245" s="3" t="s">
        <v>575</v>
      </c>
      <c r="D245" s="3" t="s">
        <v>46</v>
      </c>
      <c r="E245" s="3" t="s">
        <v>39</v>
      </c>
      <c r="F245" s="3" t="s">
        <v>164</v>
      </c>
      <c r="G245" s="3" t="s">
        <v>165</v>
      </c>
      <c r="H245" s="3">
        <v>1</v>
      </c>
      <c r="I245" s="7">
        <v>1917.36</v>
      </c>
      <c r="J245" s="9">
        <v>0.15</v>
      </c>
      <c r="K245" s="7">
        <v>1629.76</v>
      </c>
      <c r="L245" s="7">
        <v>394.63</v>
      </c>
      <c r="M245" s="3" t="s">
        <v>56</v>
      </c>
      <c r="N245" s="3" t="str">
        <f t="shared" si="12"/>
        <v>2024-03</v>
      </c>
      <c r="O245" s="3" t="str">
        <f t="shared" si="13"/>
        <v>11-15%</v>
      </c>
      <c r="P245" s="9">
        <f t="shared" si="14"/>
        <v>0.24213994698605928</v>
      </c>
      <c r="Q245" s="3" t="str">
        <f t="shared" si="15"/>
        <v>No</v>
      </c>
    </row>
    <row r="246" spans="1:17" ht="21" customHeight="1">
      <c r="A246" s="3" t="s">
        <v>576</v>
      </c>
      <c r="B246" s="5">
        <v>45374</v>
      </c>
      <c r="C246" s="3" t="s">
        <v>577</v>
      </c>
      <c r="D246" s="3" t="s">
        <v>46</v>
      </c>
      <c r="E246" s="3" t="s">
        <v>39</v>
      </c>
      <c r="F246" s="3" t="s">
        <v>130</v>
      </c>
      <c r="G246" s="3" t="s">
        <v>193</v>
      </c>
      <c r="H246" s="3">
        <v>4</v>
      </c>
      <c r="I246" s="7">
        <v>1727.03</v>
      </c>
      <c r="J246" s="9">
        <v>0</v>
      </c>
      <c r="K246" s="7">
        <v>6908.12</v>
      </c>
      <c r="L246" s="7">
        <v>3093.38</v>
      </c>
      <c r="M246" s="3" t="s">
        <v>58</v>
      </c>
      <c r="N246" s="3" t="str">
        <f t="shared" si="12"/>
        <v>2024-03</v>
      </c>
      <c r="O246" s="3" t="str">
        <f t="shared" si="13"/>
        <v>No discount</v>
      </c>
      <c r="P246" s="9">
        <f t="shared" si="14"/>
        <v>0.44778897876701623</v>
      </c>
      <c r="Q246" s="3" t="str">
        <f t="shared" si="15"/>
        <v>No</v>
      </c>
    </row>
    <row r="247" spans="1:17" ht="21" customHeight="1">
      <c r="A247" s="3" t="s">
        <v>578</v>
      </c>
      <c r="B247" s="5">
        <v>45374</v>
      </c>
      <c r="C247" s="3" t="s">
        <v>579</v>
      </c>
      <c r="D247" s="3" t="s">
        <v>46</v>
      </c>
      <c r="E247" s="3" t="s">
        <v>41</v>
      </c>
      <c r="F247" s="3" t="s">
        <v>119</v>
      </c>
      <c r="G247" s="3" t="s">
        <v>120</v>
      </c>
      <c r="H247" s="3">
        <v>1</v>
      </c>
      <c r="I247" s="7">
        <v>1303.02</v>
      </c>
      <c r="J247" s="9">
        <v>0.1</v>
      </c>
      <c r="K247" s="7">
        <v>1172.72</v>
      </c>
      <c r="L247" s="7">
        <v>291.69</v>
      </c>
      <c r="M247" s="3" t="s">
        <v>57</v>
      </c>
      <c r="N247" s="3" t="str">
        <f t="shared" si="12"/>
        <v>2024-03</v>
      </c>
      <c r="O247" s="3" t="str">
        <f t="shared" si="13"/>
        <v>1-10%</v>
      </c>
      <c r="P247" s="9">
        <f t="shared" si="14"/>
        <v>0.24872944948495804</v>
      </c>
      <c r="Q247" s="3" t="str">
        <f t="shared" si="15"/>
        <v>No</v>
      </c>
    </row>
    <row r="248" spans="1:17" ht="21" customHeight="1">
      <c r="A248" s="3" t="s">
        <v>580</v>
      </c>
      <c r="B248" s="5">
        <v>45374</v>
      </c>
      <c r="C248" s="3" t="s">
        <v>581</v>
      </c>
      <c r="D248" s="3" t="s">
        <v>47</v>
      </c>
      <c r="E248" s="3" t="s">
        <v>42</v>
      </c>
      <c r="F248" s="3" t="s">
        <v>90</v>
      </c>
      <c r="G248" s="3" t="s">
        <v>106</v>
      </c>
      <c r="H248" s="3">
        <v>5</v>
      </c>
      <c r="I248" s="7">
        <v>878.9</v>
      </c>
      <c r="J248" s="9">
        <v>0.1</v>
      </c>
      <c r="K248" s="7">
        <v>3955.05</v>
      </c>
      <c r="L248" s="7">
        <v>1651.8</v>
      </c>
      <c r="M248" s="3" t="s">
        <v>58</v>
      </c>
      <c r="N248" s="3" t="str">
        <f t="shared" si="12"/>
        <v>2024-03</v>
      </c>
      <c r="O248" s="3" t="str">
        <f t="shared" si="13"/>
        <v>1-10%</v>
      </c>
      <c r="P248" s="9">
        <f t="shared" si="14"/>
        <v>0.41764326620396702</v>
      </c>
      <c r="Q248" s="3" t="str">
        <f t="shared" si="15"/>
        <v>No</v>
      </c>
    </row>
    <row r="249" spans="1:17" ht="21" customHeight="1">
      <c r="A249" s="3" t="s">
        <v>582</v>
      </c>
      <c r="B249" s="5">
        <v>45374</v>
      </c>
      <c r="C249" s="3" t="s">
        <v>491</v>
      </c>
      <c r="D249" s="3" t="s">
        <v>47</v>
      </c>
      <c r="E249" s="3" t="s">
        <v>39</v>
      </c>
      <c r="F249" s="3" t="s">
        <v>109</v>
      </c>
      <c r="G249" s="3" t="s">
        <v>355</v>
      </c>
      <c r="H249" s="3">
        <v>1</v>
      </c>
      <c r="I249" s="7">
        <v>3345.24</v>
      </c>
      <c r="J249" s="9">
        <v>0.2</v>
      </c>
      <c r="K249" s="7">
        <v>2676.19</v>
      </c>
      <c r="L249" s="7">
        <v>518.4</v>
      </c>
      <c r="M249" s="3" t="s">
        <v>57</v>
      </c>
      <c r="N249" s="3" t="str">
        <f t="shared" si="12"/>
        <v>2024-03</v>
      </c>
      <c r="O249" s="3" t="str">
        <f t="shared" si="13"/>
        <v>16-20%</v>
      </c>
      <c r="P249" s="9">
        <f t="shared" si="14"/>
        <v>0.19370821952103548</v>
      </c>
      <c r="Q249" s="3" t="str">
        <f t="shared" si="15"/>
        <v>No</v>
      </c>
    </row>
    <row r="250" spans="1:17" ht="21" customHeight="1">
      <c r="A250" s="3" t="s">
        <v>583</v>
      </c>
      <c r="B250" s="5">
        <v>45374</v>
      </c>
      <c r="C250" s="3" t="s">
        <v>172</v>
      </c>
      <c r="D250" s="3" t="s">
        <v>46</v>
      </c>
      <c r="E250" s="3" t="s">
        <v>40</v>
      </c>
      <c r="F250" s="3" t="s">
        <v>160</v>
      </c>
      <c r="G250" s="3" t="s">
        <v>173</v>
      </c>
      <c r="H250" s="3">
        <v>1</v>
      </c>
      <c r="I250" s="7">
        <v>8811.84</v>
      </c>
      <c r="J250" s="9">
        <v>0.05</v>
      </c>
      <c r="K250" s="7">
        <v>8371.25</v>
      </c>
      <c r="L250" s="7">
        <v>2515.86</v>
      </c>
      <c r="M250" s="3" t="s">
        <v>58</v>
      </c>
      <c r="N250" s="3" t="str">
        <f t="shared" si="12"/>
        <v>2024-03</v>
      </c>
      <c r="O250" s="3" t="str">
        <f t="shared" si="13"/>
        <v>1-10%</v>
      </c>
      <c r="P250" s="9">
        <f t="shared" si="14"/>
        <v>0.30053576228161866</v>
      </c>
      <c r="Q250" s="3" t="str">
        <f t="shared" si="15"/>
        <v>No</v>
      </c>
    </row>
    <row r="251" spans="1:17" ht="21" customHeight="1">
      <c r="A251" s="3" t="s">
        <v>584</v>
      </c>
      <c r="B251" s="5">
        <v>45375</v>
      </c>
      <c r="C251" s="3" t="s">
        <v>585</v>
      </c>
      <c r="D251" s="3" t="s">
        <v>47</v>
      </c>
      <c r="E251" s="3" t="s">
        <v>40</v>
      </c>
      <c r="F251" s="3" t="s">
        <v>160</v>
      </c>
      <c r="G251" s="3" t="s">
        <v>173</v>
      </c>
      <c r="H251" s="3">
        <v>1</v>
      </c>
      <c r="I251" s="7">
        <v>8890.23</v>
      </c>
      <c r="J251" s="9">
        <v>0.15</v>
      </c>
      <c r="K251" s="7">
        <v>7556.7</v>
      </c>
      <c r="L251" s="7">
        <v>1342.53</v>
      </c>
      <c r="M251" s="3" t="s">
        <v>56</v>
      </c>
      <c r="N251" s="3" t="str">
        <f t="shared" si="12"/>
        <v>2024-03</v>
      </c>
      <c r="O251" s="3" t="str">
        <f t="shared" si="13"/>
        <v>11-15%</v>
      </c>
      <c r="P251" s="9">
        <f t="shared" si="14"/>
        <v>0.17766088371908373</v>
      </c>
      <c r="Q251" s="3" t="str">
        <f t="shared" si="15"/>
        <v>No</v>
      </c>
    </row>
    <row r="252" spans="1:17" ht="21" customHeight="1">
      <c r="A252" s="3" t="s">
        <v>586</v>
      </c>
      <c r="B252" s="5">
        <v>45375</v>
      </c>
      <c r="C252" s="3" t="s">
        <v>587</v>
      </c>
      <c r="D252" s="3" t="s">
        <v>46</v>
      </c>
      <c r="E252" s="3" t="s">
        <v>40</v>
      </c>
      <c r="F252" s="3" t="s">
        <v>102</v>
      </c>
      <c r="G252" s="3" t="s">
        <v>146</v>
      </c>
      <c r="H252" s="3">
        <v>1</v>
      </c>
      <c r="I252" s="7">
        <v>7721.58</v>
      </c>
      <c r="J252" s="9">
        <v>0</v>
      </c>
      <c r="K252" s="7">
        <v>7721.58</v>
      </c>
      <c r="L252" s="7">
        <v>2701.15</v>
      </c>
      <c r="M252" s="3" t="s">
        <v>56</v>
      </c>
      <c r="N252" s="3" t="str">
        <f t="shared" si="12"/>
        <v>2024-03</v>
      </c>
      <c r="O252" s="3" t="str">
        <f t="shared" si="13"/>
        <v>No discount</v>
      </c>
      <c r="P252" s="9">
        <f t="shared" si="14"/>
        <v>0.34981830143571652</v>
      </c>
      <c r="Q252" s="3" t="str">
        <f t="shared" si="15"/>
        <v>No</v>
      </c>
    </row>
    <row r="253" spans="1:17" ht="21" customHeight="1">
      <c r="A253" s="3" t="s">
        <v>588</v>
      </c>
      <c r="B253" s="5">
        <v>45375</v>
      </c>
      <c r="C253" s="3" t="s">
        <v>215</v>
      </c>
      <c r="D253" s="3" t="s">
        <v>46</v>
      </c>
      <c r="E253" s="3" t="s">
        <v>38</v>
      </c>
      <c r="F253" s="3" t="s">
        <v>98</v>
      </c>
      <c r="G253" s="3" t="s">
        <v>99</v>
      </c>
      <c r="H253" s="3">
        <v>3</v>
      </c>
      <c r="I253" s="7">
        <v>25476.19</v>
      </c>
      <c r="J253" s="9">
        <v>0.15</v>
      </c>
      <c r="K253" s="7">
        <v>64964.28</v>
      </c>
      <c r="L253" s="7">
        <v>2373.1999999999998</v>
      </c>
      <c r="M253" s="3" t="s">
        <v>56</v>
      </c>
      <c r="N253" s="3" t="str">
        <f t="shared" si="12"/>
        <v>2024-03</v>
      </c>
      <c r="O253" s="3" t="str">
        <f t="shared" si="13"/>
        <v>11-15%</v>
      </c>
      <c r="P253" s="9">
        <f t="shared" si="14"/>
        <v>3.6530844334763654E-2</v>
      </c>
      <c r="Q253" s="3" t="str">
        <f t="shared" si="15"/>
        <v>No</v>
      </c>
    </row>
    <row r="254" spans="1:17" ht="21" customHeight="1">
      <c r="A254" s="3" t="s">
        <v>589</v>
      </c>
      <c r="B254" s="5">
        <v>45375</v>
      </c>
      <c r="C254" s="3" t="s">
        <v>251</v>
      </c>
      <c r="D254" s="3" t="s">
        <v>44</v>
      </c>
      <c r="E254" s="3" t="s">
        <v>40</v>
      </c>
      <c r="F254" s="3" t="s">
        <v>221</v>
      </c>
      <c r="G254" s="3" t="s">
        <v>279</v>
      </c>
      <c r="H254" s="3">
        <v>1</v>
      </c>
      <c r="I254" s="7">
        <v>1518.52</v>
      </c>
      <c r="J254" s="9">
        <v>0.1</v>
      </c>
      <c r="K254" s="7">
        <v>1366.67</v>
      </c>
      <c r="L254" s="7">
        <v>259.27</v>
      </c>
      <c r="M254" s="3" t="s">
        <v>60</v>
      </c>
      <c r="N254" s="3" t="str">
        <f t="shared" si="12"/>
        <v>2024-03</v>
      </c>
      <c r="O254" s="3" t="str">
        <f t="shared" si="13"/>
        <v>1-10%</v>
      </c>
      <c r="P254" s="9">
        <f t="shared" si="14"/>
        <v>0.18970929339196732</v>
      </c>
      <c r="Q254" s="3" t="str">
        <f t="shared" si="15"/>
        <v>No</v>
      </c>
    </row>
    <row r="255" spans="1:17" ht="21" customHeight="1">
      <c r="A255" s="3" t="s">
        <v>590</v>
      </c>
      <c r="B255" s="5">
        <v>45375</v>
      </c>
      <c r="C255" s="3" t="s">
        <v>591</v>
      </c>
      <c r="D255" s="3" t="s">
        <v>46</v>
      </c>
      <c r="E255" s="3" t="s">
        <v>42</v>
      </c>
      <c r="F255" s="3" t="s">
        <v>90</v>
      </c>
      <c r="G255" s="3" t="s">
        <v>106</v>
      </c>
      <c r="H255" s="3">
        <v>1</v>
      </c>
      <c r="I255" s="7">
        <v>905.09</v>
      </c>
      <c r="J255" s="9">
        <v>0.15</v>
      </c>
      <c r="K255" s="7">
        <v>769.33</v>
      </c>
      <c r="L255" s="7">
        <v>276.39999999999998</v>
      </c>
      <c r="M255" s="3" t="s">
        <v>58</v>
      </c>
      <c r="N255" s="3" t="str">
        <f t="shared" si="12"/>
        <v>2024-03</v>
      </c>
      <c r="O255" s="3" t="str">
        <f t="shared" si="13"/>
        <v>11-15%</v>
      </c>
      <c r="P255" s="9">
        <f t="shared" si="14"/>
        <v>0.35927365369867281</v>
      </c>
      <c r="Q255" s="3" t="str">
        <f t="shared" si="15"/>
        <v>No</v>
      </c>
    </row>
    <row r="256" spans="1:17" ht="21" customHeight="1">
      <c r="A256" s="3" t="s">
        <v>592</v>
      </c>
      <c r="B256" s="5">
        <v>45376</v>
      </c>
      <c r="C256" s="3" t="s">
        <v>593</v>
      </c>
      <c r="D256" s="3" t="s">
        <v>47</v>
      </c>
      <c r="E256" s="3" t="s">
        <v>42</v>
      </c>
      <c r="F256" s="3" t="s">
        <v>90</v>
      </c>
      <c r="G256" s="3" t="s">
        <v>91</v>
      </c>
      <c r="H256" s="3">
        <v>2</v>
      </c>
      <c r="I256" s="7">
        <v>1162.8900000000001</v>
      </c>
      <c r="J256" s="9">
        <v>0</v>
      </c>
      <c r="K256" s="7">
        <v>2325.7800000000002</v>
      </c>
      <c r="L256" s="7">
        <v>1237.72</v>
      </c>
      <c r="M256" s="3" t="s">
        <v>57</v>
      </c>
      <c r="N256" s="3" t="str">
        <f t="shared" si="12"/>
        <v>2024-03</v>
      </c>
      <c r="O256" s="3" t="str">
        <f t="shared" si="13"/>
        <v>No discount</v>
      </c>
      <c r="P256" s="9">
        <f t="shared" si="14"/>
        <v>0.53217415232739118</v>
      </c>
      <c r="Q256" s="3" t="str">
        <f t="shared" si="15"/>
        <v>No</v>
      </c>
    </row>
    <row r="257" spans="1:17" ht="21" customHeight="1">
      <c r="A257" s="3" t="s">
        <v>594</v>
      </c>
      <c r="B257" s="5">
        <v>45377</v>
      </c>
      <c r="C257" s="3" t="s">
        <v>595</v>
      </c>
      <c r="D257" s="3" t="s">
        <v>44</v>
      </c>
      <c r="E257" s="3" t="s">
        <v>38</v>
      </c>
      <c r="F257" s="3" t="s">
        <v>94</v>
      </c>
      <c r="G257" s="3" t="s">
        <v>213</v>
      </c>
      <c r="H257" s="3">
        <v>1</v>
      </c>
      <c r="I257" s="7">
        <v>52848.26</v>
      </c>
      <c r="J257" s="9">
        <v>0.05</v>
      </c>
      <c r="K257" s="7">
        <v>50205.85</v>
      </c>
      <c r="L257" s="7">
        <v>5389.54</v>
      </c>
      <c r="M257" s="3" t="s">
        <v>57</v>
      </c>
      <c r="N257" s="3" t="str">
        <f t="shared" si="12"/>
        <v>2024-03</v>
      </c>
      <c r="O257" s="3" t="str">
        <f t="shared" si="13"/>
        <v>1-10%</v>
      </c>
      <c r="P257" s="9">
        <f t="shared" si="14"/>
        <v>0.10734884480593397</v>
      </c>
      <c r="Q257" s="3" t="str">
        <f t="shared" si="15"/>
        <v>No</v>
      </c>
    </row>
    <row r="258" spans="1:17" ht="21" customHeight="1">
      <c r="A258" s="3" t="s">
        <v>596</v>
      </c>
      <c r="B258" s="5">
        <v>45377</v>
      </c>
      <c r="C258" s="3" t="s">
        <v>597</v>
      </c>
      <c r="D258" s="3" t="s">
        <v>47</v>
      </c>
      <c r="E258" s="3" t="s">
        <v>42</v>
      </c>
      <c r="F258" s="3" t="s">
        <v>90</v>
      </c>
      <c r="G258" s="3" t="s">
        <v>106</v>
      </c>
      <c r="H258" s="3">
        <v>1</v>
      </c>
      <c r="I258" s="7">
        <v>940.06</v>
      </c>
      <c r="J258" s="9">
        <v>0.15</v>
      </c>
      <c r="K258" s="7">
        <v>799.05</v>
      </c>
      <c r="L258" s="7">
        <v>273.91000000000003</v>
      </c>
      <c r="M258" s="3" t="s">
        <v>56</v>
      </c>
      <c r="N258" s="3" t="str">
        <f t="shared" ref="N258:N321" si="16">TEXT(B258,"yyyy-mm")</f>
        <v>2024-03</v>
      </c>
      <c r="O258" s="3" t="str">
        <f t="shared" ref="O258:O321" si="17">IF(J258=0,"No discount",IF(J258&lt;=0.1,"1-10%",IF(J258&lt;=0.15,"11-15%",IF(J258&lt;=0.2,"16-20%","21%+"))))</f>
        <v>11-15%</v>
      </c>
      <c r="P258" s="9">
        <f t="shared" ref="P258:P321" si="18">IF(K258=0,0,L258/K258)</f>
        <v>0.34279456855015333</v>
      </c>
      <c r="Q258" s="3" t="str">
        <f t="shared" ref="Q258:Q321" si="19">IF(L258&lt;0,"Yes","No")</f>
        <v>No</v>
      </c>
    </row>
    <row r="259" spans="1:17" ht="21" customHeight="1">
      <c r="A259" s="3" t="s">
        <v>598</v>
      </c>
      <c r="B259" s="5">
        <v>45378</v>
      </c>
      <c r="C259" s="3" t="s">
        <v>387</v>
      </c>
      <c r="D259" s="3" t="s">
        <v>46</v>
      </c>
      <c r="E259" s="3" t="s">
        <v>39</v>
      </c>
      <c r="F259" s="3" t="s">
        <v>164</v>
      </c>
      <c r="G259" s="3" t="s">
        <v>200</v>
      </c>
      <c r="H259" s="3">
        <v>1</v>
      </c>
      <c r="I259" s="7">
        <v>1308.54</v>
      </c>
      <c r="J259" s="9">
        <v>0</v>
      </c>
      <c r="K259" s="7">
        <v>1308.54</v>
      </c>
      <c r="L259" s="7">
        <v>595.70000000000005</v>
      </c>
      <c r="M259" s="3" t="s">
        <v>56</v>
      </c>
      <c r="N259" s="3" t="str">
        <f t="shared" si="16"/>
        <v>2024-03</v>
      </c>
      <c r="O259" s="3" t="str">
        <f t="shared" si="17"/>
        <v>No discount</v>
      </c>
      <c r="P259" s="9">
        <f t="shared" si="18"/>
        <v>0.45524019135830779</v>
      </c>
      <c r="Q259" s="3" t="str">
        <f t="shared" si="19"/>
        <v>No</v>
      </c>
    </row>
    <row r="260" spans="1:17" ht="21" customHeight="1">
      <c r="A260" s="3" t="s">
        <v>599</v>
      </c>
      <c r="B260" s="5">
        <v>45379</v>
      </c>
      <c r="C260" s="3" t="s">
        <v>396</v>
      </c>
      <c r="D260" s="3" t="s">
        <v>44</v>
      </c>
      <c r="E260" s="3" t="s">
        <v>42</v>
      </c>
      <c r="F260" s="3" t="s">
        <v>126</v>
      </c>
      <c r="G260" s="3" t="s">
        <v>127</v>
      </c>
      <c r="H260" s="3">
        <v>1</v>
      </c>
      <c r="I260" s="7">
        <v>972.38</v>
      </c>
      <c r="J260" s="9">
        <v>0.25</v>
      </c>
      <c r="K260" s="7">
        <v>729.28</v>
      </c>
      <c r="L260" s="7">
        <v>202.25</v>
      </c>
      <c r="M260" s="3" t="s">
        <v>58</v>
      </c>
      <c r="N260" s="3" t="str">
        <f t="shared" si="16"/>
        <v>2024-03</v>
      </c>
      <c r="O260" s="3" t="str">
        <f t="shared" si="17"/>
        <v>21%+</v>
      </c>
      <c r="P260" s="9">
        <f t="shared" si="18"/>
        <v>0.27732832382623956</v>
      </c>
      <c r="Q260" s="3" t="str">
        <f t="shared" si="19"/>
        <v>No</v>
      </c>
    </row>
    <row r="261" spans="1:17" ht="21" customHeight="1">
      <c r="A261" s="3" t="s">
        <v>600</v>
      </c>
      <c r="B261" s="5">
        <v>45379</v>
      </c>
      <c r="C261" s="3" t="s">
        <v>601</v>
      </c>
      <c r="D261" s="3" t="s">
        <v>46</v>
      </c>
      <c r="E261" s="3" t="s">
        <v>39</v>
      </c>
      <c r="F261" s="3" t="s">
        <v>109</v>
      </c>
      <c r="G261" s="3" t="s">
        <v>110</v>
      </c>
      <c r="H261" s="3">
        <v>1</v>
      </c>
      <c r="I261" s="7">
        <v>3026.13</v>
      </c>
      <c r="J261" s="9">
        <v>0.05</v>
      </c>
      <c r="K261" s="7">
        <v>2874.82</v>
      </c>
      <c r="L261" s="7">
        <v>1099.27</v>
      </c>
      <c r="M261" s="3" t="s">
        <v>56</v>
      </c>
      <c r="N261" s="3" t="str">
        <f t="shared" si="16"/>
        <v>2024-03</v>
      </c>
      <c r="O261" s="3" t="str">
        <f t="shared" si="17"/>
        <v>1-10%</v>
      </c>
      <c r="P261" s="9">
        <f t="shared" si="18"/>
        <v>0.38237872284177787</v>
      </c>
      <c r="Q261" s="3" t="str">
        <f t="shared" si="19"/>
        <v>No</v>
      </c>
    </row>
    <row r="262" spans="1:17" ht="21" customHeight="1">
      <c r="A262" s="3" t="s">
        <v>602</v>
      </c>
      <c r="B262" s="5">
        <v>45380</v>
      </c>
      <c r="C262" s="3" t="s">
        <v>295</v>
      </c>
      <c r="D262" s="3" t="s">
        <v>45</v>
      </c>
      <c r="E262" s="3" t="s">
        <v>41</v>
      </c>
      <c r="F262" s="3" t="s">
        <v>113</v>
      </c>
      <c r="G262" s="3" t="s">
        <v>114</v>
      </c>
      <c r="H262" s="3">
        <v>1</v>
      </c>
      <c r="I262" s="7">
        <v>12476.23</v>
      </c>
      <c r="J262" s="9">
        <v>0.15</v>
      </c>
      <c r="K262" s="7">
        <v>10604.8</v>
      </c>
      <c r="L262" s="7">
        <v>2394.44</v>
      </c>
      <c r="M262" s="3" t="s">
        <v>58</v>
      </c>
      <c r="N262" s="3" t="str">
        <f t="shared" si="16"/>
        <v>2024-03</v>
      </c>
      <c r="O262" s="3" t="str">
        <f t="shared" si="17"/>
        <v>11-15%</v>
      </c>
      <c r="P262" s="9">
        <f t="shared" si="18"/>
        <v>0.22578832226916115</v>
      </c>
      <c r="Q262" s="3" t="str">
        <f t="shared" si="19"/>
        <v>No</v>
      </c>
    </row>
    <row r="263" spans="1:17" ht="21" customHeight="1">
      <c r="A263" s="3" t="s">
        <v>603</v>
      </c>
      <c r="B263" s="5">
        <v>45380</v>
      </c>
      <c r="C263" s="3" t="s">
        <v>186</v>
      </c>
      <c r="D263" s="3" t="s">
        <v>45</v>
      </c>
      <c r="E263" s="3" t="s">
        <v>42</v>
      </c>
      <c r="F263" s="3" t="s">
        <v>90</v>
      </c>
      <c r="G263" s="3" t="s">
        <v>106</v>
      </c>
      <c r="H263" s="3">
        <v>1</v>
      </c>
      <c r="I263" s="7">
        <v>854.14</v>
      </c>
      <c r="J263" s="9">
        <v>0.05</v>
      </c>
      <c r="K263" s="7">
        <v>811.43</v>
      </c>
      <c r="L263" s="7">
        <v>378.73</v>
      </c>
      <c r="M263" s="3" t="s">
        <v>58</v>
      </c>
      <c r="N263" s="3" t="str">
        <f t="shared" si="16"/>
        <v>2024-03</v>
      </c>
      <c r="O263" s="3" t="str">
        <f t="shared" si="17"/>
        <v>1-10%</v>
      </c>
      <c r="P263" s="9">
        <f t="shared" si="18"/>
        <v>0.46674389657764692</v>
      </c>
      <c r="Q263" s="3" t="str">
        <f t="shared" si="19"/>
        <v>No</v>
      </c>
    </row>
    <row r="264" spans="1:17" ht="21" customHeight="1">
      <c r="A264" s="3" t="s">
        <v>604</v>
      </c>
      <c r="B264" s="5">
        <v>45380</v>
      </c>
      <c r="C264" s="3" t="s">
        <v>220</v>
      </c>
      <c r="D264" s="3" t="s">
        <v>45</v>
      </c>
      <c r="E264" s="3" t="s">
        <v>39</v>
      </c>
      <c r="F264" s="3" t="s">
        <v>164</v>
      </c>
      <c r="G264" s="3" t="s">
        <v>200</v>
      </c>
      <c r="H264" s="3">
        <v>1</v>
      </c>
      <c r="I264" s="7">
        <v>1344.03</v>
      </c>
      <c r="J264" s="9">
        <v>0.05</v>
      </c>
      <c r="K264" s="7">
        <v>1276.83</v>
      </c>
      <c r="L264" s="7">
        <v>431.68</v>
      </c>
      <c r="M264" s="3" t="s">
        <v>57</v>
      </c>
      <c r="N264" s="3" t="str">
        <f t="shared" si="16"/>
        <v>2024-03</v>
      </c>
      <c r="O264" s="3" t="str">
        <f t="shared" si="17"/>
        <v>1-10%</v>
      </c>
      <c r="P264" s="9">
        <f t="shared" si="18"/>
        <v>0.33808729431482659</v>
      </c>
      <c r="Q264" s="3" t="str">
        <f t="shared" si="19"/>
        <v>No</v>
      </c>
    </row>
    <row r="265" spans="1:17" ht="21" customHeight="1">
      <c r="A265" s="3" t="s">
        <v>605</v>
      </c>
      <c r="B265" s="5">
        <v>45381</v>
      </c>
      <c r="C265" s="3" t="s">
        <v>108</v>
      </c>
      <c r="D265" s="3" t="s">
        <v>47</v>
      </c>
      <c r="E265" s="3" t="s">
        <v>39</v>
      </c>
      <c r="F265" s="3" t="s">
        <v>109</v>
      </c>
      <c r="G265" s="3" t="s">
        <v>110</v>
      </c>
      <c r="H265" s="3">
        <v>1</v>
      </c>
      <c r="I265" s="7">
        <v>3005.7</v>
      </c>
      <c r="J265" s="9">
        <v>0.15</v>
      </c>
      <c r="K265" s="7">
        <v>2554.84</v>
      </c>
      <c r="L265" s="7">
        <v>530.97</v>
      </c>
      <c r="M265" s="3" t="s">
        <v>57</v>
      </c>
      <c r="N265" s="3" t="str">
        <f t="shared" si="16"/>
        <v>2024-03</v>
      </c>
      <c r="O265" s="3" t="str">
        <f t="shared" si="17"/>
        <v>11-15%</v>
      </c>
      <c r="P265" s="9">
        <f t="shared" si="18"/>
        <v>0.2078290617024941</v>
      </c>
      <c r="Q265" s="3" t="str">
        <f t="shared" si="19"/>
        <v>No</v>
      </c>
    </row>
    <row r="266" spans="1:17" ht="21" customHeight="1">
      <c r="A266" s="3" t="s">
        <v>606</v>
      </c>
      <c r="B266" s="5">
        <v>45381</v>
      </c>
      <c r="C266" s="3" t="s">
        <v>607</v>
      </c>
      <c r="D266" s="3" t="s">
        <v>44</v>
      </c>
      <c r="E266" s="3" t="s">
        <v>42</v>
      </c>
      <c r="F266" s="3" t="s">
        <v>90</v>
      </c>
      <c r="G266" s="3" t="s">
        <v>91</v>
      </c>
      <c r="H266" s="3">
        <v>1</v>
      </c>
      <c r="I266" s="7">
        <v>1190.32</v>
      </c>
      <c r="J266" s="9">
        <v>0.15</v>
      </c>
      <c r="K266" s="7">
        <v>1011.77</v>
      </c>
      <c r="L266" s="7">
        <v>372.72</v>
      </c>
      <c r="M266" s="3" t="s">
        <v>56</v>
      </c>
      <c r="N266" s="3" t="str">
        <f t="shared" si="16"/>
        <v>2024-03</v>
      </c>
      <c r="O266" s="3" t="str">
        <f t="shared" si="17"/>
        <v>11-15%</v>
      </c>
      <c r="P266" s="9">
        <f t="shared" si="18"/>
        <v>0.36838411892030803</v>
      </c>
      <c r="Q266" s="3" t="str">
        <f t="shared" si="19"/>
        <v>No</v>
      </c>
    </row>
    <row r="267" spans="1:17" ht="21" customHeight="1">
      <c r="A267" s="3" t="s">
        <v>608</v>
      </c>
      <c r="B267" s="5">
        <v>45381</v>
      </c>
      <c r="C267" s="3" t="s">
        <v>609</v>
      </c>
      <c r="D267" s="3" t="s">
        <v>47</v>
      </c>
      <c r="E267" s="3" t="s">
        <v>39</v>
      </c>
      <c r="F267" s="3" t="s">
        <v>109</v>
      </c>
      <c r="G267" s="3" t="s">
        <v>355</v>
      </c>
      <c r="H267" s="3">
        <v>1</v>
      </c>
      <c r="I267" s="7">
        <v>3592.18</v>
      </c>
      <c r="J267" s="9">
        <v>0</v>
      </c>
      <c r="K267" s="7">
        <v>3592.18</v>
      </c>
      <c r="L267" s="7">
        <v>1453.98</v>
      </c>
      <c r="M267" s="3" t="s">
        <v>58</v>
      </c>
      <c r="N267" s="3" t="str">
        <f t="shared" si="16"/>
        <v>2024-03</v>
      </c>
      <c r="O267" s="3" t="str">
        <f t="shared" si="17"/>
        <v>No discount</v>
      </c>
      <c r="P267" s="9">
        <f t="shared" si="18"/>
        <v>0.40476256757734858</v>
      </c>
      <c r="Q267" s="3" t="str">
        <f t="shared" si="19"/>
        <v>No</v>
      </c>
    </row>
    <row r="268" spans="1:17" ht="21" customHeight="1">
      <c r="A268" s="3" t="s">
        <v>610</v>
      </c>
      <c r="B268" s="5">
        <v>45381</v>
      </c>
      <c r="C268" s="3" t="s">
        <v>611</v>
      </c>
      <c r="D268" s="3" t="s">
        <v>47</v>
      </c>
      <c r="E268" s="3" t="s">
        <v>41</v>
      </c>
      <c r="F268" s="3" t="s">
        <v>113</v>
      </c>
      <c r="G268" s="3" t="s">
        <v>123</v>
      </c>
      <c r="H268" s="3">
        <v>1</v>
      </c>
      <c r="I268" s="7">
        <v>3657.41</v>
      </c>
      <c r="J268" s="9">
        <v>0.1</v>
      </c>
      <c r="K268" s="7">
        <v>3291.67</v>
      </c>
      <c r="L268" s="7">
        <v>780.04</v>
      </c>
      <c r="M268" s="3" t="s">
        <v>58</v>
      </c>
      <c r="N268" s="3" t="str">
        <f t="shared" si="16"/>
        <v>2024-03</v>
      </c>
      <c r="O268" s="3" t="str">
        <f t="shared" si="17"/>
        <v>1-10%</v>
      </c>
      <c r="P268" s="9">
        <f t="shared" si="18"/>
        <v>0.23697393724158253</v>
      </c>
      <c r="Q268" s="3" t="str">
        <f t="shared" si="19"/>
        <v>No</v>
      </c>
    </row>
    <row r="269" spans="1:17" ht="21" customHeight="1">
      <c r="A269" s="3" t="s">
        <v>612</v>
      </c>
      <c r="B269" s="5">
        <v>45381</v>
      </c>
      <c r="C269" s="3" t="s">
        <v>613</v>
      </c>
      <c r="D269" s="3" t="s">
        <v>46</v>
      </c>
      <c r="E269" s="3" t="s">
        <v>41</v>
      </c>
      <c r="F269" s="3" t="s">
        <v>119</v>
      </c>
      <c r="G269" s="3" t="s">
        <v>168</v>
      </c>
      <c r="H269" s="3">
        <v>2</v>
      </c>
      <c r="I269" s="7">
        <v>10423.57</v>
      </c>
      <c r="J269" s="9">
        <v>0.05</v>
      </c>
      <c r="K269" s="7">
        <v>19804.78</v>
      </c>
      <c r="L269" s="7">
        <v>7022.9</v>
      </c>
      <c r="M269" s="3" t="s">
        <v>56</v>
      </c>
      <c r="N269" s="3" t="str">
        <f t="shared" si="16"/>
        <v>2024-03</v>
      </c>
      <c r="O269" s="3" t="str">
        <f t="shared" si="17"/>
        <v>1-10%</v>
      </c>
      <c r="P269" s="9">
        <f t="shared" si="18"/>
        <v>0.35460631221351613</v>
      </c>
      <c r="Q269" s="3" t="str">
        <f t="shared" si="19"/>
        <v>No</v>
      </c>
    </row>
    <row r="270" spans="1:17" ht="21" customHeight="1">
      <c r="A270" s="3" t="s">
        <v>614</v>
      </c>
      <c r="B270" s="5">
        <v>45382</v>
      </c>
      <c r="C270" s="3" t="s">
        <v>262</v>
      </c>
      <c r="D270" s="3" t="s">
        <v>47</v>
      </c>
      <c r="E270" s="3" t="s">
        <v>41</v>
      </c>
      <c r="F270" s="3" t="s">
        <v>113</v>
      </c>
      <c r="G270" s="3" t="s">
        <v>123</v>
      </c>
      <c r="H270" s="3">
        <v>1</v>
      </c>
      <c r="I270" s="7">
        <v>3594.17</v>
      </c>
      <c r="J270" s="9">
        <v>0.05</v>
      </c>
      <c r="K270" s="7">
        <v>3414.46</v>
      </c>
      <c r="L270" s="7">
        <v>1229.7</v>
      </c>
      <c r="M270" s="3" t="s">
        <v>57</v>
      </c>
      <c r="N270" s="3" t="str">
        <f t="shared" si="16"/>
        <v>2024-03</v>
      </c>
      <c r="O270" s="3" t="str">
        <f t="shared" si="17"/>
        <v>1-10%</v>
      </c>
      <c r="P270" s="9">
        <f t="shared" si="18"/>
        <v>0.36014479595602233</v>
      </c>
      <c r="Q270" s="3" t="str">
        <f t="shared" si="19"/>
        <v>No</v>
      </c>
    </row>
    <row r="271" spans="1:17" ht="21" customHeight="1">
      <c r="A271" s="3" t="s">
        <v>615</v>
      </c>
      <c r="B271" s="5">
        <v>45382</v>
      </c>
      <c r="C271" s="3" t="s">
        <v>616</v>
      </c>
      <c r="D271" s="3" t="s">
        <v>46</v>
      </c>
      <c r="E271" s="3" t="s">
        <v>42</v>
      </c>
      <c r="F271" s="3" t="s">
        <v>126</v>
      </c>
      <c r="G271" s="3" t="s">
        <v>127</v>
      </c>
      <c r="H271" s="3">
        <v>1</v>
      </c>
      <c r="I271" s="7">
        <v>1027.6099999999999</v>
      </c>
      <c r="J271" s="9">
        <v>0.25</v>
      </c>
      <c r="K271" s="7">
        <v>770.71</v>
      </c>
      <c r="L271" s="7">
        <v>208.64</v>
      </c>
      <c r="M271" s="3" t="s">
        <v>56</v>
      </c>
      <c r="N271" s="3" t="str">
        <f t="shared" si="16"/>
        <v>2024-03</v>
      </c>
      <c r="O271" s="3" t="str">
        <f t="shared" si="17"/>
        <v>21%+</v>
      </c>
      <c r="P271" s="9">
        <f t="shared" si="18"/>
        <v>0.27071142193561776</v>
      </c>
      <c r="Q271" s="3" t="str">
        <f t="shared" si="19"/>
        <v>No</v>
      </c>
    </row>
    <row r="272" spans="1:17" ht="21" customHeight="1">
      <c r="A272" s="3" t="s">
        <v>617</v>
      </c>
      <c r="B272" s="5">
        <v>45384</v>
      </c>
      <c r="C272" s="3" t="s">
        <v>489</v>
      </c>
      <c r="D272" s="3" t="s">
        <v>47</v>
      </c>
      <c r="E272" s="3" t="s">
        <v>41</v>
      </c>
      <c r="F272" s="3" t="s">
        <v>113</v>
      </c>
      <c r="G272" s="3" t="s">
        <v>114</v>
      </c>
      <c r="H272" s="3">
        <v>3</v>
      </c>
      <c r="I272" s="7">
        <v>11481.15</v>
      </c>
      <c r="J272" s="9">
        <v>0</v>
      </c>
      <c r="K272" s="7">
        <v>34443.449999999997</v>
      </c>
      <c r="L272" s="7">
        <v>13449.92</v>
      </c>
      <c r="M272" s="3" t="s">
        <v>60</v>
      </c>
      <c r="N272" s="3" t="str">
        <f t="shared" si="16"/>
        <v>2024-04</v>
      </c>
      <c r="O272" s="3" t="str">
        <f t="shared" si="17"/>
        <v>No discount</v>
      </c>
      <c r="P272" s="9">
        <f t="shared" si="18"/>
        <v>0.39049282229277266</v>
      </c>
      <c r="Q272" s="3" t="str">
        <f t="shared" si="19"/>
        <v>No</v>
      </c>
    </row>
    <row r="273" spans="1:17" ht="21" customHeight="1">
      <c r="A273" s="3" t="s">
        <v>618</v>
      </c>
      <c r="B273" s="5">
        <v>45384</v>
      </c>
      <c r="C273" s="3" t="s">
        <v>454</v>
      </c>
      <c r="D273" s="3" t="s">
        <v>46</v>
      </c>
      <c r="E273" s="3" t="s">
        <v>42</v>
      </c>
      <c r="F273" s="3" t="s">
        <v>90</v>
      </c>
      <c r="G273" s="3" t="s">
        <v>91</v>
      </c>
      <c r="H273" s="3">
        <v>1</v>
      </c>
      <c r="I273" s="7">
        <v>1183.26</v>
      </c>
      <c r="J273" s="9">
        <v>0</v>
      </c>
      <c r="K273" s="7">
        <v>1183.26</v>
      </c>
      <c r="L273" s="7">
        <v>630.64</v>
      </c>
      <c r="M273" s="3" t="s">
        <v>60</v>
      </c>
      <c r="N273" s="3" t="str">
        <f t="shared" si="16"/>
        <v>2024-04</v>
      </c>
      <c r="O273" s="3" t="str">
        <f t="shared" si="17"/>
        <v>No discount</v>
      </c>
      <c r="P273" s="9">
        <f t="shared" si="18"/>
        <v>0.53296824028531342</v>
      </c>
      <c r="Q273" s="3" t="str">
        <f t="shared" si="19"/>
        <v>No</v>
      </c>
    </row>
    <row r="274" spans="1:17" ht="21" customHeight="1">
      <c r="A274" s="3" t="s">
        <v>619</v>
      </c>
      <c r="B274" s="5">
        <v>45384</v>
      </c>
      <c r="C274" s="3" t="s">
        <v>620</v>
      </c>
      <c r="D274" s="3" t="s">
        <v>45</v>
      </c>
      <c r="E274" s="3" t="s">
        <v>41</v>
      </c>
      <c r="F274" s="3" t="s">
        <v>113</v>
      </c>
      <c r="G274" s="3" t="s">
        <v>114</v>
      </c>
      <c r="H274" s="3">
        <v>1</v>
      </c>
      <c r="I274" s="7">
        <v>12323.38</v>
      </c>
      <c r="J274" s="9">
        <v>0.05</v>
      </c>
      <c r="K274" s="7">
        <v>11707.21</v>
      </c>
      <c r="L274" s="7">
        <v>3730.54</v>
      </c>
      <c r="M274" s="3" t="s">
        <v>59</v>
      </c>
      <c r="N274" s="3" t="str">
        <f t="shared" si="16"/>
        <v>2024-04</v>
      </c>
      <c r="O274" s="3" t="str">
        <f t="shared" si="17"/>
        <v>1-10%</v>
      </c>
      <c r="P274" s="9">
        <f t="shared" si="18"/>
        <v>0.31865320601578007</v>
      </c>
      <c r="Q274" s="3" t="str">
        <f t="shared" si="19"/>
        <v>No</v>
      </c>
    </row>
    <row r="275" spans="1:17" ht="21" customHeight="1">
      <c r="A275" s="3" t="s">
        <v>621</v>
      </c>
      <c r="B275" s="5">
        <v>45384</v>
      </c>
      <c r="C275" s="3" t="s">
        <v>516</v>
      </c>
      <c r="D275" s="3" t="s">
        <v>44</v>
      </c>
      <c r="E275" s="3" t="s">
        <v>41</v>
      </c>
      <c r="F275" s="3" t="s">
        <v>119</v>
      </c>
      <c r="G275" s="3" t="s">
        <v>168</v>
      </c>
      <c r="H275" s="3">
        <v>1</v>
      </c>
      <c r="I275" s="7">
        <v>10088.59</v>
      </c>
      <c r="J275" s="9">
        <v>0.2</v>
      </c>
      <c r="K275" s="7">
        <v>8070.87</v>
      </c>
      <c r="L275" s="7">
        <v>1441.24</v>
      </c>
      <c r="M275" s="3" t="s">
        <v>57</v>
      </c>
      <c r="N275" s="3" t="str">
        <f t="shared" si="16"/>
        <v>2024-04</v>
      </c>
      <c r="O275" s="3" t="str">
        <f t="shared" si="17"/>
        <v>16-20%</v>
      </c>
      <c r="P275" s="9">
        <f t="shared" si="18"/>
        <v>0.17857306585287583</v>
      </c>
      <c r="Q275" s="3" t="str">
        <f t="shared" si="19"/>
        <v>No</v>
      </c>
    </row>
    <row r="276" spans="1:17" ht="21" customHeight="1">
      <c r="A276" s="3" t="s">
        <v>622</v>
      </c>
      <c r="B276" s="5">
        <v>45384</v>
      </c>
      <c r="C276" s="3" t="s">
        <v>623</v>
      </c>
      <c r="D276" s="3" t="s">
        <v>45</v>
      </c>
      <c r="E276" s="3" t="s">
        <v>38</v>
      </c>
      <c r="F276" s="3" t="s">
        <v>98</v>
      </c>
      <c r="G276" s="3" t="s">
        <v>182</v>
      </c>
      <c r="H276" s="3">
        <v>4</v>
      </c>
      <c r="I276" s="7">
        <v>67446.179999999993</v>
      </c>
      <c r="J276" s="9">
        <v>0.1</v>
      </c>
      <c r="K276" s="7">
        <v>242806.25</v>
      </c>
      <c r="L276" s="7">
        <v>14103.34</v>
      </c>
      <c r="M276" s="3" t="s">
        <v>56</v>
      </c>
      <c r="N276" s="3" t="str">
        <f t="shared" si="16"/>
        <v>2024-04</v>
      </c>
      <c r="O276" s="3" t="str">
        <f t="shared" si="17"/>
        <v>1-10%</v>
      </c>
      <c r="P276" s="9">
        <f t="shared" si="18"/>
        <v>5.8084748642178691E-2</v>
      </c>
      <c r="Q276" s="3" t="str">
        <f t="shared" si="19"/>
        <v>No</v>
      </c>
    </row>
    <row r="277" spans="1:17" ht="21" customHeight="1">
      <c r="A277" s="3" t="s">
        <v>624</v>
      </c>
      <c r="B277" s="5">
        <v>45384</v>
      </c>
      <c r="C277" s="3" t="s">
        <v>381</v>
      </c>
      <c r="D277" s="3" t="s">
        <v>44</v>
      </c>
      <c r="E277" s="3" t="s">
        <v>42</v>
      </c>
      <c r="F277" s="3" t="s">
        <v>90</v>
      </c>
      <c r="G277" s="3" t="s">
        <v>106</v>
      </c>
      <c r="H277" s="3">
        <v>5</v>
      </c>
      <c r="I277" s="7">
        <v>855.84</v>
      </c>
      <c r="J277" s="9">
        <v>0.05</v>
      </c>
      <c r="K277" s="7">
        <v>4065.24</v>
      </c>
      <c r="L277" s="7">
        <v>2119.0700000000002</v>
      </c>
      <c r="M277" s="3" t="s">
        <v>57</v>
      </c>
      <c r="N277" s="3" t="str">
        <f t="shared" si="16"/>
        <v>2024-04</v>
      </c>
      <c r="O277" s="3" t="str">
        <f t="shared" si="17"/>
        <v>1-10%</v>
      </c>
      <c r="P277" s="9">
        <f t="shared" si="18"/>
        <v>0.52126565713217432</v>
      </c>
      <c r="Q277" s="3" t="str">
        <f t="shared" si="19"/>
        <v>No</v>
      </c>
    </row>
    <row r="278" spans="1:17" ht="21" customHeight="1">
      <c r="A278" s="3" t="s">
        <v>625</v>
      </c>
      <c r="B278" s="5">
        <v>45384</v>
      </c>
      <c r="C278" s="3" t="s">
        <v>626</v>
      </c>
      <c r="D278" s="3" t="s">
        <v>44</v>
      </c>
      <c r="E278" s="3" t="s">
        <v>39</v>
      </c>
      <c r="F278" s="3" t="s">
        <v>130</v>
      </c>
      <c r="G278" s="3" t="s">
        <v>193</v>
      </c>
      <c r="H278" s="3">
        <v>1</v>
      </c>
      <c r="I278" s="7">
        <v>1842.15</v>
      </c>
      <c r="J278" s="9">
        <v>0.1</v>
      </c>
      <c r="K278" s="7">
        <v>1657.94</v>
      </c>
      <c r="L278" s="7">
        <v>550.27</v>
      </c>
      <c r="M278" s="3" t="s">
        <v>58</v>
      </c>
      <c r="N278" s="3" t="str">
        <f t="shared" si="16"/>
        <v>2024-04</v>
      </c>
      <c r="O278" s="3" t="str">
        <f t="shared" si="17"/>
        <v>1-10%</v>
      </c>
      <c r="P278" s="9">
        <f t="shared" si="18"/>
        <v>0.3318998274967731</v>
      </c>
      <c r="Q278" s="3" t="str">
        <f t="shared" si="19"/>
        <v>No</v>
      </c>
    </row>
    <row r="279" spans="1:17" ht="21" customHeight="1">
      <c r="A279" s="3" t="s">
        <v>627</v>
      </c>
      <c r="B279" s="5">
        <v>45384</v>
      </c>
      <c r="C279" s="3" t="s">
        <v>628</v>
      </c>
      <c r="D279" s="3" t="s">
        <v>45</v>
      </c>
      <c r="E279" s="3" t="s">
        <v>40</v>
      </c>
      <c r="F279" s="3" t="s">
        <v>102</v>
      </c>
      <c r="G279" s="3" t="s">
        <v>103</v>
      </c>
      <c r="H279" s="3">
        <v>1</v>
      </c>
      <c r="I279" s="7">
        <v>6303.41</v>
      </c>
      <c r="J279" s="9">
        <v>0.05</v>
      </c>
      <c r="K279" s="7">
        <v>5988.24</v>
      </c>
      <c r="L279" s="7">
        <v>1394.36</v>
      </c>
      <c r="M279" s="3" t="s">
        <v>57</v>
      </c>
      <c r="N279" s="3" t="str">
        <f t="shared" si="16"/>
        <v>2024-04</v>
      </c>
      <c r="O279" s="3" t="str">
        <f t="shared" si="17"/>
        <v>1-10%</v>
      </c>
      <c r="P279" s="9">
        <f t="shared" si="18"/>
        <v>0.23284971878214633</v>
      </c>
      <c r="Q279" s="3" t="str">
        <f t="shared" si="19"/>
        <v>No</v>
      </c>
    </row>
    <row r="280" spans="1:17" ht="21" customHeight="1">
      <c r="A280" s="3" t="s">
        <v>629</v>
      </c>
      <c r="B280" s="5">
        <v>45384</v>
      </c>
      <c r="C280" s="3" t="s">
        <v>307</v>
      </c>
      <c r="D280" s="3" t="s">
        <v>44</v>
      </c>
      <c r="E280" s="3" t="s">
        <v>38</v>
      </c>
      <c r="F280" s="3" t="s">
        <v>98</v>
      </c>
      <c r="G280" s="3" t="s">
        <v>182</v>
      </c>
      <c r="H280" s="3">
        <v>5</v>
      </c>
      <c r="I280" s="7">
        <v>71519.570000000007</v>
      </c>
      <c r="J280" s="9">
        <v>0</v>
      </c>
      <c r="K280" s="7">
        <v>357597.85</v>
      </c>
      <c r="L280" s="7">
        <v>57243.54</v>
      </c>
      <c r="M280" s="3" t="s">
        <v>59</v>
      </c>
      <c r="N280" s="3" t="str">
        <f t="shared" si="16"/>
        <v>2024-04</v>
      </c>
      <c r="O280" s="3" t="str">
        <f t="shared" si="17"/>
        <v>No discount</v>
      </c>
      <c r="P280" s="9">
        <f t="shared" si="18"/>
        <v>0.1600779758603135</v>
      </c>
      <c r="Q280" s="3" t="str">
        <f t="shared" si="19"/>
        <v>No</v>
      </c>
    </row>
    <row r="281" spans="1:17" ht="21" customHeight="1">
      <c r="A281" s="3" t="s">
        <v>630</v>
      </c>
      <c r="B281" s="5">
        <v>45384</v>
      </c>
      <c r="C281" s="3" t="s">
        <v>631</v>
      </c>
      <c r="D281" s="3" t="s">
        <v>44</v>
      </c>
      <c r="E281" s="3" t="s">
        <v>38</v>
      </c>
      <c r="F281" s="3" t="s">
        <v>94</v>
      </c>
      <c r="G281" s="3" t="s">
        <v>213</v>
      </c>
      <c r="H281" s="3">
        <v>1</v>
      </c>
      <c r="I281" s="7">
        <v>53786.46</v>
      </c>
      <c r="J281" s="9">
        <v>0</v>
      </c>
      <c r="K281" s="7">
        <v>53786.46</v>
      </c>
      <c r="L281" s="7">
        <v>11452.85</v>
      </c>
      <c r="M281" s="3" t="s">
        <v>57</v>
      </c>
      <c r="N281" s="3" t="str">
        <f t="shared" si="16"/>
        <v>2024-04</v>
      </c>
      <c r="O281" s="3" t="str">
        <f t="shared" si="17"/>
        <v>No discount</v>
      </c>
      <c r="P281" s="9">
        <f t="shared" si="18"/>
        <v>0.21293184195427622</v>
      </c>
      <c r="Q281" s="3" t="str">
        <f t="shared" si="19"/>
        <v>No</v>
      </c>
    </row>
    <row r="282" spans="1:17" ht="21" customHeight="1">
      <c r="A282" s="3" t="s">
        <v>632</v>
      </c>
      <c r="B282" s="5">
        <v>45385</v>
      </c>
      <c r="C282" s="3" t="s">
        <v>312</v>
      </c>
      <c r="D282" s="3" t="s">
        <v>44</v>
      </c>
      <c r="E282" s="3" t="s">
        <v>40</v>
      </c>
      <c r="F282" s="3" t="s">
        <v>160</v>
      </c>
      <c r="G282" s="3" t="s">
        <v>161</v>
      </c>
      <c r="H282" s="3">
        <v>2</v>
      </c>
      <c r="I282" s="7">
        <v>12793.9</v>
      </c>
      <c r="J282" s="9">
        <v>0.25</v>
      </c>
      <c r="K282" s="7">
        <v>19190.849999999999</v>
      </c>
      <c r="L282" s="7">
        <v>705.48</v>
      </c>
      <c r="M282" s="3" t="s">
        <v>60</v>
      </c>
      <c r="N282" s="3" t="str">
        <f t="shared" si="16"/>
        <v>2024-04</v>
      </c>
      <c r="O282" s="3" t="str">
        <f t="shared" si="17"/>
        <v>21%+</v>
      </c>
      <c r="P282" s="9">
        <f t="shared" si="18"/>
        <v>3.6761269042277965E-2</v>
      </c>
      <c r="Q282" s="3" t="str">
        <f t="shared" si="19"/>
        <v>No</v>
      </c>
    </row>
    <row r="283" spans="1:17" ht="21" customHeight="1">
      <c r="A283" s="3" t="s">
        <v>633</v>
      </c>
      <c r="B283" s="5">
        <v>45385</v>
      </c>
      <c r="C283" s="3" t="s">
        <v>509</v>
      </c>
      <c r="D283" s="3" t="s">
        <v>44</v>
      </c>
      <c r="E283" s="3" t="s">
        <v>40</v>
      </c>
      <c r="F283" s="3" t="s">
        <v>102</v>
      </c>
      <c r="G283" s="3" t="s">
        <v>103</v>
      </c>
      <c r="H283" s="3">
        <v>1</v>
      </c>
      <c r="I283" s="7">
        <v>6242.79</v>
      </c>
      <c r="J283" s="9">
        <v>0</v>
      </c>
      <c r="K283" s="7">
        <v>6242.79</v>
      </c>
      <c r="L283" s="7">
        <v>2097.56</v>
      </c>
      <c r="M283" s="3" t="s">
        <v>60</v>
      </c>
      <c r="N283" s="3" t="str">
        <f t="shared" si="16"/>
        <v>2024-04</v>
      </c>
      <c r="O283" s="3" t="str">
        <f t="shared" si="17"/>
        <v>No discount</v>
      </c>
      <c r="P283" s="9">
        <f t="shared" si="18"/>
        <v>0.33599720637727681</v>
      </c>
      <c r="Q283" s="3" t="str">
        <f t="shared" si="19"/>
        <v>No</v>
      </c>
    </row>
    <row r="284" spans="1:17" ht="21" customHeight="1">
      <c r="A284" s="3" t="s">
        <v>634</v>
      </c>
      <c r="B284" s="5">
        <v>45385</v>
      </c>
      <c r="C284" s="3" t="s">
        <v>361</v>
      </c>
      <c r="D284" s="3" t="s">
        <v>44</v>
      </c>
      <c r="E284" s="3" t="s">
        <v>42</v>
      </c>
      <c r="F284" s="3" t="s">
        <v>126</v>
      </c>
      <c r="G284" s="3" t="s">
        <v>127</v>
      </c>
      <c r="H284" s="3">
        <v>2</v>
      </c>
      <c r="I284" s="7">
        <v>1035.46</v>
      </c>
      <c r="J284" s="9">
        <v>0.3</v>
      </c>
      <c r="K284" s="7">
        <v>1449.64</v>
      </c>
      <c r="L284" s="7">
        <v>296.44</v>
      </c>
      <c r="M284" s="3" t="s">
        <v>56</v>
      </c>
      <c r="N284" s="3" t="str">
        <f t="shared" si="16"/>
        <v>2024-04</v>
      </c>
      <c r="O284" s="3" t="str">
        <f t="shared" si="17"/>
        <v>21%+</v>
      </c>
      <c r="P284" s="9">
        <f t="shared" si="18"/>
        <v>0.20449214977511657</v>
      </c>
      <c r="Q284" s="3" t="str">
        <f t="shared" si="19"/>
        <v>No</v>
      </c>
    </row>
    <row r="285" spans="1:17" ht="21" customHeight="1">
      <c r="A285" s="3" t="s">
        <v>635</v>
      </c>
      <c r="B285" s="5">
        <v>45386</v>
      </c>
      <c r="C285" s="3" t="s">
        <v>636</v>
      </c>
      <c r="D285" s="3" t="s">
        <v>44</v>
      </c>
      <c r="E285" s="3" t="s">
        <v>39</v>
      </c>
      <c r="F285" s="3" t="s">
        <v>109</v>
      </c>
      <c r="G285" s="3" t="s">
        <v>110</v>
      </c>
      <c r="H285" s="3">
        <v>3</v>
      </c>
      <c r="I285" s="7">
        <v>2958.39</v>
      </c>
      <c r="J285" s="9">
        <v>0.3</v>
      </c>
      <c r="K285" s="7">
        <v>6212.62</v>
      </c>
      <c r="L285" s="7">
        <v>595.52</v>
      </c>
      <c r="M285" s="3" t="s">
        <v>59</v>
      </c>
      <c r="N285" s="3" t="str">
        <f t="shared" si="16"/>
        <v>2024-04</v>
      </c>
      <c r="O285" s="3" t="str">
        <f t="shared" si="17"/>
        <v>21%+</v>
      </c>
      <c r="P285" s="9">
        <f t="shared" si="18"/>
        <v>9.5856498546506949E-2</v>
      </c>
      <c r="Q285" s="3" t="str">
        <f t="shared" si="19"/>
        <v>No</v>
      </c>
    </row>
    <row r="286" spans="1:17" ht="21" customHeight="1">
      <c r="A286" s="3" t="s">
        <v>637</v>
      </c>
      <c r="B286" s="5">
        <v>45386</v>
      </c>
      <c r="C286" s="3" t="s">
        <v>638</v>
      </c>
      <c r="D286" s="3" t="s">
        <v>47</v>
      </c>
      <c r="E286" s="3" t="s">
        <v>42</v>
      </c>
      <c r="F286" s="3" t="s">
        <v>90</v>
      </c>
      <c r="G286" s="3" t="s">
        <v>106</v>
      </c>
      <c r="H286" s="3">
        <v>2</v>
      </c>
      <c r="I286" s="7">
        <v>863.57</v>
      </c>
      <c r="J286" s="9">
        <v>0.15</v>
      </c>
      <c r="K286" s="7">
        <v>1468.07</v>
      </c>
      <c r="L286" s="7">
        <v>511.18</v>
      </c>
      <c r="M286" s="3" t="s">
        <v>56</v>
      </c>
      <c r="N286" s="3" t="str">
        <f t="shared" si="16"/>
        <v>2024-04</v>
      </c>
      <c r="O286" s="3" t="str">
        <f t="shared" si="17"/>
        <v>11-15%</v>
      </c>
      <c r="P286" s="9">
        <f t="shared" si="18"/>
        <v>0.34819865537746841</v>
      </c>
      <c r="Q286" s="3" t="str">
        <f t="shared" si="19"/>
        <v>No</v>
      </c>
    </row>
    <row r="287" spans="1:17" ht="21" customHeight="1">
      <c r="A287" s="3" t="s">
        <v>639</v>
      </c>
      <c r="B287" s="5">
        <v>45386</v>
      </c>
      <c r="C287" s="3" t="s">
        <v>609</v>
      </c>
      <c r="D287" s="3" t="s">
        <v>44</v>
      </c>
      <c r="E287" s="3" t="s">
        <v>42</v>
      </c>
      <c r="F287" s="3" t="s">
        <v>90</v>
      </c>
      <c r="G287" s="3" t="s">
        <v>91</v>
      </c>
      <c r="H287" s="3">
        <v>1</v>
      </c>
      <c r="I287" s="7">
        <v>1145.31</v>
      </c>
      <c r="J287" s="9">
        <v>0.05</v>
      </c>
      <c r="K287" s="7">
        <v>1088.04</v>
      </c>
      <c r="L287" s="7">
        <v>566.47</v>
      </c>
      <c r="M287" s="3" t="s">
        <v>56</v>
      </c>
      <c r="N287" s="3" t="str">
        <f t="shared" si="16"/>
        <v>2024-04</v>
      </c>
      <c r="O287" s="3" t="str">
        <f t="shared" si="17"/>
        <v>1-10%</v>
      </c>
      <c r="P287" s="9">
        <f t="shared" si="18"/>
        <v>0.52063343259438999</v>
      </c>
      <c r="Q287" s="3" t="str">
        <f t="shared" si="19"/>
        <v>No</v>
      </c>
    </row>
    <row r="288" spans="1:17" ht="21" customHeight="1">
      <c r="A288" s="3" t="s">
        <v>640</v>
      </c>
      <c r="B288" s="5">
        <v>45387</v>
      </c>
      <c r="C288" s="3" t="s">
        <v>347</v>
      </c>
      <c r="D288" s="3" t="s">
        <v>45</v>
      </c>
      <c r="E288" s="3" t="s">
        <v>39</v>
      </c>
      <c r="F288" s="3" t="s">
        <v>109</v>
      </c>
      <c r="G288" s="3" t="s">
        <v>355</v>
      </c>
      <c r="H288" s="3">
        <v>1</v>
      </c>
      <c r="I288" s="7">
        <v>3418.07</v>
      </c>
      <c r="J288" s="9">
        <v>0.1</v>
      </c>
      <c r="K288" s="7">
        <v>3076.26</v>
      </c>
      <c r="L288" s="7">
        <v>917.15</v>
      </c>
      <c r="M288" s="3" t="s">
        <v>57</v>
      </c>
      <c r="N288" s="3" t="str">
        <f t="shared" si="16"/>
        <v>2024-04</v>
      </c>
      <c r="O288" s="3" t="str">
        <f t="shared" si="17"/>
        <v>1-10%</v>
      </c>
      <c r="P288" s="9">
        <f t="shared" si="18"/>
        <v>0.29813799873872815</v>
      </c>
      <c r="Q288" s="3" t="str">
        <f t="shared" si="19"/>
        <v>No</v>
      </c>
    </row>
    <row r="289" spans="1:17" ht="21" customHeight="1">
      <c r="A289" s="3" t="s">
        <v>641</v>
      </c>
      <c r="B289" s="5">
        <v>45387</v>
      </c>
      <c r="C289" s="3" t="s">
        <v>642</v>
      </c>
      <c r="D289" s="3" t="s">
        <v>46</v>
      </c>
      <c r="E289" s="3" t="s">
        <v>41</v>
      </c>
      <c r="F289" s="3" t="s">
        <v>119</v>
      </c>
      <c r="G289" s="3" t="s">
        <v>120</v>
      </c>
      <c r="H289" s="3">
        <v>3</v>
      </c>
      <c r="I289" s="7">
        <v>1235.31</v>
      </c>
      <c r="J289" s="9">
        <v>0.2</v>
      </c>
      <c r="K289" s="7">
        <v>2964.74</v>
      </c>
      <c r="L289" s="7">
        <v>358.95</v>
      </c>
      <c r="M289" s="3" t="s">
        <v>56</v>
      </c>
      <c r="N289" s="3" t="str">
        <f t="shared" si="16"/>
        <v>2024-04</v>
      </c>
      <c r="O289" s="3" t="str">
        <f t="shared" si="17"/>
        <v>16-20%</v>
      </c>
      <c r="P289" s="9">
        <f t="shared" si="18"/>
        <v>0.12107301146137604</v>
      </c>
      <c r="Q289" s="3" t="str">
        <f t="shared" si="19"/>
        <v>No</v>
      </c>
    </row>
    <row r="290" spans="1:17" ht="21" customHeight="1">
      <c r="A290" s="3" t="s">
        <v>643</v>
      </c>
      <c r="B290" s="5">
        <v>45387</v>
      </c>
      <c r="C290" s="3" t="s">
        <v>210</v>
      </c>
      <c r="D290" s="3" t="s">
        <v>45</v>
      </c>
      <c r="E290" s="3" t="s">
        <v>40</v>
      </c>
      <c r="F290" s="3" t="s">
        <v>102</v>
      </c>
      <c r="G290" s="3" t="s">
        <v>146</v>
      </c>
      <c r="H290" s="3">
        <v>1</v>
      </c>
      <c r="I290" s="7">
        <v>7980.15</v>
      </c>
      <c r="J290" s="9">
        <v>0.2</v>
      </c>
      <c r="K290" s="7">
        <v>6384.12</v>
      </c>
      <c r="L290" s="7">
        <v>670.62</v>
      </c>
      <c r="M290" s="3" t="s">
        <v>58</v>
      </c>
      <c r="N290" s="3" t="str">
        <f t="shared" si="16"/>
        <v>2024-04</v>
      </c>
      <c r="O290" s="3" t="str">
        <f t="shared" si="17"/>
        <v>16-20%</v>
      </c>
      <c r="P290" s="9">
        <f t="shared" si="18"/>
        <v>0.1050450179507904</v>
      </c>
      <c r="Q290" s="3" t="str">
        <f t="shared" si="19"/>
        <v>No</v>
      </c>
    </row>
    <row r="291" spans="1:17" ht="21" customHeight="1">
      <c r="A291" s="3" t="s">
        <v>644</v>
      </c>
      <c r="B291" s="5">
        <v>45387</v>
      </c>
      <c r="C291" s="3" t="s">
        <v>645</v>
      </c>
      <c r="D291" s="3" t="s">
        <v>47</v>
      </c>
      <c r="E291" s="3" t="s">
        <v>41</v>
      </c>
      <c r="F291" s="3" t="s">
        <v>119</v>
      </c>
      <c r="G291" s="3" t="s">
        <v>168</v>
      </c>
      <c r="H291" s="3">
        <v>2</v>
      </c>
      <c r="I291" s="7">
        <v>9804.68</v>
      </c>
      <c r="J291" s="9">
        <v>0</v>
      </c>
      <c r="K291" s="7">
        <v>19609.36</v>
      </c>
      <c r="L291" s="7">
        <v>7876.03</v>
      </c>
      <c r="M291" s="3" t="s">
        <v>57</v>
      </c>
      <c r="N291" s="3" t="str">
        <f t="shared" si="16"/>
        <v>2024-04</v>
      </c>
      <c r="O291" s="3" t="str">
        <f t="shared" si="17"/>
        <v>No discount</v>
      </c>
      <c r="P291" s="9">
        <f t="shared" si="18"/>
        <v>0.40164645862996035</v>
      </c>
      <c r="Q291" s="3" t="str">
        <f t="shared" si="19"/>
        <v>No</v>
      </c>
    </row>
    <row r="292" spans="1:17" ht="21" customHeight="1">
      <c r="A292" s="3" t="s">
        <v>646</v>
      </c>
      <c r="B292" s="5">
        <v>45387</v>
      </c>
      <c r="C292" s="3" t="s">
        <v>647</v>
      </c>
      <c r="D292" s="3" t="s">
        <v>45</v>
      </c>
      <c r="E292" s="3" t="s">
        <v>42</v>
      </c>
      <c r="F292" s="3" t="s">
        <v>90</v>
      </c>
      <c r="G292" s="3" t="s">
        <v>91</v>
      </c>
      <c r="H292" s="3">
        <v>1</v>
      </c>
      <c r="I292" s="7">
        <v>1170.74</v>
      </c>
      <c r="J292" s="9">
        <v>0</v>
      </c>
      <c r="K292" s="7">
        <v>1170.74</v>
      </c>
      <c r="L292" s="7">
        <v>658.52</v>
      </c>
      <c r="M292" s="3" t="s">
        <v>56</v>
      </c>
      <c r="N292" s="3" t="str">
        <f t="shared" si="16"/>
        <v>2024-04</v>
      </c>
      <c r="O292" s="3" t="str">
        <f t="shared" si="17"/>
        <v>No discount</v>
      </c>
      <c r="P292" s="9">
        <f t="shared" si="18"/>
        <v>0.56248184908690224</v>
      </c>
      <c r="Q292" s="3" t="str">
        <f t="shared" si="19"/>
        <v>No</v>
      </c>
    </row>
    <row r="293" spans="1:17" ht="21" customHeight="1">
      <c r="A293" s="3" t="s">
        <v>648</v>
      </c>
      <c r="B293" s="5">
        <v>45387</v>
      </c>
      <c r="C293" s="3" t="s">
        <v>649</v>
      </c>
      <c r="D293" s="3" t="s">
        <v>44</v>
      </c>
      <c r="E293" s="3" t="s">
        <v>40</v>
      </c>
      <c r="F293" s="3" t="s">
        <v>160</v>
      </c>
      <c r="G293" s="3" t="s">
        <v>173</v>
      </c>
      <c r="H293" s="3">
        <v>2</v>
      </c>
      <c r="I293" s="7">
        <v>9318.6299999999992</v>
      </c>
      <c r="J293" s="9">
        <v>0.15</v>
      </c>
      <c r="K293" s="7">
        <v>15841.67</v>
      </c>
      <c r="L293" s="7">
        <v>2588.66</v>
      </c>
      <c r="M293" s="3" t="s">
        <v>56</v>
      </c>
      <c r="N293" s="3" t="str">
        <f t="shared" si="16"/>
        <v>2024-04</v>
      </c>
      <c r="O293" s="3" t="str">
        <f t="shared" si="17"/>
        <v>11-15%</v>
      </c>
      <c r="P293" s="9">
        <f t="shared" si="18"/>
        <v>0.16340827703139882</v>
      </c>
      <c r="Q293" s="3" t="str">
        <f t="shared" si="19"/>
        <v>No</v>
      </c>
    </row>
    <row r="294" spans="1:17" ht="21" customHeight="1">
      <c r="A294" s="3" t="s">
        <v>650</v>
      </c>
      <c r="B294" s="5">
        <v>45388</v>
      </c>
      <c r="C294" s="3" t="s">
        <v>197</v>
      </c>
      <c r="D294" s="3" t="s">
        <v>44</v>
      </c>
      <c r="E294" s="3" t="s">
        <v>40</v>
      </c>
      <c r="F294" s="3" t="s">
        <v>160</v>
      </c>
      <c r="G294" s="3" t="s">
        <v>173</v>
      </c>
      <c r="H294" s="3">
        <v>1</v>
      </c>
      <c r="I294" s="7">
        <v>8617.92</v>
      </c>
      <c r="J294" s="9">
        <v>0</v>
      </c>
      <c r="K294" s="7">
        <v>8617.92</v>
      </c>
      <c r="L294" s="7">
        <v>2530.29</v>
      </c>
      <c r="M294" s="3" t="s">
        <v>57</v>
      </c>
      <c r="N294" s="3" t="str">
        <f t="shared" si="16"/>
        <v>2024-04</v>
      </c>
      <c r="O294" s="3" t="str">
        <f t="shared" si="17"/>
        <v>No discount</v>
      </c>
      <c r="P294" s="9">
        <f t="shared" si="18"/>
        <v>0.29360797036872005</v>
      </c>
      <c r="Q294" s="3" t="str">
        <f t="shared" si="19"/>
        <v>No</v>
      </c>
    </row>
    <row r="295" spans="1:17" ht="21" customHeight="1">
      <c r="A295" s="3" t="s">
        <v>651</v>
      </c>
      <c r="B295" s="5">
        <v>45388</v>
      </c>
      <c r="C295" s="3" t="s">
        <v>150</v>
      </c>
      <c r="D295" s="3" t="s">
        <v>44</v>
      </c>
      <c r="E295" s="3" t="s">
        <v>40</v>
      </c>
      <c r="F295" s="3" t="s">
        <v>102</v>
      </c>
      <c r="G295" s="3" t="s">
        <v>146</v>
      </c>
      <c r="H295" s="3">
        <v>2</v>
      </c>
      <c r="I295" s="7">
        <v>7628.34</v>
      </c>
      <c r="J295" s="9">
        <v>0.05</v>
      </c>
      <c r="K295" s="7">
        <v>14493.85</v>
      </c>
      <c r="L295" s="7">
        <v>4226.33</v>
      </c>
      <c r="M295" s="3" t="s">
        <v>56</v>
      </c>
      <c r="N295" s="3" t="str">
        <f t="shared" si="16"/>
        <v>2024-04</v>
      </c>
      <c r="O295" s="3" t="str">
        <f t="shared" si="17"/>
        <v>1-10%</v>
      </c>
      <c r="P295" s="9">
        <f t="shared" si="18"/>
        <v>0.2915947108601234</v>
      </c>
      <c r="Q295" s="3" t="str">
        <f t="shared" si="19"/>
        <v>No</v>
      </c>
    </row>
    <row r="296" spans="1:17" ht="21" customHeight="1">
      <c r="A296" s="3" t="s">
        <v>652</v>
      </c>
      <c r="B296" s="5">
        <v>45388</v>
      </c>
      <c r="C296" s="3" t="s">
        <v>573</v>
      </c>
      <c r="D296" s="3" t="s">
        <v>44</v>
      </c>
      <c r="E296" s="3" t="s">
        <v>38</v>
      </c>
      <c r="F296" s="3" t="s">
        <v>94</v>
      </c>
      <c r="G296" s="3" t="s">
        <v>213</v>
      </c>
      <c r="H296" s="3">
        <v>5</v>
      </c>
      <c r="I296" s="7">
        <v>52726.6</v>
      </c>
      <c r="J296" s="9">
        <v>0.15</v>
      </c>
      <c r="K296" s="7">
        <v>224088.05</v>
      </c>
      <c r="L296" s="7">
        <v>-2762.44</v>
      </c>
      <c r="M296" s="3" t="s">
        <v>56</v>
      </c>
      <c r="N296" s="3" t="str">
        <f t="shared" si="16"/>
        <v>2024-04</v>
      </c>
      <c r="O296" s="3" t="str">
        <f t="shared" si="17"/>
        <v>11-15%</v>
      </c>
      <c r="P296" s="9">
        <f t="shared" si="18"/>
        <v>-1.2327475740004878E-2</v>
      </c>
      <c r="Q296" s="3" t="str">
        <f t="shared" si="19"/>
        <v>Yes</v>
      </c>
    </row>
    <row r="297" spans="1:17" ht="21" customHeight="1">
      <c r="A297" s="3" t="s">
        <v>653</v>
      </c>
      <c r="B297" s="5">
        <v>45388</v>
      </c>
      <c r="C297" s="3" t="s">
        <v>654</v>
      </c>
      <c r="D297" s="3" t="s">
        <v>47</v>
      </c>
      <c r="E297" s="3" t="s">
        <v>41</v>
      </c>
      <c r="F297" s="3" t="s">
        <v>113</v>
      </c>
      <c r="G297" s="3" t="s">
        <v>123</v>
      </c>
      <c r="H297" s="3">
        <v>1</v>
      </c>
      <c r="I297" s="7">
        <v>3416.5</v>
      </c>
      <c r="J297" s="9">
        <v>0</v>
      </c>
      <c r="K297" s="7">
        <v>3416.5</v>
      </c>
      <c r="L297" s="7">
        <v>1264.68</v>
      </c>
      <c r="M297" s="3" t="s">
        <v>56</v>
      </c>
      <c r="N297" s="3" t="str">
        <f t="shared" si="16"/>
        <v>2024-04</v>
      </c>
      <c r="O297" s="3" t="str">
        <f t="shared" si="17"/>
        <v>No discount</v>
      </c>
      <c r="P297" s="9">
        <f t="shared" si="18"/>
        <v>0.37016830089272651</v>
      </c>
      <c r="Q297" s="3" t="str">
        <f t="shared" si="19"/>
        <v>No</v>
      </c>
    </row>
    <row r="298" spans="1:17" ht="21" customHeight="1">
      <c r="A298" s="3" t="s">
        <v>655</v>
      </c>
      <c r="B298" s="5">
        <v>45389</v>
      </c>
      <c r="C298" s="3" t="s">
        <v>381</v>
      </c>
      <c r="D298" s="3" t="s">
        <v>45</v>
      </c>
      <c r="E298" s="3" t="s">
        <v>40</v>
      </c>
      <c r="F298" s="3" t="s">
        <v>221</v>
      </c>
      <c r="G298" s="3" t="s">
        <v>279</v>
      </c>
      <c r="H298" s="3">
        <v>1</v>
      </c>
      <c r="I298" s="7">
        <v>1558.52</v>
      </c>
      <c r="J298" s="9">
        <v>0.2</v>
      </c>
      <c r="K298" s="7">
        <v>1246.82</v>
      </c>
      <c r="L298" s="7">
        <v>157.30000000000001</v>
      </c>
      <c r="M298" s="3" t="s">
        <v>56</v>
      </c>
      <c r="N298" s="3" t="str">
        <f t="shared" si="16"/>
        <v>2024-04</v>
      </c>
      <c r="O298" s="3" t="str">
        <f t="shared" si="17"/>
        <v>16-20%</v>
      </c>
      <c r="P298" s="9">
        <f t="shared" si="18"/>
        <v>0.12616095346561654</v>
      </c>
      <c r="Q298" s="3" t="str">
        <f t="shared" si="19"/>
        <v>No</v>
      </c>
    </row>
    <row r="299" spans="1:17" ht="21" customHeight="1">
      <c r="A299" s="3" t="s">
        <v>656</v>
      </c>
      <c r="B299" s="5">
        <v>45389</v>
      </c>
      <c r="C299" s="3" t="s">
        <v>657</v>
      </c>
      <c r="D299" s="3" t="s">
        <v>46</v>
      </c>
      <c r="E299" s="3" t="s">
        <v>42</v>
      </c>
      <c r="F299" s="3" t="s">
        <v>90</v>
      </c>
      <c r="G299" s="3" t="s">
        <v>106</v>
      </c>
      <c r="H299" s="3">
        <v>2</v>
      </c>
      <c r="I299" s="7">
        <v>869.59</v>
      </c>
      <c r="J299" s="9">
        <v>0.15</v>
      </c>
      <c r="K299" s="7">
        <v>1478.3</v>
      </c>
      <c r="L299" s="7">
        <v>596.58000000000004</v>
      </c>
      <c r="M299" s="3" t="s">
        <v>57</v>
      </c>
      <c r="N299" s="3" t="str">
        <f t="shared" si="16"/>
        <v>2024-04</v>
      </c>
      <c r="O299" s="3" t="str">
        <f t="shared" si="17"/>
        <v>11-15%</v>
      </c>
      <c r="P299" s="9">
        <f t="shared" si="18"/>
        <v>0.40355814110802951</v>
      </c>
      <c r="Q299" s="3" t="str">
        <f t="shared" si="19"/>
        <v>No</v>
      </c>
    </row>
    <row r="300" spans="1:17" ht="21" customHeight="1">
      <c r="A300" s="3" t="s">
        <v>658</v>
      </c>
      <c r="B300" s="5">
        <v>45389</v>
      </c>
      <c r="C300" s="3" t="s">
        <v>402</v>
      </c>
      <c r="D300" s="3" t="s">
        <v>44</v>
      </c>
      <c r="E300" s="3" t="s">
        <v>41</v>
      </c>
      <c r="F300" s="3" t="s">
        <v>119</v>
      </c>
      <c r="G300" s="3" t="s">
        <v>120</v>
      </c>
      <c r="H300" s="3">
        <v>1</v>
      </c>
      <c r="I300" s="7">
        <v>1244.6500000000001</v>
      </c>
      <c r="J300" s="9">
        <v>0.1</v>
      </c>
      <c r="K300" s="7">
        <v>1120.19</v>
      </c>
      <c r="L300" s="7">
        <v>292.52</v>
      </c>
      <c r="M300" s="3" t="s">
        <v>56</v>
      </c>
      <c r="N300" s="3" t="str">
        <f t="shared" si="16"/>
        <v>2024-04</v>
      </c>
      <c r="O300" s="3" t="str">
        <f t="shared" si="17"/>
        <v>1-10%</v>
      </c>
      <c r="P300" s="9">
        <f t="shared" si="18"/>
        <v>0.26113427186459437</v>
      </c>
      <c r="Q300" s="3" t="str">
        <f t="shared" si="19"/>
        <v>No</v>
      </c>
    </row>
    <row r="301" spans="1:17" ht="21" customHeight="1">
      <c r="A301" s="3" t="s">
        <v>659</v>
      </c>
      <c r="B301" s="5">
        <v>45389</v>
      </c>
      <c r="C301" s="3" t="s">
        <v>654</v>
      </c>
      <c r="D301" s="3" t="s">
        <v>44</v>
      </c>
      <c r="E301" s="3" t="s">
        <v>41</v>
      </c>
      <c r="F301" s="3" t="s">
        <v>119</v>
      </c>
      <c r="G301" s="3" t="s">
        <v>168</v>
      </c>
      <c r="H301" s="3">
        <v>1</v>
      </c>
      <c r="I301" s="7">
        <v>10057.34</v>
      </c>
      <c r="J301" s="9">
        <v>0.15</v>
      </c>
      <c r="K301" s="7">
        <v>8548.74</v>
      </c>
      <c r="L301" s="7">
        <v>1674.03</v>
      </c>
      <c r="M301" s="3" t="s">
        <v>56</v>
      </c>
      <c r="N301" s="3" t="str">
        <f t="shared" si="16"/>
        <v>2024-04</v>
      </c>
      <c r="O301" s="3" t="str">
        <f t="shared" si="17"/>
        <v>11-15%</v>
      </c>
      <c r="P301" s="9">
        <f t="shared" si="18"/>
        <v>0.19582184041156941</v>
      </c>
      <c r="Q301" s="3" t="str">
        <f t="shared" si="19"/>
        <v>No</v>
      </c>
    </row>
    <row r="302" spans="1:17" ht="21" customHeight="1">
      <c r="A302" s="3" t="s">
        <v>660</v>
      </c>
      <c r="B302" s="5">
        <v>45390</v>
      </c>
      <c r="C302" s="3" t="s">
        <v>381</v>
      </c>
      <c r="D302" s="3" t="s">
        <v>44</v>
      </c>
      <c r="E302" s="3" t="s">
        <v>39</v>
      </c>
      <c r="F302" s="3" t="s">
        <v>164</v>
      </c>
      <c r="G302" s="3" t="s">
        <v>165</v>
      </c>
      <c r="H302" s="3">
        <v>1</v>
      </c>
      <c r="I302" s="7">
        <v>2056.9699999999998</v>
      </c>
      <c r="J302" s="9">
        <v>0.1</v>
      </c>
      <c r="K302" s="7">
        <v>1851.27</v>
      </c>
      <c r="L302" s="7">
        <v>503.33</v>
      </c>
      <c r="M302" s="3" t="s">
        <v>60</v>
      </c>
      <c r="N302" s="3" t="str">
        <f t="shared" si="16"/>
        <v>2024-04</v>
      </c>
      <c r="O302" s="3" t="str">
        <f t="shared" si="17"/>
        <v>1-10%</v>
      </c>
      <c r="P302" s="9">
        <f t="shared" si="18"/>
        <v>0.27188362583523745</v>
      </c>
      <c r="Q302" s="3" t="str">
        <f t="shared" si="19"/>
        <v>No</v>
      </c>
    </row>
    <row r="303" spans="1:17" ht="21" customHeight="1">
      <c r="A303" s="3" t="s">
        <v>661</v>
      </c>
      <c r="B303" s="5">
        <v>45390</v>
      </c>
      <c r="C303" s="3" t="s">
        <v>322</v>
      </c>
      <c r="D303" s="3" t="s">
        <v>45</v>
      </c>
      <c r="E303" s="3" t="s">
        <v>40</v>
      </c>
      <c r="F303" s="3" t="s">
        <v>160</v>
      </c>
      <c r="G303" s="3" t="s">
        <v>173</v>
      </c>
      <c r="H303" s="3">
        <v>1</v>
      </c>
      <c r="I303" s="7">
        <v>8740.27</v>
      </c>
      <c r="J303" s="9">
        <v>0.05</v>
      </c>
      <c r="K303" s="7">
        <v>8303.26</v>
      </c>
      <c r="L303" s="7">
        <v>2244.2399999999998</v>
      </c>
      <c r="M303" s="3" t="s">
        <v>57</v>
      </c>
      <c r="N303" s="3" t="str">
        <f t="shared" si="16"/>
        <v>2024-04</v>
      </c>
      <c r="O303" s="3" t="str">
        <f t="shared" si="17"/>
        <v>1-10%</v>
      </c>
      <c r="P303" s="9">
        <f t="shared" si="18"/>
        <v>0.27028420162683087</v>
      </c>
      <c r="Q303" s="3" t="str">
        <f t="shared" si="19"/>
        <v>No</v>
      </c>
    </row>
    <row r="304" spans="1:17" ht="21" customHeight="1">
      <c r="A304" s="3" t="s">
        <v>662</v>
      </c>
      <c r="B304" s="5">
        <v>45390</v>
      </c>
      <c r="C304" s="3" t="s">
        <v>663</v>
      </c>
      <c r="D304" s="3" t="s">
        <v>47</v>
      </c>
      <c r="E304" s="3" t="s">
        <v>40</v>
      </c>
      <c r="F304" s="3" t="s">
        <v>221</v>
      </c>
      <c r="G304" s="3" t="s">
        <v>222</v>
      </c>
      <c r="H304" s="3">
        <v>4</v>
      </c>
      <c r="I304" s="7">
        <v>981.31</v>
      </c>
      <c r="J304" s="9">
        <v>0</v>
      </c>
      <c r="K304" s="7">
        <v>3925.24</v>
      </c>
      <c r="L304" s="7">
        <v>1307.8900000000001</v>
      </c>
      <c r="M304" s="3" t="s">
        <v>57</v>
      </c>
      <c r="N304" s="3" t="str">
        <f t="shared" si="16"/>
        <v>2024-04</v>
      </c>
      <c r="O304" s="3" t="str">
        <f t="shared" si="17"/>
        <v>No discount</v>
      </c>
      <c r="P304" s="9">
        <f t="shared" si="18"/>
        <v>0.33320000815236778</v>
      </c>
      <c r="Q304" s="3" t="str">
        <f t="shared" si="19"/>
        <v>No</v>
      </c>
    </row>
    <row r="305" spans="1:17" ht="21" customHeight="1">
      <c r="A305" s="3" t="s">
        <v>664</v>
      </c>
      <c r="B305" s="5">
        <v>45390</v>
      </c>
      <c r="C305" s="3" t="s">
        <v>324</v>
      </c>
      <c r="D305" s="3" t="s">
        <v>47</v>
      </c>
      <c r="E305" s="3" t="s">
        <v>40</v>
      </c>
      <c r="F305" s="3" t="s">
        <v>102</v>
      </c>
      <c r="G305" s="3" t="s">
        <v>146</v>
      </c>
      <c r="H305" s="3">
        <v>1</v>
      </c>
      <c r="I305" s="7">
        <v>7676.47</v>
      </c>
      <c r="J305" s="9">
        <v>0</v>
      </c>
      <c r="K305" s="7">
        <v>7676.47</v>
      </c>
      <c r="L305" s="7">
        <v>2738.98</v>
      </c>
      <c r="M305" s="3" t="s">
        <v>56</v>
      </c>
      <c r="N305" s="3" t="str">
        <f t="shared" si="16"/>
        <v>2024-04</v>
      </c>
      <c r="O305" s="3" t="str">
        <f t="shared" si="17"/>
        <v>No discount</v>
      </c>
      <c r="P305" s="9">
        <f t="shared" si="18"/>
        <v>0.35680201967831565</v>
      </c>
      <c r="Q305" s="3" t="str">
        <f t="shared" si="19"/>
        <v>No</v>
      </c>
    </row>
    <row r="306" spans="1:17" ht="21" customHeight="1">
      <c r="A306" s="3" t="s">
        <v>665</v>
      </c>
      <c r="B306" s="5">
        <v>45390</v>
      </c>
      <c r="C306" s="3" t="s">
        <v>666</v>
      </c>
      <c r="D306" s="3" t="s">
        <v>45</v>
      </c>
      <c r="E306" s="3" t="s">
        <v>40</v>
      </c>
      <c r="F306" s="3" t="s">
        <v>102</v>
      </c>
      <c r="G306" s="3" t="s">
        <v>103</v>
      </c>
      <c r="H306" s="3">
        <v>1</v>
      </c>
      <c r="I306" s="7">
        <v>6275.39</v>
      </c>
      <c r="J306" s="9">
        <v>0</v>
      </c>
      <c r="K306" s="7">
        <v>6275.39</v>
      </c>
      <c r="L306" s="7">
        <v>1849.94</v>
      </c>
      <c r="M306" s="3" t="s">
        <v>56</v>
      </c>
      <c r="N306" s="3" t="str">
        <f t="shared" si="16"/>
        <v>2024-04</v>
      </c>
      <c r="O306" s="3" t="str">
        <f t="shared" si="17"/>
        <v>No discount</v>
      </c>
      <c r="P306" s="9">
        <f t="shared" si="18"/>
        <v>0.29479283359281255</v>
      </c>
      <c r="Q306" s="3" t="str">
        <f t="shared" si="19"/>
        <v>No</v>
      </c>
    </row>
    <row r="307" spans="1:17" ht="21" customHeight="1">
      <c r="A307" s="3" t="s">
        <v>667</v>
      </c>
      <c r="B307" s="5">
        <v>45391</v>
      </c>
      <c r="C307" s="3" t="s">
        <v>668</v>
      </c>
      <c r="D307" s="3" t="s">
        <v>45</v>
      </c>
      <c r="E307" s="3" t="s">
        <v>38</v>
      </c>
      <c r="F307" s="3" t="s">
        <v>98</v>
      </c>
      <c r="G307" s="3" t="s">
        <v>182</v>
      </c>
      <c r="H307" s="3">
        <v>2</v>
      </c>
      <c r="I307" s="7">
        <v>67396.460000000006</v>
      </c>
      <c r="J307" s="9">
        <v>0.1</v>
      </c>
      <c r="K307" s="7">
        <v>121313.63</v>
      </c>
      <c r="L307" s="7">
        <v>9773.61</v>
      </c>
      <c r="M307" s="3" t="s">
        <v>56</v>
      </c>
      <c r="N307" s="3" t="str">
        <f t="shared" si="16"/>
        <v>2024-04</v>
      </c>
      <c r="O307" s="3" t="str">
        <f t="shared" si="17"/>
        <v>1-10%</v>
      </c>
      <c r="P307" s="9">
        <f t="shared" si="18"/>
        <v>8.0564813698180499E-2</v>
      </c>
      <c r="Q307" s="3" t="str">
        <f t="shared" si="19"/>
        <v>No</v>
      </c>
    </row>
    <row r="308" spans="1:17" ht="21" customHeight="1">
      <c r="A308" s="3" t="s">
        <v>669</v>
      </c>
      <c r="B308" s="5">
        <v>45391</v>
      </c>
      <c r="C308" s="3" t="s">
        <v>268</v>
      </c>
      <c r="D308" s="3" t="s">
        <v>45</v>
      </c>
      <c r="E308" s="3" t="s">
        <v>41</v>
      </c>
      <c r="F308" s="3" t="s">
        <v>113</v>
      </c>
      <c r="G308" s="3" t="s">
        <v>123</v>
      </c>
      <c r="H308" s="3">
        <v>4</v>
      </c>
      <c r="I308" s="7">
        <v>3658.61</v>
      </c>
      <c r="J308" s="9">
        <v>0.05</v>
      </c>
      <c r="K308" s="7">
        <v>13902.72</v>
      </c>
      <c r="L308" s="7">
        <v>4762.21</v>
      </c>
      <c r="M308" s="3" t="s">
        <v>56</v>
      </c>
      <c r="N308" s="3" t="str">
        <f t="shared" si="16"/>
        <v>2024-04</v>
      </c>
      <c r="O308" s="3" t="str">
        <f t="shared" si="17"/>
        <v>1-10%</v>
      </c>
      <c r="P308" s="9">
        <f t="shared" si="18"/>
        <v>0.34253800695115777</v>
      </c>
      <c r="Q308" s="3" t="str">
        <f t="shared" si="19"/>
        <v>No</v>
      </c>
    </row>
    <row r="309" spans="1:17" ht="21" customHeight="1">
      <c r="A309" s="3" t="s">
        <v>670</v>
      </c>
      <c r="B309" s="5">
        <v>45392</v>
      </c>
      <c r="C309" s="3" t="s">
        <v>671</v>
      </c>
      <c r="D309" s="3" t="s">
        <v>47</v>
      </c>
      <c r="E309" s="3" t="s">
        <v>39</v>
      </c>
      <c r="F309" s="3" t="s">
        <v>164</v>
      </c>
      <c r="G309" s="3" t="s">
        <v>165</v>
      </c>
      <c r="H309" s="3">
        <v>1</v>
      </c>
      <c r="I309" s="7">
        <v>1935.73</v>
      </c>
      <c r="J309" s="9">
        <v>0</v>
      </c>
      <c r="K309" s="7">
        <v>1935.73</v>
      </c>
      <c r="L309" s="7">
        <v>807.22</v>
      </c>
      <c r="M309" s="3" t="s">
        <v>56</v>
      </c>
      <c r="N309" s="3" t="str">
        <f t="shared" si="16"/>
        <v>2024-04</v>
      </c>
      <c r="O309" s="3" t="str">
        <f t="shared" si="17"/>
        <v>No discount</v>
      </c>
      <c r="P309" s="9">
        <f t="shared" si="18"/>
        <v>0.41701063681401851</v>
      </c>
      <c r="Q309" s="3" t="str">
        <f t="shared" si="19"/>
        <v>No</v>
      </c>
    </row>
    <row r="310" spans="1:17" ht="21" customHeight="1">
      <c r="A310" s="3" t="s">
        <v>672</v>
      </c>
      <c r="B310" s="5">
        <v>45392</v>
      </c>
      <c r="C310" s="3" t="s">
        <v>673</v>
      </c>
      <c r="D310" s="3" t="s">
        <v>46</v>
      </c>
      <c r="E310" s="3" t="s">
        <v>38</v>
      </c>
      <c r="F310" s="3" t="s">
        <v>142</v>
      </c>
      <c r="G310" s="3" t="s">
        <v>143</v>
      </c>
      <c r="H310" s="3">
        <v>1</v>
      </c>
      <c r="I310" s="7">
        <v>9259.57</v>
      </c>
      <c r="J310" s="9">
        <v>0.15</v>
      </c>
      <c r="K310" s="7">
        <v>7870.63</v>
      </c>
      <c r="L310" s="7">
        <v>-15.75</v>
      </c>
      <c r="M310" s="3" t="s">
        <v>58</v>
      </c>
      <c r="N310" s="3" t="str">
        <f t="shared" si="16"/>
        <v>2024-04</v>
      </c>
      <c r="O310" s="3" t="str">
        <f t="shared" si="17"/>
        <v>11-15%</v>
      </c>
      <c r="P310" s="9">
        <f t="shared" si="18"/>
        <v>-2.001110457485614E-3</v>
      </c>
      <c r="Q310" s="3" t="str">
        <f t="shared" si="19"/>
        <v>Yes</v>
      </c>
    </row>
    <row r="311" spans="1:17" ht="21" customHeight="1">
      <c r="A311" s="3" t="s">
        <v>674</v>
      </c>
      <c r="B311" s="5">
        <v>45392</v>
      </c>
      <c r="C311" s="3" t="s">
        <v>452</v>
      </c>
      <c r="D311" s="3" t="s">
        <v>45</v>
      </c>
      <c r="E311" s="3" t="s">
        <v>38</v>
      </c>
      <c r="F311" s="3" t="s">
        <v>142</v>
      </c>
      <c r="G311" s="3" t="s">
        <v>143</v>
      </c>
      <c r="H311" s="3">
        <v>4</v>
      </c>
      <c r="I311" s="7">
        <v>9375.2000000000007</v>
      </c>
      <c r="J311" s="9">
        <v>0.05</v>
      </c>
      <c r="K311" s="7">
        <v>35625.760000000002</v>
      </c>
      <c r="L311" s="7">
        <v>5385.49</v>
      </c>
      <c r="M311" s="3" t="s">
        <v>56</v>
      </c>
      <c r="N311" s="3" t="str">
        <f t="shared" si="16"/>
        <v>2024-04</v>
      </c>
      <c r="O311" s="3" t="str">
        <f t="shared" si="17"/>
        <v>1-10%</v>
      </c>
      <c r="P311" s="9">
        <f t="shared" si="18"/>
        <v>0.15116842419642415</v>
      </c>
      <c r="Q311" s="3" t="str">
        <f t="shared" si="19"/>
        <v>No</v>
      </c>
    </row>
    <row r="312" spans="1:17" ht="21" customHeight="1">
      <c r="A312" s="3" t="s">
        <v>675</v>
      </c>
      <c r="B312" s="5">
        <v>45392</v>
      </c>
      <c r="C312" s="3" t="s">
        <v>676</v>
      </c>
      <c r="D312" s="3" t="s">
        <v>47</v>
      </c>
      <c r="E312" s="3" t="s">
        <v>42</v>
      </c>
      <c r="F312" s="3" t="s">
        <v>90</v>
      </c>
      <c r="G312" s="3" t="s">
        <v>91</v>
      </c>
      <c r="H312" s="3">
        <v>1</v>
      </c>
      <c r="I312" s="7">
        <v>1178.3599999999999</v>
      </c>
      <c r="J312" s="9">
        <v>0</v>
      </c>
      <c r="K312" s="7">
        <v>1178.3599999999999</v>
      </c>
      <c r="L312" s="7">
        <v>655.86</v>
      </c>
      <c r="M312" s="3" t="s">
        <v>56</v>
      </c>
      <c r="N312" s="3" t="str">
        <f t="shared" si="16"/>
        <v>2024-04</v>
      </c>
      <c r="O312" s="3" t="str">
        <f t="shared" si="17"/>
        <v>No discount</v>
      </c>
      <c r="P312" s="9">
        <f t="shared" si="18"/>
        <v>0.55658712108353992</v>
      </c>
      <c r="Q312" s="3" t="str">
        <f t="shared" si="19"/>
        <v>No</v>
      </c>
    </row>
    <row r="313" spans="1:17" ht="21" customHeight="1">
      <c r="A313" s="3" t="s">
        <v>677</v>
      </c>
      <c r="B313" s="5">
        <v>45393</v>
      </c>
      <c r="C313" s="3" t="s">
        <v>525</v>
      </c>
      <c r="D313" s="3" t="s">
        <v>45</v>
      </c>
      <c r="E313" s="3" t="s">
        <v>41</v>
      </c>
      <c r="F313" s="3" t="s">
        <v>113</v>
      </c>
      <c r="G313" s="3" t="s">
        <v>123</v>
      </c>
      <c r="H313" s="3">
        <v>3</v>
      </c>
      <c r="I313" s="7">
        <v>3518.78</v>
      </c>
      <c r="J313" s="9">
        <v>0.05</v>
      </c>
      <c r="K313" s="7">
        <v>10028.52</v>
      </c>
      <c r="L313" s="7">
        <v>3067.82</v>
      </c>
      <c r="M313" s="3" t="s">
        <v>56</v>
      </c>
      <c r="N313" s="3" t="str">
        <f t="shared" si="16"/>
        <v>2024-04</v>
      </c>
      <c r="O313" s="3" t="str">
        <f t="shared" si="17"/>
        <v>1-10%</v>
      </c>
      <c r="P313" s="9">
        <f t="shared" si="18"/>
        <v>0.30590954597487963</v>
      </c>
      <c r="Q313" s="3" t="str">
        <f t="shared" si="19"/>
        <v>No</v>
      </c>
    </row>
    <row r="314" spans="1:17" ht="21" customHeight="1">
      <c r="A314" s="3" t="s">
        <v>678</v>
      </c>
      <c r="B314" s="5">
        <v>45393</v>
      </c>
      <c r="C314" s="3" t="s">
        <v>657</v>
      </c>
      <c r="D314" s="3" t="s">
        <v>45</v>
      </c>
      <c r="E314" s="3" t="s">
        <v>41</v>
      </c>
      <c r="F314" s="3" t="s">
        <v>119</v>
      </c>
      <c r="G314" s="3" t="s">
        <v>168</v>
      </c>
      <c r="H314" s="3">
        <v>1</v>
      </c>
      <c r="I314" s="7">
        <v>9660.6</v>
      </c>
      <c r="J314" s="9">
        <v>0</v>
      </c>
      <c r="K314" s="7">
        <v>9660.6</v>
      </c>
      <c r="L314" s="7">
        <v>3412.58</v>
      </c>
      <c r="M314" s="3" t="s">
        <v>56</v>
      </c>
      <c r="N314" s="3" t="str">
        <f t="shared" si="16"/>
        <v>2024-04</v>
      </c>
      <c r="O314" s="3" t="str">
        <f t="shared" si="17"/>
        <v>No discount</v>
      </c>
      <c r="P314" s="9">
        <f t="shared" si="18"/>
        <v>0.35324721031819967</v>
      </c>
      <c r="Q314" s="3" t="str">
        <f t="shared" si="19"/>
        <v>No</v>
      </c>
    </row>
    <row r="315" spans="1:17" ht="21" customHeight="1">
      <c r="A315" s="3" t="s">
        <v>679</v>
      </c>
      <c r="B315" s="5">
        <v>45394</v>
      </c>
      <c r="C315" s="3" t="s">
        <v>680</v>
      </c>
      <c r="D315" s="3" t="s">
        <v>47</v>
      </c>
      <c r="E315" s="3" t="s">
        <v>39</v>
      </c>
      <c r="F315" s="3" t="s">
        <v>164</v>
      </c>
      <c r="G315" s="3" t="s">
        <v>200</v>
      </c>
      <c r="H315" s="3">
        <v>2</v>
      </c>
      <c r="I315" s="7">
        <v>1339.36</v>
      </c>
      <c r="J315" s="9">
        <v>0</v>
      </c>
      <c r="K315" s="7">
        <v>2678.72</v>
      </c>
      <c r="L315" s="7">
        <v>1078.1199999999999</v>
      </c>
      <c r="M315" s="3" t="s">
        <v>57</v>
      </c>
      <c r="N315" s="3" t="str">
        <f t="shared" si="16"/>
        <v>2024-04</v>
      </c>
      <c r="O315" s="3" t="str">
        <f t="shared" si="17"/>
        <v>No discount</v>
      </c>
      <c r="P315" s="9">
        <f t="shared" si="18"/>
        <v>0.40247580934177518</v>
      </c>
      <c r="Q315" s="3" t="str">
        <f t="shared" si="19"/>
        <v>No</v>
      </c>
    </row>
    <row r="316" spans="1:17" ht="21" customHeight="1">
      <c r="A316" s="3" t="s">
        <v>681</v>
      </c>
      <c r="B316" s="5">
        <v>45394</v>
      </c>
      <c r="C316" s="3" t="s">
        <v>682</v>
      </c>
      <c r="D316" s="3" t="s">
        <v>46</v>
      </c>
      <c r="E316" s="3" t="s">
        <v>41</v>
      </c>
      <c r="F316" s="3" t="s">
        <v>119</v>
      </c>
      <c r="G316" s="3" t="s">
        <v>168</v>
      </c>
      <c r="H316" s="3">
        <v>4</v>
      </c>
      <c r="I316" s="7">
        <v>9599.27</v>
      </c>
      <c r="J316" s="9">
        <v>0.3</v>
      </c>
      <c r="K316" s="7">
        <v>26877.96</v>
      </c>
      <c r="L316" s="7">
        <v>998.31</v>
      </c>
      <c r="M316" s="3" t="s">
        <v>58</v>
      </c>
      <c r="N316" s="3" t="str">
        <f t="shared" si="16"/>
        <v>2024-04</v>
      </c>
      <c r="O316" s="3" t="str">
        <f t="shared" si="17"/>
        <v>21%+</v>
      </c>
      <c r="P316" s="9">
        <f t="shared" si="18"/>
        <v>3.7142327765946524E-2</v>
      </c>
      <c r="Q316" s="3" t="str">
        <f t="shared" si="19"/>
        <v>No</v>
      </c>
    </row>
    <row r="317" spans="1:17" ht="21" customHeight="1">
      <c r="A317" s="3" t="s">
        <v>683</v>
      </c>
      <c r="B317" s="5">
        <v>45394</v>
      </c>
      <c r="C317" s="3" t="s">
        <v>684</v>
      </c>
      <c r="D317" s="3" t="s">
        <v>47</v>
      </c>
      <c r="E317" s="3" t="s">
        <v>42</v>
      </c>
      <c r="F317" s="3" t="s">
        <v>126</v>
      </c>
      <c r="G317" s="3" t="s">
        <v>151</v>
      </c>
      <c r="H317" s="3">
        <v>1</v>
      </c>
      <c r="I317" s="7">
        <v>1492.55</v>
      </c>
      <c r="J317" s="9">
        <v>0</v>
      </c>
      <c r="K317" s="7">
        <v>1492.55</v>
      </c>
      <c r="L317" s="7">
        <v>762.07</v>
      </c>
      <c r="M317" s="3" t="s">
        <v>56</v>
      </c>
      <c r="N317" s="3" t="str">
        <f t="shared" si="16"/>
        <v>2024-04</v>
      </c>
      <c r="O317" s="3" t="str">
        <f t="shared" si="17"/>
        <v>No discount</v>
      </c>
      <c r="P317" s="9">
        <f t="shared" si="18"/>
        <v>0.51058256004823965</v>
      </c>
      <c r="Q317" s="3" t="str">
        <f t="shared" si="19"/>
        <v>No</v>
      </c>
    </row>
    <row r="318" spans="1:17" ht="21" customHeight="1">
      <c r="A318" s="3" t="s">
        <v>685</v>
      </c>
      <c r="B318" s="5">
        <v>45394</v>
      </c>
      <c r="C318" s="3" t="s">
        <v>686</v>
      </c>
      <c r="D318" s="3" t="s">
        <v>44</v>
      </c>
      <c r="E318" s="3" t="s">
        <v>38</v>
      </c>
      <c r="F318" s="3" t="s">
        <v>98</v>
      </c>
      <c r="G318" s="3" t="s">
        <v>182</v>
      </c>
      <c r="H318" s="3">
        <v>1</v>
      </c>
      <c r="I318" s="7">
        <v>71984.179999999993</v>
      </c>
      <c r="J318" s="9">
        <v>0</v>
      </c>
      <c r="K318" s="7">
        <v>71984.179999999993</v>
      </c>
      <c r="L318" s="7">
        <v>10784.02</v>
      </c>
      <c r="M318" s="3" t="s">
        <v>58</v>
      </c>
      <c r="N318" s="3" t="str">
        <f t="shared" si="16"/>
        <v>2024-04</v>
      </c>
      <c r="O318" s="3" t="str">
        <f t="shared" si="17"/>
        <v>No discount</v>
      </c>
      <c r="P318" s="9">
        <f t="shared" si="18"/>
        <v>0.14981097235531476</v>
      </c>
      <c r="Q318" s="3" t="str">
        <f t="shared" si="19"/>
        <v>No</v>
      </c>
    </row>
    <row r="319" spans="1:17" ht="21" customHeight="1">
      <c r="A319" s="3" t="s">
        <v>687</v>
      </c>
      <c r="B319" s="5">
        <v>45394</v>
      </c>
      <c r="C319" s="3" t="s">
        <v>454</v>
      </c>
      <c r="D319" s="3" t="s">
        <v>45</v>
      </c>
      <c r="E319" s="3" t="s">
        <v>38</v>
      </c>
      <c r="F319" s="3" t="s">
        <v>142</v>
      </c>
      <c r="G319" s="3" t="s">
        <v>245</v>
      </c>
      <c r="H319" s="3">
        <v>1</v>
      </c>
      <c r="I319" s="7">
        <v>5131.8</v>
      </c>
      <c r="J319" s="9">
        <v>0.05</v>
      </c>
      <c r="K319" s="7">
        <v>4875.21</v>
      </c>
      <c r="L319" s="7">
        <v>443.99</v>
      </c>
      <c r="M319" s="3" t="s">
        <v>57</v>
      </c>
      <c r="N319" s="3" t="str">
        <f t="shared" si="16"/>
        <v>2024-04</v>
      </c>
      <c r="O319" s="3" t="str">
        <f t="shared" si="17"/>
        <v>1-10%</v>
      </c>
      <c r="P319" s="9">
        <f t="shared" si="18"/>
        <v>9.1070948738618443E-2</v>
      </c>
      <c r="Q319" s="3" t="str">
        <f t="shared" si="19"/>
        <v>No</v>
      </c>
    </row>
    <row r="320" spans="1:17" ht="21" customHeight="1">
      <c r="A320" s="3" t="s">
        <v>688</v>
      </c>
      <c r="B320" s="5">
        <v>45394</v>
      </c>
      <c r="C320" s="3" t="s">
        <v>591</v>
      </c>
      <c r="D320" s="3" t="s">
        <v>45</v>
      </c>
      <c r="E320" s="3" t="s">
        <v>39</v>
      </c>
      <c r="F320" s="3" t="s">
        <v>130</v>
      </c>
      <c r="G320" s="3" t="s">
        <v>131</v>
      </c>
      <c r="H320" s="3">
        <v>2</v>
      </c>
      <c r="I320" s="7">
        <v>2217.9</v>
      </c>
      <c r="J320" s="9">
        <v>0.15</v>
      </c>
      <c r="K320" s="7">
        <v>3770.43</v>
      </c>
      <c r="L320" s="7">
        <v>836.9</v>
      </c>
      <c r="M320" s="3" t="s">
        <v>58</v>
      </c>
      <c r="N320" s="3" t="str">
        <f t="shared" si="16"/>
        <v>2024-04</v>
      </c>
      <c r="O320" s="3" t="str">
        <f t="shared" si="17"/>
        <v>11-15%</v>
      </c>
      <c r="P320" s="9">
        <f t="shared" si="18"/>
        <v>0.22196407306328456</v>
      </c>
      <c r="Q320" s="3" t="str">
        <f t="shared" si="19"/>
        <v>No</v>
      </c>
    </row>
    <row r="321" spans="1:17" ht="21" customHeight="1">
      <c r="A321" s="3" t="s">
        <v>689</v>
      </c>
      <c r="B321" s="5">
        <v>45395</v>
      </c>
      <c r="C321" s="3" t="s">
        <v>668</v>
      </c>
      <c r="D321" s="3" t="s">
        <v>44</v>
      </c>
      <c r="E321" s="3" t="s">
        <v>42</v>
      </c>
      <c r="F321" s="3" t="s">
        <v>126</v>
      </c>
      <c r="G321" s="3" t="s">
        <v>127</v>
      </c>
      <c r="H321" s="3">
        <v>2</v>
      </c>
      <c r="I321" s="7">
        <v>971.82</v>
      </c>
      <c r="J321" s="9">
        <v>0</v>
      </c>
      <c r="K321" s="7">
        <v>1943.64</v>
      </c>
      <c r="L321" s="7">
        <v>1036.25</v>
      </c>
      <c r="M321" s="3" t="s">
        <v>56</v>
      </c>
      <c r="N321" s="3" t="str">
        <f t="shared" si="16"/>
        <v>2024-04</v>
      </c>
      <c r="O321" s="3" t="str">
        <f t="shared" si="17"/>
        <v>No discount</v>
      </c>
      <c r="P321" s="9">
        <f t="shared" si="18"/>
        <v>0.53314914284538284</v>
      </c>
      <c r="Q321" s="3" t="str">
        <f t="shared" si="19"/>
        <v>No</v>
      </c>
    </row>
    <row r="322" spans="1:17" ht="21" customHeight="1">
      <c r="A322" s="3" t="s">
        <v>690</v>
      </c>
      <c r="B322" s="5">
        <v>45395</v>
      </c>
      <c r="C322" s="3" t="s">
        <v>412</v>
      </c>
      <c r="D322" s="3" t="s">
        <v>45</v>
      </c>
      <c r="E322" s="3" t="s">
        <v>40</v>
      </c>
      <c r="F322" s="3" t="s">
        <v>160</v>
      </c>
      <c r="G322" s="3" t="s">
        <v>161</v>
      </c>
      <c r="H322" s="3">
        <v>1</v>
      </c>
      <c r="I322" s="7">
        <v>13317.16</v>
      </c>
      <c r="J322" s="9">
        <v>0</v>
      </c>
      <c r="K322" s="7">
        <v>13317.16</v>
      </c>
      <c r="L322" s="7">
        <v>4087.81</v>
      </c>
      <c r="M322" s="3" t="s">
        <v>59</v>
      </c>
      <c r="N322" s="3" t="str">
        <f t="shared" ref="N322:N385" si="20">TEXT(B322,"yyyy-mm")</f>
        <v>2024-04</v>
      </c>
      <c r="O322" s="3" t="str">
        <f t="shared" ref="O322:O385" si="21">IF(J322=0,"No discount",IF(J322&lt;=0.1,"1-10%",IF(J322&lt;=0.15,"11-15%",IF(J322&lt;=0.2,"16-20%","21%+"))))</f>
        <v>No discount</v>
      </c>
      <c r="P322" s="9">
        <f t="shared" ref="P322:P385" si="22">IF(K322=0,0,L322/K322)</f>
        <v>0.30695809016336817</v>
      </c>
      <c r="Q322" s="3" t="str">
        <f t="shared" ref="Q322:Q385" si="23">IF(L322&lt;0,"Yes","No")</f>
        <v>No</v>
      </c>
    </row>
    <row r="323" spans="1:17" ht="21" customHeight="1">
      <c r="A323" s="3" t="s">
        <v>691</v>
      </c>
      <c r="B323" s="5">
        <v>45396</v>
      </c>
      <c r="C323" s="3" t="s">
        <v>525</v>
      </c>
      <c r="D323" s="3" t="s">
        <v>44</v>
      </c>
      <c r="E323" s="3" t="s">
        <v>40</v>
      </c>
      <c r="F323" s="3" t="s">
        <v>221</v>
      </c>
      <c r="G323" s="3" t="s">
        <v>222</v>
      </c>
      <c r="H323" s="3">
        <v>1</v>
      </c>
      <c r="I323" s="7">
        <v>1042.96</v>
      </c>
      <c r="J323" s="9">
        <v>0.15</v>
      </c>
      <c r="K323" s="7">
        <v>886.52</v>
      </c>
      <c r="L323" s="7">
        <v>106.72</v>
      </c>
      <c r="M323" s="3" t="s">
        <v>60</v>
      </c>
      <c r="N323" s="3" t="str">
        <f t="shared" si="20"/>
        <v>2024-04</v>
      </c>
      <c r="O323" s="3" t="str">
        <f t="shared" si="21"/>
        <v>11-15%</v>
      </c>
      <c r="P323" s="9">
        <f t="shared" si="22"/>
        <v>0.12038081487163291</v>
      </c>
      <c r="Q323" s="3" t="str">
        <f t="shared" si="23"/>
        <v>No</v>
      </c>
    </row>
    <row r="324" spans="1:17" ht="21" customHeight="1">
      <c r="A324" s="3" t="s">
        <v>692</v>
      </c>
      <c r="B324" s="5">
        <v>45396</v>
      </c>
      <c r="C324" s="3" t="s">
        <v>693</v>
      </c>
      <c r="D324" s="3" t="s">
        <v>46</v>
      </c>
      <c r="E324" s="3" t="s">
        <v>39</v>
      </c>
      <c r="F324" s="3" t="s">
        <v>164</v>
      </c>
      <c r="G324" s="3" t="s">
        <v>165</v>
      </c>
      <c r="H324" s="3">
        <v>3</v>
      </c>
      <c r="I324" s="7">
        <v>2074.6</v>
      </c>
      <c r="J324" s="9">
        <v>0.1</v>
      </c>
      <c r="K324" s="7">
        <v>5601.42</v>
      </c>
      <c r="L324" s="7">
        <v>1885.11</v>
      </c>
      <c r="M324" s="3" t="s">
        <v>58</v>
      </c>
      <c r="N324" s="3" t="str">
        <f t="shared" si="20"/>
        <v>2024-04</v>
      </c>
      <c r="O324" s="3" t="str">
        <f t="shared" si="21"/>
        <v>1-10%</v>
      </c>
      <c r="P324" s="9">
        <f t="shared" si="22"/>
        <v>0.33654144841843675</v>
      </c>
      <c r="Q324" s="3" t="str">
        <f t="shared" si="23"/>
        <v>No</v>
      </c>
    </row>
    <row r="325" spans="1:17" ht="21" customHeight="1">
      <c r="A325" s="3" t="s">
        <v>694</v>
      </c>
      <c r="B325" s="5">
        <v>45397</v>
      </c>
      <c r="C325" s="3" t="s">
        <v>695</v>
      </c>
      <c r="D325" s="3" t="s">
        <v>44</v>
      </c>
      <c r="E325" s="3" t="s">
        <v>39</v>
      </c>
      <c r="F325" s="3" t="s">
        <v>109</v>
      </c>
      <c r="G325" s="3" t="s">
        <v>355</v>
      </c>
      <c r="H325" s="3">
        <v>1</v>
      </c>
      <c r="I325" s="7">
        <v>3374.39</v>
      </c>
      <c r="J325" s="9">
        <v>0.05</v>
      </c>
      <c r="K325" s="7">
        <v>3205.67</v>
      </c>
      <c r="L325" s="7">
        <v>1230.97</v>
      </c>
      <c r="M325" s="3" t="s">
        <v>57</v>
      </c>
      <c r="N325" s="3" t="str">
        <f t="shared" si="20"/>
        <v>2024-04</v>
      </c>
      <c r="O325" s="3" t="str">
        <f t="shared" si="21"/>
        <v>1-10%</v>
      </c>
      <c r="P325" s="9">
        <f t="shared" si="22"/>
        <v>0.38399772902388579</v>
      </c>
      <c r="Q325" s="3" t="str">
        <f t="shared" si="23"/>
        <v>No</v>
      </c>
    </row>
    <row r="326" spans="1:17" ht="21" customHeight="1">
      <c r="A326" s="3" t="s">
        <v>696</v>
      </c>
      <c r="B326" s="5">
        <v>45397</v>
      </c>
      <c r="C326" s="3" t="s">
        <v>697</v>
      </c>
      <c r="D326" s="3" t="s">
        <v>46</v>
      </c>
      <c r="E326" s="3" t="s">
        <v>39</v>
      </c>
      <c r="F326" s="3" t="s">
        <v>109</v>
      </c>
      <c r="G326" s="3" t="s">
        <v>110</v>
      </c>
      <c r="H326" s="3">
        <v>4</v>
      </c>
      <c r="I326" s="7">
        <v>2981.62</v>
      </c>
      <c r="J326" s="9">
        <v>0.1</v>
      </c>
      <c r="K326" s="7">
        <v>10733.83</v>
      </c>
      <c r="L326" s="7">
        <v>2885.47</v>
      </c>
      <c r="M326" s="3" t="s">
        <v>57</v>
      </c>
      <c r="N326" s="3" t="str">
        <f t="shared" si="20"/>
        <v>2024-04</v>
      </c>
      <c r="O326" s="3" t="str">
        <f t="shared" si="21"/>
        <v>1-10%</v>
      </c>
      <c r="P326" s="9">
        <f t="shared" si="22"/>
        <v>0.26882016950147336</v>
      </c>
      <c r="Q326" s="3" t="str">
        <f t="shared" si="23"/>
        <v>No</v>
      </c>
    </row>
    <row r="327" spans="1:17" ht="21" customHeight="1">
      <c r="A327" s="3" t="s">
        <v>698</v>
      </c>
      <c r="B327" s="5">
        <v>45397</v>
      </c>
      <c r="C327" s="3" t="s">
        <v>387</v>
      </c>
      <c r="D327" s="3" t="s">
        <v>45</v>
      </c>
      <c r="E327" s="3" t="s">
        <v>38</v>
      </c>
      <c r="F327" s="3" t="s">
        <v>142</v>
      </c>
      <c r="G327" s="3" t="s">
        <v>143</v>
      </c>
      <c r="H327" s="3">
        <v>1</v>
      </c>
      <c r="I327" s="7">
        <v>8817.6200000000008</v>
      </c>
      <c r="J327" s="9">
        <v>0</v>
      </c>
      <c r="K327" s="7">
        <v>8817.6200000000008</v>
      </c>
      <c r="L327" s="7">
        <v>1928.57</v>
      </c>
      <c r="M327" s="3" t="s">
        <v>57</v>
      </c>
      <c r="N327" s="3" t="str">
        <f t="shared" si="20"/>
        <v>2024-04</v>
      </c>
      <c r="O327" s="3" t="str">
        <f t="shared" si="21"/>
        <v>No discount</v>
      </c>
      <c r="P327" s="9">
        <f t="shared" si="22"/>
        <v>0.21871774923392023</v>
      </c>
      <c r="Q327" s="3" t="str">
        <f t="shared" si="23"/>
        <v>No</v>
      </c>
    </row>
    <row r="328" spans="1:17" ht="21" customHeight="1">
      <c r="A328" s="3" t="s">
        <v>699</v>
      </c>
      <c r="B328" s="5">
        <v>45397</v>
      </c>
      <c r="C328" s="3" t="s">
        <v>700</v>
      </c>
      <c r="D328" s="3" t="s">
        <v>45</v>
      </c>
      <c r="E328" s="3" t="s">
        <v>42</v>
      </c>
      <c r="F328" s="3" t="s">
        <v>90</v>
      </c>
      <c r="G328" s="3" t="s">
        <v>106</v>
      </c>
      <c r="H328" s="3">
        <v>1</v>
      </c>
      <c r="I328" s="7">
        <v>886.13</v>
      </c>
      <c r="J328" s="9">
        <v>0.2</v>
      </c>
      <c r="K328" s="7">
        <v>708.9</v>
      </c>
      <c r="L328" s="7">
        <v>241.53</v>
      </c>
      <c r="M328" s="3" t="s">
        <v>57</v>
      </c>
      <c r="N328" s="3" t="str">
        <f t="shared" si="20"/>
        <v>2024-04</v>
      </c>
      <c r="O328" s="3" t="str">
        <f t="shared" si="21"/>
        <v>16-20%</v>
      </c>
      <c r="P328" s="9">
        <f t="shared" si="22"/>
        <v>0.34071096064325013</v>
      </c>
      <c r="Q328" s="3" t="str">
        <f t="shared" si="23"/>
        <v>No</v>
      </c>
    </row>
    <row r="329" spans="1:17" ht="21" customHeight="1">
      <c r="A329" s="3" t="s">
        <v>701</v>
      </c>
      <c r="B329" s="5">
        <v>45397</v>
      </c>
      <c r="C329" s="3" t="s">
        <v>702</v>
      </c>
      <c r="D329" s="3" t="s">
        <v>44</v>
      </c>
      <c r="E329" s="3" t="s">
        <v>41</v>
      </c>
      <c r="F329" s="3" t="s">
        <v>113</v>
      </c>
      <c r="G329" s="3" t="s">
        <v>114</v>
      </c>
      <c r="H329" s="3">
        <v>2</v>
      </c>
      <c r="I329" s="7">
        <v>11425.09</v>
      </c>
      <c r="J329" s="9">
        <v>0.2</v>
      </c>
      <c r="K329" s="7">
        <v>18280.14</v>
      </c>
      <c r="L329" s="7">
        <v>2076.0300000000002</v>
      </c>
      <c r="M329" s="3" t="s">
        <v>58</v>
      </c>
      <c r="N329" s="3" t="str">
        <f t="shared" si="20"/>
        <v>2024-04</v>
      </c>
      <c r="O329" s="3" t="str">
        <f t="shared" si="21"/>
        <v>16-20%</v>
      </c>
      <c r="P329" s="9">
        <f t="shared" si="22"/>
        <v>0.11356751097092256</v>
      </c>
      <c r="Q329" s="3" t="str">
        <f t="shared" si="23"/>
        <v>No</v>
      </c>
    </row>
    <row r="330" spans="1:17" ht="21" customHeight="1">
      <c r="A330" s="3" t="s">
        <v>703</v>
      </c>
      <c r="B330" s="5">
        <v>45397</v>
      </c>
      <c r="C330" s="3" t="s">
        <v>297</v>
      </c>
      <c r="D330" s="3" t="s">
        <v>45</v>
      </c>
      <c r="E330" s="3" t="s">
        <v>41</v>
      </c>
      <c r="F330" s="3" t="s">
        <v>113</v>
      </c>
      <c r="G330" s="3" t="s">
        <v>114</v>
      </c>
      <c r="H330" s="3">
        <v>1</v>
      </c>
      <c r="I330" s="7">
        <v>12128.83</v>
      </c>
      <c r="J330" s="9">
        <v>0.3</v>
      </c>
      <c r="K330" s="7">
        <v>8490.18</v>
      </c>
      <c r="L330" s="7">
        <v>62.67</v>
      </c>
      <c r="M330" s="3" t="s">
        <v>59</v>
      </c>
      <c r="N330" s="3" t="str">
        <f t="shared" si="20"/>
        <v>2024-04</v>
      </c>
      <c r="O330" s="3" t="str">
        <f t="shared" si="21"/>
        <v>21%+</v>
      </c>
      <c r="P330" s="9">
        <f t="shared" si="22"/>
        <v>7.3814689441213258E-3</v>
      </c>
      <c r="Q330" s="3" t="str">
        <f t="shared" si="23"/>
        <v>No</v>
      </c>
    </row>
    <row r="331" spans="1:17" ht="21" customHeight="1">
      <c r="A331" s="3" t="s">
        <v>704</v>
      </c>
      <c r="B331" s="5">
        <v>45398</v>
      </c>
      <c r="C331" s="3" t="s">
        <v>238</v>
      </c>
      <c r="D331" s="3" t="s">
        <v>44</v>
      </c>
      <c r="E331" s="3" t="s">
        <v>38</v>
      </c>
      <c r="F331" s="3" t="s">
        <v>98</v>
      </c>
      <c r="G331" s="3" t="s">
        <v>182</v>
      </c>
      <c r="H331" s="3">
        <v>1</v>
      </c>
      <c r="I331" s="7">
        <v>67974.5</v>
      </c>
      <c r="J331" s="9">
        <v>0.1</v>
      </c>
      <c r="K331" s="7">
        <v>61177.05</v>
      </c>
      <c r="L331" s="7">
        <v>4610.37</v>
      </c>
      <c r="M331" s="3" t="s">
        <v>57</v>
      </c>
      <c r="N331" s="3" t="str">
        <f t="shared" si="20"/>
        <v>2024-04</v>
      </c>
      <c r="O331" s="3" t="str">
        <f t="shared" si="21"/>
        <v>1-10%</v>
      </c>
      <c r="P331" s="9">
        <f t="shared" si="22"/>
        <v>7.536110355108655E-2</v>
      </c>
      <c r="Q331" s="3" t="str">
        <f t="shared" si="23"/>
        <v>No</v>
      </c>
    </row>
    <row r="332" spans="1:17" ht="21" customHeight="1">
      <c r="A332" s="3" t="s">
        <v>705</v>
      </c>
      <c r="B332" s="5">
        <v>45398</v>
      </c>
      <c r="C332" s="3" t="s">
        <v>593</v>
      </c>
      <c r="D332" s="3" t="s">
        <v>47</v>
      </c>
      <c r="E332" s="3" t="s">
        <v>40</v>
      </c>
      <c r="F332" s="3" t="s">
        <v>102</v>
      </c>
      <c r="G332" s="3" t="s">
        <v>146</v>
      </c>
      <c r="H332" s="3">
        <v>2</v>
      </c>
      <c r="I332" s="7">
        <v>8132.8</v>
      </c>
      <c r="J332" s="9">
        <v>0</v>
      </c>
      <c r="K332" s="7">
        <v>16265.6</v>
      </c>
      <c r="L332" s="7">
        <v>5109.43</v>
      </c>
      <c r="M332" s="3" t="s">
        <v>56</v>
      </c>
      <c r="N332" s="3" t="str">
        <f t="shared" si="20"/>
        <v>2024-04</v>
      </c>
      <c r="O332" s="3" t="str">
        <f t="shared" si="21"/>
        <v>No discount</v>
      </c>
      <c r="P332" s="9">
        <f t="shared" si="22"/>
        <v>0.31412490163289397</v>
      </c>
      <c r="Q332" s="3" t="str">
        <f t="shared" si="23"/>
        <v>No</v>
      </c>
    </row>
    <row r="333" spans="1:17" ht="21" customHeight="1">
      <c r="A333" s="3" t="s">
        <v>706</v>
      </c>
      <c r="B333" s="5">
        <v>45398</v>
      </c>
      <c r="C333" s="3" t="s">
        <v>707</v>
      </c>
      <c r="D333" s="3" t="s">
        <v>44</v>
      </c>
      <c r="E333" s="3" t="s">
        <v>42</v>
      </c>
      <c r="F333" s="3" t="s">
        <v>126</v>
      </c>
      <c r="G333" s="3" t="s">
        <v>127</v>
      </c>
      <c r="H333" s="3">
        <v>4</v>
      </c>
      <c r="I333" s="7">
        <v>986.32</v>
      </c>
      <c r="J333" s="9">
        <v>0.05</v>
      </c>
      <c r="K333" s="7">
        <v>3748.02</v>
      </c>
      <c r="L333" s="7">
        <v>1861.72</v>
      </c>
      <c r="M333" s="3" t="s">
        <v>57</v>
      </c>
      <c r="N333" s="3" t="str">
        <f t="shared" si="20"/>
        <v>2024-04</v>
      </c>
      <c r="O333" s="3" t="str">
        <f t="shared" si="21"/>
        <v>1-10%</v>
      </c>
      <c r="P333" s="9">
        <f t="shared" si="22"/>
        <v>0.49672093532051592</v>
      </c>
      <c r="Q333" s="3" t="str">
        <f t="shared" si="23"/>
        <v>No</v>
      </c>
    </row>
    <row r="334" spans="1:17" ht="21" customHeight="1">
      <c r="A334" s="3" t="s">
        <v>708</v>
      </c>
      <c r="B334" s="5">
        <v>45398</v>
      </c>
      <c r="C334" s="3" t="s">
        <v>709</v>
      </c>
      <c r="D334" s="3" t="s">
        <v>47</v>
      </c>
      <c r="E334" s="3" t="s">
        <v>42</v>
      </c>
      <c r="F334" s="3" t="s">
        <v>90</v>
      </c>
      <c r="G334" s="3" t="s">
        <v>91</v>
      </c>
      <c r="H334" s="3">
        <v>5</v>
      </c>
      <c r="I334" s="7">
        <v>1197.8399999999999</v>
      </c>
      <c r="J334" s="9">
        <v>0.1</v>
      </c>
      <c r="K334" s="7">
        <v>5390.28</v>
      </c>
      <c r="L334" s="7">
        <v>2333.3200000000002</v>
      </c>
      <c r="M334" s="3" t="s">
        <v>58</v>
      </c>
      <c r="N334" s="3" t="str">
        <f t="shared" si="20"/>
        <v>2024-04</v>
      </c>
      <c r="O334" s="3" t="str">
        <f t="shared" si="21"/>
        <v>1-10%</v>
      </c>
      <c r="P334" s="9">
        <f t="shared" si="22"/>
        <v>0.43287547214615946</v>
      </c>
      <c r="Q334" s="3" t="str">
        <f t="shared" si="23"/>
        <v>No</v>
      </c>
    </row>
    <row r="335" spans="1:17" ht="21" customHeight="1">
      <c r="A335" s="3" t="s">
        <v>710</v>
      </c>
      <c r="B335" s="5">
        <v>45398</v>
      </c>
      <c r="C335" s="3" t="s">
        <v>711</v>
      </c>
      <c r="D335" s="3" t="s">
        <v>44</v>
      </c>
      <c r="E335" s="3" t="s">
        <v>39</v>
      </c>
      <c r="F335" s="3" t="s">
        <v>109</v>
      </c>
      <c r="G335" s="3" t="s">
        <v>110</v>
      </c>
      <c r="H335" s="3">
        <v>5</v>
      </c>
      <c r="I335" s="7">
        <v>2963.31</v>
      </c>
      <c r="J335" s="9">
        <v>0</v>
      </c>
      <c r="K335" s="7">
        <v>14816.55</v>
      </c>
      <c r="L335" s="7">
        <v>5785.28</v>
      </c>
      <c r="M335" s="3" t="s">
        <v>57</v>
      </c>
      <c r="N335" s="3" t="str">
        <f t="shared" si="20"/>
        <v>2024-04</v>
      </c>
      <c r="O335" s="3" t="str">
        <f t="shared" si="21"/>
        <v>No discount</v>
      </c>
      <c r="P335" s="9">
        <f t="shared" si="22"/>
        <v>0.39046066729434314</v>
      </c>
      <c r="Q335" s="3" t="str">
        <f t="shared" si="23"/>
        <v>No</v>
      </c>
    </row>
    <row r="336" spans="1:17" ht="21" customHeight="1">
      <c r="A336" s="3" t="s">
        <v>712</v>
      </c>
      <c r="B336" s="5">
        <v>45399</v>
      </c>
      <c r="C336" s="3" t="s">
        <v>713</v>
      </c>
      <c r="D336" s="3" t="s">
        <v>46</v>
      </c>
      <c r="E336" s="3" t="s">
        <v>39</v>
      </c>
      <c r="F336" s="3" t="s">
        <v>164</v>
      </c>
      <c r="G336" s="3" t="s">
        <v>165</v>
      </c>
      <c r="H336" s="3">
        <v>1</v>
      </c>
      <c r="I336" s="7">
        <v>1927.55</v>
      </c>
      <c r="J336" s="9">
        <v>0.15</v>
      </c>
      <c r="K336" s="7">
        <v>1638.42</v>
      </c>
      <c r="L336" s="7">
        <v>426.38</v>
      </c>
      <c r="M336" s="3" t="s">
        <v>58</v>
      </c>
      <c r="N336" s="3" t="str">
        <f t="shared" si="20"/>
        <v>2024-04</v>
      </c>
      <c r="O336" s="3" t="str">
        <f t="shared" si="21"/>
        <v>11-15%</v>
      </c>
      <c r="P336" s="9">
        <f t="shared" si="22"/>
        <v>0.26023852247897361</v>
      </c>
      <c r="Q336" s="3" t="str">
        <f t="shared" si="23"/>
        <v>No</v>
      </c>
    </row>
    <row r="337" spans="1:17" ht="21" customHeight="1">
      <c r="A337" s="3" t="s">
        <v>714</v>
      </c>
      <c r="B337" s="5">
        <v>45400</v>
      </c>
      <c r="C337" s="3" t="s">
        <v>715</v>
      </c>
      <c r="D337" s="3" t="s">
        <v>47</v>
      </c>
      <c r="E337" s="3" t="s">
        <v>38</v>
      </c>
      <c r="F337" s="3" t="s">
        <v>98</v>
      </c>
      <c r="G337" s="3" t="s">
        <v>182</v>
      </c>
      <c r="H337" s="3">
        <v>4</v>
      </c>
      <c r="I337" s="7">
        <v>71889.8</v>
      </c>
      <c r="J337" s="9">
        <v>0</v>
      </c>
      <c r="K337" s="7">
        <v>287559.2</v>
      </c>
      <c r="L337" s="7">
        <v>46415.65</v>
      </c>
      <c r="M337" s="3" t="s">
        <v>57</v>
      </c>
      <c r="N337" s="3" t="str">
        <f t="shared" si="20"/>
        <v>2024-04</v>
      </c>
      <c r="O337" s="3" t="str">
        <f t="shared" si="21"/>
        <v>No discount</v>
      </c>
      <c r="P337" s="9">
        <f t="shared" si="22"/>
        <v>0.16141250219085321</v>
      </c>
      <c r="Q337" s="3" t="str">
        <f t="shared" si="23"/>
        <v>No</v>
      </c>
    </row>
    <row r="338" spans="1:17" ht="21" customHeight="1">
      <c r="A338" s="3" t="s">
        <v>716</v>
      </c>
      <c r="B338" s="5">
        <v>45400</v>
      </c>
      <c r="C338" s="3" t="s">
        <v>230</v>
      </c>
      <c r="D338" s="3" t="s">
        <v>47</v>
      </c>
      <c r="E338" s="3" t="s">
        <v>40</v>
      </c>
      <c r="F338" s="3" t="s">
        <v>102</v>
      </c>
      <c r="G338" s="3" t="s">
        <v>146</v>
      </c>
      <c r="H338" s="3">
        <v>1</v>
      </c>
      <c r="I338" s="7">
        <v>8296.0400000000009</v>
      </c>
      <c r="J338" s="9">
        <v>0.1</v>
      </c>
      <c r="K338" s="7">
        <v>7466.44</v>
      </c>
      <c r="L338" s="7">
        <v>1581.85</v>
      </c>
      <c r="M338" s="3" t="s">
        <v>58</v>
      </c>
      <c r="N338" s="3" t="str">
        <f t="shared" si="20"/>
        <v>2024-04</v>
      </c>
      <c r="O338" s="3" t="str">
        <f t="shared" si="21"/>
        <v>1-10%</v>
      </c>
      <c r="P338" s="9">
        <f t="shared" si="22"/>
        <v>0.21186134221931738</v>
      </c>
      <c r="Q338" s="3" t="str">
        <f t="shared" si="23"/>
        <v>No</v>
      </c>
    </row>
    <row r="339" spans="1:17" ht="21" customHeight="1">
      <c r="A339" s="3" t="s">
        <v>717</v>
      </c>
      <c r="B339" s="5">
        <v>45401</v>
      </c>
      <c r="C339" s="3" t="s">
        <v>718</v>
      </c>
      <c r="D339" s="3" t="s">
        <v>46</v>
      </c>
      <c r="E339" s="3" t="s">
        <v>39</v>
      </c>
      <c r="F339" s="3" t="s">
        <v>109</v>
      </c>
      <c r="G339" s="3" t="s">
        <v>110</v>
      </c>
      <c r="H339" s="3">
        <v>3</v>
      </c>
      <c r="I339" s="7">
        <v>2909.86</v>
      </c>
      <c r="J339" s="9">
        <v>0</v>
      </c>
      <c r="K339" s="7">
        <v>8729.58</v>
      </c>
      <c r="L339" s="7">
        <v>3491.62</v>
      </c>
      <c r="M339" s="3" t="s">
        <v>56</v>
      </c>
      <c r="N339" s="3" t="str">
        <f t="shared" si="20"/>
        <v>2024-04</v>
      </c>
      <c r="O339" s="3" t="str">
        <f t="shared" si="21"/>
        <v>No discount</v>
      </c>
      <c r="P339" s="9">
        <f t="shared" si="22"/>
        <v>0.39997571475374533</v>
      </c>
      <c r="Q339" s="3" t="str">
        <f t="shared" si="23"/>
        <v>No</v>
      </c>
    </row>
    <row r="340" spans="1:17" ht="21" customHeight="1">
      <c r="A340" s="3" t="s">
        <v>719</v>
      </c>
      <c r="B340" s="5">
        <v>45401</v>
      </c>
      <c r="C340" s="3" t="s">
        <v>135</v>
      </c>
      <c r="D340" s="3" t="s">
        <v>46</v>
      </c>
      <c r="E340" s="3" t="s">
        <v>38</v>
      </c>
      <c r="F340" s="3" t="s">
        <v>94</v>
      </c>
      <c r="G340" s="3" t="s">
        <v>95</v>
      </c>
      <c r="H340" s="3">
        <v>5</v>
      </c>
      <c r="I340" s="7">
        <v>80939.289999999994</v>
      </c>
      <c r="J340" s="9">
        <v>0.05</v>
      </c>
      <c r="K340" s="7">
        <v>384461.63</v>
      </c>
      <c r="L340" s="7">
        <v>56991.01</v>
      </c>
      <c r="M340" s="3" t="s">
        <v>58</v>
      </c>
      <c r="N340" s="3" t="str">
        <f t="shared" si="20"/>
        <v>2024-04</v>
      </c>
      <c r="O340" s="3" t="str">
        <f t="shared" si="21"/>
        <v>1-10%</v>
      </c>
      <c r="P340" s="9">
        <f t="shared" si="22"/>
        <v>0.14823588507388891</v>
      </c>
      <c r="Q340" s="3" t="str">
        <f t="shared" si="23"/>
        <v>No</v>
      </c>
    </row>
    <row r="341" spans="1:17" ht="21" customHeight="1">
      <c r="A341" s="3" t="s">
        <v>720</v>
      </c>
      <c r="B341" s="5">
        <v>45401</v>
      </c>
      <c r="C341" s="3" t="s">
        <v>695</v>
      </c>
      <c r="D341" s="3" t="s">
        <v>46</v>
      </c>
      <c r="E341" s="3" t="s">
        <v>41</v>
      </c>
      <c r="F341" s="3" t="s">
        <v>119</v>
      </c>
      <c r="G341" s="3" t="s">
        <v>168</v>
      </c>
      <c r="H341" s="3">
        <v>1</v>
      </c>
      <c r="I341" s="7">
        <v>9781.2800000000007</v>
      </c>
      <c r="J341" s="9">
        <v>0.2</v>
      </c>
      <c r="K341" s="7">
        <v>7825.02</v>
      </c>
      <c r="L341" s="7">
        <v>1078.99</v>
      </c>
      <c r="M341" s="3" t="s">
        <v>57</v>
      </c>
      <c r="N341" s="3" t="str">
        <f t="shared" si="20"/>
        <v>2024-04</v>
      </c>
      <c r="O341" s="3" t="str">
        <f t="shared" si="21"/>
        <v>16-20%</v>
      </c>
      <c r="P341" s="9">
        <f t="shared" si="22"/>
        <v>0.13788974341279639</v>
      </c>
      <c r="Q341" s="3" t="str">
        <f t="shared" si="23"/>
        <v>No</v>
      </c>
    </row>
    <row r="342" spans="1:17" ht="21" customHeight="1">
      <c r="A342" s="3" t="s">
        <v>721</v>
      </c>
      <c r="B342" s="5">
        <v>45401</v>
      </c>
      <c r="C342" s="3" t="s">
        <v>722</v>
      </c>
      <c r="D342" s="3" t="s">
        <v>44</v>
      </c>
      <c r="E342" s="3" t="s">
        <v>42</v>
      </c>
      <c r="F342" s="3" t="s">
        <v>126</v>
      </c>
      <c r="G342" s="3" t="s">
        <v>127</v>
      </c>
      <c r="H342" s="3">
        <v>1</v>
      </c>
      <c r="I342" s="7">
        <v>1028.92</v>
      </c>
      <c r="J342" s="9">
        <v>0.1</v>
      </c>
      <c r="K342" s="7">
        <v>926.03</v>
      </c>
      <c r="L342" s="7">
        <v>421.08</v>
      </c>
      <c r="M342" s="3" t="s">
        <v>57</v>
      </c>
      <c r="N342" s="3" t="str">
        <f t="shared" si="20"/>
        <v>2024-04</v>
      </c>
      <c r="O342" s="3" t="str">
        <f t="shared" si="21"/>
        <v>1-10%</v>
      </c>
      <c r="P342" s="9">
        <f t="shared" si="22"/>
        <v>0.45471529000140382</v>
      </c>
      <c r="Q342" s="3" t="str">
        <f t="shared" si="23"/>
        <v>No</v>
      </c>
    </row>
    <row r="343" spans="1:17" ht="21" customHeight="1">
      <c r="A343" s="3" t="s">
        <v>723</v>
      </c>
      <c r="B343" s="5">
        <v>45401</v>
      </c>
      <c r="C343" s="3" t="s">
        <v>724</v>
      </c>
      <c r="D343" s="3" t="s">
        <v>46</v>
      </c>
      <c r="E343" s="3" t="s">
        <v>38</v>
      </c>
      <c r="F343" s="3" t="s">
        <v>94</v>
      </c>
      <c r="G343" s="3" t="s">
        <v>213</v>
      </c>
      <c r="H343" s="3">
        <v>1</v>
      </c>
      <c r="I343" s="7">
        <v>52321.26</v>
      </c>
      <c r="J343" s="9">
        <v>0</v>
      </c>
      <c r="K343" s="7">
        <v>52321.26</v>
      </c>
      <c r="L343" s="7">
        <v>7732.78</v>
      </c>
      <c r="M343" s="3" t="s">
        <v>56</v>
      </c>
      <c r="N343" s="3" t="str">
        <f t="shared" si="20"/>
        <v>2024-04</v>
      </c>
      <c r="O343" s="3" t="str">
        <f t="shared" si="21"/>
        <v>No discount</v>
      </c>
      <c r="P343" s="9">
        <f t="shared" si="22"/>
        <v>0.14779422361005831</v>
      </c>
      <c r="Q343" s="3" t="str">
        <f t="shared" si="23"/>
        <v>No</v>
      </c>
    </row>
    <row r="344" spans="1:17" ht="21" customHeight="1">
      <c r="A344" s="3" t="s">
        <v>725</v>
      </c>
      <c r="B344" s="5">
        <v>45402</v>
      </c>
      <c r="C344" s="3" t="s">
        <v>726</v>
      </c>
      <c r="D344" s="3" t="s">
        <v>46</v>
      </c>
      <c r="E344" s="3" t="s">
        <v>42</v>
      </c>
      <c r="F344" s="3" t="s">
        <v>90</v>
      </c>
      <c r="G344" s="3" t="s">
        <v>91</v>
      </c>
      <c r="H344" s="3">
        <v>2</v>
      </c>
      <c r="I344" s="7">
        <v>1159.17</v>
      </c>
      <c r="J344" s="9">
        <v>0.15</v>
      </c>
      <c r="K344" s="7">
        <v>1970.59</v>
      </c>
      <c r="L344" s="7">
        <v>760.8</v>
      </c>
      <c r="M344" s="3" t="s">
        <v>56</v>
      </c>
      <c r="N344" s="3" t="str">
        <f t="shared" si="20"/>
        <v>2024-04</v>
      </c>
      <c r="O344" s="3" t="str">
        <f t="shared" si="21"/>
        <v>11-15%</v>
      </c>
      <c r="P344" s="9">
        <f t="shared" si="22"/>
        <v>0.38607726619946309</v>
      </c>
      <c r="Q344" s="3" t="str">
        <f t="shared" si="23"/>
        <v>No</v>
      </c>
    </row>
    <row r="345" spans="1:17" ht="21" customHeight="1">
      <c r="A345" s="3" t="s">
        <v>727</v>
      </c>
      <c r="B345" s="5">
        <v>45402</v>
      </c>
      <c r="C345" s="3" t="s">
        <v>728</v>
      </c>
      <c r="D345" s="3" t="s">
        <v>47</v>
      </c>
      <c r="E345" s="3" t="s">
        <v>42</v>
      </c>
      <c r="F345" s="3" t="s">
        <v>126</v>
      </c>
      <c r="G345" s="3" t="s">
        <v>151</v>
      </c>
      <c r="H345" s="3">
        <v>1</v>
      </c>
      <c r="I345" s="7">
        <v>1499.99</v>
      </c>
      <c r="J345" s="9">
        <v>0.15</v>
      </c>
      <c r="K345" s="7">
        <v>1274.99</v>
      </c>
      <c r="L345" s="7">
        <v>469.31</v>
      </c>
      <c r="M345" s="3" t="s">
        <v>58</v>
      </c>
      <c r="N345" s="3" t="str">
        <f t="shared" si="20"/>
        <v>2024-04</v>
      </c>
      <c r="O345" s="3" t="str">
        <f t="shared" si="21"/>
        <v>11-15%</v>
      </c>
      <c r="P345" s="9">
        <f t="shared" si="22"/>
        <v>0.36808916148361948</v>
      </c>
      <c r="Q345" s="3" t="str">
        <f t="shared" si="23"/>
        <v>No</v>
      </c>
    </row>
    <row r="346" spans="1:17" ht="21" customHeight="1">
      <c r="A346" s="3" t="s">
        <v>729</v>
      </c>
      <c r="B346" s="5">
        <v>45402</v>
      </c>
      <c r="C346" s="3" t="s">
        <v>730</v>
      </c>
      <c r="D346" s="3" t="s">
        <v>47</v>
      </c>
      <c r="E346" s="3" t="s">
        <v>38</v>
      </c>
      <c r="F346" s="3" t="s">
        <v>142</v>
      </c>
      <c r="G346" s="3" t="s">
        <v>245</v>
      </c>
      <c r="H346" s="3">
        <v>4</v>
      </c>
      <c r="I346" s="7">
        <v>5145.79</v>
      </c>
      <c r="J346" s="9">
        <v>0.2</v>
      </c>
      <c r="K346" s="7">
        <v>16466.53</v>
      </c>
      <c r="L346" s="7">
        <v>-1323.54</v>
      </c>
      <c r="M346" s="3" t="s">
        <v>60</v>
      </c>
      <c r="N346" s="3" t="str">
        <f t="shared" si="20"/>
        <v>2024-04</v>
      </c>
      <c r="O346" s="3" t="str">
        <f t="shared" si="21"/>
        <v>16-20%</v>
      </c>
      <c r="P346" s="9">
        <f t="shared" si="22"/>
        <v>-8.0377590178380032E-2</v>
      </c>
      <c r="Q346" s="3" t="str">
        <f t="shared" si="23"/>
        <v>Yes</v>
      </c>
    </row>
    <row r="347" spans="1:17" ht="21" customHeight="1">
      <c r="A347" s="3" t="s">
        <v>731</v>
      </c>
      <c r="B347" s="5">
        <v>45402</v>
      </c>
      <c r="C347" s="3" t="s">
        <v>591</v>
      </c>
      <c r="D347" s="3" t="s">
        <v>44</v>
      </c>
      <c r="E347" s="3" t="s">
        <v>39</v>
      </c>
      <c r="F347" s="3" t="s">
        <v>109</v>
      </c>
      <c r="G347" s="3" t="s">
        <v>110</v>
      </c>
      <c r="H347" s="3">
        <v>1</v>
      </c>
      <c r="I347" s="7">
        <v>2942.03</v>
      </c>
      <c r="J347" s="9">
        <v>0</v>
      </c>
      <c r="K347" s="7">
        <v>2942.03</v>
      </c>
      <c r="L347" s="7">
        <v>1186.8699999999999</v>
      </c>
      <c r="M347" s="3" t="s">
        <v>56</v>
      </c>
      <c r="N347" s="3" t="str">
        <f t="shared" si="20"/>
        <v>2024-04</v>
      </c>
      <c r="O347" s="3" t="str">
        <f t="shared" si="21"/>
        <v>No discount</v>
      </c>
      <c r="P347" s="9">
        <f t="shared" si="22"/>
        <v>0.40341872788516764</v>
      </c>
      <c r="Q347" s="3" t="str">
        <f t="shared" si="23"/>
        <v>No</v>
      </c>
    </row>
    <row r="348" spans="1:17" ht="21" customHeight="1">
      <c r="A348" s="3" t="s">
        <v>732</v>
      </c>
      <c r="B348" s="5">
        <v>45402</v>
      </c>
      <c r="C348" s="3" t="s">
        <v>733</v>
      </c>
      <c r="D348" s="3" t="s">
        <v>44</v>
      </c>
      <c r="E348" s="3" t="s">
        <v>40</v>
      </c>
      <c r="F348" s="3" t="s">
        <v>160</v>
      </c>
      <c r="G348" s="3" t="s">
        <v>161</v>
      </c>
      <c r="H348" s="3">
        <v>1</v>
      </c>
      <c r="I348" s="7">
        <v>13506.06</v>
      </c>
      <c r="J348" s="9">
        <v>0</v>
      </c>
      <c r="K348" s="7">
        <v>13506.06</v>
      </c>
      <c r="L348" s="7">
        <v>4614.41</v>
      </c>
      <c r="M348" s="3" t="s">
        <v>56</v>
      </c>
      <c r="N348" s="3" t="str">
        <f t="shared" si="20"/>
        <v>2024-04</v>
      </c>
      <c r="O348" s="3" t="str">
        <f t="shared" si="21"/>
        <v>No discount</v>
      </c>
      <c r="P348" s="9">
        <f t="shared" si="22"/>
        <v>0.34165478311217334</v>
      </c>
      <c r="Q348" s="3" t="str">
        <f t="shared" si="23"/>
        <v>No</v>
      </c>
    </row>
    <row r="349" spans="1:17" ht="21" customHeight="1">
      <c r="A349" s="3" t="s">
        <v>734</v>
      </c>
      <c r="B349" s="5">
        <v>45402</v>
      </c>
      <c r="C349" s="3" t="s">
        <v>715</v>
      </c>
      <c r="D349" s="3" t="s">
        <v>47</v>
      </c>
      <c r="E349" s="3" t="s">
        <v>40</v>
      </c>
      <c r="F349" s="3" t="s">
        <v>160</v>
      </c>
      <c r="G349" s="3" t="s">
        <v>173</v>
      </c>
      <c r="H349" s="3">
        <v>2</v>
      </c>
      <c r="I349" s="7">
        <v>9197.11</v>
      </c>
      <c r="J349" s="9">
        <v>0.05</v>
      </c>
      <c r="K349" s="7">
        <v>17474.509999999998</v>
      </c>
      <c r="L349" s="7">
        <v>4540.9399999999996</v>
      </c>
      <c r="M349" s="3" t="s">
        <v>56</v>
      </c>
      <c r="N349" s="3" t="str">
        <f t="shared" si="20"/>
        <v>2024-04</v>
      </c>
      <c r="O349" s="3" t="str">
        <f t="shared" si="21"/>
        <v>1-10%</v>
      </c>
      <c r="P349" s="9">
        <f t="shared" si="22"/>
        <v>0.25986079151861768</v>
      </c>
      <c r="Q349" s="3" t="str">
        <f t="shared" si="23"/>
        <v>No</v>
      </c>
    </row>
    <row r="350" spans="1:17" ht="21" customHeight="1">
      <c r="A350" s="3" t="s">
        <v>735</v>
      </c>
      <c r="B350" s="5">
        <v>45405</v>
      </c>
      <c r="C350" s="3" t="s">
        <v>224</v>
      </c>
      <c r="D350" s="3" t="s">
        <v>45</v>
      </c>
      <c r="E350" s="3" t="s">
        <v>42</v>
      </c>
      <c r="F350" s="3" t="s">
        <v>126</v>
      </c>
      <c r="G350" s="3" t="s">
        <v>127</v>
      </c>
      <c r="H350" s="3">
        <v>1</v>
      </c>
      <c r="I350" s="7">
        <v>1004.14</v>
      </c>
      <c r="J350" s="9">
        <v>0.05</v>
      </c>
      <c r="K350" s="7">
        <v>953.93</v>
      </c>
      <c r="L350" s="7">
        <v>478.44</v>
      </c>
      <c r="M350" s="3" t="s">
        <v>57</v>
      </c>
      <c r="N350" s="3" t="str">
        <f t="shared" si="20"/>
        <v>2024-04</v>
      </c>
      <c r="O350" s="3" t="str">
        <f t="shared" si="21"/>
        <v>1-10%</v>
      </c>
      <c r="P350" s="9">
        <f t="shared" si="22"/>
        <v>0.50154623504869333</v>
      </c>
      <c r="Q350" s="3" t="str">
        <f t="shared" si="23"/>
        <v>No</v>
      </c>
    </row>
    <row r="351" spans="1:17" ht="21" customHeight="1">
      <c r="A351" s="3" t="s">
        <v>736</v>
      </c>
      <c r="B351" s="5">
        <v>45405</v>
      </c>
      <c r="C351" s="3" t="s">
        <v>737</v>
      </c>
      <c r="D351" s="3" t="s">
        <v>44</v>
      </c>
      <c r="E351" s="3" t="s">
        <v>39</v>
      </c>
      <c r="F351" s="3" t="s">
        <v>164</v>
      </c>
      <c r="G351" s="3" t="s">
        <v>165</v>
      </c>
      <c r="H351" s="3">
        <v>1</v>
      </c>
      <c r="I351" s="7">
        <v>1919.28</v>
      </c>
      <c r="J351" s="9">
        <v>0</v>
      </c>
      <c r="K351" s="7">
        <v>1919.28</v>
      </c>
      <c r="L351" s="7">
        <v>856.99</v>
      </c>
      <c r="M351" s="3" t="s">
        <v>57</v>
      </c>
      <c r="N351" s="3" t="str">
        <f t="shared" si="20"/>
        <v>2024-04</v>
      </c>
      <c r="O351" s="3" t="str">
        <f t="shared" si="21"/>
        <v>No discount</v>
      </c>
      <c r="P351" s="9">
        <f t="shared" si="22"/>
        <v>0.44651640198407738</v>
      </c>
      <c r="Q351" s="3" t="str">
        <f t="shared" si="23"/>
        <v>No</v>
      </c>
    </row>
    <row r="352" spans="1:17" ht="21" customHeight="1">
      <c r="A352" s="3" t="s">
        <v>738</v>
      </c>
      <c r="B352" s="5">
        <v>45406</v>
      </c>
      <c r="C352" s="3" t="s">
        <v>739</v>
      </c>
      <c r="D352" s="3" t="s">
        <v>47</v>
      </c>
      <c r="E352" s="3" t="s">
        <v>39</v>
      </c>
      <c r="F352" s="3" t="s">
        <v>109</v>
      </c>
      <c r="G352" s="3" t="s">
        <v>110</v>
      </c>
      <c r="H352" s="3">
        <v>3</v>
      </c>
      <c r="I352" s="7">
        <v>2888.8</v>
      </c>
      <c r="J352" s="9">
        <v>0</v>
      </c>
      <c r="K352" s="7">
        <v>8666.4</v>
      </c>
      <c r="L352" s="7">
        <v>3488.03</v>
      </c>
      <c r="M352" s="3" t="s">
        <v>56</v>
      </c>
      <c r="N352" s="3" t="str">
        <f t="shared" si="20"/>
        <v>2024-04</v>
      </c>
      <c r="O352" s="3" t="str">
        <f t="shared" si="21"/>
        <v>No discount</v>
      </c>
      <c r="P352" s="9">
        <f t="shared" si="22"/>
        <v>0.40247738391950527</v>
      </c>
      <c r="Q352" s="3" t="str">
        <f t="shared" si="23"/>
        <v>No</v>
      </c>
    </row>
    <row r="353" spans="1:17" ht="21" customHeight="1">
      <c r="A353" s="3" t="s">
        <v>740</v>
      </c>
      <c r="B353" s="5">
        <v>45406</v>
      </c>
      <c r="C353" s="3" t="s">
        <v>741</v>
      </c>
      <c r="D353" s="3" t="s">
        <v>47</v>
      </c>
      <c r="E353" s="3" t="s">
        <v>38</v>
      </c>
      <c r="F353" s="3" t="s">
        <v>98</v>
      </c>
      <c r="G353" s="3" t="s">
        <v>362</v>
      </c>
      <c r="H353" s="3">
        <v>2</v>
      </c>
      <c r="I353" s="7">
        <v>33235.15</v>
      </c>
      <c r="J353" s="9">
        <v>0.15</v>
      </c>
      <c r="K353" s="7">
        <v>56499.75</v>
      </c>
      <c r="L353" s="7">
        <v>855.29</v>
      </c>
      <c r="M353" s="3" t="s">
        <v>58</v>
      </c>
      <c r="N353" s="3" t="str">
        <f t="shared" si="20"/>
        <v>2024-04</v>
      </c>
      <c r="O353" s="3" t="str">
        <f t="shared" si="21"/>
        <v>11-15%</v>
      </c>
      <c r="P353" s="9">
        <f t="shared" si="22"/>
        <v>1.5137943088243754E-2</v>
      </c>
      <c r="Q353" s="3" t="str">
        <f t="shared" si="23"/>
        <v>No</v>
      </c>
    </row>
    <row r="354" spans="1:17" ht="21" customHeight="1">
      <c r="A354" s="3" t="s">
        <v>742</v>
      </c>
      <c r="B354" s="5">
        <v>45406</v>
      </c>
      <c r="C354" s="3" t="s">
        <v>743</v>
      </c>
      <c r="D354" s="3" t="s">
        <v>45</v>
      </c>
      <c r="E354" s="3" t="s">
        <v>38</v>
      </c>
      <c r="F354" s="3" t="s">
        <v>94</v>
      </c>
      <c r="G354" s="3" t="s">
        <v>213</v>
      </c>
      <c r="H354" s="3">
        <v>1</v>
      </c>
      <c r="I354" s="7">
        <v>56224.32</v>
      </c>
      <c r="J354" s="9">
        <v>0.25</v>
      </c>
      <c r="K354" s="7">
        <v>42168.24</v>
      </c>
      <c r="L354" s="7">
        <v>-3904.29</v>
      </c>
      <c r="M354" s="3" t="s">
        <v>57</v>
      </c>
      <c r="N354" s="3" t="str">
        <f t="shared" si="20"/>
        <v>2024-04</v>
      </c>
      <c r="O354" s="3" t="str">
        <f t="shared" si="21"/>
        <v>21%+</v>
      </c>
      <c r="P354" s="9">
        <f t="shared" si="22"/>
        <v>-9.2588403025594623E-2</v>
      </c>
      <c r="Q354" s="3" t="str">
        <f t="shared" si="23"/>
        <v>Yes</v>
      </c>
    </row>
    <row r="355" spans="1:17" ht="21" customHeight="1">
      <c r="A355" s="3" t="s">
        <v>744</v>
      </c>
      <c r="B355" s="5">
        <v>45407</v>
      </c>
      <c r="C355" s="3" t="s">
        <v>695</v>
      </c>
      <c r="D355" s="3" t="s">
        <v>47</v>
      </c>
      <c r="E355" s="3" t="s">
        <v>40</v>
      </c>
      <c r="F355" s="3" t="s">
        <v>160</v>
      </c>
      <c r="G355" s="3" t="s">
        <v>161</v>
      </c>
      <c r="H355" s="3">
        <v>2</v>
      </c>
      <c r="I355" s="7">
        <v>12419.98</v>
      </c>
      <c r="J355" s="9">
        <v>0</v>
      </c>
      <c r="K355" s="7">
        <v>24839.96</v>
      </c>
      <c r="L355" s="7">
        <v>8987.92</v>
      </c>
      <c r="M355" s="3" t="s">
        <v>57</v>
      </c>
      <c r="N355" s="3" t="str">
        <f t="shared" si="20"/>
        <v>2024-04</v>
      </c>
      <c r="O355" s="3" t="str">
        <f t="shared" si="21"/>
        <v>No discount</v>
      </c>
      <c r="P355" s="9">
        <f t="shared" si="22"/>
        <v>0.36183311084236852</v>
      </c>
      <c r="Q355" s="3" t="str">
        <f t="shared" si="23"/>
        <v>No</v>
      </c>
    </row>
    <row r="356" spans="1:17" ht="21" customHeight="1">
      <c r="A356" s="3" t="s">
        <v>745</v>
      </c>
      <c r="B356" s="5">
        <v>45407</v>
      </c>
      <c r="C356" s="3" t="s">
        <v>746</v>
      </c>
      <c r="D356" s="3" t="s">
        <v>44</v>
      </c>
      <c r="E356" s="3" t="s">
        <v>38</v>
      </c>
      <c r="F356" s="3" t="s">
        <v>94</v>
      </c>
      <c r="G356" s="3" t="s">
        <v>95</v>
      </c>
      <c r="H356" s="3">
        <v>2</v>
      </c>
      <c r="I356" s="7">
        <v>79154.53</v>
      </c>
      <c r="J356" s="9">
        <v>0.2</v>
      </c>
      <c r="K356" s="7">
        <v>126647.25</v>
      </c>
      <c r="L356" s="7">
        <v>-2105.77</v>
      </c>
      <c r="M356" s="3" t="s">
        <v>58</v>
      </c>
      <c r="N356" s="3" t="str">
        <f t="shared" si="20"/>
        <v>2024-04</v>
      </c>
      <c r="O356" s="3" t="str">
        <f t="shared" si="21"/>
        <v>16-20%</v>
      </c>
      <c r="P356" s="9">
        <f t="shared" si="22"/>
        <v>-1.6627048751552048E-2</v>
      </c>
      <c r="Q356" s="3" t="str">
        <f t="shared" si="23"/>
        <v>Yes</v>
      </c>
    </row>
    <row r="357" spans="1:17" ht="21" customHeight="1">
      <c r="A357" s="3" t="s">
        <v>747</v>
      </c>
      <c r="B357" s="5">
        <v>45407</v>
      </c>
      <c r="C357" s="3" t="s">
        <v>748</v>
      </c>
      <c r="D357" s="3" t="s">
        <v>47</v>
      </c>
      <c r="E357" s="3" t="s">
        <v>41</v>
      </c>
      <c r="F357" s="3" t="s">
        <v>119</v>
      </c>
      <c r="G357" s="3" t="s">
        <v>168</v>
      </c>
      <c r="H357" s="3">
        <v>2</v>
      </c>
      <c r="I357" s="7">
        <v>10377.950000000001</v>
      </c>
      <c r="J357" s="9">
        <v>0</v>
      </c>
      <c r="K357" s="7">
        <v>20755.900000000001</v>
      </c>
      <c r="L357" s="7">
        <v>7695.86</v>
      </c>
      <c r="M357" s="3" t="s">
        <v>58</v>
      </c>
      <c r="N357" s="3" t="str">
        <f t="shared" si="20"/>
        <v>2024-04</v>
      </c>
      <c r="O357" s="3" t="str">
        <f t="shared" si="21"/>
        <v>No discount</v>
      </c>
      <c r="P357" s="9">
        <f t="shared" si="22"/>
        <v>0.37077939284733491</v>
      </c>
      <c r="Q357" s="3" t="str">
        <f t="shared" si="23"/>
        <v>No</v>
      </c>
    </row>
    <row r="358" spans="1:17" ht="21" customHeight="1">
      <c r="A358" s="3" t="s">
        <v>749</v>
      </c>
      <c r="B358" s="5">
        <v>45407</v>
      </c>
      <c r="C358" s="3" t="s">
        <v>750</v>
      </c>
      <c r="D358" s="3" t="s">
        <v>44</v>
      </c>
      <c r="E358" s="3" t="s">
        <v>40</v>
      </c>
      <c r="F358" s="3" t="s">
        <v>221</v>
      </c>
      <c r="G358" s="3" t="s">
        <v>279</v>
      </c>
      <c r="H358" s="3">
        <v>3</v>
      </c>
      <c r="I358" s="7">
        <v>1570.66</v>
      </c>
      <c r="J358" s="9">
        <v>0.2</v>
      </c>
      <c r="K358" s="7">
        <v>3769.58</v>
      </c>
      <c r="L358" s="7">
        <v>460.73</v>
      </c>
      <c r="M358" s="3" t="s">
        <v>56</v>
      </c>
      <c r="N358" s="3" t="str">
        <f t="shared" si="20"/>
        <v>2024-04</v>
      </c>
      <c r="O358" s="3" t="str">
        <f t="shared" si="21"/>
        <v>16-20%</v>
      </c>
      <c r="P358" s="9">
        <f t="shared" si="22"/>
        <v>0.12222316544548731</v>
      </c>
      <c r="Q358" s="3" t="str">
        <f t="shared" si="23"/>
        <v>No</v>
      </c>
    </row>
    <row r="359" spans="1:17" ht="21" customHeight="1">
      <c r="A359" s="3" t="s">
        <v>751</v>
      </c>
      <c r="B359" s="5">
        <v>45407</v>
      </c>
      <c r="C359" s="3" t="s">
        <v>752</v>
      </c>
      <c r="D359" s="3" t="s">
        <v>46</v>
      </c>
      <c r="E359" s="3" t="s">
        <v>38</v>
      </c>
      <c r="F359" s="3" t="s">
        <v>142</v>
      </c>
      <c r="G359" s="3" t="s">
        <v>143</v>
      </c>
      <c r="H359" s="3">
        <v>3</v>
      </c>
      <c r="I359" s="7">
        <v>9066.33</v>
      </c>
      <c r="J359" s="9">
        <v>0.05</v>
      </c>
      <c r="K359" s="7">
        <v>25839.040000000001</v>
      </c>
      <c r="L359" s="7">
        <v>3443.05</v>
      </c>
      <c r="M359" s="3" t="s">
        <v>57</v>
      </c>
      <c r="N359" s="3" t="str">
        <f t="shared" si="20"/>
        <v>2024-04</v>
      </c>
      <c r="O359" s="3" t="str">
        <f t="shared" si="21"/>
        <v>1-10%</v>
      </c>
      <c r="P359" s="9">
        <f t="shared" si="22"/>
        <v>0.13324991950165332</v>
      </c>
      <c r="Q359" s="3" t="str">
        <f t="shared" si="23"/>
        <v>No</v>
      </c>
    </row>
    <row r="360" spans="1:17" ht="21" customHeight="1">
      <c r="A360" s="3" t="s">
        <v>753</v>
      </c>
      <c r="B360" s="5">
        <v>45407</v>
      </c>
      <c r="C360" s="3" t="s">
        <v>754</v>
      </c>
      <c r="D360" s="3" t="s">
        <v>46</v>
      </c>
      <c r="E360" s="3" t="s">
        <v>38</v>
      </c>
      <c r="F360" s="3" t="s">
        <v>142</v>
      </c>
      <c r="G360" s="3" t="s">
        <v>143</v>
      </c>
      <c r="H360" s="3">
        <v>1</v>
      </c>
      <c r="I360" s="7">
        <v>9419.91</v>
      </c>
      <c r="J360" s="9">
        <v>0.05</v>
      </c>
      <c r="K360" s="7">
        <v>8948.91</v>
      </c>
      <c r="L360" s="7">
        <v>1219.27</v>
      </c>
      <c r="M360" s="3" t="s">
        <v>56</v>
      </c>
      <c r="N360" s="3" t="str">
        <f t="shared" si="20"/>
        <v>2024-04</v>
      </c>
      <c r="O360" s="3" t="str">
        <f t="shared" si="21"/>
        <v>1-10%</v>
      </c>
      <c r="P360" s="9">
        <f t="shared" si="22"/>
        <v>0.13624787823321499</v>
      </c>
      <c r="Q360" s="3" t="str">
        <f t="shared" si="23"/>
        <v>No</v>
      </c>
    </row>
    <row r="361" spans="1:17" ht="21" customHeight="1">
      <c r="A361" s="3" t="s">
        <v>755</v>
      </c>
      <c r="B361" s="5">
        <v>45407</v>
      </c>
      <c r="C361" s="3" t="s">
        <v>756</v>
      </c>
      <c r="D361" s="3" t="s">
        <v>44</v>
      </c>
      <c r="E361" s="3" t="s">
        <v>41</v>
      </c>
      <c r="F361" s="3" t="s">
        <v>113</v>
      </c>
      <c r="G361" s="3" t="s">
        <v>123</v>
      </c>
      <c r="H361" s="3">
        <v>3</v>
      </c>
      <c r="I361" s="7">
        <v>3567.06</v>
      </c>
      <c r="J361" s="9">
        <v>0</v>
      </c>
      <c r="K361" s="7">
        <v>10701.18</v>
      </c>
      <c r="L361" s="7">
        <v>4409.6000000000004</v>
      </c>
      <c r="M361" s="3" t="s">
        <v>58</v>
      </c>
      <c r="N361" s="3" t="str">
        <f t="shared" si="20"/>
        <v>2024-04</v>
      </c>
      <c r="O361" s="3" t="str">
        <f t="shared" si="21"/>
        <v>No discount</v>
      </c>
      <c r="P361" s="9">
        <f t="shared" si="22"/>
        <v>0.41206670666225598</v>
      </c>
      <c r="Q361" s="3" t="str">
        <f t="shared" si="23"/>
        <v>No</v>
      </c>
    </row>
    <row r="362" spans="1:17" ht="21" customHeight="1">
      <c r="A362" s="3" t="s">
        <v>757</v>
      </c>
      <c r="B362" s="5">
        <v>45407</v>
      </c>
      <c r="C362" s="3" t="s">
        <v>663</v>
      </c>
      <c r="D362" s="3" t="s">
        <v>45</v>
      </c>
      <c r="E362" s="3" t="s">
        <v>42</v>
      </c>
      <c r="F362" s="3" t="s">
        <v>90</v>
      </c>
      <c r="G362" s="3" t="s">
        <v>91</v>
      </c>
      <c r="H362" s="3">
        <v>2</v>
      </c>
      <c r="I362" s="7">
        <v>1151.8399999999999</v>
      </c>
      <c r="J362" s="9">
        <v>0.05</v>
      </c>
      <c r="K362" s="7">
        <v>2188.5</v>
      </c>
      <c r="L362" s="7">
        <v>1080.6300000000001</v>
      </c>
      <c r="M362" s="3" t="s">
        <v>60</v>
      </c>
      <c r="N362" s="3" t="str">
        <f t="shared" si="20"/>
        <v>2024-04</v>
      </c>
      <c r="O362" s="3" t="str">
        <f t="shared" si="21"/>
        <v>1-10%</v>
      </c>
      <c r="P362" s="9">
        <f t="shared" si="22"/>
        <v>0.49377655928718306</v>
      </c>
      <c r="Q362" s="3" t="str">
        <f t="shared" si="23"/>
        <v>No</v>
      </c>
    </row>
    <row r="363" spans="1:17" ht="21" customHeight="1">
      <c r="A363" s="3" t="s">
        <v>758</v>
      </c>
      <c r="B363" s="5">
        <v>45408</v>
      </c>
      <c r="C363" s="3" t="s">
        <v>759</v>
      </c>
      <c r="D363" s="3" t="s">
        <v>45</v>
      </c>
      <c r="E363" s="3" t="s">
        <v>39</v>
      </c>
      <c r="F363" s="3" t="s">
        <v>164</v>
      </c>
      <c r="G363" s="3" t="s">
        <v>200</v>
      </c>
      <c r="H363" s="3">
        <v>2</v>
      </c>
      <c r="I363" s="7">
        <v>1238.71</v>
      </c>
      <c r="J363" s="9">
        <v>0.15</v>
      </c>
      <c r="K363" s="7">
        <v>2105.81</v>
      </c>
      <c r="L363" s="7">
        <v>476.56</v>
      </c>
      <c r="M363" s="3" t="s">
        <v>58</v>
      </c>
      <c r="N363" s="3" t="str">
        <f t="shared" si="20"/>
        <v>2024-04</v>
      </c>
      <c r="O363" s="3" t="str">
        <f t="shared" si="21"/>
        <v>11-15%</v>
      </c>
      <c r="P363" s="9">
        <f t="shared" si="22"/>
        <v>0.22630721670046205</v>
      </c>
      <c r="Q363" s="3" t="str">
        <f t="shared" si="23"/>
        <v>No</v>
      </c>
    </row>
    <row r="364" spans="1:17" ht="21" customHeight="1">
      <c r="A364" s="3" t="s">
        <v>760</v>
      </c>
      <c r="B364" s="5">
        <v>45408</v>
      </c>
      <c r="C364" s="3" t="s">
        <v>389</v>
      </c>
      <c r="D364" s="3" t="s">
        <v>44</v>
      </c>
      <c r="E364" s="3" t="s">
        <v>39</v>
      </c>
      <c r="F364" s="3" t="s">
        <v>164</v>
      </c>
      <c r="G364" s="3" t="s">
        <v>200</v>
      </c>
      <c r="H364" s="3">
        <v>2</v>
      </c>
      <c r="I364" s="7">
        <v>1262.51</v>
      </c>
      <c r="J364" s="9">
        <v>0.15</v>
      </c>
      <c r="K364" s="7">
        <v>2146.27</v>
      </c>
      <c r="L364" s="7">
        <v>602.48</v>
      </c>
      <c r="M364" s="3" t="s">
        <v>57</v>
      </c>
      <c r="N364" s="3" t="str">
        <f t="shared" si="20"/>
        <v>2024-04</v>
      </c>
      <c r="O364" s="3" t="str">
        <f t="shared" si="21"/>
        <v>11-15%</v>
      </c>
      <c r="P364" s="9">
        <f t="shared" si="22"/>
        <v>0.28071025546646045</v>
      </c>
      <c r="Q364" s="3" t="str">
        <f t="shared" si="23"/>
        <v>No</v>
      </c>
    </row>
    <row r="365" spans="1:17" ht="21" customHeight="1">
      <c r="A365" s="3" t="s">
        <v>761</v>
      </c>
      <c r="B365" s="5">
        <v>45409</v>
      </c>
      <c r="C365" s="3" t="s">
        <v>762</v>
      </c>
      <c r="D365" s="3" t="s">
        <v>46</v>
      </c>
      <c r="E365" s="3" t="s">
        <v>41</v>
      </c>
      <c r="F365" s="3" t="s">
        <v>119</v>
      </c>
      <c r="G365" s="3" t="s">
        <v>168</v>
      </c>
      <c r="H365" s="3">
        <v>4</v>
      </c>
      <c r="I365" s="7">
        <v>10074.75</v>
      </c>
      <c r="J365" s="9">
        <v>0.2</v>
      </c>
      <c r="K365" s="7">
        <v>32239.200000000001</v>
      </c>
      <c r="L365" s="7">
        <v>5025.1899999999996</v>
      </c>
      <c r="M365" s="3" t="s">
        <v>56</v>
      </c>
      <c r="N365" s="3" t="str">
        <f t="shared" si="20"/>
        <v>2024-04</v>
      </c>
      <c r="O365" s="3" t="str">
        <f t="shared" si="21"/>
        <v>16-20%</v>
      </c>
      <c r="P365" s="9">
        <f t="shared" si="22"/>
        <v>0.15587204397131441</v>
      </c>
      <c r="Q365" s="3" t="str">
        <f t="shared" si="23"/>
        <v>No</v>
      </c>
    </row>
    <row r="366" spans="1:17" ht="21" customHeight="1">
      <c r="A366" s="3" t="s">
        <v>763</v>
      </c>
      <c r="B366" s="5">
        <v>45409</v>
      </c>
      <c r="C366" s="3" t="s">
        <v>459</v>
      </c>
      <c r="D366" s="3" t="s">
        <v>44</v>
      </c>
      <c r="E366" s="3" t="s">
        <v>39</v>
      </c>
      <c r="F366" s="3" t="s">
        <v>109</v>
      </c>
      <c r="G366" s="3" t="s">
        <v>355</v>
      </c>
      <c r="H366" s="3">
        <v>1</v>
      </c>
      <c r="I366" s="7">
        <v>3576.68</v>
      </c>
      <c r="J366" s="9">
        <v>0</v>
      </c>
      <c r="K366" s="7">
        <v>3576.68</v>
      </c>
      <c r="L366" s="7">
        <v>1488.6</v>
      </c>
      <c r="M366" s="3" t="s">
        <v>56</v>
      </c>
      <c r="N366" s="3" t="str">
        <f t="shared" si="20"/>
        <v>2024-04</v>
      </c>
      <c r="O366" s="3" t="str">
        <f t="shared" si="21"/>
        <v>No discount</v>
      </c>
      <c r="P366" s="9">
        <f t="shared" si="22"/>
        <v>0.41619602536430433</v>
      </c>
      <c r="Q366" s="3" t="str">
        <f t="shared" si="23"/>
        <v>No</v>
      </c>
    </row>
    <row r="367" spans="1:17" ht="21" customHeight="1">
      <c r="A367" s="3" t="s">
        <v>764</v>
      </c>
      <c r="B367" s="5">
        <v>45409</v>
      </c>
      <c r="C367" s="3" t="s">
        <v>765</v>
      </c>
      <c r="D367" s="3" t="s">
        <v>46</v>
      </c>
      <c r="E367" s="3" t="s">
        <v>40</v>
      </c>
      <c r="F367" s="3" t="s">
        <v>221</v>
      </c>
      <c r="G367" s="3" t="s">
        <v>222</v>
      </c>
      <c r="H367" s="3">
        <v>1</v>
      </c>
      <c r="I367" s="7">
        <v>973.79</v>
      </c>
      <c r="J367" s="9">
        <v>0.1</v>
      </c>
      <c r="K367" s="7">
        <v>876.41</v>
      </c>
      <c r="L367" s="7">
        <v>198.81</v>
      </c>
      <c r="M367" s="3" t="s">
        <v>59</v>
      </c>
      <c r="N367" s="3" t="str">
        <f t="shared" si="20"/>
        <v>2024-04</v>
      </c>
      <c r="O367" s="3" t="str">
        <f t="shared" si="21"/>
        <v>1-10%</v>
      </c>
      <c r="P367" s="9">
        <f t="shared" si="22"/>
        <v>0.22684588263483987</v>
      </c>
      <c r="Q367" s="3" t="str">
        <f t="shared" si="23"/>
        <v>No</v>
      </c>
    </row>
    <row r="368" spans="1:17" ht="21" customHeight="1">
      <c r="A368" s="3" t="s">
        <v>766</v>
      </c>
      <c r="B368" s="5">
        <v>45409</v>
      </c>
      <c r="C368" s="3" t="s">
        <v>293</v>
      </c>
      <c r="D368" s="3" t="s">
        <v>44</v>
      </c>
      <c r="E368" s="3" t="s">
        <v>41</v>
      </c>
      <c r="F368" s="3" t="s">
        <v>113</v>
      </c>
      <c r="G368" s="3" t="s">
        <v>114</v>
      </c>
      <c r="H368" s="3">
        <v>1</v>
      </c>
      <c r="I368" s="7">
        <v>12586.8</v>
      </c>
      <c r="J368" s="9">
        <v>0</v>
      </c>
      <c r="K368" s="7">
        <v>12586.8</v>
      </c>
      <c r="L368" s="7">
        <v>4644.8500000000004</v>
      </c>
      <c r="M368" s="3" t="s">
        <v>56</v>
      </c>
      <c r="N368" s="3" t="str">
        <f t="shared" si="20"/>
        <v>2024-04</v>
      </c>
      <c r="O368" s="3" t="str">
        <f t="shared" si="21"/>
        <v>No discount</v>
      </c>
      <c r="P368" s="9">
        <f t="shared" si="22"/>
        <v>0.36902548701814603</v>
      </c>
      <c r="Q368" s="3" t="str">
        <f t="shared" si="23"/>
        <v>No</v>
      </c>
    </row>
    <row r="369" spans="1:17" ht="21" customHeight="1">
      <c r="A369" s="3" t="s">
        <v>767</v>
      </c>
      <c r="B369" s="5">
        <v>45410</v>
      </c>
      <c r="C369" s="3" t="s">
        <v>768</v>
      </c>
      <c r="D369" s="3" t="s">
        <v>45</v>
      </c>
      <c r="E369" s="3" t="s">
        <v>40</v>
      </c>
      <c r="F369" s="3" t="s">
        <v>160</v>
      </c>
      <c r="G369" s="3" t="s">
        <v>173</v>
      </c>
      <c r="H369" s="3">
        <v>1</v>
      </c>
      <c r="I369" s="7">
        <v>8860.1299999999992</v>
      </c>
      <c r="J369" s="9">
        <v>0.1</v>
      </c>
      <c r="K369" s="7">
        <v>7974.12</v>
      </c>
      <c r="L369" s="7">
        <v>1897.16</v>
      </c>
      <c r="M369" s="3" t="s">
        <v>60</v>
      </c>
      <c r="N369" s="3" t="str">
        <f t="shared" si="20"/>
        <v>2024-04</v>
      </c>
      <c r="O369" s="3" t="str">
        <f t="shared" si="21"/>
        <v>1-10%</v>
      </c>
      <c r="P369" s="9">
        <f t="shared" si="22"/>
        <v>0.23791465390538394</v>
      </c>
      <c r="Q369" s="3" t="str">
        <f t="shared" si="23"/>
        <v>No</v>
      </c>
    </row>
    <row r="370" spans="1:17" ht="21" customHeight="1">
      <c r="A370" s="3" t="s">
        <v>769</v>
      </c>
      <c r="B370" s="5">
        <v>45410</v>
      </c>
      <c r="C370" s="3" t="s">
        <v>264</v>
      </c>
      <c r="D370" s="3" t="s">
        <v>46</v>
      </c>
      <c r="E370" s="3" t="s">
        <v>40</v>
      </c>
      <c r="F370" s="3" t="s">
        <v>102</v>
      </c>
      <c r="G370" s="3" t="s">
        <v>146</v>
      </c>
      <c r="H370" s="3">
        <v>2</v>
      </c>
      <c r="I370" s="7">
        <v>7970.42</v>
      </c>
      <c r="J370" s="9">
        <v>0.1</v>
      </c>
      <c r="K370" s="7">
        <v>14346.76</v>
      </c>
      <c r="L370" s="7">
        <v>3315.34</v>
      </c>
      <c r="M370" s="3" t="s">
        <v>56</v>
      </c>
      <c r="N370" s="3" t="str">
        <f t="shared" si="20"/>
        <v>2024-04</v>
      </c>
      <c r="O370" s="3" t="str">
        <f t="shared" si="21"/>
        <v>1-10%</v>
      </c>
      <c r="P370" s="9">
        <f t="shared" si="22"/>
        <v>0.23108632192913245</v>
      </c>
      <c r="Q370" s="3" t="str">
        <f t="shared" si="23"/>
        <v>No</v>
      </c>
    </row>
    <row r="371" spans="1:17" ht="21" customHeight="1">
      <c r="A371" s="3" t="s">
        <v>770</v>
      </c>
      <c r="B371" s="5">
        <v>45410</v>
      </c>
      <c r="C371" s="3" t="s">
        <v>771</v>
      </c>
      <c r="D371" s="3" t="s">
        <v>46</v>
      </c>
      <c r="E371" s="3" t="s">
        <v>40</v>
      </c>
      <c r="F371" s="3" t="s">
        <v>221</v>
      </c>
      <c r="G371" s="3" t="s">
        <v>222</v>
      </c>
      <c r="H371" s="3">
        <v>1</v>
      </c>
      <c r="I371" s="7">
        <v>1041.44</v>
      </c>
      <c r="J371" s="9">
        <v>0.15</v>
      </c>
      <c r="K371" s="7">
        <v>885.22</v>
      </c>
      <c r="L371" s="7">
        <v>116.47</v>
      </c>
      <c r="M371" s="3" t="s">
        <v>57</v>
      </c>
      <c r="N371" s="3" t="str">
        <f t="shared" si="20"/>
        <v>2024-04</v>
      </c>
      <c r="O371" s="3" t="str">
        <f t="shared" si="21"/>
        <v>11-15%</v>
      </c>
      <c r="P371" s="9">
        <f t="shared" si="22"/>
        <v>0.1315718126567407</v>
      </c>
      <c r="Q371" s="3" t="str">
        <f t="shared" si="23"/>
        <v>No</v>
      </c>
    </row>
    <row r="372" spans="1:17" ht="21" customHeight="1">
      <c r="A372" s="3" t="s">
        <v>772</v>
      </c>
      <c r="B372" s="5">
        <v>45410</v>
      </c>
      <c r="C372" s="3" t="s">
        <v>773</v>
      </c>
      <c r="D372" s="3" t="s">
        <v>44</v>
      </c>
      <c r="E372" s="3" t="s">
        <v>42</v>
      </c>
      <c r="F372" s="3" t="s">
        <v>126</v>
      </c>
      <c r="G372" s="3" t="s">
        <v>151</v>
      </c>
      <c r="H372" s="3">
        <v>1</v>
      </c>
      <c r="I372" s="7">
        <v>1524.51</v>
      </c>
      <c r="J372" s="9">
        <v>0.1</v>
      </c>
      <c r="K372" s="7">
        <v>1372.06</v>
      </c>
      <c r="L372" s="7">
        <v>588.33000000000004</v>
      </c>
      <c r="M372" s="3" t="s">
        <v>57</v>
      </c>
      <c r="N372" s="3" t="str">
        <f t="shared" si="20"/>
        <v>2024-04</v>
      </c>
      <c r="O372" s="3" t="str">
        <f t="shared" si="21"/>
        <v>1-10%</v>
      </c>
      <c r="P372" s="9">
        <f t="shared" si="22"/>
        <v>0.42879320146349292</v>
      </c>
      <c r="Q372" s="3" t="str">
        <f t="shared" si="23"/>
        <v>No</v>
      </c>
    </row>
    <row r="373" spans="1:17" ht="21" customHeight="1">
      <c r="A373" s="3" t="s">
        <v>774</v>
      </c>
      <c r="B373" s="5">
        <v>45410</v>
      </c>
      <c r="C373" s="3" t="s">
        <v>775</v>
      </c>
      <c r="D373" s="3" t="s">
        <v>47</v>
      </c>
      <c r="E373" s="3" t="s">
        <v>39</v>
      </c>
      <c r="F373" s="3" t="s">
        <v>109</v>
      </c>
      <c r="G373" s="3" t="s">
        <v>355</v>
      </c>
      <c r="H373" s="3">
        <v>1</v>
      </c>
      <c r="I373" s="7">
        <v>3492.2</v>
      </c>
      <c r="J373" s="9">
        <v>0.05</v>
      </c>
      <c r="K373" s="7">
        <v>3317.59</v>
      </c>
      <c r="L373" s="7">
        <v>1296.9000000000001</v>
      </c>
      <c r="M373" s="3" t="s">
        <v>58</v>
      </c>
      <c r="N373" s="3" t="str">
        <f t="shared" si="20"/>
        <v>2024-04</v>
      </c>
      <c r="O373" s="3" t="str">
        <f t="shared" si="21"/>
        <v>1-10%</v>
      </c>
      <c r="P373" s="9">
        <f t="shared" si="22"/>
        <v>0.39091629767391389</v>
      </c>
      <c r="Q373" s="3" t="str">
        <f t="shared" si="23"/>
        <v>No</v>
      </c>
    </row>
    <row r="374" spans="1:17" ht="21" customHeight="1">
      <c r="A374" s="3" t="s">
        <v>776</v>
      </c>
      <c r="B374" s="5">
        <v>45411</v>
      </c>
      <c r="C374" s="3" t="s">
        <v>272</v>
      </c>
      <c r="D374" s="3" t="s">
        <v>46</v>
      </c>
      <c r="E374" s="3" t="s">
        <v>42</v>
      </c>
      <c r="F374" s="3" t="s">
        <v>126</v>
      </c>
      <c r="G374" s="3" t="s">
        <v>127</v>
      </c>
      <c r="H374" s="3">
        <v>2</v>
      </c>
      <c r="I374" s="7">
        <v>994.89</v>
      </c>
      <c r="J374" s="9">
        <v>0.3</v>
      </c>
      <c r="K374" s="7">
        <v>1392.85</v>
      </c>
      <c r="L374" s="7">
        <v>281.16000000000003</v>
      </c>
      <c r="M374" s="3" t="s">
        <v>56</v>
      </c>
      <c r="N374" s="3" t="str">
        <f t="shared" si="20"/>
        <v>2024-04</v>
      </c>
      <c r="O374" s="3" t="str">
        <f t="shared" si="21"/>
        <v>21%+</v>
      </c>
      <c r="P374" s="9">
        <f t="shared" si="22"/>
        <v>0.20185949671536779</v>
      </c>
      <c r="Q374" s="3" t="str">
        <f t="shared" si="23"/>
        <v>No</v>
      </c>
    </row>
    <row r="375" spans="1:17" ht="21" customHeight="1">
      <c r="A375" s="3" t="s">
        <v>777</v>
      </c>
      <c r="B375" s="5">
        <v>45411</v>
      </c>
      <c r="C375" s="3" t="s">
        <v>778</v>
      </c>
      <c r="D375" s="3" t="s">
        <v>44</v>
      </c>
      <c r="E375" s="3" t="s">
        <v>41</v>
      </c>
      <c r="F375" s="3" t="s">
        <v>113</v>
      </c>
      <c r="G375" s="3" t="s">
        <v>123</v>
      </c>
      <c r="H375" s="3">
        <v>2</v>
      </c>
      <c r="I375" s="7">
        <v>3471.71</v>
      </c>
      <c r="J375" s="9">
        <v>0.1</v>
      </c>
      <c r="K375" s="7">
        <v>6249.08</v>
      </c>
      <c r="L375" s="7">
        <v>1563.94</v>
      </c>
      <c r="M375" s="3" t="s">
        <v>59</v>
      </c>
      <c r="N375" s="3" t="str">
        <f t="shared" si="20"/>
        <v>2024-04</v>
      </c>
      <c r="O375" s="3" t="str">
        <f t="shared" si="21"/>
        <v>1-10%</v>
      </c>
      <c r="P375" s="9">
        <f t="shared" si="22"/>
        <v>0.25026723933763051</v>
      </c>
      <c r="Q375" s="3" t="str">
        <f t="shared" si="23"/>
        <v>No</v>
      </c>
    </row>
    <row r="376" spans="1:17" ht="21" customHeight="1">
      <c r="A376" s="3" t="s">
        <v>779</v>
      </c>
      <c r="B376" s="5">
        <v>45411</v>
      </c>
      <c r="C376" s="3" t="s">
        <v>529</v>
      </c>
      <c r="D376" s="3" t="s">
        <v>46</v>
      </c>
      <c r="E376" s="3" t="s">
        <v>39</v>
      </c>
      <c r="F376" s="3" t="s">
        <v>164</v>
      </c>
      <c r="G376" s="3" t="s">
        <v>200</v>
      </c>
      <c r="H376" s="3">
        <v>1</v>
      </c>
      <c r="I376" s="7">
        <v>1335.56</v>
      </c>
      <c r="J376" s="9">
        <v>0.1</v>
      </c>
      <c r="K376" s="7">
        <v>1202</v>
      </c>
      <c r="L376" s="7">
        <v>349.19</v>
      </c>
      <c r="M376" s="3" t="s">
        <v>56</v>
      </c>
      <c r="N376" s="3" t="str">
        <f t="shared" si="20"/>
        <v>2024-04</v>
      </c>
      <c r="O376" s="3" t="str">
        <f t="shared" si="21"/>
        <v>1-10%</v>
      </c>
      <c r="P376" s="9">
        <f t="shared" si="22"/>
        <v>0.29050748752079869</v>
      </c>
      <c r="Q376" s="3" t="str">
        <f t="shared" si="23"/>
        <v>No</v>
      </c>
    </row>
    <row r="377" spans="1:17" ht="21" customHeight="1">
      <c r="A377" s="3" t="s">
        <v>780</v>
      </c>
      <c r="B377" s="5">
        <v>45411</v>
      </c>
      <c r="C377" s="3" t="s">
        <v>781</v>
      </c>
      <c r="D377" s="3" t="s">
        <v>47</v>
      </c>
      <c r="E377" s="3" t="s">
        <v>42</v>
      </c>
      <c r="F377" s="3" t="s">
        <v>90</v>
      </c>
      <c r="G377" s="3" t="s">
        <v>106</v>
      </c>
      <c r="H377" s="3">
        <v>1</v>
      </c>
      <c r="I377" s="7">
        <v>938.41</v>
      </c>
      <c r="J377" s="9">
        <v>0</v>
      </c>
      <c r="K377" s="7">
        <v>938.41</v>
      </c>
      <c r="L377" s="7">
        <v>494.34</v>
      </c>
      <c r="M377" s="3" t="s">
        <v>57</v>
      </c>
      <c r="N377" s="3" t="str">
        <f t="shared" si="20"/>
        <v>2024-04</v>
      </c>
      <c r="O377" s="3" t="str">
        <f t="shared" si="21"/>
        <v>No discount</v>
      </c>
      <c r="P377" s="9">
        <f t="shared" si="22"/>
        <v>0.52678466768256949</v>
      </c>
      <c r="Q377" s="3" t="str">
        <f t="shared" si="23"/>
        <v>No</v>
      </c>
    </row>
    <row r="378" spans="1:17" ht="21" customHeight="1">
      <c r="A378" s="3" t="s">
        <v>782</v>
      </c>
      <c r="B378" s="5">
        <v>45412</v>
      </c>
      <c r="C378" s="3" t="s">
        <v>251</v>
      </c>
      <c r="D378" s="3" t="s">
        <v>47</v>
      </c>
      <c r="E378" s="3" t="s">
        <v>39</v>
      </c>
      <c r="F378" s="3" t="s">
        <v>164</v>
      </c>
      <c r="G378" s="3" t="s">
        <v>165</v>
      </c>
      <c r="H378" s="3">
        <v>1</v>
      </c>
      <c r="I378" s="7">
        <v>2036.2</v>
      </c>
      <c r="J378" s="9">
        <v>0</v>
      </c>
      <c r="K378" s="7">
        <v>2036.2</v>
      </c>
      <c r="L378" s="7">
        <v>924.13</v>
      </c>
      <c r="M378" s="3" t="s">
        <v>58</v>
      </c>
      <c r="N378" s="3" t="str">
        <f t="shared" si="20"/>
        <v>2024-04</v>
      </c>
      <c r="O378" s="3" t="str">
        <f t="shared" si="21"/>
        <v>No discount</v>
      </c>
      <c r="P378" s="9">
        <f t="shared" si="22"/>
        <v>0.45385030939986248</v>
      </c>
      <c r="Q378" s="3" t="str">
        <f t="shared" si="23"/>
        <v>No</v>
      </c>
    </row>
    <row r="379" spans="1:17" ht="21" customHeight="1">
      <c r="A379" s="3" t="s">
        <v>783</v>
      </c>
      <c r="B379" s="5">
        <v>45412</v>
      </c>
      <c r="C379" s="3" t="s">
        <v>730</v>
      </c>
      <c r="D379" s="3" t="s">
        <v>44</v>
      </c>
      <c r="E379" s="3" t="s">
        <v>41</v>
      </c>
      <c r="F379" s="3" t="s">
        <v>113</v>
      </c>
      <c r="G379" s="3" t="s">
        <v>123</v>
      </c>
      <c r="H379" s="3">
        <v>1</v>
      </c>
      <c r="I379" s="7">
        <v>3573.79</v>
      </c>
      <c r="J379" s="9">
        <v>0.1</v>
      </c>
      <c r="K379" s="7">
        <v>3216.41</v>
      </c>
      <c r="L379" s="7">
        <v>926.99</v>
      </c>
      <c r="M379" s="3" t="s">
        <v>58</v>
      </c>
      <c r="N379" s="3" t="str">
        <f t="shared" si="20"/>
        <v>2024-04</v>
      </c>
      <c r="O379" s="3" t="str">
        <f t="shared" si="21"/>
        <v>1-10%</v>
      </c>
      <c r="P379" s="9">
        <f t="shared" si="22"/>
        <v>0.28820641647053702</v>
      </c>
      <c r="Q379" s="3" t="str">
        <f t="shared" si="23"/>
        <v>No</v>
      </c>
    </row>
    <row r="380" spans="1:17" ht="21" customHeight="1">
      <c r="A380" s="3" t="s">
        <v>784</v>
      </c>
      <c r="B380" s="5">
        <v>45412</v>
      </c>
      <c r="C380" s="3" t="s">
        <v>785</v>
      </c>
      <c r="D380" s="3" t="s">
        <v>47</v>
      </c>
      <c r="E380" s="3" t="s">
        <v>41</v>
      </c>
      <c r="F380" s="3" t="s">
        <v>113</v>
      </c>
      <c r="G380" s="3" t="s">
        <v>114</v>
      </c>
      <c r="H380" s="3">
        <v>1</v>
      </c>
      <c r="I380" s="7">
        <v>11804.57</v>
      </c>
      <c r="J380" s="9">
        <v>0.3</v>
      </c>
      <c r="K380" s="7">
        <v>8263.2000000000007</v>
      </c>
      <c r="L380" s="7">
        <v>407.58</v>
      </c>
      <c r="M380" s="3" t="s">
        <v>59</v>
      </c>
      <c r="N380" s="3" t="str">
        <f t="shared" si="20"/>
        <v>2024-04</v>
      </c>
      <c r="O380" s="3" t="str">
        <f t="shared" si="21"/>
        <v>21%+</v>
      </c>
      <c r="P380" s="9">
        <f t="shared" si="22"/>
        <v>4.9324716816729591E-2</v>
      </c>
      <c r="Q380" s="3" t="str">
        <f t="shared" si="23"/>
        <v>No</v>
      </c>
    </row>
    <row r="381" spans="1:17" ht="21" customHeight="1">
      <c r="A381" s="3" t="s">
        <v>786</v>
      </c>
      <c r="B381" s="5">
        <v>45412</v>
      </c>
      <c r="C381" s="3" t="s">
        <v>781</v>
      </c>
      <c r="D381" s="3" t="s">
        <v>45</v>
      </c>
      <c r="E381" s="3" t="s">
        <v>40</v>
      </c>
      <c r="F381" s="3" t="s">
        <v>160</v>
      </c>
      <c r="G381" s="3" t="s">
        <v>161</v>
      </c>
      <c r="H381" s="3">
        <v>3</v>
      </c>
      <c r="I381" s="7">
        <v>13363.07</v>
      </c>
      <c r="J381" s="9">
        <v>0</v>
      </c>
      <c r="K381" s="7">
        <v>40089.21</v>
      </c>
      <c r="L381" s="7">
        <v>14035.58</v>
      </c>
      <c r="M381" s="3" t="s">
        <v>59</v>
      </c>
      <c r="N381" s="3" t="str">
        <f t="shared" si="20"/>
        <v>2024-04</v>
      </c>
      <c r="O381" s="3" t="str">
        <f t="shared" si="21"/>
        <v>No discount</v>
      </c>
      <c r="P381" s="9">
        <f t="shared" si="22"/>
        <v>0.35010867013842378</v>
      </c>
      <c r="Q381" s="3" t="str">
        <f t="shared" si="23"/>
        <v>No</v>
      </c>
    </row>
    <row r="382" spans="1:17" ht="21" customHeight="1">
      <c r="A382" s="3" t="s">
        <v>787</v>
      </c>
      <c r="B382" s="5">
        <v>45413</v>
      </c>
      <c r="C382" s="3" t="s">
        <v>788</v>
      </c>
      <c r="D382" s="3" t="s">
        <v>44</v>
      </c>
      <c r="E382" s="3" t="s">
        <v>38</v>
      </c>
      <c r="F382" s="3" t="s">
        <v>142</v>
      </c>
      <c r="G382" s="3" t="s">
        <v>143</v>
      </c>
      <c r="H382" s="3">
        <v>3</v>
      </c>
      <c r="I382" s="7">
        <v>9144.8700000000008</v>
      </c>
      <c r="J382" s="9">
        <v>0</v>
      </c>
      <c r="K382" s="7">
        <v>27434.61</v>
      </c>
      <c r="L382" s="7">
        <v>4916.83</v>
      </c>
      <c r="M382" s="3" t="s">
        <v>56</v>
      </c>
      <c r="N382" s="3" t="str">
        <f t="shared" si="20"/>
        <v>2024-05</v>
      </c>
      <c r="O382" s="3" t="str">
        <f t="shared" si="21"/>
        <v>No discount</v>
      </c>
      <c r="P382" s="9">
        <f t="shared" si="22"/>
        <v>0.17921997068666184</v>
      </c>
      <c r="Q382" s="3" t="str">
        <f t="shared" si="23"/>
        <v>No</v>
      </c>
    </row>
    <row r="383" spans="1:17" ht="21" customHeight="1">
      <c r="A383" s="3" t="s">
        <v>789</v>
      </c>
      <c r="B383" s="5">
        <v>45413</v>
      </c>
      <c r="C383" s="3" t="s">
        <v>283</v>
      </c>
      <c r="D383" s="3" t="s">
        <v>44</v>
      </c>
      <c r="E383" s="3" t="s">
        <v>39</v>
      </c>
      <c r="F383" s="3" t="s">
        <v>164</v>
      </c>
      <c r="G383" s="3" t="s">
        <v>165</v>
      </c>
      <c r="H383" s="3">
        <v>1</v>
      </c>
      <c r="I383" s="7">
        <v>1936.17</v>
      </c>
      <c r="J383" s="9">
        <v>0</v>
      </c>
      <c r="K383" s="7">
        <v>1936.17</v>
      </c>
      <c r="L383" s="7">
        <v>855.95</v>
      </c>
      <c r="M383" s="3" t="s">
        <v>56</v>
      </c>
      <c r="N383" s="3" t="str">
        <f t="shared" si="20"/>
        <v>2024-05</v>
      </c>
      <c r="O383" s="3" t="str">
        <f t="shared" si="21"/>
        <v>No discount</v>
      </c>
      <c r="P383" s="9">
        <f t="shared" si="22"/>
        <v>0.44208411451473789</v>
      </c>
      <c r="Q383" s="3" t="str">
        <f t="shared" si="23"/>
        <v>No</v>
      </c>
    </row>
    <row r="384" spans="1:17" ht="21" customHeight="1">
      <c r="A384" s="3" t="s">
        <v>790</v>
      </c>
      <c r="B384" s="5">
        <v>45414</v>
      </c>
      <c r="C384" s="3" t="s">
        <v>368</v>
      </c>
      <c r="D384" s="3" t="s">
        <v>46</v>
      </c>
      <c r="E384" s="3" t="s">
        <v>42</v>
      </c>
      <c r="F384" s="3" t="s">
        <v>90</v>
      </c>
      <c r="G384" s="3" t="s">
        <v>91</v>
      </c>
      <c r="H384" s="3">
        <v>1</v>
      </c>
      <c r="I384" s="7">
        <v>1169.25</v>
      </c>
      <c r="J384" s="9">
        <v>0.15</v>
      </c>
      <c r="K384" s="7">
        <v>993.86</v>
      </c>
      <c r="L384" s="7">
        <v>338.13</v>
      </c>
      <c r="M384" s="3" t="s">
        <v>56</v>
      </c>
      <c r="N384" s="3" t="str">
        <f t="shared" si="20"/>
        <v>2024-05</v>
      </c>
      <c r="O384" s="3" t="str">
        <f t="shared" si="21"/>
        <v>11-15%</v>
      </c>
      <c r="P384" s="9">
        <f t="shared" si="22"/>
        <v>0.34021894431811323</v>
      </c>
      <c r="Q384" s="3" t="str">
        <f t="shared" si="23"/>
        <v>No</v>
      </c>
    </row>
    <row r="385" spans="1:17" ht="21" customHeight="1">
      <c r="A385" s="3" t="s">
        <v>791</v>
      </c>
      <c r="B385" s="5">
        <v>45414</v>
      </c>
      <c r="C385" s="3" t="s">
        <v>792</v>
      </c>
      <c r="D385" s="3" t="s">
        <v>45</v>
      </c>
      <c r="E385" s="3" t="s">
        <v>39</v>
      </c>
      <c r="F385" s="3" t="s">
        <v>164</v>
      </c>
      <c r="G385" s="3" t="s">
        <v>165</v>
      </c>
      <c r="H385" s="3">
        <v>2</v>
      </c>
      <c r="I385" s="7">
        <v>2093.08</v>
      </c>
      <c r="J385" s="9">
        <v>0.05</v>
      </c>
      <c r="K385" s="7">
        <v>3976.85</v>
      </c>
      <c r="L385" s="7">
        <v>1473.07</v>
      </c>
      <c r="M385" s="3" t="s">
        <v>57</v>
      </c>
      <c r="N385" s="3" t="str">
        <f t="shared" si="20"/>
        <v>2024-05</v>
      </c>
      <c r="O385" s="3" t="str">
        <f t="shared" si="21"/>
        <v>1-10%</v>
      </c>
      <c r="P385" s="9">
        <f t="shared" si="22"/>
        <v>0.37041125513911766</v>
      </c>
      <c r="Q385" s="3" t="str">
        <f t="shared" si="23"/>
        <v>No</v>
      </c>
    </row>
    <row r="386" spans="1:17" ht="21" customHeight="1">
      <c r="A386" s="3" t="s">
        <v>793</v>
      </c>
      <c r="B386" s="5">
        <v>45415</v>
      </c>
      <c r="C386" s="3" t="s">
        <v>153</v>
      </c>
      <c r="D386" s="3" t="s">
        <v>46</v>
      </c>
      <c r="E386" s="3" t="s">
        <v>41</v>
      </c>
      <c r="F386" s="3" t="s">
        <v>113</v>
      </c>
      <c r="G386" s="3" t="s">
        <v>123</v>
      </c>
      <c r="H386" s="3">
        <v>2</v>
      </c>
      <c r="I386" s="7">
        <v>3453.28</v>
      </c>
      <c r="J386" s="9">
        <v>0.25</v>
      </c>
      <c r="K386" s="7">
        <v>5179.92</v>
      </c>
      <c r="L386" s="7">
        <v>666.37</v>
      </c>
      <c r="M386" s="3" t="s">
        <v>56</v>
      </c>
      <c r="N386" s="3" t="str">
        <f t="shared" ref="N386:N449" si="24">TEXT(B386,"yyyy-mm")</f>
        <v>2024-05</v>
      </c>
      <c r="O386" s="3" t="str">
        <f t="shared" ref="O386:O449" si="25">IF(J386=0,"No discount",IF(J386&lt;=0.1,"1-10%",IF(J386&lt;=0.15,"11-15%",IF(J386&lt;=0.2,"16-20%","21%+"))))</f>
        <v>21%+</v>
      </c>
      <c r="P386" s="9">
        <f t="shared" ref="P386:P449" si="26">IF(K386=0,0,L386/K386)</f>
        <v>0.12864484393581369</v>
      </c>
      <c r="Q386" s="3" t="str">
        <f t="shared" ref="Q386:Q449" si="27">IF(L386&lt;0,"Yes","No")</f>
        <v>No</v>
      </c>
    </row>
    <row r="387" spans="1:17" ht="21" customHeight="1">
      <c r="A387" s="3" t="s">
        <v>794</v>
      </c>
      <c r="B387" s="5">
        <v>45415</v>
      </c>
      <c r="C387" s="3" t="s">
        <v>795</v>
      </c>
      <c r="D387" s="3" t="s">
        <v>44</v>
      </c>
      <c r="E387" s="3" t="s">
        <v>39</v>
      </c>
      <c r="F387" s="3" t="s">
        <v>164</v>
      </c>
      <c r="G387" s="3" t="s">
        <v>165</v>
      </c>
      <c r="H387" s="3">
        <v>1</v>
      </c>
      <c r="I387" s="7">
        <v>1927.53</v>
      </c>
      <c r="J387" s="9">
        <v>0</v>
      </c>
      <c r="K387" s="7">
        <v>1927.53</v>
      </c>
      <c r="L387" s="7">
        <v>870.17</v>
      </c>
      <c r="M387" s="3" t="s">
        <v>60</v>
      </c>
      <c r="N387" s="3" t="str">
        <f t="shared" si="24"/>
        <v>2024-05</v>
      </c>
      <c r="O387" s="3" t="str">
        <f t="shared" si="25"/>
        <v>No discount</v>
      </c>
      <c r="P387" s="9">
        <f t="shared" si="26"/>
        <v>0.4514430385000493</v>
      </c>
      <c r="Q387" s="3" t="str">
        <f t="shared" si="27"/>
        <v>No</v>
      </c>
    </row>
    <row r="388" spans="1:17" ht="21" customHeight="1">
      <c r="A388" s="3" t="s">
        <v>796</v>
      </c>
      <c r="B388" s="5">
        <v>45415</v>
      </c>
      <c r="C388" s="3" t="s">
        <v>571</v>
      </c>
      <c r="D388" s="3" t="s">
        <v>47</v>
      </c>
      <c r="E388" s="3" t="s">
        <v>40</v>
      </c>
      <c r="F388" s="3" t="s">
        <v>221</v>
      </c>
      <c r="G388" s="3" t="s">
        <v>222</v>
      </c>
      <c r="H388" s="3">
        <v>2</v>
      </c>
      <c r="I388" s="7">
        <v>1031.3800000000001</v>
      </c>
      <c r="J388" s="9">
        <v>0.1</v>
      </c>
      <c r="K388" s="7">
        <v>1856.48</v>
      </c>
      <c r="L388" s="7">
        <v>420.8</v>
      </c>
      <c r="M388" s="3" t="s">
        <v>57</v>
      </c>
      <c r="N388" s="3" t="str">
        <f t="shared" si="24"/>
        <v>2024-05</v>
      </c>
      <c r="O388" s="3" t="str">
        <f t="shared" si="25"/>
        <v>1-10%</v>
      </c>
      <c r="P388" s="9">
        <f t="shared" si="26"/>
        <v>0.22666551753856762</v>
      </c>
      <c r="Q388" s="3" t="str">
        <f t="shared" si="27"/>
        <v>No</v>
      </c>
    </row>
    <row r="389" spans="1:17" ht="21" customHeight="1">
      <c r="A389" s="3" t="s">
        <v>797</v>
      </c>
      <c r="B389" s="5">
        <v>45415</v>
      </c>
      <c r="C389" s="3" t="s">
        <v>525</v>
      </c>
      <c r="D389" s="3" t="s">
        <v>44</v>
      </c>
      <c r="E389" s="3" t="s">
        <v>39</v>
      </c>
      <c r="F389" s="3" t="s">
        <v>164</v>
      </c>
      <c r="G389" s="3" t="s">
        <v>165</v>
      </c>
      <c r="H389" s="3">
        <v>2</v>
      </c>
      <c r="I389" s="7">
        <v>2016.61</v>
      </c>
      <c r="J389" s="9">
        <v>0.2</v>
      </c>
      <c r="K389" s="7">
        <v>3226.58</v>
      </c>
      <c r="L389" s="7">
        <v>738.98</v>
      </c>
      <c r="M389" s="3" t="s">
        <v>57</v>
      </c>
      <c r="N389" s="3" t="str">
        <f t="shared" si="24"/>
        <v>2024-05</v>
      </c>
      <c r="O389" s="3" t="str">
        <f t="shared" si="25"/>
        <v>16-20%</v>
      </c>
      <c r="P389" s="9">
        <f t="shared" si="26"/>
        <v>0.22902887887484583</v>
      </c>
      <c r="Q389" s="3" t="str">
        <f t="shared" si="27"/>
        <v>No</v>
      </c>
    </row>
    <row r="390" spans="1:17" ht="21" customHeight="1">
      <c r="A390" s="3" t="s">
        <v>798</v>
      </c>
      <c r="B390" s="5">
        <v>45415</v>
      </c>
      <c r="C390" s="3" t="s">
        <v>775</v>
      </c>
      <c r="D390" s="3" t="s">
        <v>47</v>
      </c>
      <c r="E390" s="3" t="s">
        <v>42</v>
      </c>
      <c r="F390" s="3" t="s">
        <v>90</v>
      </c>
      <c r="G390" s="3" t="s">
        <v>106</v>
      </c>
      <c r="H390" s="3">
        <v>1</v>
      </c>
      <c r="I390" s="7">
        <v>893.61</v>
      </c>
      <c r="J390" s="9">
        <v>0.05</v>
      </c>
      <c r="K390" s="7">
        <v>848.93</v>
      </c>
      <c r="L390" s="7">
        <v>398.47</v>
      </c>
      <c r="M390" s="3" t="s">
        <v>57</v>
      </c>
      <c r="N390" s="3" t="str">
        <f t="shared" si="24"/>
        <v>2024-05</v>
      </c>
      <c r="O390" s="3" t="str">
        <f t="shared" si="25"/>
        <v>1-10%</v>
      </c>
      <c r="P390" s="9">
        <f t="shared" si="26"/>
        <v>0.46937910075035638</v>
      </c>
      <c r="Q390" s="3" t="str">
        <f t="shared" si="27"/>
        <v>No</v>
      </c>
    </row>
    <row r="391" spans="1:17" ht="21" customHeight="1">
      <c r="A391" s="3" t="s">
        <v>799</v>
      </c>
      <c r="B391" s="5">
        <v>45415</v>
      </c>
      <c r="C391" s="3" t="s">
        <v>800</v>
      </c>
      <c r="D391" s="3" t="s">
        <v>46</v>
      </c>
      <c r="E391" s="3" t="s">
        <v>41</v>
      </c>
      <c r="F391" s="3" t="s">
        <v>119</v>
      </c>
      <c r="G391" s="3" t="s">
        <v>168</v>
      </c>
      <c r="H391" s="3">
        <v>1</v>
      </c>
      <c r="I391" s="7">
        <v>10386.06</v>
      </c>
      <c r="J391" s="9">
        <v>0.15</v>
      </c>
      <c r="K391" s="7">
        <v>8828.15</v>
      </c>
      <c r="L391" s="7">
        <v>1540.67</v>
      </c>
      <c r="M391" s="3" t="s">
        <v>56</v>
      </c>
      <c r="N391" s="3" t="str">
        <f t="shared" si="24"/>
        <v>2024-05</v>
      </c>
      <c r="O391" s="3" t="str">
        <f t="shared" si="25"/>
        <v>11-15%</v>
      </c>
      <c r="P391" s="9">
        <f t="shared" si="26"/>
        <v>0.17451787747149744</v>
      </c>
      <c r="Q391" s="3" t="str">
        <f t="shared" si="27"/>
        <v>No</v>
      </c>
    </row>
    <row r="392" spans="1:17" ht="21" customHeight="1">
      <c r="A392" s="3" t="s">
        <v>801</v>
      </c>
      <c r="B392" s="5">
        <v>45416</v>
      </c>
      <c r="C392" s="3" t="s">
        <v>680</v>
      </c>
      <c r="D392" s="3" t="s">
        <v>44</v>
      </c>
      <c r="E392" s="3" t="s">
        <v>38</v>
      </c>
      <c r="F392" s="3" t="s">
        <v>142</v>
      </c>
      <c r="G392" s="3" t="s">
        <v>143</v>
      </c>
      <c r="H392" s="3">
        <v>5</v>
      </c>
      <c r="I392" s="7">
        <v>9301.49</v>
      </c>
      <c r="J392" s="9">
        <v>0</v>
      </c>
      <c r="K392" s="7">
        <v>46507.45</v>
      </c>
      <c r="L392" s="7">
        <v>7695.74</v>
      </c>
      <c r="M392" s="3" t="s">
        <v>56</v>
      </c>
      <c r="N392" s="3" t="str">
        <f t="shared" si="24"/>
        <v>2024-05</v>
      </c>
      <c r="O392" s="3" t="str">
        <f t="shared" si="25"/>
        <v>No discount</v>
      </c>
      <c r="P392" s="9">
        <f t="shared" si="26"/>
        <v>0.16547327363680442</v>
      </c>
      <c r="Q392" s="3" t="str">
        <f t="shared" si="27"/>
        <v>No</v>
      </c>
    </row>
    <row r="393" spans="1:17" ht="21" customHeight="1">
      <c r="A393" s="3" t="s">
        <v>802</v>
      </c>
      <c r="B393" s="5">
        <v>45416</v>
      </c>
      <c r="C393" s="3" t="s">
        <v>803</v>
      </c>
      <c r="D393" s="3" t="s">
        <v>44</v>
      </c>
      <c r="E393" s="3" t="s">
        <v>40</v>
      </c>
      <c r="F393" s="3" t="s">
        <v>102</v>
      </c>
      <c r="G393" s="3" t="s">
        <v>103</v>
      </c>
      <c r="H393" s="3">
        <v>1</v>
      </c>
      <c r="I393" s="7">
        <v>6312.67</v>
      </c>
      <c r="J393" s="9">
        <v>0.15</v>
      </c>
      <c r="K393" s="7">
        <v>5365.77</v>
      </c>
      <c r="L393" s="7">
        <v>800.15</v>
      </c>
      <c r="M393" s="3" t="s">
        <v>60</v>
      </c>
      <c r="N393" s="3" t="str">
        <f t="shared" si="24"/>
        <v>2024-05</v>
      </c>
      <c r="O393" s="3" t="str">
        <f t="shared" si="25"/>
        <v>11-15%</v>
      </c>
      <c r="P393" s="9">
        <f t="shared" si="26"/>
        <v>0.14912118857125817</v>
      </c>
      <c r="Q393" s="3" t="str">
        <f t="shared" si="27"/>
        <v>No</v>
      </c>
    </row>
    <row r="394" spans="1:17" ht="21" customHeight="1">
      <c r="A394" s="3" t="s">
        <v>804</v>
      </c>
      <c r="B394" s="5">
        <v>45417</v>
      </c>
      <c r="C394" s="3" t="s">
        <v>805</v>
      </c>
      <c r="D394" s="3" t="s">
        <v>47</v>
      </c>
      <c r="E394" s="3" t="s">
        <v>38</v>
      </c>
      <c r="F394" s="3" t="s">
        <v>94</v>
      </c>
      <c r="G394" s="3" t="s">
        <v>213</v>
      </c>
      <c r="H394" s="3">
        <v>2</v>
      </c>
      <c r="I394" s="7">
        <v>52964.67</v>
      </c>
      <c r="J394" s="9">
        <v>0.05</v>
      </c>
      <c r="K394" s="7">
        <v>100632.87</v>
      </c>
      <c r="L394" s="7">
        <v>8785.1</v>
      </c>
      <c r="M394" s="3" t="s">
        <v>57</v>
      </c>
      <c r="N394" s="3" t="str">
        <f t="shared" si="24"/>
        <v>2024-05</v>
      </c>
      <c r="O394" s="3" t="str">
        <f t="shared" si="25"/>
        <v>1-10%</v>
      </c>
      <c r="P394" s="9">
        <f t="shared" si="26"/>
        <v>8.7298513895112007E-2</v>
      </c>
      <c r="Q394" s="3" t="str">
        <f t="shared" si="27"/>
        <v>No</v>
      </c>
    </row>
    <row r="395" spans="1:17" ht="21" customHeight="1">
      <c r="A395" s="3" t="s">
        <v>806</v>
      </c>
      <c r="B395" s="5">
        <v>45417</v>
      </c>
      <c r="C395" s="3" t="s">
        <v>609</v>
      </c>
      <c r="D395" s="3" t="s">
        <v>46</v>
      </c>
      <c r="E395" s="3" t="s">
        <v>40</v>
      </c>
      <c r="F395" s="3" t="s">
        <v>221</v>
      </c>
      <c r="G395" s="3" t="s">
        <v>222</v>
      </c>
      <c r="H395" s="3">
        <v>4</v>
      </c>
      <c r="I395" s="7">
        <v>968.09</v>
      </c>
      <c r="J395" s="9">
        <v>0</v>
      </c>
      <c r="K395" s="7">
        <v>3872.36</v>
      </c>
      <c r="L395" s="7">
        <v>1302.51</v>
      </c>
      <c r="M395" s="3" t="s">
        <v>58</v>
      </c>
      <c r="N395" s="3" t="str">
        <f t="shared" si="24"/>
        <v>2024-05</v>
      </c>
      <c r="O395" s="3" t="str">
        <f t="shared" si="25"/>
        <v>No discount</v>
      </c>
      <c r="P395" s="9">
        <f t="shared" si="26"/>
        <v>0.33636077224225019</v>
      </c>
      <c r="Q395" s="3" t="str">
        <f t="shared" si="27"/>
        <v>No</v>
      </c>
    </row>
    <row r="396" spans="1:17" ht="21" customHeight="1">
      <c r="A396" s="3" t="s">
        <v>807</v>
      </c>
      <c r="B396" s="5">
        <v>45417</v>
      </c>
      <c r="C396" s="3" t="s">
        <v>808</v>
      </c>
      <c r="D396" s="3" t="s">
        <v>44</v>
      </c>
      <c r="E396" s="3" t="s">
        <v>39</v>
      </c>
      <c r="F396" s="3" t="s">
        <v>130</v>
      </c>
      <c r="G396" s="3" t="s">
        <v>193</v>
      </c>
      <c r="H396" s="3">
        <v>1</v>
      </c>
      <c r="I396" s="7">
        <v>1869.24</v>
      </c>
      <c r="J396" s="9">
        <v>0.1</v>
      </c>
      <c r="K396" s="7">
        <v>1682.32</v>
      </c>
      <c r="L396" s="7">
        <v>580.14</v>
      </c>
      <c r="M396" s="3" t="s">
        <v>56</v>
      </c>
      <c r="N396" s="3" t="str">
        <f t="shared" si="24"/>
        <v>2024-05</v>
      </c>
      <c r="O396" s="3" t="str">
        <f t="shared" si="25"/>
        <v>1-10%</v>
      </c>
      <c r="P396" s="9">
        <f t="shared" si="26"/>
        <v>0.3448452137524371</v>
      </c>
      <c r="Q396" s="3" t="str">
        <f t="shared" si="27"/>
        <v>No</v>
      </c>
    </row>
    <row r="397" spans="1:17" ht="21" customHeight="1">
      <c r="A397" s="3" t="s">
        <v>809</v>
      </c>
      <c r="B397" s="5">
        <v>45417</v>
      </c>
      <c r="C397" s="3" t="s">
        <v>810</v>
      </c>
      <c r="D397" s="3" t="s">
        <v>45</v>
      </c>
      <c r="E397" s="3" t="s">
        <v>42</v>
      </c>
      <c r="F397" s="3" t="s">
        <v>126</v>
      </c>
      <c r="G397" s="3" t="s">
        <v>127</v>
      </c>
      <c r="H397" s="3">
        <v>1</v>
      </c>
      <c r="I397" s="7">
        <v>983.7</v>
      </c>
      <c r="J397" s="9">
        <v>0.1</v>
      </c>
      <c r="K397" s="7">
        <v>885.33</v>
      </c>
      <c r="L397" s="7">
        <v>402.59</v>
      </c>
      <c r="M397" s="3" t="s">
        <v>57</v>
      </c>
      <c r="N397" s="3" t="str">
        <f t="shared" si="24"/>
        <v>2024-05</v>
      </c>
      <c r="O397" s="3" t="str">
        <f t="shared" si="25"/>
        <v>1-10%</v>
      </c>
      <c r="P397" s="9">
        <f t="shared" si="26"/>
        <v>0.45473439282527417</v>
      </c>
      <c r="Q397" s="3" t="str">
        <f t="shared" si="27"/>
        <v>No</v>
      </c>
    </row>
    <row r="398" spans="1:17" ht="21" customHeight="1">
      <c r="A398" s="3" t="s">
        <v>811</v>
      </c>
      <c r="B398" s="5">
        <v>45418</v>
      </c>
      <c r="C398" s="3" t="s">
        <v>167</v>
      </c>
      <c r="D398" s="3" t="s">
        <v>47</v>
      </c>
      <c r="E398" s="3" t="s">
        <v>40</v>
      </c>
      <c r="F398" s="3" t="s">
        <v>221</v>
      </c>
      <c r="G398" s="3" t="s">
        <v>222</v>
      </c>
      <c r="H398" s="3">
        <v>1</v>
      </c>
      <c r="I398" s="7">
        <v>976.39</v>
      </c>
      <c r="J398" s="9">
        <v>0.15</v>
      </c>
      <c r="K398" s="7">
        <v>829.93</v>
      </c>
      <c r="L398" s="7">
        <v>104.02</v>
      </c>
      <c r="M398" s="3" t="s">
        <v>56</v>
      </c>
      <c r="N398" s="3" t="str">
        <f t="shared" si="24"/>
        <v>2024-05</v>
      </c>
      <c r="O398" s="3" t="str">
        <f t="shared" si="25"/>
        <v>11-15%</v>
      </c>
      <c r="P398" s="9">
        <f t="shared" si="26"/>
        <v>0.12533587170002289</v>
      </c>
      <c r="Q398" s="3" t="str">
        <f t="shared" si="27"/>
        <v>No</v>
      </c>
    </row>
    <row r="399" spans="1:17" ht="21" customHeight="1">
      <c r="A399" s="3" t="s">
        <v>812</v>
      </c>
      <c r="B399" s="5">
        <v>45418</v>
      </c>
      <c r="C399" s="3" t="s">
        <v>813</v>
      </c>
      <c r="D399" s="3" t="s">
        <v>44</v>
      </c>
      <c r="E399" s="3" t="s">
        <v>41</v>
      </c>
      <c r="F399" s="3" t="s">
        <v>113</v>
      </c>
      <c r="G399" s="3" t="s">
        <v>123</v>
      </c>
      <c r="H399" s="3">
        <v>4</v>
      </c>
      <c r="I399" s="7">
        <v>3493.3</v>
      </c>
      <c r="J399" s="9">
        <v>0</v>
      </c>
      <c r="K399" s="7">
        <v>13973.2</v>
      </c>
      <c r="L399" s="7">
        <v>4956.62</v>
      </c>
      <c r="M399" s="3" t="s">
        <v>58</v>
      </c>
      <c r="N399" s="3" t="str">
        <f t="shared" si="24"/>
        <v>2024-05</v>
      </c>
      <c r="O399" s="3" t="str">
        <f t="shared" si="25"/>
        <v>No discount</v>
      </c>
      <c r="P399" s="9">
        <f t="shared" si="26"/>
        <v>0.35472332751266705</v>
      </c>
      <c r="Q399" s="3" t="str">
        <f t="shared" si="27"/>
        <v>No</v>
      </c>
    </row>
    <row r="400" spans="1:17" ht="21" customHeight="1">
      <c r="A400" s="3" t="s">
        <v>814</v>
      </c>
      <c r="B400" s="5">
        <v>45419</v>
      </c>
      <c r="C400" s="3" t="s">
        <v>642</v>
      </c>
      <c r="D400" s="3" t="s">
        <v>44</v>
      </c>
      <c r="E400" s="3" t="s">
        <v>39</v>
      </c>
      <c r="F400" s="3" t="s">
        <v>130</v>
      </c>
      <c r="G400" s="3" t="s">
        <v>131</v>
      </c>
      <c r="H400" s="3">
        <v>1</v>
      </c>
      <c r="I400" s="7">
        <v>2113.06</v>
      </c>
      <c r="J400" s="9">
        <v>0.25</v>
      </c>
      <c r="K400" s="7">
        <v>1584.8</v>
      </c>
      <c r="L400" s="7">
        <v>227.28</v>
      </c>
      <c r="M400" s="3" t="s">
        <v>56</v>
      </c>
      <c r="N400" s="3" t="str">
        <f t="shared" si="24"/>
        <v>2024-05</v>
      </c>
      <c r="O400" s="3" t="str">
        <f t="shared" si="25"/>
        <v>21%+</v>
      </c>
      <c r="P400" s="9">
        <f t="shared" si="26"/>
        <v>0.14341241797072185</v>
      </c>
      <c r="Q400" s="3" t="str">
        <f t="shared" si="27"/>
        <v>No</v>
      </c>
    </row>
    <row r="401" spans="1:17" ht="21" customHeight="1">
      <c r="A401" s="3" t="s">
        <v>815</v>
      </c>
      <c r="B401" s="5">
        <v>45419</v>
      </c>
      <c r="C401" s="3" t="s">
        <v>816</v>
      </c>
      <c r="D401" s="3" t="s">
        <v>45</v>
      </c>
      <c r="E401" s="3" t="s">
        <v>38</v>
      </c>
      <c r="F401" s="3" t="s">
        <v>94</v>
      </c>
      <c r="G401" s="3" t="s">
        <v>213</v>
      </c>
      <c r="H401" s="3">
        <v>1</v>
      </c>
      <c r="I401" s="7">
        <v>56318.5</v>
      </c>
      <c r="J401" s="9">
        <v>0.15</v>
      </c>
      <c r="K401" s="7">
        <v>47870.720000000001</v>
      </c>
      <c r="L401" s="7">
        <v>-98.93</v>
      </c>
      <c r="M401" s="3" t="s">
        <v>56</v>
      </c>
      <c r="N401" s="3" t="str">
        <f t="shared" si="24"/>
        <v>2024-05</v>
      </c>
      <c r="O401" s="3" t="str">
        <f t="shared" si="25"/>
        <v>11-15%</v>
      </c>
      <c r="P401" s="9">
        <f t="shared" si="26"/>
        <v>-2.0666077301532129E-3</v>
      </c>
      <c r="Q401" s="3" t="str">
        <f t="shared" si="27"/>
        <v>Yes</v>
      </c>
    </row>
    <row r="402" spans="1:17" ht="21" customHeight="1">
      <c r="A402" s="3" t="s">
        <v>817</v>
      </c>
      <c r="B402" s="5">
        <v>45419</v>
      </c>
      <c r="C402" s="3" t="s">
        <v>259</v>
      </c>
      <c r="D402" s="3" t="s">
        <v>46</v>
      </c>
      <c r="E402" s="3" t="s">
        <v>41</v>
      </c>
      <c r="F402" s="3" t="s">
        <v>113</v>
      </c>
      <c r="G402" s="3" t="s">
        <v>114</v>
      </c>
      <c r="H402" s="3">
        <v>1</v>
      </c>
      <c r="I402" s="7">
        <v>12205.52</v>
      </c>
      <c r="J402" s="9">
        <v>0.3</v>
      </c>
      <c r="K402" s="7">
        <v>8543.86</v>
      </c>
      <c r="L402" s="7">
        <v>494.27</v>
      </c>
      <c r="M402" s="3" t="s">
        <v>56</v>
      </c>
      <c r="N402" s="3" t="str">
        <f t="shared" si="24"/>
        <v>2024-05</v>
      </c>
      <c r="O402" s="3" t="str">
        <f t="shared" si="25"/>
        <v>21%+</v>
      </c>
      <c r="P402" s="9">
        <f t="shared" si="26"/>
        <v>5.7850901114952717E-2</v>
      </c>
      <c r="Q402" s="3" t="str">
        <f t="shared" si="27"/>
        <v>No</v>
      </c>
    </row>
    <row r="403" spans="1:17" ht="21" customHeight="1">
      <c r="A403" s="3" t="s">
        <v>818</v>
      </c>
      <c r="B403" s="5">
        <v>45420</v>
      </c>
      <c r="C403" s="3" t="s">
        <v>819</v>
      </c>
      <c r="D403" s="3" t="s">
        <v>44</v>
      </c>
      <c r="E403" s="3" t="s">
        <v>42</v>
      </c>
      <c r="F403" s="3" t="s">
        <v>126</v>
      </c>
      <c r="G403" s="3" t="s">
        <v>127</v>
      </c>
      <c r="H403" s="3">
        <v>1</v>
      </c>
      <c r="I403" s="7">
        <v>1035.95</v>
      </c>
      <c r="J403" s="9">
        <v>0</v>
      </c>
      <c r="K403" s="7">
        <v>1035.95</v>
      </c>
      <c r="L403" s="7">
        <v>534.13</v>
      </c>
      <c r="M403" s="3" t="s">
        <v>57</v>
      </c>
      <c r="N403" s="3" t="str">
        <f t="shared" si="24"/>
        <v>2024-05</v>
      </c>
      <c r="O403" s="3" t="str">
        <f t="shared" si="25"/>
        <v>No discount</v>
      </c>
      <c r="P403" s="9">
        <f t="shared" si="26"/>
        <v>0.5155943819682417</v>
      </c>
      <c r="Q403" s="3" t="str">
        <f t="shared" si="27"/>
        <v>No</v>
      </c>
    </row>
    <row r="404" spans="1:17" ht="21" customHeight="1">
      <c r="A404" s="3" t="s">
        <v>820</v>
      </c>
      <c r="B404" s="5">
        <v>45420</v>
      </c>
      <c r="C404" s="3" t="s">
        <v>202</v>
      </c>
      <c r="D404" s="3" t="s">
        <v>44</v>
      </c>
      <c r="E404" s="3" t="s">
        <v>39</v>
      </c>
      <c r="F404" s="3" t="s">
        <v>130</v>
      </c>
      <c r="G404" s="3" t="s">
        <v>131</v>
      </c>
      <c r="H404" s="3">
        <v>1</v>
      </c>
      <c r="I404" s="7">
        <v>2178.41</v>
      </c>
      <c r="J404" s="9">
        <v>0.3</v>
      </c>
      <c r="K404" s="7">
        <v>1524.89</v>
      </c>
      <c r="L404" s="7">
        <v>116.89</v>
      </c>
      <c r="M404" s="3" t="s">
        <v>57</v>
      </c>
      <c r="N404" s="3" t="str">
        <f t="shared" si="24"/>
        <v>2024-05</v>
      </c>
      <c r="O404" s="3" t="str">
        <f t="shared" si="25"/>
        <v>21%+</v>
      </c>
      <c r="P404" s="9">
        <f t="shared" si="26"/>
        <v>7.665470952003095E-2</v>
      </c>
      <c r="Q404" s="3" t="str">
        <f t="shared" si="27"/>
        <v>No</v>
      </c>
    </row>
    <row r="405" spans="1:17" ht="21" customHeight="1">
      <c r="A405" s="3" t="s">
        <v>821</v>
      </c>
      <c r="B405" s="5">
        <v>45420</v>
      </c>
      <c r="C405" s="3" t="s">
        <v>361</v>
      </c>
      <c r="D405" s="3" t="s">
        <v>47</v>
      </c>
      <c r="E405" s="3" t="s">
        <v>42</v>
      </c>
      <c r="F405" s="3" t="s">
        <v>126</v>
      </c>
      <c r="G405" s="3" t="s">
        <v>127</v>
      </c>
      <c r="H405" s="3">
        <v>1</v>
      </c>
      <c r="I405" s="7">
        <v>990.29</v>
      </c>
      <c r="J405" s="9">
        <v>0.15</v>
      </c>
      <c r="K405" s="7">
        <v>841.75</v>
      </c>
      <c r="L405" s="7">
        <v>306.76</v>
      </c>
      <c r="M405" s="3" t="s">
        <v>56</v>
      </c>
      <c r="N405" s="3" t="str">
        <f t="shared" si="24"/>
        <v>2024-05</v>
      </c>
      <c r="O405" s="3" t="str">
        <f t="shared" si="25"/>
        <v>11-15%</v>
      </c>
      <c r="P405" s="9">
        <f t="shared" si="26"/>
        <v>0.36443124443124442</v>
      </c>
      <c r="Q405" s="3" t="str">
        <f t="shared" si="27"/>
        <v>No</v>
      </c>
    </row>
    <row r="406" spans="1:17" ht="21" customHeight="1">
      <c r="A406" s="3" t="s">
        <v>822</v>
      </c>
      <c r="B406" s="5">
        <v>45421</v>
      </c>
      <c r="C406" s="3" t="s">
        <v>396</v>
      </c>
      <c r="D406" s="3" t="s">
        <v>45</v>
      </c>
      <c r="E406" s="3" t="s">
        <v>40</v>
      </c>
      <c r="F406" s="3" t="s">
        <v>102</v>
      </c>
      <c r="G406" s="3" t="s">
        <v>103</v>
      </c>
      <c r="H406" s="3">
        <v>5</v>
      </c>
      <c r="I406" s="7">
        <v>6366.58</v>
      </c>
      <c r="J406" s="9">
        <v>0.2</v>
      </c>
      <c r="K406" s="7">
        <v>25466.32</v>
      </c>
      <c r="L406" s="7">
        <v>2263.1999999999998</v>
      </c>
      <c r="M406" s="3" t="s">
        <v>58</v>
      </c>
      <c r="N406" s="3" t="str">
        <f t="shared" si="24"/>
        <v>2024-05</v>
      </c>
      <c r="O406" s="3" t="str">
        <f t="shared" si="25"/>
        <v>16-20%</v>
      </c>
      <c r="P406" s="9">
        <f t="shared" si="26"/>
        <v>8.8870319700687025E-2</v>
      </c>
      <c r="Q406" s="3" t="str">
        <f t="shared" si="27"/>
        <v>No</v>
      </c>
    </row>
    <row r="407" spans="1:17" ht="21" customHeight="1">
      <c r="A407" s="3" t="s">
        <v>823</v>
      </c>
      <c r="B407" s="5">
        <v>45421</v>
      </c>
      <c r="C407" s="3" t="s">
        <v>597</v>
      </c>
      <c r="D407" s="3" t="s">
        <v>44</v>
      </c>
      <c r="E407" s="3" t="s">
        <v>38</v>
      </c>
      <c r="F407" s="3" t="s">
        <v>142</v>
      </c>
      <c r="G407" s="3" t="s">
        <v>245</v>
      </c>
      <c r="H407" s="3">
        <v>1</v>
      </c>
      <c r="I407" s="7">
        <v>5198.25</v>
      </c>
      <c r="J407" s="9">
        <v>0.05</v>
      </c>
      <c r="K407" s="7">
        <v>4938.34</v>
      </c>
      <c r="L407" s="7">
        <v>419.07</v>
      </c>
      <c r="M407" s="3" t="s">
        <v>56</v>
      </c>
      <c r="N407" s="3" t="str">
        <f t="shared" si="24"/>
        <v>2024-05</v>
      </c>
      <c r="O407" s="3" t="str">
        <f t="shared" si="25"/>
        <v>1-10%</v>
      </c>
      <c r="P407" s="9">
        <f t="shared" si="26"/>
        <v>8.4860499682079399E-2</v>
      </c>
      <c r="Q407" s="3" t="str">
        <f t="shared" si="27"/>
        <v>No</v>
      </c>
    </row>
    <row r="408" spans="1:17" ht="21" customHeight="1">
      <c r="A408" s="3" t="s">
        <v>824</v>
      </c>
      <c r="B408" s="5">
        <v>45421</v>
      </c>
      <c r="C408" s="3" t="s">
        <v>825</v>
      </c>
      <c r="D408" s="3" t="s">
        <v>45</v>
      </c>
      <c r="E408" s="3" t="s">
        <v>42</v>
      </c>
      <c r="F408" s="3" t="s">
        <v>126</v>
      </c>
      <c r="G408" s="3" t="s">
        <v>127</v>
      </c>
      <c r="H408" s="3">
        <v>2</v>
      </c>
      <c r="I408" s="7">
        <v>1000.91</v>
      </c>
      <c r="J408" s="9">
        <v>0.05</v>
      </c>
      <c r="K408" s="7">
        <v>1901.73</v>
      </c>
      <c r="L408" s="7">
        <v>870.14</v>
      </c>
      <c r="M408" s="3" t="s">
        <v>57</v>
      </c>
      <c r="N408" s="3" t="str">
        <f t="shared" si="24"/>
        <v>2024-05</v>
      </c>
      <c r="O408" s="3" t="str">
        <f t="shared" si="25"/>
        <v>1-10%</v>
      </c>
      <c r="P408" s="9">
        <f t="shared" si="26"/>
        <v>0.45755180809052809</v>
      </c>
      <c r="Q408" s="3" t="str">
        <f t="shared" si="27"/>
        <v>No</v>
      </c>
    </row>
    <row r="409" spans="1:17" ht="21" customHeight="1">
      <c r="A409" s="3" t="s">
        <v>826</v>
      </c>
      <c r="B409" s="5">
        <v>45421</v>
      </c>
      <c r="C409" s="3" t="s">
        <v>827</v>
      </c>
      <c r="D409" s="3" t="s">
        <v>44</v>
      </c>
      <c r="E409" s="3" t="s">
        <v>42</v>
      </c>
      <c r="F409" s="3" t="s">
        <v>126</v>
      </c>
      <c r="G409" s="3" t="s">
        <v>127</v>
      </c>
      <c r="H409" s="3">
        <v>1</v>
      </c>
      <c r="I409" s="7">
        <v>1005.93</v>
      </c>
      <c r="J409" s="9">
        <v>0.2</v>
      </c>
      <c r="K409" s="7">
        <v>804.74</v>
      </c>
      <c r="L409" s="7">
        <v>283.06</v>
      </c>
      <c r="M409" s="3" t="s">
        <v>57</v>
      </c>
      <c r="N409" s="3" t="str">
        <f t="shared" si="24"/>
        <v>2024-05</v>
      </c>
      <c r="O409" s="3" t="str">
        <f t="shared" si="25"/>
        <v>16-20%</v>
      </c>
      <c r="P409" s="9">
        <f t="shared" si="26"/>
        <v>0.35174093496035985</v>
      </c>
      <c r="Q409" s="3" t="str">
        <f t="shared" si="27"/>
        <v>No</v>
      </c>
    </row>
    <row r="410" spans="1:17" ht="21" customHeight="1">
      <c r="A410" s="3" t="s">
        <v>828</v>
      </c>
      <c r="B410" s="5">
        <v>45421</v>
      </c>
      <c r="C410" s="3" t="s">
        <v>741</v>
      </c>
      <c r="D410" s="3" t="s">
        <v>47</v>
      </c>
      <c r="E410" s="3" t="s">
        <v>38</v>
      </c>
      <c r="F410" s="3" t="s">
        <v>142</v>
      </c>
      <c r="G410" s="3" t="s">
        <v>245</v>
      </c>
      <c r="H410" s="3">
        <v>1</v>
      </c>
      <c r="I410" s="7">
        <v>4842.3</v>
      </c>
      <c r="J410" s="9">
        <v>0.05</v>
      </c>
      <c r="K410" s="7">
        <v>4600.1899999999996</v>
      </c>
      <c r="L410" s="7">
        <v>473.67</v>
      </c>
      <c r="M410" s="3" t="s">
        <v>59</v>
      </c>
      <c r="N410" s="3" t="str">
        <f t="shared" si="24"/>
        <v>2024-05</v>
      </c>
      <c r="O410" s="3" t="str">
        <f t="shared" si="25"/>
        <v>1-10%</v>
      </c>
      <c r="P410" s="9">
        <f t="shared" si="26"/>
        <v>0.10296748612557309</v>
      </c>
      <c r="Q410" s="3" t="str">
        <f t="shared" si="27"/>
        <v>No</v>
      </c>
    </row>
    <row r="411" spans="1:17" ht="21" customHeight="1">
      <c r="A411" s="3" t="s">
        <v>829</v>
      </c>
      <c r="B411" s="5">
        <v>45422</v>
      </c>
      <c r="C411" s="3" t="s">
        <v>830</v>
      </c>
      <c r="D411" s="3" t="s">
        <v>45</v>
      </c>
      <c r="E411" s="3" t="s">
        <v>42</v>
      </c>
      <c r="F411" s="3" t="s">
        <v>126</v>
      </c>
      <c r="G411" s="3" t="s">
        <v>127</v>
      </c>
      <c r="H411" s="3">
        <v>2</v>
      </c>
      <c r="I411" s="7">
        <v>1005.56</v>
      </c>
      <c r="J411" s="9">
        <v>0.1</v>
      </c>
      <c r="K411" s="7">
        <v>1810.01</v>
      </c>
      <c r="L411" s="7">
        <v>813.76</v>
      </c>
      <c r="M411" s="3" t="s">
        <v>56</v>
      </c>
      <c r="N411" s="3" t="str">
        <f t="shared" si="24"/>
        <v>2024-05</v>
      </c>
      <c r="O411" s="3" t="str">
        <f t="shared" si="25"/>
        <v>1-10%</v>
      </c>
      <c r="P411" s="9">
        <f t="shared" si="26"/>
        <v>0.44958867630565574</v>
      </c>
      <c r="Q411" s="3" t="str">
        <f t="shared" si="27"/>
        <v>No</v>
      </c>
    </row>
    <row r="412" spans="1:17" ht="21" customHeight="1">
      <c r="A412" s="3" t="s">
        <v>831</v>
      </c>
      <c r="B412" s="5">
        <v>45422</v>
      </c>
      <c r="C412" s="3" t="s">
        <v>428</v>
      </c>
      <c r="D412" s="3" t="s">
        <v>44</v>
      </c>
      <c r="E412" s="3" t="s">
        <v>42</v>
      </c>
      <c r="F412" s="3" t="s">
        <v>90</v>
      </c>
      <c r="G412" s="3" t="s">
        <v>91</v>
      </c>
      <c r="H412" s="3">
        <v>1</v>
      </c>
      <c r="I412" s="7">
        <v>1213.49</v>
      </c>
      <c r="J412" s="9">
        <v>0.05</v>
      </c>
      <c r="K412" s="7">
        <v>1152.82</v>
      </c>
      <c r="L412" s="7">
        <v>538.79999999999995</v>
      </c>
      <c r="M412" s="3" t="s">
        <v>56</v>
      </c>
      <c r="N412" s="3" t="str">
        <f t="shared" si="24"/>
        <v>2024-05</v>
      </c>
      <c r="O412" s="3" t="str">
        <f t="shared" si="25"/>
        <v>1-10%</v>
      </c>
      <c r="P412" s="9">
        <f t="shared" si="26"/>
        <v>0.46737565274717646</v>
      </c>
      <c r="Q412" s="3" t="str">
        <f t="shared" si="27"/>
        <v>No</v>
      </c>
    </row>
    <row r="413" spans="1:17" ht="21" customHeight="1">
      <c r="A413" s="3" t="s">
        <v>832</v>
      </c>
      <c r="B413" s="5">
        <v>45422</v>
      </c>
      <c r="C413" s="3" t="s">
        <v>833</v>
      </c>
      <c r="D413" s="3" t="s">
        <v>45</v>
      </c>
      <c r="E413" s="3" t="s">
        <v>38</v>
      </c>
      <c r="F413" s="3" t="s">
        <v>98</v>
      </c>
      <c r="G413" s="3" t="s">
        <v>182</v>
      </c>
      <c r="H413" s="3">
        <v>2</v>
      </c>
      <c r="I413" s="7">
        <v>69818.39</v>
      </c>
      <c r="J413" s="9">
        <v>0.05</v>
      </c>
      <c r="K413" s="7">
        <v>132654.94</v>
      </c>
      <c r="L413" s="7">
        <v>19019.939999999999</v>
      </c>
      <c r="M413" s="3" t="s">
        <v>56</v>
      </c>
      <c r="N413" s="3" t="str">
        <f t="shared" si="24"/>
        <v>2024-05</v>
      </c>
      <c r="O413" s="3" t="str">
        <f t="shared" si="25"/>
        <v>1-10%</v>
      </c>
      <c r="P413" s="9">
        <f t="shared" si="26"/>
        <v>0.14337905546525442</v>
      </c>
      <c r="Q413" s="3" t="str">
        <f t="shared" si="27"/>
        <v>No</v>
      </c>
    </row>
    <row r="414" spans="1:17" ht="21" customHeight="1">
      <c r="A414" s="3" t="s">
        <v>834</v>
      </c>
      <c r="B414" s="5">
        <v>45422</v>
      </c>
      <c r="C414" s="3" t="s">
        <v>129</v>
      </c>
      <c r="D414" s="3" t="s">
        <v>47</v>
      </c>
      <c r="E414" s="3" t="s">
        <v>41</v>
      </c>
      <c r="F414" s="3" t="s">
        <v>119</v>
      </c>
      <c r="G414" s="3" t="s">
        <v>120</v>
      </c>
      <c r="H414" s="3">
        <v>2</v>
      </c>
      <c r="I414" s="7">
        <v>1284.81</v>
      </c>
      <c r="J414" s="9">
        <v>0.25</v>
      </c>
      <c r="K414" s="7">
        <v>1927.21</v>
      </c>
      <c r="L414" s="7">
        <v>194.68</v>
      </c>
      <c r="M414" s="3" t="s">
        <v>58</v>
      </c>
      <c r="N414" s="3" t="str">
        <f t="shared" si="24"/>
        <v>2024-05</v>
      </c>
      <c r="O414" s="3" t="str">
        <f t="shared" si="25"/>
        <v>21%+</v>
      </c>
      <c r="P414" s="9">
        <f t="shared" si="26"/>
        <v>0.10101649534819765</v>
      </c>
      <c r="Q414" s="3" t="str">
        <f t="shared" si="27"/>
        <v>No</v>
      </c>
    </row>
    <row r="415" spans="1:17" ht="21" customHeight="1">
      <c r="A415" s="3" t="s">
        <v>835</v>
      </c>
      <c r="B415" s="5">
        <v>45422</v>
      </c>
      <c r="C415" s="3" t="s">
        <v>836</v>
      </c>
      <c r="D415" s="3" t="s">
        <v>45</v>
      </c>
      <c r="E415" s="3" t="s">
        <v>41</v>
      </c>
      <c r="F415" s="3" t="s">
        <v>119</v>
      </c>
      <c r="G415" s="3" t="s">
        <v>120</v>
      </c>
      <c r="H415" s="3">
        <v>2</v>
      </c>
      <c r="I415" s="7">
        <v>1236</v>
      </c>
      <c r="J415" s="9">
        <v>0.3</v>
      </c>
      <c r="K415" s="7">
        <v>1730.4</v>
      </c>
      <c r="L415" s="7">
        <v>57.05</v>
      </c>
      <c r="M415" s="3" t="s">
        <v>56</v>
      </c>
      <c r="N415" s="3" t="str">
        <f t="shared" si="24"/>
        <v>2024-05</v>
      </c>
      <c r="O415" s="3" t="str">
        <f t="shared" si="25"/>
        <v>21%+</v>
      </c>
      <c r="P415" s="9">
        <f t="shared" si="26"/>
        <v>3.2969255663430418E-2</v>
      </c>
      <c r="Q415" s="3" t="str">
        <f t="shared" si="27"/>
        <v>No</v>
      </c>
    </row>
    <row r="416" spans="1:17" ht="21" customHeight="1">
      <c r="A416" s="3" t="s">
        <v>837</v>
      </c>
      <c r="B416" s="5">
        <v>45423</v>
      </c>
      <c r="C416" s="3" t="s">
        <v>552</v>
      </c>
      <c r="D416" s="3" t="s">
        <v>46</v>
      </c>
      <c r="E416" s="3" t="s">
        <v>38</v>
      </c>
      <c r="F416" s="3" t="s">
        <v>142</v>
      </c>
      <c r="G416" s="3" t="s">
        <v>245</v>
      </c>
      <c r="H416" s="3">
        <v>2</v>
      </c>
      <c r="I416" s="7">
        <v>5041.55</v>
      </c>
      <c r="J416" s="9">
        <v>0.05</v>
      </c>
      <c r="K416" s="7">
        <v>9578.94</v>
      </c>
      <c r="L416" s="7">
        <v>1498.62</v>
      </c>
      <c r="M416" s="3" t="s">
        <v>59</v>
      </c>
      <c r="N416" s="3" t="str">
        <f t="shared" si="24"/>
        <v>2024-05</v>
      </c>
      <c r="O416" s="3" t="str">
        <f t="shared" si="25"/>
        <v>1-10%</v>
      </c>
      <c r="P416" s="9">
        <f t="shared" si="26"/>
        <v>0.15644946100507987</v>
      </c>
      <c r="Q416" s="3" t="str">
        <f t="shared" si="27"/>
        <v>No</v>
      </c>
    </row>
    <row r="417" spans="1:17" ht="21" customHeight="1">
      <c r="A417" s="3" t="s">
        <v>838</v>
      </c>
      <c r="B417" s="5">
        <v>45423</v>
      </c>
      <c r="C417" s="3" t="s">
        <v>839</v>
      </c>
      <c r="D417" s="3" t="s">
        <v>45</v>
      </c>
      <c r="E417" s="3" t="s">
        <v>40</v>
      </c>
      <c r="F417" s="3" t="s">
        <v>160</v>
      </c>
      <c r="G417" s="3" t="s">
        <v>173</v>
      </c>
      <c r="H417" s="3">
        <v>3</v>
      </c>
      <c r="I417" s="7">
        <v>8737.66</v>
      </c>
      <c r="J417" s="9">
        <v>0.1</v>
      </c>
      <c r="K417" s="7">
        <v>23591.68</v>
      </c>
      <c r="L417" s="7">
        <v>4977.79</v>
      </c>
      <c r="M417" s="3" t="s">
        <v>56</v>
      </c>
      <c r="N417" s="3" t="str">
        <f t="shared" si="24"/>
        <v>2024-05</v>
      </c>
      <c r="O417" s="3" t="str">
        <f t="shared" si="25"/>
        <v>1-10%</v>
      </c>
      <c r="P417" s="9">
        <f t="shared" si="26"/>
        <v>0.21099769071130162</v>
      </c>
      <c r="Q417" s="3" t="str">
        <f t="shared" si="27"/>
        <v>No</v>
      </c>
    </row>
    <row r="418" spans="1:17" ht="21" customHeight="1">
      <c r="A418" s="3" t="s">
        <v>840</v>
      </c>
      <c r="B418" s="5">
        <v>45423</v>
      </c>
      <c r="C418" s="3" t="s">
        <v>841</v>
      </c>
      <c r="D418" s="3" t="s">
        <v>45</v>
      </c>
      <c r="E418" s="3" t="s">
        <v>40</v>
      </c>
      <c r="F418" s="3" t="s">
        <v>102</v>
      </c>
      <c r="G418" s="3" t="s">
        <v>103</v>
      </c>
      <c r="H418" s="3">
        <v>2</v>
      </c>
      <c r="I418" s="7">
        <v>6518.26</v>
      </c>
      <c r="J418" s="9">
        <v>0.1</v>
      </c>
      <c r="K418" s="7">
        <v>11732.87</v>
      </c>
      <c r="L418" s="7">
        <v>2373.42</v>
      </c>
      <c r="M418" s="3" t="s">
        <v>57</v>
      </c>
      <c r="N418" s="3" t="str">
        <f t="shared" si="24"/>
        <v>2024-05</v>
      </c>
      <c r="O418" s="3" t="str">
        <f t="shared" si="25"/>
        <v>1-10%</v>
      </c>
      <c r="P418" s="9">
        <f t="shared" si="26"/>
        <v>0.20228810171765305</v>
      </c>
      <c r="Q418" s="3" t="str">
        <f t="shared" si="27"/>
        <v>No</v>
      </c>
    </row>
    <row r="419" spans="1:17" ht="21" customHeight="1">
      <c r="A419" s="3" t="s">
        <v>842</v>
      </c>
      <c r="B419" s="5">
        <v>45423</v>
      </c>
      <c r="C419" s="3" t="s">
        <v>444</v>
      </c>
      <c r="D419" s="3" t="s">
        <v>47</v>
      </c>
      <c r="E419" s="3" t="s">
        <v>38</v>
      </c>
      <c r="F419" s="3" t="s">
        <v>98</v>
      </c>
      <c r="G419" s="3" t="s">
        <v>362</v>
      </c>
      <c r="H419" s="3">
        <v>2</v>
      </c>
      <c r="I419" s="7">
        <v>32266.04</v>
      </c>
      <c r="J419" s="9">
        <v>0.25</v>
      </c>
      <c r="K419" s="7">
        <v>48399.06</v>
      </c>
      <c r="L419" s="7">
        <v>-3997.54</v>
      </c>
      <c r="M419" s="3" t="s">
        <v>56</v>
      </c>
      <c r="N419" s="3" t="str">
        <f t="shared" si="24"/>
        <v>2024-05</v>
      </c>
      <c r="O419" s="3" t="str">
        <f t="shared" si="25"/>
        <v>21%+</v>
      </c>
      <c r="P419" s="9">
        <f t="shared" si="26"/>
        <v>-8.2595405778541978E-2</v>
      </c>
      <c r="Q419" s="3" t="str">
        <f t="shared" si="27"/>
        <v>Yes</v>
      </c>
    </row>
    <row r="420" spans="1:17" ht="21" customHeight="1">
      <c r="A420" s="3" t="s">
        <v>843</v>
      </c>
      <c r="B420" s="5">
        <v>45423</v>
      </c>
      <c r="C420" s="3" t="s">
        <v>844</v>
      </c>
      <c r="D420" s="3" t="s">
        <v>44</v>
      </c>
      <c r="E420" s="3" t="s">
        <v>42</v>
      </c>
      <c r="F420" s="3" t="s">
        <v>90</v>
      </c>
      <c r="G420" s="3" t="s">
        <v>91</v>
      </c>
      <c r="H420" s="3">
        <v>1</v>
      </c>
      <c r="I420" s="7">
        <v>1241.96</v>
      </c>
      <c r="J420" s="9">
        <v>0.05</v>
      </c>
      <c r="K420" s="7">
        <v>1179.8599999999999</v>
      </c>
      <c r="L420" s="7">
        <v>589.79</v>
      </c>
      <c r="M420" s="3" t="s">
        <v>58</v>
      </c>
      <c r="N420" s="3" t="str">
        <f t="shared" si="24"/>
        <v>2024-05</v>
      </c>
      <c r="O420" s="3" t="str">
        <f t="shared" si="25"/>
        <v>1-10%</v>
      </c>
      <c r="P420" s="9">
        <f t="shared" si="26"/>
        <v>0.49988134185411831</v>
      </c>
      <c r="Q420" s="3" t="str">
        <f t="shared" si="27"/>
        <v>No</v>
      </c>
    </row>
    <row r="421" spans="1:17" ht="21" customHeight="1">
      <c r="A421" s="3" t="s">
        <v>845</v>
      </c>
      <c r="B421" s="5">
        <v>45424</v>
      </c>
      <c r="C421" s="3" t="s">
        <v>846</v>
      </c>
      <c r="D421" s="3" t="s">
        <v>45</v>
      </c>
      <c r="E421" s="3" t="s">
        <v>42</v>
      </c>
      <c r="F421" s="3" t="s">
        <v>90</v>
      </c>
      <c r="G421" s="3" t="s">
        <v>106</v>
      </c>
      <c r="H421" s="3">
        <v>5</v>
      </c>
      <c r="I421" s="7">
        <v>894.5</v>
      </c>
      <c r="J421" s="9">
        <v>0.1</v>
      </c>
      <c r="K421" s="7">
        <v>4025.25</v>
      </c>
      <c r="L421" s="7">
        <v>1808.98</v>
      </c>
      <c r="M421" s="3" t="s">
        <v>59</v>
      </c>
      <c r="N421" s="3" t="str">
        <f t="shared" si="24"/>
        <v>2024-05</v>
      </c>
      <c r="O421" s="3" t="str">
        <f t="shared" si="25"/>
        <v>1-10%</v>
      </c>
      <c r="P421" s="9">
        <f t="shared" si="26"/>
        <v>0.44940811129743496</v>
      </c>
      <c r="Q421" s="3" t="str">
        <f t="shared" si="27"/>
        <v>No</v>
      </c>
    </row>
    <row r="422" spans="1:17" ht="21" customHeight="1">
      <c r="A422" s="3" t="s">
        <v>847</v>
      </c>
      <c r="B422" s="5">
        <v>45425</v>
      </c>
      <c r="C422" s="3" t="s">
        <v>693</v>
      </c>
      <c r="D422" s="3" t="s">
        <v>44</v>
      </c>
      <c r="E422" s="3" t="s">
        <v>41</v>
      </c>
      <c r="F422" s="3" t="s">
        <v>119</v>
      </c>
      <c r="G422" s="3" t="s">
        <v>120</v>
      </c>
      <c r="H422" s="3">
        <v>1</v>
      </c>
      <c r="I422" s="7">
        <v>1285.28</v>
      </c>
      <c r="J422" s="9">
        <v>0.1</v>
      </c>
      <c r="K422" s="7">
        <v>1156.75</v>
      </c>
      <c r="L422" s="7">
        <v>315.04000000000002</v>
      </c>
      <c r="M422" s="3" t="s">
        <v>57</v>
      </c>
      <c r="N422" s="3" t="str">
        <f t="shared" si="24"/>
        <v>2024-05</v>
      </c>
      <c r="O422" s="3" t="str">
        <f t="shared" si="25"/>
        <v>1-10%</v>
      </c>
      <c r="P422" s="9">
        <f t="shared" si="26"/>
        <v>0.27234925437648588</v>
      </c>
      <c r="Q422" s="3" t="str">
        <f t="shared" si="27"/>
        <v>No</v>
      </c>
    </row>
    <row r="423" spans="1:17" ht="21" customHeight="1">
      <c r="A423" s="3" t="s">
        <v>848</v>
      </c>
      <c r="B423" s="5">
        <v>45425</v>
      </c>
      <c r="C423" s="3" t="s">
        <v>849</v>
      </c>
      <c r="D423" s="3" t="s">
        <v>45</v>
      </c>
      <c r="E423" s="3" t="s">
        <v>41</v>
      </c>
      <c r="F423" s="3" t="s">
        <v>119</v>
      </c>
      <c r="G423" s="3" t="s">
        <v>120</v>
      </c>
      <c r="H423" s="3">
        <v>1</v>
      </c>
      <c r="I423" s="7">
        <v>1236.6400000000001</v>
      </c>
      <c r="J423" s="9">
        <v>0.1</v>
      </c>
      <c r="K423" s="7">
        <v>1112.98</v>
      </c>
      <c r="L423" s="7">
        <v>292.98</v>
      </c>
      <c r="M423" s="3" t="s">
        <v>57</v>
      </c>
      <c r="N423" s="3" t="str">
        <f t="shared" si="24"/>
        <v>2024-05</v>
      </c>
      <c r="O423" s="3" t="str">
        <f t="shared" si="25"/>
        <v>1-10%</v>
      </c>
      <c r="P423" s="9">
        <f t="shared" si="26"/>
        <v>0.2632392316124279</v>
      </c>
      <c r="Q423" s="3" t="str">
        <f t="shared" si="27"/>
        <v>No</v>
      </c>
    </row>
    <row r="424" spans="1:17" ht="21" customHeight="1">
      <c r="A424" s="3" t="s">
        <v>850</v>
      </c>
      <c r="B424" s="5">
        <v>45425</v>
      </c>
      <c r="C424" s="3" t="s">
        <v>851</v>
      </c>
      <c r="D424" s="3" t="s">
        <v>46</v>
      </c>
      <c r="E424" s="3" t="s">
        <v>39</v>
      </c>
      <c r="F424" s="3" t="s">
        <v>164</v>
      </c>
      <c r="G424" s="3" t="s">
        <v>200</v>
      </c>
      <c r="H424" s="3">
        <v>4</v>
      </c>
      <c r="I424" s="7">
        <v>1307.96</v>
      </c>
      <c r="J424" s="9">
        <v>0.05</v>
      </c>
      <c r="K424" s="7">
        <v>4970.25</v>
      </c>
      <c r="L424" s="7">
        <v>1777.13</v>
      </c>
      <c r="M424" s="3" t="s">
        <v>58</v>
      </c>
      <c r="N424" s="3" t="str">
        <f t="shared" si="24"/>
        <v>2024-05</v>
      </c>
      <c r="O424" s="3" t="str">
        <f t="shared" si="25"/>
        <v>1-10%</v>
      </c>
      <c r="P424" s="9">
        <f t="shared" si="26"/>
        <v>0.3575534429857653</v>
      </c>
      <c r="Q424" s="3" t="str">
        <f t="shared" si="27"/>
        <v>No</v>
      </c>
    </row>
    <row r="425" spans="1:17" ht="21" customHeight="1">
      <c r="A425" s="3" t="s">
        <v>852</v>
      </c>
      <c r="B425" s="5">
        <v>45425</v>
      </c>
      <c r="C425" s="3" t="s">
        <v>853</v>
      </c>
      <c r="D425" s="3" t="s">
        <v>45</v>
      </c>
      <c r="E425" s="3" t="s">
        <v>38</v>
      </c>
      <c r="F425" s="3" t="s">
        <v>98</v>
      </c>
      <c r="G425" s="3" t="s">
        <v>362</v>
      </c>
      <c r="H425" s="3">
        <v>1</v>
      </c>
      <c r="I425" s="7">
        <v>33162.99</v>
      </c>
      <c r="J425" s="9">
        <v>0.25</v>
      </c>
      <c r="K425" s="7">
        <v>24872.240000000002</v>
      </c>
      <c r="L425" s="7">
        <v>-2594.89</v>
      </c>
      <c r="M425" s="3" t="s">
        <v>58</v>
      </c>
      <c r="N425" s="3" t="str">
        <f t="shared" si="24"/>
        <v>2024-05</v>
      </c>
      <c r="O425" s="3" t="str">
        <f t="shared" si="25"/>
        <v>21%+</v>
      </c>
      <c r="P425" s="9">
        <f t="shared" si="26"/>
        <v>-0.10432876170381114</v>
      </c>
      <c r="Q425" s="3" t="str">
        <f t="shared" si="27"/>
        <v>Yes</v>
      </c>
    </row>
    <row r="426" spans="1:17" ht="21" customHeight="1">
      <c r="A426" s="3" t="s">
        <v>854</v>
      </c>
      <c r="B426" s="5">
        <v>45425</v>
      </c>
      <c r="C426" s="3" t="s">
        <v>855</v>
      </c>
      <c r="D426" s="3" t="s">
        <v>44</v>
      </c>
      <c r="E426" s="3" t="s">
        <v>39</v>
      </c>
      <c r="F426" s="3" t="s">
        <v>109</v>
      </c>
      <c r="G426" s="3" t="s">
        <v>355</v>
      </c>
      <c r="H426" s="3">
        <v>1</v>
      </c>
      <c r="I426" s="7">
        <v>3368.55</v>
      </c>
      <c r="J426" s="9">
        <v>0.2</v>
      </c>
      <c r="K426" s="7">
        <v>2694.84</v>
      </c>
      <c r="L426" s="7">
        <v>593.04</v>
      </c>
      <c r="M426" s="3" t="s">
        <v>58</v>
      </c>
      <c r="N426" s="3" t="str">
        <f t="shared" si="24"/>
        <v>2024-05</v>
      </c>
      <c r="O426" s="3" t="str">
        <f t="shared" si="25"/>
        <v>16-20%</v>
      </c>
      <c r="P426" s="9">
        <f t="shared" si="26"/>
        <v>0.22006501313621585</v>
      </c>
      <c r="Q426" s="3" t="str">
        <f t="shared" si="27"/>
        <v>No</v>
      </c>
    </row>
    <row r="427" spans="1:17" ht="21" customHeight="1">
      <c r="A427" s="3" t="s">
        <v>856</v>
      </c>
      <c r="B427" s="5">
        <v>45425</v>
      </c>
      <c r="C427" s="3" t="s">
        <v>808</v>
      </c>
      <c r="D427" s="3" t="s">
        <v>45</v>
      </c>
      <c r="E427" s="3" t="s">
        <v>42</v>
      </c>
      <c r="F427" s="3" t="s">
        <v>126</v>
      </c>
      <c r="G427" s="3" t="s">
        <v>151</v>
      </c>
      <c r="H427" s="3">
        <v>2</v>
      </c>
      <c r="I427" s="7">
        <v>1476.68</v>
      </c>
      <c r="J427" s="9">
        <v>0.05</v>
      </c>
      <c r="K427" s="7">
        <v>2805.69</v>
      </c>
      <c r="L427" s="7">
        <v>1426.42</v>
      </c>
      <c r="M427" s="3" t="s">
        <v>56</v>
      </c>
      <c r="N427" s="3" t="str">
        <f t="shared" si="24"/>
        <v>2024-05</v>
      </c>
      <c r="O427" s="3" t="str">
        <f t="shared" si="25"/>
        <v>1-10%</v>
      </c>
      <c r="P427" s="9">
        <f t="shared" si="26"/>
        <v>0.50840256763933289</v>
      </c>
      <c r="Q427" s="3" t="str">
        <f t="shared" si="27"/>
        <v>No</v>
      </c>
    </row>
    <row r="428" spans="1:17" ht="21" customHeight="1">
      <c r="A428" s="3" t="s">
        <v>857</v>
      </c>
      <c r="B428" s="5">
        <v>45425</v>
      </c>
      <c r="C428" s="3" t="s">
        <v>858</v>
      </c>
      <c r="D428" s="3" t="s">
        <v>45</v>
      </c>
      <c r="E428" s="3" t="s">
        <v>39</v>
      </c>
      <c r="F428" s="3" t="s">
        <v>109</v>
      </c>
      <c r="G428" s="3" t="s">
        <v>110</v>
      </c>
      <c r="H428" s="3">
        <v>1</v>
      </c>
      <c r="I428" s="7">
        <v>2932.38</v>
      </c>
      <c r="J428" s="9">
        <v>0.2</v>
      </c>
      <c r="K428" s="7">
        <v>2345.9</v>
      </c>
      <c r="L428" s="7">
        <v>357.8</v>
      </c>
      <c r="M428" s="3" t="s">
        <v>59</v>
      </c>
      <c r="N428" s="3" t="str">
        <f t="shared" si="24"/>
        <v>2024-05</v>
      </c>
      <c r="O428" s="3" t="str">
        <f t="shared" si="25"/>
        <v>16-20%</v>
      </c>
      <c r="P428" s="9">
        <f t="shared" si="26"/>
        <v>0.15252142035039856</v>
      </c>
      <c r="Q428" s="3" t="str">
        <f t="shared" si="27"/>
        <v>No</v>
      </c>
    </row>
    <row r="429" spans="1:17" ht="21" customHeight="1">
      <c r="A429" s="3" t="s">
        <v>859</v>
      </c>
      <c r="B429" s="5">
        <v>45426</v>
      </c>
      <c r="C429" s="3" t="s">
        <v>251</v>
      </c>
      <c r="D429" s="3" t="s">
        <v>45</v>
      </c>
      <c r="E429" s="3" t="s">
        <v>42</v>
      </c>
      <c r="F429" s="3" t="s">
        <v>126</v>
      </c>
      <c r="G429" s="3" t="s">
        <v>127</v>
      </c>
      <c r="H429" s="3">
        <v>2</v>
      </c>
      <c r="I429" s="7">
        <v>1013.62</v>
      </c>
      <c r="J429" s="9">
        <v>0.25</v>
      </c>
      <c r="K429" s="7">
        <v>1520.43</v>
      </c>
      <c r="L429" s="7">
        <v>375.87</v>
      </c>
      <c r="M429" s="3" t="s">
        <v>57</v>
      </c>
      <c r="N429" s="3" t="str">
        <f t="shared" si="24"/>
        <v>2024-05</v>
      </c>
      <c r="O429" s="3" t="str">
        <f t="shared" si="25"/>
        <v>21%+</v>
      </c>
      <c r="P429" s="9">
        <f t="shared" si="26"/>
        <v>0.24721295949172273</v>
      </c>
      <c r="Q429" s="3" t="str">
        <f t="shared" si="27"/>
        <v>No</v>
      </c>
    </row>
    <row r="430" spans="1:17" ht="21" customHeight="1">
      <c r="A430" s="3" t="s">
        <v>860</v>
      </c>
      <c r="B430" s="5">
        <v>45426</v>
      </c>
      <c r="C430" s="3" t="s">
        <v>377</v>
      </c>
      <c r="D430" s="3" t="s">
        <v>45</v>
      </c>
      <c r="E430" s="3" t="s">
        <v>40</v>
      </c>
      <c r="F430" s="3" t="s">
        <v>102</v>
      </c>
      <c r="G430" s="3" t="s">
        <v>146</v>
      </c>
      <c r="H430" s="3">
        <v>1</v>
      </c>
      <c r="I430" s="7">
        <v>7944.89</v>
      </c>
      <c r="J430" s="9">
        <v>0.05</v>
      </c>
      <c r="K430" s="7">
        <v>7547.65</v>
      </c>
      <c r="L430" s="7">
        <v>2241.71</v>
      </c>
      <c r="M430" s="3" t="s">
        <v>57</v>
      </c>
      <c r="N430" s="3" t="str">
        <f t="shared" si="24"/>
        <v>2024-05</v>
      </c>
      <c r="O430" s="3" t="str">
        <f t="shared" si="25"/>
        <v>1-10%</v>
      </c>
      <c r="P430" s="9">
        <f t="shared" si="26"/>
        <v>0.29700767788649451</v>
      </c>
      <c r="Q430" s="3" t="str">
        <f t="shared" si="27"/>
        <v>No</v>
      </c>
    </row>
    <row r="431" spans="1:17" ht="21" customHeight="1">
      <c r="A431" s="3" t="s">
        <v>861</v>
      </c>
      <c r="B431" s="5">
        <v>45426</v>
      </c>
      <c r="C431" s="3" t="s">
        <v>520</v>
      </c>
      <c r="D431" s="3" t="s">
        <v>46</v>
      </c>
      <c r="E431" s="3" t="s">
        <v>39</v>
      </c>
      <c r="F431" s="3" t="s">
        <v>109</v>
      </c>
      <c r="G431" s="3" t="s">
        <v>355</v>
      </c>
      <c r="H431" s="3">
        <v>1</v>
      </c>
      <c r="I431" s="7">
        <v>3557.91</v>
      </c>
      <c r="J431" s="9">
        <v>0.3</v>
      </c>
      <c r="K431" s="7">
        <v>2490.54</v>
      </c>
      <c r="L431" s="7">
        <v>190.76</v>
      </c>
      <c r="M431" s="3" t="s">
        <v>59</v>
      </c>
      <c r="N431" s="3" t="str">
        <f t="shared" si="24"/>
        <v>2024-05</v>
      </c>
      <c r="O431" s="3" t="str">
        <f t="shared" si="25"/>
        <v>21%+</v>
      </c>
      <c r="P431" s="9">
        <f t="shared" si="26"/>
        <v>7.6593831056718617E-2</v>
      </c>
      <c r="Q431" s="3" t="str">
        <f t="shared" si="27"/>
        <v>No</v>
      </c>
    </row>
    <row r="432" spans="1:17" ht="21" customHeight="1">
      <c r="A432" s="3" t="s">
        <v>862</v>
      </c>
      <c r="B432" s="5">
        <v>45426</v>
      </c>
      <c r="C432" s="3" t="s">
        <v>247</v>
      </c>
      <c r="D432" s="3" t="s">
        <v>44</v>
      </c>
      <c r="E432" s="3" t="s">
        <v>38</v>
      </c>
      <c r="F432" s="3" t="s">
        <v>98</v>
      </c>
      <c r="G432" s="3" t="s">
        <v>99</v>
      </c>
      <c r="H432" s="3">
        <v>3</v>
      </c>
      <c r="I432" s="7">
        <v>24322.959999999999</v>
      </c>
      <c r="J432" s="9">
        <v>0.05</v>
      </c>
      <c r="K432" s="7">
        <v>69320.44</v>
      </c>
      <c r="L432" s="7">
        <v>9308.85</v>
      </c>
      <c r="M432" s="3" t="s">
        <v>60</v>
      </c>
      <c r="N432" s="3" t="str">
        <f t="shared" si="24"/>
        <v>2024-05</v>
      </c>
      <c r="O432" s="3" t="str">
        <f t="shared" si="25"/>
        <v>1-10%</v>
      </c>
      <c r="P432" s="9">
        <f t="shared" si="26"/>
        <v>0.13428723187561994</v>
      </c>
      <c r="Q432" s="3" t="str">
        <f t="shared" si="27"/>
        <v>No</v>
      </c>
    </row>
    <row r="433" spans="1:17" ht="21" customHeight="1">
      <c r="A433" s="3" t="s">
        <v>863</v>
      </c>
      <c r="B433" s="5">
        <v>45426</v>
      </c>
      <c r="C433" s="3" t="s">
        <v>366</v>
      </c>
      <c r="D433" s="3" t="s">
        <v>44</v>
      </c>
      <c r="E433" s="3" t="s">
        <v>40</v>
      </c>
      <c r="F433" s="3" t="s">
        <v>102</v>
      </c>
      <c r="G433" s="3" t="s">
        <v>146</v>
      </c>
      <c r="H433" s="3">
        <v>2</v>
      </c>
      <c r="I433" s="7">
        <v>7771.44</v>
      </c>
      <c r="J433" s="9">
        <v>0.1</v>
      </c>
      <c r="K433" s="7">
        <v>13988.59</v>
      </c>
      <c r="L433" s="7">
        <v>3214.37</v>
      </c>
      <c r="M433" s="3" t="s">
        <v>56</v>
      </c>
      <c r="N433" s="3" t="str">
        <f t="shared" si="24"/>
        <v>2024-05</v>
      </c>
      <c r="O433" s="3" t="str">
        <f t="shared" si="25"/>
        <v>1-10%</v>
      </c>
      <c r="P433" s="9">
        <f t="shared" si="26"/>
        <v>0.22978513202545789</v>
      </c>
      <c r="Q433" s="3" t="str">
        <f t="shared" si="27"/>
        <v>No</v>
      </c>
    </row>
    <row r="434" spans="1:17" ht="21" customHeight="1">
      <c r="A434" s="3" t="s">
        <v>864</v>
      </c>
      <c r="B434" s="5">
        <v>45427</v>
      </c>
      <c r="C434" s="3" t="s">
        <v>865</v>
      </c>
      <c r="D434" s="3" t="s">
        <v>45</v>
      </c>
      <c r="E434" s="3" t="s">
        <v>41</v>
      </c>
      <c r="F434" s="3" t="s">
        <v>119</v>
      </c>
      <c r="G434" s="3" t="s">
        <v>168</v>
      </c>
      <c r="H434" s="3">
        <v>1</v>
      </c>
      <c r="I434" s="7">
        <v>9504.24</v>
      </c>
      <c r="J434" s="9">
        <v>0</v>
      </c>
      <c r="K434" s="7">
        <v>9504.24</v>
      </c>
      <c r="L434" s="7">
        <v>3465.83</v>
      </c>
      <c r="M434" s="3" t="s">
        <v>56</v>
      </c>
      <c r="N434" s="3" t="str">
        <f t="shared" si="24"/>
        <v>2024-05</v>
      </c>
      <c r="O434" s="3" t="str">
        <f t="shared" si="25"/>
        <v>No discount</v>
      </c>
      <c r="P434" s="9">
        <f t="shared" si="26"/>
        <v>0.3646614563605296</v>
      </c>
      <c r="Q434" s="3" t="str">
        <f t="shared" si="27"/>
        <v>No</v>
      </c>
    </row>
    <row r="435" spans="1:17" ht="21" customHeight="1">
      <c r="A435" s="3" t="s">
        <v>866</v>
      </c>
      <c r="B435" s="5">
        <v>45427</v>
      </c>
      <c r="C435" s="3" t="s">
        <v>552</v>
      </c>
      <c r="D435" s="3" t="s">
        <v>44</v>
      </c>
      <c r="E435" s="3" t="s">
        <v>40</v>
      </c>
      <c r="F435" s="3" t="s">
        <v>102</v>
      </c>
      <c r="G435" s="3" t="s">
        <v>103</v>
      </c>
      <c r="H435" s="3">
        <v>4</v>
      </c>
      <c r="I435" s="7">
        <v>6759.06</v>
      </c>
      <c r="J435" s="9">
        <v>0.05</v>
      </c>
      <c r="K435" s="7">
        <v>25684.43</v>
      </c>
      <c r="L435" s="7">
        <v>7646.63</v>
      </c>
      <c r="M435" s="3" t="s">
        <v>58</v>
      </c>
      <c r="N435" s="3" t="str">
        <f t="shared" si="24"/>
        <v>2024-05</v>
      </c>
      <c r="O435" s="3" t="str">
        <f t="shared" si="25"/>
        <v>1-10%</v>
      </c>
      <c r="P435" s="9">
        <f t="shared" si="26"/>
        <v>0.29771460764361912</v>
      </c>
      <c r="Q435" s="3" t="str">
        <f t="shared" si="27"/>
        <v>No</v>
      </c>
    </row>
    <row r="436" spans="1:17" ht="21" customHeight="1">
      <c r="A436" s="3" t="s">
        <v>867</v>
      </c>
      <c r="B436" s="5">
        <v>45427</v>
      </c>
      <c r="C436" s="3" t="s">
        <v>357</v>
      </c>
      <c r="D436" s="3" t="s">
        <v>46</v>
      </c>
      <c r="E436" s="3" t="s">
        <v>41</v>
      </c>
      <c r="F436" s="3" t="s">
        <v>113</v>
      </c>
      <c r="G436" s="3" t="s">
        <v>123</v>
      </c>
      <c r="H436" s="3">
        <v>1</v>
      </c>
      <c r="I436" s="7">
        <v>3519.46</v>
      </c>
      <c r="J436" s="9">
        <v>0</v>
      </c>
      <c r="K436" s="7">
        <v>3519.46</v>
      </c>
      <c r="L436" s="7">
        <v>1200.1099999999999</v>
      </c>
      <c r="M436" s="3" t="s">
        <v>60</v>
      </c>
      <c r="N436" s="3" t="str">
        <f t="shared" si="24"/>
        <v>2024-05</v>
      </c>
      <c r="O436" s="3" t="str">
        <f t="shared" si="25"/>
        <v>No discount</v>
      </c>
      <c r="P436" s="9">
        <f t="shared" si="26"/>
        <v>0.34099265228188413</v>
      </c>
      <c r="Q436" s="3" t="str">
        <f t="shared" si="27"/>
        <v>No</v>
      </c>
    </row>
    <row r="437" spans="1:17" ht="21" customHeight="1">
      <c r="A437" s="3" t="s">
        <v>868</v>
      </c>
      <c r="B437" s="5">
        <v>45427</v>
      </c>
      <c r="C437" s="3" t="s">
        <v>724</v>
      </c>
      <c r="D437" s="3" t="s">
        <v>46</v>
      </c>
      <c r="E437" s="3" t="s">
        <v>42</v>
      </c>
      <c r="F437" s="3" t="s">
        <v>90</v>
      </c>
      <c r="G437" s="3" t="s">
        <v>106</v>
      </c>
      <c r="H437" s="3">
        <v>1</v>
      </c>
      <c r="I437" s="7">
        <v>875.56</v>
      </c>
      <c r="J437" s="9">
        <v>0.15</v>
      </c>
      <c r="K437" s="7">
        <v>744.23</v>
      </c>
      <c r="L437" s="7">
        <v>279.29000000000002</v>
      </c>
      <c r="M437" s="3" t="s">
        <v>56</v>
      </c>
      <c r="N437" s="3" t="str">
        <f t="shared" si="24"/>
        <v>2024-05</v>
      </c>
      <c r="O437" s="3" t="str">
        <f t="shared" si="25"/>
        <v>11-15%</v>
      </c>
      <c r="P437" s="9">
        <f t="shared" si="26"/>
        <v>0.37527377289278852</v>
      </c>
      <c r="Q437" s="3" t="str">
        <f t="shared" si="27"/>
        <v>No</v>
      </c>
    </row>
    <row r="438" spans="1:17" ht="21" customHeight="1">
      <c r="A438" s="3" t="s">
        <v>869</v>
      </c>
      <c r="B438" s="5">
        <v>45427</v>
      </c>
      <c r="C438" s="3" t="s">
        <v>215</v>
      </c>
      <c r="D438" s="3" t="s">
        <v>44</v>
      </c>
      <c r="E438" s="3" t="s">
        <v>38</v>
      </c>
      <c r="F438" s="3" t="s">
        <v>94</v>
      </c>
      <c r="G438" s="3" t="s">
        <v>95</v>
      </c>
      <c r="H438" s="3">
        <v>2</v>
      </c>
      <c r="I438" s="7">
        <v>76681.539999999994</v>
      </c>
      <c r="J438" s="9">
        <v>0.15</v>
      </c>
      <c r="K438" s="7">
        <v>130358.62</v>
      </c>
      <c r="L438" s="7">
        <v>-2112.08</v>
      </c>
      <c r="M438" s="3" t="s">
        <v>58</v>
      </c>
      <c r="N438" s="3" t="str">
        <f t="shared" si="24"/>
        <v>2024-05</v>
      </c>
      <c r="O438" s="3" t="str">
        <f t="shared" si="25"/>
        <v>11-15%</v>
      </c>
      <c r="P438" s="9">
        <f t="shared" si="26"/>
        <v>-1.6202073940334748E-2</v>
      </c>
      <c r="Q438" s="3" t="str">
        <f t="shared" si="27"/>
        <v>Yes</v>
      </c>
    </row>
    <row r="439" spans="1:17" ht="21" customHeight="1">
      <c r="A439" s="3" t="s">
        <v>870</v>
      </c>
      <c r="B439" s="5">
        <v>45427</v>
      </c>
      <c r="C439" s="3" t="s">
        <v>871</v>
      </c>
      <c r="D439" s="3" t="s">
        <v>45</v>
      </c>
      <c r="E439" s="3" t="s">
        <v>38</v>
      </c>
      <c r="F439" s="3" t="s">
        <v>98</v>
      </c>
      <c r="G439" s="3" t="s">
        <v>182</v>
      </c>
      <c r="H439" s="3">
        <v>4</v>
      </c>
      <c r="I439" s="7">
        <v>67462.990000000005</v>
      </c>
      <c r="J439" s="9">
        <v>0</v>
      </c>
      <c r="K439" s="7">
        <v>269851.96000000002</v>
      </c>
      <c r="L439" s="7">
        <v>49849.1</v>
      </c>
      <c r="M439" s="3" t="s">
        <v>56</v>
      </c>
      <c r="N439" s="3" t="str">
        <f t="shared" si="24"/>
        <v>2024-05</v>
      </c>
      <c r="O439" s="3" t="str">
        <f t="shared" si="25"/>
        <v>No discount</v>
      </c>
      <c r="P439" s="9">
        <f t="shared" si="26"/>
        <v>0.18472758174519094</v>
      </c>
      <c r="Q439" s="3" t="str">
        <f t="shared" si="27"/>
        <v>No</v>
      </c>
    </row>
    <row r="440" spans="1:17" ht="21" customHeight="1">
      <c r="A440" s="3" t="s">
        <v>872</v>
      </c>
      <c r="B440" s="5">
        <v>45428</v>
      </c>
      <c r="C440" s="3" t="s">
        <v>873</v>
      </c>
      <c r="D440" s="3" t="s">
        <v>45</v>
      </c>
      <c r="E440" s="3" t="s">
        <v>39</v>
      </c>
      <c r="F440" s="3" t="s">
        <v>164</v>
      </c>
      <c r="G440" s="3" t="s">
        <v>200</v>
      </c>
      <c r="H440" s="3">
        <v>1</v>
      </c>
      <c r="I440" s="7">
        <v>1292.31</v>
      </c>
      <c r="J440" s="9">
        <v>0.2</v>
      </c>
      <c r="K440" s="7">
        <v>1033.8499999999999</v>
      </c>
      <c r="L440" s="7">
        <v>230.93</v>
      </c>
      <c r="M440" s="3" t="s">
        <v>56</v>
      </c>
      <c r="N440" s="3" t="str">
        <f t="shared" si="24"/>
        <v>2024-05</v>
      </c>
      <c r="O440" s="3" t="str">
        <f t="shared" si="25"/>
        <v>16-20%</v>
      </c>
      <c r="P440" s="9">
        <f t="shared" si="26"/>
        <v>0.22336896068094989</v>
      </c>
      <c r="Q440" s="3" t="str">
        <f t="shared" si="27"/>
        <v>No</v>
      </c>
    </row>
    <row r="441" spans="1:17" ht="21" customHeight="1">
      <c r="A441" s="3" t="s">
        <v>874</v>
      </c>
      <c r="B441" s="5">
        <v>45428</v>
      </c>
      <c r="C441" s="3" t="s">
        <v>322</v>
      </c>
      <c r="D441" s="3" t="s">
        <v>45</v>
      </c>
      <c r="E441" s="3" t="s">
        <v>38</v>
      </c>
      <c r="F441" s="3" t="s">
        <v>142</v>
      </c>
      <c r="G441" s="3" t="s">
        <v>245</v>
      </c>
      <c r="H441" s="3">
        <v>1</v>
      </c>
      <c r="I441" s="7">
        <v>4911.1899999999996</v>
      </c>
      <c r="J441" s="9">
        <v>0</v>
      </c>
      <c r="K441" s="7">
        <v>4911.1899999999996</v>
      </c>
      <c r="L441" s="7">
        <v>935.43</v>
      </c>
      <c r="M441" s="3" t="s">
        <v>59</v>
      </c>
      <c r="N441" s="3" t="str">
        <f t="shared" si="24"/>
        <v>2024-05</v>
      </c>
      <c r="O441" s="3" t="str">
        <f t="shared" si="25"/>
        <v>No discount</v>
      </c>
      <c r="P441" s="9">
        <f t="shared" si="26"/>
        <v>0.19046911237398675</v>
      </c>
      <c r="Q441" s="3" t="str">
        <f t="shared" si="27"/>
        <v>No</v>
      </c>
    </row>
    <row r="442" spans="1:17" ht="21" customHeight="1">
      <c r="A442" s="3" t="s">
        <v>875</v>
      </c>
      <c r="B442" s="5">
        <v>45428</v>
      </c>
      <c r="C442" s="3" t="s">
        <v>733</v>
      </c>
      <c r="D442" s="3" t="s">
        <v>44</v>
      </c>
      <c r="E442" s="3" t="s">
        <v>42</v>
      </c>
      <c r="F442" s="3" t="s">
        <v>90</v>
      </c>
      <c r="G442" s="3" t="s">
        <v>91</v>
      </c>
      <c r="H442" s="3">
        <v>5</v>
      </c>
      <c r="I442" s="7">
        <v>1244.79</v>
      </c>
      <c r="J442" s="9">
        <v>0.1</v>
      </c>
      <c r="K442" s="7">
        <v>5601.56</v>
      </c>
      <c r="L442" s="7">
        <v>2447.2199999999998</v>
      </c>
      <c r="M442" s="3" t="s">
        <v>56</v>
      </c>
      <c r="N442" s="3" t="str">
        <f t="shared" si="24"/>
        <v>2024-05</v>
      </c>
      <c r="O442" s="3" t="str">
        <f t="shared" si="25"/>
        <v>1-10%</v>
      </c>
      <c r="P442" s="9">
        <f t="shared" si="26"/>
        <v>0.43688186862231226</v>
      </c>
      <c r="Q442" s="3" t="str">
        <f t="shared" si="27"/>
        <v>No</v>
      </c>
    </row>
    <row r="443" spans="1:17" ht="21" customHeight="1">
      <c r="A443" s="3" t="s">
        <v>876</v>
      </c>
      <c r="B443" s="5">
        <v>45428</v>
      </c>
      <c r="C443" s="3" t="s">
        <v>792</v>
      </c>
      <c r="D443" s="3" t="s">
        <v>46</v>
      </c>
      <c r="E443" s="3" t="s">
        <v>41</v>
      </c>
      <c r="F443" s="3" t="s">
        <v>113</v>
      </c>
      <c r="G443" s="3" t="s">
        <v>114</v>
      </c>
      <c r="H443" s="3">
        <v>1</v>
      </c>
      <c r="I443" s="7">
        <v>12377.24</v>
      </c>
      <c r="J443" s="9">
        <v>0.05</v>
      </c>
      <c r="K443" s="7">
        <v>11758.38</v>
      </c>
      <c r="L443" s="7">
        <v>3598.45</v>
      </c>
      <c r="M443" s="3" t="s">
        <v>57</v>
      </c>
      <c r="N443" s="3" t="str">
        <f t="shared" si="24"/>
        <v>2024-05</v>
      </c>
      <c r="O443" s="3" t="str">
        <f t="shared" si="25"/>
        <v>1-10%</v>
      </c>
      <c r="P443" s="9">
        <f t="shared" si="26"/>
        <v>0.30603280383862402</v>
      </c>
      <c r="Q443" s="3" t="str">
        <f t="shared" si="27"/>
        <v>No</v>
      </c>
    </row>
    <row r="444" spans="1:17" ht="21" customHeight="1">
      <c r="A444" s="3" t="s">
        <v>877</v>
      </c>
      <c r="B444" s="5">
        <v>45429</v>
      </c>
      <c r="C444" s="3" t="s">
        <v>878</v>
      </c>
      <c r="D444" s="3" t="s">
        <v>47</v>
      </c>
      <c r="E444" s="3" t="s">
        <v>39</v>
      </c>
      <c r="F444" s="3" t="s">
        <v>109</v>
      </c>
      <c r="G444" s="3" t="s">
        <v>110</v>
      </c>
      <c r="H444" s="3">
        <v>1</v>
      </c>
      <c r="I444" s="7">
        <v>2999.29</v>
      </c>
      <c r="J444" s="9">
        <v>0.1</v>
      </c>
      <c r="K444" s="7">
        <v>2699.36</v>
      </c>
      <c r="L444" s="7">
        <v>753.87</v>
      </c>
      <c r="M444" s="3" t="s">
        <v>56</v>
      </c>
      <c r="N444" s="3" t="str">
        <f t="shared" si="24"/>
        <v>2024-05</v>
      </c>
      <c r="O444" s="3" t="str">
        <f t="shared" si="25"/>
        <v>1-10%</v>
      </c>
      <c r="P444" s="9">
        <f t="shared" si="26"/>
        <v>0.27927731017722718</v>
      </c>
      <c r="Q444" s="3" t="str">
        <f t="shared" si="27"/>
        <v>No</v>
      </c>
    </row>
    <row r="445" spans="1:17" ht="21" customHeight="1">
      <c r="A445" s="3" t="s">
        <v>879</v>
      </c>
      <c r="B445" s="5">
        <v>45429</v>
      </c>
      <c r="C445" s="3" t="s">
        <v>139</v>
      </c>
      <c r="D445" s="3" t="s">
        <v>46</v>
      </c>
      <c r="E445" s="3" t="s">
        <v>40</v>
      </c>
      <c r="F445" s="3" t="s">
        <v>221</v>
      </c>
      <c r="G445" s="3" t="s">
        <v>279</v>
      </c>
      <c r="H445" s="3">
        <v>1</v>
      </c>
      <c r="I445" s="7">
        <v>1485.36</v>
      </c>
      <c r="J445" s="9">
        <v>0</v>
      </c>
      <c r="K445" s="7">
        <v>1485.36</v>
      </c>
      <c r="L445" s="7">
        <v>508.18</v>
      </c>
      <c r="M445" s="3" t="s">
        <v>56</v>
      </c>
      <c r="N445" s="3" t="str">
        <f t="shared" si="24"/>
        <v>2024-05</v>
      </c>
      <c r="O445" s="3" t="str">
        <f t="shared" si="25"/>
        <v>No discount</v>
      </c>
      <c r="P445" s="9">
        <f t="shared" si="26"/>
        <v>0.34212581461733188</v>
      </c>
      <c r="Q445" s="3" t="str">
        <f t="shared" si="27"/>
        <v>No</v>
      </c>
    </row>
    <row r="446" spans="1:17" ht="21" customHeight="1">
      <c r="A446" s="3" t="s">
        <v>880</v>
      </c>
      <c r="B446" s="5">
        <v>45429</v>
      </c>
      <c r="C446" s="3" t="s">
        <v>881</v>
      </c>
      <c r="D446" s="3" t="s">
        <v>47</v>
      </c>
      <c r="E446" s="3" t="s">
        <v>42</v>
      </c>
      <c r="F446" s="3" t="s">
        <v>90</v>
      </c>
      <c r="G446" s="3" t="s">
        <v>106</v>
      </c>
      <c r="H446" s="3">
        <v>3</v>
      </c>
      <c r="I446" s="7">
        <v>912.95</v>
      </c>
      <c r="J446" s="9">
        <v>0.1</v>
      </c>
      <c r="K446" s="7">
        <v>2464.9699999999998</v>
      </c>
      <c r="L446" s="7">
        <v>1051.44</v>
      </c>
      <c r="M446" s="3" t="s">
        <v>57</v>
      </c>
      <c r="N446" s="3" t="str">
        <f t="shared" si="24"/>
        <v>2024-05</v>
      </c>
      <c r="O446" s="3" t="str">
        <f t="shared" si="25"/>
        <v>1-10%</v>
      </c>
      <c r="P446" s="9">
        <f t="shared" si="26"/>
        <v>0.42655285865548065</v>
      </c>
      <c r="Q446" s="3" t="str">
        <f t="shared" si="27"/>
        <v>No</v>
      </c>
    </row>
    <row r="447" spans="1:17" ht="21" customHeight="1">
      <c r="A447" s="3" t="s">
        <v>882</v>
      </c>
      <c r="B447" s="5">
        <v>45430</v>
      </c>
      <c r="C447" s="3" t="s">
        <v>495</v>
      </c>
      <c r="D447" s="3" t="s">
        <v>47</v>
      </c>
      <c r="E447" s="3" t="s">
        <v>39</v>
      </c>
      <c r="F447" s="3" t="s">
        <v>164</v>
      </c>
      <c r="G447" s="3" t="s">
        <v>165</v>
      </c>
      <c r="H447" s="3">
        <v>1</v>
      </c>
      <c r="I447" s="7">
        <v>1957.93</v>
      </c>
      <c r="J447" s="9">
        <v>0</v>
      </c>
      <c r="K447" s="7">
        <v>1957.93</v>
      </c>
      <c r="L447" s="7">
        <v>763.98</v>
      </c>
      <c r="M447" s="3" t="s">
        <v>60</v>
      </c>
      <c r="N447" s="3" t="str">
        <f t="shared" si="24"/>
        <v>2024-05</v>
      </c>
      <c r="O447" s="3" t="str">
        <f t="shared" si="25"/>
        <v>No discount</v>
      </c>
      <c r="P447" s="9">
        <f t="shared" si="26"/>
        <v>0.39019781095340489</v>
      </c>
      <c r="Q447" s="3" t="str">
        <f t="shared" si="27"/>
        <v>No</v>
      </c>
    </row>
    <row r="448" spans="1:17" ht="21" customHeight="1">
      <c r="A448" s="3" t="s">
        <v>883</v>
      </c>
      <c r="B448" s="5">
        <v>45431</v>
      </c>
      <c r="C448" s="3" t="s">
        <v>347</v>
      </c>
      <c r="D448" s="3" t="s">
        <v>44</v>
      </c>
      <c r="E448" s="3" t="s">
        <v>38</v>
      </c>
      <c r="F448" s="3" t="s">
        <v>98</v>
      </c>
      <c r="G448" s="3" t="s">
        <v>362</v>
      </c>
      <c r="H448" s="3">
        <v>1</v>
      </c>
      <c r="I448" s="7">
        <v>32788.239999999998</v>
      </c>
      <c r="J448" s="9">
        <v>0.1</v>
      </c>
      <c r="K448" s="7">
        <v>29509.42</v>
      </c>
      <c r="L448" s="7">
        <v>2264.96</v>
      </c>
      <c r="M448" s="3" t="s">
        <v>56</v>
      </c>
      <c r="N448" s="3" t="str">
        <f t="shared" si="24"/>
        <v>2024-05</v>
      </c>
      <c r="O448" s="3" t="str">
        <f t="shared" si="25"/>
        <v>1-10%</v>
      </c>
      <c r="P448" s="9">
        <f t="shared" si="26"/>
        <v>7.6753795906527478E-2</v>
      </c>
      <c r="Q448" s="3" t="str">
        <f t="shared" si="27"/>
        <v>No</v>
      </c>
    </row>
    <row r="449" spans="1:17" ht="21" customHeight="1">
      <c r="A449" s="3" t="s">
        <v>884</v>
      </c>
      <c r="B449" s="5">
        <v>45431</v>
      </c>
      <c r="C449" s="3" t="s">
        <v>404</v>
      </c>
      <c r="D449" s="3" t="s">
        <v>45</v>
      </c>
      <c r="E449" s="3" t="s">
        <v>38</v>
      </c>
      <c r="F449" s="3" t="s">
        <v>142</v>
      </c>
      <c r="G449" s="3" t="s">
        <v>143</v>
      </c>
      <c r="H449" s="3">
        <v>2</v>
      </c>
      <c r="I449" s="7">
        <v>9335.8799999999992</v>
      </c>
      <c r="J449" s="9">
        <v>0.05</v>
      </c>
      <c r="K449" s="7">
        <v>17738.169999999998</v>
      </c>
      <c r="L449" s="7">
        <v>2828.76</v>
      </c>
      <c r="M449" s="3" t="s">
        <v>57</v>
      </c>
      <c r="N449" s="3" t="str">
        <f t="shared" si="24"/>
        <v>2024-05</v>
      </c>
      <c r="O449" s="3" t="str">
        <f t="shared" si="25"/>
        <v>1-10%</v>
      </c>
      <c r="P449" s="9">
        <f t="shared" si="26"/>
        <v>0.1594730459793767</v>
      </c>
      <c r="Q449" s="3" t="str">
        <f t="shared" si="27"/>
        <v>No</v>
      </c>
    </row>
    <row r="450" spans="1:17" ht="21" customHeight="1">
      <c r="A450" s="3" t="s">
        <v>885</v>
      </c>
      <c r="B450" s="5">
        <v>45431</v>
      </c>
      <c r="C450" s="3" t="s">
        <v>289</v>
      </c>
      <c r="D450" s="3" t="s">
        <v>45</v>
      </c>
      <c r="E450" s="3" t="s">
        <v>42</v>
      </c>
      <c r="F450" s="3" t="s">
        <v>126</v>
      </c>
      <c r="G450" s="3" t="s">
        <v>151</v>
      </c>
      <c r="H450" s="3">
        <v>1</v>
      </c>
      <c r="I450" s="7">
        <v>1559.39</v>
      </c>
      <c r="J450" s="9">
        <v>0</v>
      </c>
      <c r="K450" s="7">
        <v>1559.39</v>
      </c>
      <c r="L450" s="7">
        <v>806.32</v>
      </c>
      <c r="M450" s="3" t="s">
        <v>56</v>
      </c>
      <c r="N450" s="3" t="str">
        <f t="shared" ref="N450:N513" si="28">TEXT(B450,"yyyy-mm")</f>
        <v>2024-05</v>
      </c>
      <c r="O450" s="3" t="str">
        <f t="shared" ref="O450:O513" si="29">IF(J450=0,"No discount",IF(J450&lt;=0.1,"1-10%",IF(J450&lt;=0.15,"11-15%",IF(J450&lt;=0.2,"16-20%","21%+"))))</f>
        <v>No discount</v>
      </c>
      <c r="P450" s="9">
        <f t="shared" ref="P450:P513" si="30">IF(K450=0,0,L450/K450)</f>
        <v>0.51707398405786875</v>
      </c>
      <c r="Q450" s="3" t="str">
        <f t="shared" ref="Q450:Q513" si="31">IF(L450&lt;0,"Yes","No")</f>
        <v>No</v>
      </c>
    </row>
    <row r="451" spans="1:17" ht="21" customHeight="1">
      <c r="A451" s="3" t="s">
        <v>886</v>
      </c>
      <c r="B451" s="5">
        <v>45431</v>
      </c>
      <c r="C451" s="3" t="s">
        <v>792</v>
      </c>
      <c r="D451" s="3" t="s">
        <v>44</v>
      </c>
      <c r="E451" s="3" t="s">
        <v>41</v>
      </c>
      <c r="F451" s="3" t="s">
        <v>113</v>
      </c>
      <c r="G451" s="3" t="s">
        <v>123</v>
      </c>
      <c r="H451" s="3">
        <v>2</v>
      </c>
      <c r="I451" s="7">
        <v>3650.21</v>
      </c>
      <c r="J451" s="9">
        <v>0.05</v>
      </c>
      <c r="K451" s="7">
        <v>6935.4</v>
      </c>
      <c r="L451" s="7">
        <v>2506.83</v>
      </c>
      <c r="M451" s="3" t="s">
        <v>58</v>
      </c>
      <c r="N451" s="3" t="str">
        <f t="shared" si="28"/>
        <v>2024-05</v>
      </c>
      <c r="O451" s="3" t="str">
        <f t="shared" si="29"/>
        <v>1-10%</v>
      </c>
      <c r="P451" s="9">
        <f t="shared" si="30"/>
        <v>0.36145427805173458</v>
      </c>
      <c r="Q451" s="3" t="str">
        <f t="shared" si="31"/>
        <v>No</v>
      </c>
    </row>
    <row r="452" spans="1:17" ht="21" customHeight="1">
      <c r="A452" s="3" t="s">
        <v>887</v>
      </c>
      <c r="B452" s="5">
        <v>45431</v>
      </c>
      <c r="C452" s="3" t="s">
        <v>888</v>
      </c>
      <c r="D452" s="3" t="s">
        <v>44</v>
      </c>
      <c r="E452" s="3" t="s">
        <v>38</v>
      </c>
      <c r="F452" s="3" t="s">
        <v>98</v>
      </c>
      <c r="G452" s="3" t="s">
        <v>362</v>
      </c>
      <c r="H452" s="3">
        <v>1</v>
      </c>
      <c r="I452" s="7">
        <v>33001.629999999997</v>
      </c>
      <c r="J452" s="9">
        <v>0.1</v>
      </c>
      <c r="K452" s="7">
        <v>29701.47</v>
      </c>
      <c r="L452" s="7">
        <v>908.93</v>
      </c>
      <c r="M452" s="3" t="s">
        <v>56</v>
      </c>
      <c r="N452" s="3" t="str">
        <f t="shared" si="28"/>
        <v>2024-05</v>
      </c>
      <c r="O452" s="3" t="str">
        <f t="shared" si="29"/>
        <v>1-10%</v>
      </c>
      <c r="P452" s="9">
        <f t="shared" si="30"/>
        <v>3.060218904990224E-2</v>
      </c>
      <c r="Q452" s="3" t="str">
        <f t="shared" si="31"/>
        <v>No</v>
      </c>
    </row>
    <row r="453" spans="1:17" ht="21" customHeight="1">
      <c r="A453" s="3" t="s">
        <v>889</v>
      </c>
      <c r="B453" s="5">
        <v>45432</v>
      </c>
      <c r="C453" s="3" t="s">
        <v>244</v>
      </c>
      <c r="D453" s="3" t="s">
        <v>45</v>
      </c>
      <c r="E453" s="3" t="s">
        <v>39</v>
      </c>
      <c r="F453" s="3" t="s">
        <v>109</v>
      </c>
      <c r="G453" s="3" t="s">
        <v>355</v>
      </c>
      <c r="H453" s="3">
        <v>1</v>
      </c>
      <c r="I453" s="7">
        <v>3335.38</v>
      </c>
      <c r="J453" s="9">
        <v>0.25</v>
      </c>
      <c r="K453" s="7">
        <v>2501.5300000000002</v>
      </c>
      <c r="L453" s="7">
        <v>262.10000000000002</v>
      </c>
      <c r="M453" s="3" t="s">
        <v>56</v>
      </c>
      <c r="N453" s="3" t="str">
        <f t="shared" si="28"/>
        <v>2024-05</v>
      </c>
      <c r="O453" s="3" t="str">
        <f t="shared" si="29"/>
        <v>21%+</v>
      </c>
      <c r="P453" s="9">
        <f t="shared" si="30"/>
        <v>0.10477587716317614</v>
      </c>
      <c r="Q453" s="3" t="str">
        <f t="shared" si="31"/>
        <v>No</v>
      </c>
    </row>
    <row r="454" spans="1:17" ht="21" customHeight="1">
      <c r="A454" s="3" t="s">
        <v>890</v>
      </c>
      <c r="B454" s="5">
        <v>45432</v>
      </c>
      <c r="C454" s="3" t="s">
        <v>891</v>
      </c>
      <c r="D454" s="3" t="s">
        <v>44</v>
      </c>
      <c r="E454" s="3" t="s">
        <v>39</v>
      </c>
      <c r="F454" s="3" t="s">
        <v>164</v>
      </c>
      <c r="G454" s="3" t="s">
        <v>165</v>
      </c>
      <c r="H454" s="3">
        <v>2</v>
      </c>
      <c r="I454" s="7">
        <v>1909.54</v>
      </c>
      <c r="J454" s="9">
        <v>0.1</v>
      </c>
      <c r="K454" s="7">
        <v>3437.17</v>
      </c>
      <c r="L454" s="7">
        <v>1142.6199999999999</v>
      </c>
      <c r="M454" s="3" t="s">
        <v>56</v>
      </c>
      <c r="N454" s="3" t="str">
        <f t="shared" si="28"/>
        <v>2024-05</v>
      </c>
      <c r="O454" s="3" t="str">
        <f t="shared" si="29"/>
        <v>1-10%</v>
      </c>
      <c r="P454" s="9">
        <f t="shared" si="30"/>
        <v>0.33243045877858818</v>
      </c>
      <c r="Q454" s="3" t="str">
        <f t="shared" si="31"/>
        <v>No</v>
      </c>
    </row>
    <row r="455" spans="1:17" ht="21" customHeight="1">
      <c r="A455" s="3" t="s">
        <v>892</v>
      </c>
      <c r="B455" s="5">
        <v>45432</v>
      </c>
      <c r="C455" s="3" t="s">
        <v>893</v>
      </c>
      <c r="D455" s="3" t="s">
        <v>47</v>
      </c>
      <c r="E455" s="3" t="s">
        <v>40</v>
      </c>
      <c r="F455" s="3" t="s">
        <v>221</v>
      </c>
      <c r="G455" s="3" t="s">
        <v>222</v>
      </c>
      <c r="H455" s="3">
        <v>1</v>
      </c>
      <c r="I455" s="7">
        <v>981.73</v>
      </c>
      <c r="J455" s="9">
        <v>0.1</v>
      </c>
      <c r="K455" s="7">
        <v>883.56</v>
      </c>
      <c r="L455" s="7">
        <v>176.4</v>
      </c>
      <c r="M455" s="3" t="s">
        <v>57</v>
      </c>
      <c r="N455" s="3" t="str">
        <f t="shared" si="28"/>
        <v>2024-05</v>
      </c>
      <c r="O455" s="3" t="str">
        <f t="shared" si="29"/>
        <v>1-10%</v>
      </c>
      <c r="P455" s="9">
        <f t="shared" si="30"/>
        <v>0.19964688306396852</v>
      </c>
      <c r="Q455" s="3" t="str">
        <f t="shared" si="31"/>
        <v>No</v>
      </c>
    </row>
    <row r="456" spans="1:17" ht="21" customHeight="1">
      <c r="A456" s="3" t="s">
        <v>894</v>
      </c>
      <c r="B456" s="5">
        <v>45432</v>
      </c>
      <c r="C456" s="3" t="s">
        <v>190</v>
      </c>
      <c r="D456" s="3" t="s">
        <v>46</v>
      </c>
      <c r="E456" s="3" t="s">
        <v>41</v>
      </c>
      <c r="F456" s="3" t="s">
        <v>113</v>
      </c>
      <c r="G456" s="3" t="s">
        <v>114</v>
      </c>
      <c r="H456" s="3">
        <v>1</v>
      </c>
      <c r="I456" s="7">
        <v>12530.47</v>
      </c>
      <c r="J456" s="9">
        <v>0</v>
      </c>
      <c r="K456" s="7">
        <v>12530.47</v>
      </c>
      <c r="L456" s="7">
        <v>5147.95</v>
      </c>
      <c r="M456" s="3" t="s">
        <v>58</v>
      </c>
      <c r="N456" s="3" t="str">
        <f t="shared" si="28"/>
        <v>2024-05</v>
      </c>
      <c r="O456" s="3" t="str">
        <f t="shared" si="29"/>
        <v>No discount</v>
      </c>
      <c r="P456" s="9">
        <f t="shared" si="30"/>
        <v>0.41083454970164729</v>
      </c>
      <c r="Q456" s="3" t="str">
        <f t="shared" si="31"/>
        <v>No</v>
      </c>
    </row>
    <row r="457" spans="1:17" ht="21" customHeight="1">
      <c r="A457" s="3" t="s">
        <v>895</v>
      </c>
      <c r="B457" s="5">
        <v>45432</v>
      </c>
      <c r="C457" s="3" t="s">
        <v>896</v>
      </c>
      <c r="D457" s="3" t="s">
        <v>47</v>
      </c>
      <c r="E457" s="3" t="s">
        <v>41</v>
      </c>
      <c r="F457" s="3" t="s">
        <v>119</v>
      </c>
      <c r="G457" s="3" t="s">
        <v>120</v>
      </c>
      <c r="H457" s="3">
        <v>3</v>
      </c>
      <c r="I457" s="7">
        <v>1353.2</v>
      </c>
      <c r="J457" s="9">
        <v>0.05</v>
      </c>
      <c r="K457" s="7">
        <v>3856.62</v>
      </c>
      <c r="L457" s="7">
        <v>1381.83</v>
      </c>
      <c r="M457" s="3" t="s">
        <v>57</v>
      </c>
      <c r="N457" s="3" t="str">
        <f t="shared" si="28"/>
        <v>2024-05</v>
      </c>
      <c r="O457" s="3" t="str">
        <f t="shared" si="29"/>
        <v>1-10%</v>
      </c>
      <c r="P457" s="9">
        <f t="shared" si="30"/>
        <v>0.35830079188512221</v>
      </c>
      <c r="Q457" s="3" t="str">
        <f t="shared" si="31"/>
        <v>No</v>
      </c>
    </row>
    <row r="458" spans="1:17" ht="21" customHeight="1">
      <c r="A458" s="3" t="s">
        <v>897</v>
      </c>
      <c r="B458" s="5">
        <v>45433</v>
      </c>
      <c r="C458" s="3" t="s">
        <v>195</v>
      </c>
      <c r="D458" s="3" t="s">
        <v>47</v>
      </c>
      <c r="E458" s="3" t="s">
        <v>42</v>
      </c>
      <c r="F458" s="3" t="s">
        <v>126</v>
      </c>
      <c r="G458" s="3" t="s">
        <v>151</v>
      </c>
      <c r="H458" s="3">
        <v>5</v>
      </c>
      <c r="I458" s="7">
        <v>1538.33</v>
      </c>
      <c r="J458" s="9">
        <v>0.25</v>
      </c>
      <c r="K458" s="7">
        <v>5768.74</v>
      </c>
      <c r="L458" s="7">
        <v>1409.81</v>
      </c>
      <c r="M458" s="3" t="s">
        <v>60</v>
      </c>
      <c r="N458" s="3" t="str">
        <f t="shared" si="28"/>
        <v>2024-05</v>
      </c>
      <c r="O458" s="3" t="str">
        <f t="shared" si="29"/>
        <v>21%+</v>
      </c>
      <c r="P458" s="9">
        <f t="shared" si="30"/>
        <v>0.24438785592694418</v>
      </c>
      <c r="Q458" s="3" t="str">
        <f t="shared" si="31"/>
        <v>No</v>
      </c>
    </row>
    <row r="459" spans="1:17" ht="21" customHeight="1">
      <c r="A459" s="3" t="s">
        <v>898</v>
      </c>
      <c r="B459" s="5">
        <v>45433</v>
      </c>
      <c r="C459" s="3" t="s">
        <v>899</v>
      </c>
      <c r="D459" s="3" t="s">
        <v>44</v>
      </c>
      <c r="E459" s="3" t="s">
        <v>38</v>
      </c>
      <c r="F459" s="3" t="s">
        <v>98</v>
      </c>
      <c r="G459" s="3" t="s">
        <v>362</v>
      </c>
      <c r="H459" s="3">
        <v>1</v>
      </c>
      <c r="I459" s="7">
        <v>33371.07</v>
      </c>
      <c r="J459" s="9">
        <v>0.05</v>
      </c>
      <c r="K459" s="7">
        <v>31702.52</v>
      </c>
      <c r="L459" s="7">
        <v>4676.08</v>
      </c>
      <c r="M459" s="3" t="s">
        <v>56</v>
      </c>
      <c r="N459" s="3" t="str">
        <f t="shared" si="28"/>
        <v>2024-05</v>
      </c>
      <c r="O459" s="3" t="str">
        <f t="shared" si="29"/>
        <v>1-10%</v>
      </c>
      <c r="P459" s="9">
        <f t="shared" si="30"/>
        <v>0.14749868464715107</v>
      </c>
      <c r="Q459" s="3" t="str">
        <f t="shared" si="31"/>
        <v>No</v>
      </c>
    </row>
    <row r="460" spans="1:17" ht="21" customHeight="1">
      <c r="A460" s="3" t="s">
        <v>900</v>
      </c>
      <c r="B460" s="5">
        <v>45433</v>
      </c>
      <c r="C460" s="3" t="s">
        <v>341</v>
      </c>
      <c r="D460" s="3" t="s">
        <v>45</v>
      </c>
      <c r="E460" s="3" t="s">
        <v>42</v>
      </c>
      <c r="F460" s="3" t="s">
        <v>126</v>
      </c>
      <c r="G460" s="3" t="s">
        <v>127</v>
      </c>
      <c r="H460" s="3">
        <v>2</v>
      </c>
      <c r="I460" s="7">
        <v>1025.54</v>
      </c>
      <c r="J460" s="9">
        <v>0</v>
      </c>
      <c r="K460" s="7">
        <v>2051.08</v>
      </c>
      <c r="L460" s="7">
        <v>1160.1600000000001</v>
      </c>
      <c r="M460" s="3" t="s">
        <v>57</v>
      </c>
      <c r="N460" s="3" t="str">
        <f t="shared" si="28"/>
        <v>2024-05</v>
      </c>
      <c r="O460" s="3" t="str">
        <f t="shared" si="29"/>
        <v>No discount</v>
      </c>
      <c r="P460" s="9">
        <f t="shared" si="30"/>
        <v>0.56563371492091974</v>
      </c>
      <c r="Q460" s="3" t="str">
        <f t="shared" si="31"/>
        <v>No</v>
      </c>
    </row>
    <row r="461" spans="1:17" ht="21" customHeight="1">
      <c r="A461" s="3" t="s">
        <v>901</v>
      </c>
      <c r="B461" s="5">
        <v>45433</v>
      </c>
      <c r="C461" s="3" t="s">
        <v>902</v>
      </c>
      <c r="D461" s="3" t="s">
        <v>46</v>
      </c>
      <c r="E461" s="3" t="s">
        <v>39</v>
      </c>
      <c r="F461" s="3" t="s">
        <v>109</v>
      </c>
      <c r="G461" s="3" t="s">
        <v>110</v>
      </c>
      <c r="H461" s="3">
        <v>2</v>
      </c>
      <c r="I461" s="7">
        <v>2950.97</v>
      </c>
      <c r="J461" s="9">
        <v>0.05</v>
      </c>
      <c r="K461" s="7">
        <v>5606.84</v>
      </c>
      <c r="L461" s="7">
        <v>2177.4699999999998</v>
      </c>
      <c r="M461" s="3" t="s">
        <v>58</v>
      </c>
      <c r="N461" s="3" t="str">
        <f t="shared" si="28"/>
        <v>2024-05</v>
      </c>
      <c r="O461" s="3" t="str">
        <f t="shared" si="29"/>
        <v>1-10%</v>
      </c>
      <c r="P461" s="9">
        <f t="shared" si="30"/>
        <v>0.38835957509042524</v>
      </c>
      <c r="Q461" s="3" t="str">
        <f t="shared" si="31"/>
        <v>No</v>
      </c>
    </row>
    <row r="462" spans="1:17" ht="21" customHeight="1">
      <c r="A462" s="3" t="s">
        <v>903</v>
      </c>
      <c r="B462" s="5">
        <v>45433</v>
      </c>
      <c r="C462" s="3" t="s">
        <v>904</v>
      </c>
      <c r="D462" s="3" t="s">
        <v>46</v>
      </c>
      <c r="E462" s="3" t="s">
        <v>41</v>
      </c>
      <c r="F462" s="3" t="s">
        <v>119</v>
      </c>
      <c r="G462" s="3" t="s">
        <v>120</v>
      </c>
      <c r="H462" s="3">
        <v>1</v>
      </c>
      <c r="I462" s="7">
        <v>1360.6</v>
      </c>
      <c r="J462" s="9">
        <v>0.1</v>
      </c>
      <c r="K462" s="7">
        <v>1224.54</v>
      </c>
      <c r="L462" s="7">
        <v>315.72000000000003</v>
      </c>
      <c r="M462" s="3" t="s">
        <v>57</v>
      </c>
      <c r="N462" s="3" t="str">
        <f t="shared" si="28"/>
        <v>2024-05</v>
      </c>
      <c r="O462" s="3" t="str">
        <f t="shared" si="29"/>
        <v>1-10%</v>
      </c>
      <c r="P462" s="9">
        <f t="shared" si="30"/>
        <v>0.25782742907540795</v>
      </c>
      <c r="Q462" s="3" t="str">
        <f t="shared" si="31"/>
        <v>No</v>
      </c>
    </row>
    <row r="463" spans="1:17" ht="21" customHeight="1">
      <c r="A463" s="3" t="s">
        <v>905</v>
      </c>
      <c r="B463" s="5">
        <v>45433</v>
      </c>
      <c r="C463" s="3" t="s">
        <v>906</v>
      </c>
      <c r="D463" s="3" t="s">
        <v>46</v>
      </c>
      <c r="E463" s="3" t="s">
        <v>40</v>
      </c>
      <c r="F463" s="3" t="s">
        <v>160</v>
      </c>
      <c r="G463" s="3" t="s">
        <v>173</v>
      </c>
      <c r="H463" s="3">
        <v>2</v>
      </c>
      <c r="I463" s="7">
        <v>9195.8700000000008</v>
      </c>
      <c r="J463" s="9">
        <v>0.25</v>
      </c>
      <c r="K463" s="7">
        <v>13793.81</v>
      </c>
      <c r="L463" s="7">
        <v>270.89999999999998</v>
      </c>
      <c r="M463" s="3" t="s">
        <v>58</v>
      </c>
      <c r="N463" s="3" t="str">
        <f t="shared" si="28"/>
        <v>2024-05</v>
      </c>
      <c r="O463" s="3" t="str">
        <f t="shared" si="29"/>
        <v>21%+</v>
      </c>
      <c r="P463" s="9">
        <f t="shared" si="30"/>
        <v>1.9639243979727137E-2</v>
      </c>
      <c r="Q463" s="3" t="str">
        <f t="shared" si="31"/>
        <v>No</v>
      </c>
    </row>
    <row r="464" spans="1:17" ht="21" customHeight="1">
      <c r="A464" s="3" t="s">
        <v>907</v>
      </c>
      <c r="B464" s="5">
        <v>45433</v>
      </c>
      <c r="C464" s="3" t="s">
        <v>116</v>
      </c>
      <c r="D464" s="3" t="s">
        <v>45</v>
      </c>
      <c r="E464" s="3" t="s">
        <v>42</v>
      </c>
      <c r="F464" s="3" t="s">
        <v>90</v>
      </c>
      <c r="G464" s="3" t="s">
        <v>91</v>
      </c>
      <c r="H464" s="3">
        <v>4</v>
      </c>
      <c r="I464" s="7">
        <v>1172.1600000000001</v>
      </c>
      <c r="J464" s="9">
        <v>0.15</v>
      </c>
      <c r="K464" s="7">
        <v>3985.34</v>
      </c>
      <c r="L464" s="7">
        <v>1651.59</v>
      </c>
      <c r="M464" s="3" t="s">
        <v>56</v>
      </c>
      <c r="N464" s="3" t="str">
        <f t="shared" si="28"/>
        <v>2024-05</v>
      </c>
      <c r="O464" s="3" t="str">
        <f t="shared" si="29"/>
        <v>11-15%</v>
      </c>
      <c r="P464" s="9">
        <f t="shared" si="30"/>
        <v>0.41441633587096705</v>
      </c>
      <c r="Q464" s="3" t="str">
        <f t="shared" si="31"/>
        <v>No</v>
      </c>
    </row>
    <row r="465" spans="1:17" ht="21" customHeight="1">
      <c r="A465" s="3" t="s">
        <v>908</v>
      </c>
      <c r="B465" s="5">
        <v>45433</v>
      </c>
      <c r="C465" s="3" t="s">
        <v>613</v>
      </c>
      <c r="D465" s="3" t="s">
        <v>45</v>
      </c>
      <c r="E465" s="3" t="s">
        <v>41</v>
      </c>
      <c r="F465" s="3" t="s">
        <v>119</v>
      </c>
      <c r="G465" s="3" t="s">
        <v>168</v>
      </c>
      <c r="H465" s="3">
        <v>1</v>
      </c>
      <c r="I465" s="7">
        <v>10182.94</v>
      </c>
      <c r="J465" s="9">
        <v>0</v>
      </c>
      <c r="K465" s="7">
        <v>10182.94</v>
      </c>
      <c r="L465" s="7">
        <v>3562.48</v>
      </c>
      <c r="M465" s="3" t="s">
        <v>56</v>
      </c>
      <c r="N465" s="3" t="str">
        <f t="shared" si="28"/>
        <v>2024-05</v>
      </c>
      <c r="O465" s="3" t="str">
        <f t="shared" si="29"/>
        <v>No discount</v>
      </c>
      <c r="P465" s="9">
        <f t="shared" si="30"/>
        <v>0.34984788283148088</v>
      </c>
      <c r="Q465" s="3" t="str">
        <f t="shared" si="31"/>
        <v>No</v>
      </c>
    </row>
    <row r="466" spans="1:17" ht="21" customHeight="1">
      <c r="A466" s="3" t="s">
        <v>909</v>
      </c>
      <c r="B466" s="5">
        <v>45434</v>
      </c>
      <c r="C466" s="3" t="s">
        <v>910</v>
      </c>
      <c r="D466" s="3" t="s">
        <v>46</v>
      </c>
      <c r="E466" s="3" t="s">
        <v>42</v>
      </c>
      <c r="F466" s="3" t="s">
        <v>126</v>
      </c>
      <c r="G466" s="3" t="s">
        <v>151</v>
      </c>
      <c r="H466" s="3">
        <v>3</v>
      </c>
      <c r="I466" s="7">
        <v>1563.06</v>
      </c>
      <c r="J466" s="9">
        <v>0.15</v>
      </c>
      <c r="K466" s="7">
        <v>3985.8</v>
      </c>
      <c r="L466" s="7">
        <v>1548.55</v>
      </c>
      <c r="M466" s="3" t="s">
        <v>57</v>
      </c>
      <c r="N466" s="3" t="str">
        <f t="shared" si="28"/>
        <v>2024-05</v>
      </c>
      <c r="O466" s="3" t="str">
        <f t="shared" si="29"/>
        <v>11-15%</v>
      </c>
      <c r="P466" s="9">
        <f t="shared" si="30"/>
        <v>0.38851673440714535</v>
      </c>
      <c r="Q466" s="3" t="str">
        <f t="shared" si="31"/>
        <v>No</v>
      </c>
    </row>
    <row r="467" spans="1:17" ht="21" customHeight="1">
      <c r="A467" s="3" t="s">
        <v>911</v>
      </c>
      <c r="B467" s="5">
        <v>45434</v>
      </c>
      <c r="C467" s="3" t="s">
        <v>912</v>
      </c>
      <c r="D467" s="3" t="s">
        <v>46</v>
      </c>
      <c r="E467" s="3" t="s">
        <v>39</v>
      </c>
      <c r="F467" s="3" t="s">
        <v>109</v>
      </c>
      <c r="G467" s="3" t="s">
        <v>110</v>
      </c>
      <c r="H467" s="3">
        <v>2</v>
      </c>
      <c r="I467" s="7">
        <v>3134.86</v>
      </c>
      <c r="J467" s="9">
        <v>0.1</v>
      </c>
      <c r="K467" s="7">
        <v>5642.75</v>
      </c>
      <c r="L467" s="7">
        <v>1703.71</v>
      </c>
      <c r="M467" s="3" t="s">
        <v>57</v>
      </c>
      <c r="N467" s="3" t="str">
        <f t="shared" si="28"/>
        <v>2024-05</v>
      </c>
      <c r="O467" s="3" t="str">
        <f t="shared" si="29"/>
        <v>1-10%</v>
      </c>
      <c r="P467" s="9">
        <f t="shared" si="30"/>
        <v>0.30192902396880955</v>
      </c>
      <c r="Q467" s="3" t="str">
        <f t="shared" si="31"/>
        <v>No</v>
      </c>
    </row>
    <row r="468" spans="1:17" ht="21" customHeight="1">
      <c r="A468" s="3" t="s">
        <v>913</v>
      </c>
      <c r="B468" s="5">
        <v>45434</v>
      </c>
      <c r="C468" s="3" t="s">
        <v>914</v>
      </c>
      <c r="D468" s="3" t="s">
        <v>47</v>
      </c>
      <c r="E468" s="3" t="s">
        <v>41</v>
      </c>
      <c r="F468" s="3" t="s">
        <v>113</v>
      </c>
      <c r="G468" s="3" t="s">
        <v>123</v>
      </c>
      <c r="H468" s="3">
        <v>5</v>
      </c>
      <c r="I468" s="7">
        <v>3606.16</v>
      </c>
      <c r="J468" s="9">
        <v>0.2</v>
      </c>
      <c r="K468" s="7">
        <v>14424.64</v>
      </c>
      <c r="L468" s="7">
        <v>1590.27</v>
      </c>
      <c r="M468" s="3" t="s">
        <v>56</v>
      </c>
      <c r="N468" s="3" t="str">
        <f t="shared" si="28"/>
        <v>2024-05</v>
      </c>
      <c r="O468" s="3" t="str">
        <f t="shared" si="29"/>
        <v>16-20%</v>
      </c>
      <c r="P468" s="9">
        <f t="shared" si="30"/>
        <v>0.11024677218980855</v>
      </c>
      <c r="Q468" s="3" t="str">
        <f t="shared" si="31"/>
        <v>No</v>
      </c>
    </row>
    <row r="469" spans="1:17" ht="21" customHeight="1">
      <c r="A469" s="3" t="s">
        <v>915</v>
      </c>
      <c r="B469" s="5">
        <v>45434</v>
      </c>
      <c r="C469" s="3" t="s">
        <v>916</v>
      </c>
      <c r="D469" s="3" t="s">
        <v>47</v>
      </c>
      <c r="E469" s="3" t="s">
        <v>38</v>
      </c>
      <c r="F469" s="3" t="s">
        <v>98</v>
      </c>
      <c r="G469" s="3" t="s">
        <v>362</v>
      </c>
      <c r="H469" s="3">
        <v>1</v>
      </c>
      <c r="I469" s="7">
        <v>31405.66</v>
      </c>
      <c r="J469" s="9">
        <v>0.4</v>
      </c>
      <c r="K469" s="7">
        <v>18843.400000000001</v>
      </c>
      <c r="L469" s="7">
        <v>-5188.1499999999996</v>
      </c>
      <c r="M469" s="3" t="s">
        <v>59</v>
      </c>
      <c r="N469" s="3" t="str">
        <f t="shared" si="28"/>
        <v>2024-05</v>
      </c>
      <c r="O469" s="3" t="str">
        <f t="shared" si="29"/>
        <v>21%+</v>
      </c>
      <c r="P469" s="9">
        <f t="shared" si="30"/>
        <v>-0.27532982370485154</v>
      </c>
      <c r="Q469" s="3" t="str">
        <f t="shared" si="31"/>
        <v>Yes</v>
      </c>
    </row>
    <row r="470" spans="1:17" ht="21" customHeight="1">
      <c r="A470" s="3" t="s">
        <v>917</v>
      </c>
      <c r="B470" s="5">
        <v>45434</v>
      </c>
      <c r="C470" s="3" t="s">
        <v>244</v>
      </c>
      <c r="D470" s="3" t="s">
        <v>46</v>
      </c>
      <c r="E470" s="3" t="s">
        <v>42</v>
      </c>
      <c r="F470" s="3" t="s">
        <v>126</v>
      </c>
      <c r="G470" s="3" t="s">
        <v>127</v>
      </c>
      <c r="H470" s="3">
        <v>2</v>
      </c>
      <c r="I470" s="7">
        <v>964.07</v>
      </c>
      <c r="J470" s="9">
        <v>0.05</v>
      </c>
      <c r="K470" s="7">
        <v>1831.73</v>
      </c>
      <c r="L470" s="7">
        <v>839.53</v>
      </c>
      <c r="M470" s="3" t="s">
        <v>60</v>
      </c>
      <c r="N470" s="3" t="str">
        <f t="shared" si="28"/>
        <v>2024-05</v>
      </c>
      <c r="O470" s="3" t="str">
        <f t="shared" si="29"/>
        <v>1-10%</v>
      </c>
      <c r="P470" s="9">
        <f t="shared" si="30"/>
        <v>0.45832628171182432</v>
      </c>
      <c r="Q470" s="3" t="str">
        <f t="shared" si="31"/>
        <v>No</v>
      </c>
    </row>
    <row r="471" spans="1:17" ht="21" customHeight="1">
      <c r="A471" s="3" t="s">
        <v>918</v>
      </c>
      <c r="B471" s="5">
        <v>45434</v>
      </c>
      <c r="C471" s="3" t="s">
        <v>919</v>
      </c>
      <c r="D471" s="3" t="s">
        <v>47</v>
      </c>
      <c r="E471" s="3" t="s">
        <v>42</v>
      </c>
      <c r="F471" s="3" t="s">
        <v>90</v>
      </c>
      <c r="G471" s="3" t="s">
        <v>91</v>
      </c>
      <c r="H471" s="3">
        <v>3</v>
      </c>
      <c r="I471" s="7">
        <v>1237.67</v>
      </c>
      <c r="J471" s="9">
        <v>0</v>
      </c>
      <c r="K471" s="7">
        <v>3713.01</v>
      </c>
      <c r="L471" s="7">
        <v>1972.09</v>
      </c>
      <c r="M471" s="3" t="s">
        <v>58</v>
      </c>
      <c r="N471" s="3" t="str">
        <f t="shared" si="28"/>
        <v>2024-05</v>
      </c>
      <c r="O471" s="3" t="str">
        <f t="shared" si="29"/>
        <v>No discount</v>
      </c>
      <c r="P471" s="9">
        <f t="shared" si="30"/>
        <v>0.53112973032660826</v>
      </c>
      <c r="Q471" s="3" t="str">
        <f t="shared" si="31"/>
        <v>No</v>
      </c>
    </row>
    <row r="472" spans="1:17" ht="21" customHeight="1">
      <c r="A472" s="3" t="s">
        <v>920</v>
      </c>
      <c r="B472" s="5">
        <v>45434</v>
      </c>
      <c r="C472" s="3" t="s">
        <v>337</v>
      </c>
      <c r="D472" s="3" t="s">
        <v>44</v>
      </c>
      <c r="E472" s="3" t="s">
        <v>39</v>
      </c>
      <c r="F472" s="3" t="s">
        <v>130</v>
      </c>
      <c r="G472" s="3" t="s">
        <v>131</v>
      </c>
      <c r="H472" s="3">
        <v>1</v>
      </c>
      <c r="I472" s="7">
        <v>2164.79</v>
      </c>
      <c r="J472" s="9">
        <v>0.25</v>
      </c>
      <c r="K472" s="7">
        <v>1623.59</v>
      </c>
      <c r="L472" s="7">
        <v>209.21</v>
      </c>
      <c r="M472" s="3" t="s">
        <v>56</v>
      </c>
      <c r="N472" s="3" t="str">
        <f t="shared" si="28"/>
        <v>2024-05</v>
      </c>
      <c r="O472" s="3" t="str">
        <f t="shared" si="29"/>
        <v>21%+</v>
      </c>
      <c r="P472" s="9">
        <f t="shared" si="30"/>
        <v>0.12885642311174619</v>
      </c>
      <c r="Q472" s="3" t="str">
        <f t="shared" si="31"/>
        <v>No</v>
      </c>
    </row>
    <row r="473" spans="1:17" ht="21" customHeight="1">
      <c r="A473" s="3" t="s">
        <v>921</v>
      </c>
      <c r="B473" s="5">
        <v>45434</v>
      </c>
      <c r="C473" s="3" t="s">
        <v>805</v>
      </c>
      <c r="D473" s="3" t="s">
        <v>45</v>
      </c>
      <c r="E473" s="3" t="s">
        <v>42</v>
      </c>
      <c r="F473" s="3" t="s">
        <v>126</v>
      </c>
      <c r="G473" s="3" t="s">
        <v>127</v>
      </c>
      <c r="H473" s="3">
        <v>1</v>
      </c>
      <c r="I473" s="7">
        <v>950.26</v>
      </c>
      <c r="J473" s="9">
        <v>0.05</v>
      </c>
      <c r="K473" s="7">
        <v>902.75</v>
      </c>
      <c r="L473" s="7">
        <v>478.51</v>
      </c>
      <c r="M473" s="3" t="s">
        <v>58</v>
      </c>
      <c r="N473" s="3" t="str">
        <f t="shared" si="28"/>
        <v>2024-05</v>
      </c>
      <c r="O473" s="3" t="str">
        <f t="shared" si="29"/>
        <v>1-10%</v>
      </c>
      <c r="P473" s="9">
        <f t="shared" si="30"/>
        <v>0.53005815563555803</v>
      </c>
      <c r="Q473" s="3" t="str">
        <f t="shared" si="31"/>
        <v>No</v>
      </c>
    </row>
    <row r="474" spans="1:17" ht="21" customHeight="1">
      <c r="A474" s="3" t="s">
        <v>922</v>
      </c>
      <c r="B474" s="5">
        <v>45435</v>
      </c>
      <c r="C474" s="3" t="s">
        <v>923</v>
      </c>
      <c r="D474" s="3" t="s">
        <v>46</v>
      </c>
      <c r="E474" s="3" t="s">
        <v>42</v>
      </c>
      <c r="F474" s="3" t="s">
        <v>90</v>
      </c>
      <c r="G474" s="3" t="s">
        <v>91</v>
      </c>
      <c r="H474" s="3">
        <v>2</v>
      </c>
      <c r="I474" s="7">
        <v>1185.82</v>
      </c>
      <c r="J474" s="9">
        <v>0</v>
      </c>
      <c r="K474" s="7">
        <v>2371.64</v>
      </c>
      <c r="L474" s="7">
        <v>1229.79</v>
      </c>
      <c r="M474" s="3" t="s">
        <v>57</v>
      </c>
      <c r="N474" s="3" t="str">
        <f t="shared" si="28"/>
        <v>2024-05</v>
      </c>
      <c r="O474" s="3" t="str">
        <f t="shared" si="29"/>
        <v>No discount</v>
      </c>
      <c r="P474" s="9">
        <f t="shared" si="30"/>
        <v>0.5185399133089339</v>
      </c>
      <c r="Q474" s="3" t="str">
        <f t="shared" si="31"/>
        <v>No</v>
      </c>
    </row>
    <row r="475" spans="1:17" ht="21" customHeight="1">
      <c r="A475" s="3" t="s">
        <v>924</v>
      </c>
      <c r="B475" s="5">
        <v>45435</v>
      </c>
      <c r="C475" s="3" t="s">
        <v>925</v>
      </c>
      <c r="D475" s="3" t="s">
        <v>45</v>
      </c>
      <c r="E475" s="3" t="s">
        <v>39</v>
      </c>
      <c r="F475" s="3" t="s">
        <v>130</v>
      </c>
      <c r="G475" s="3" t="s">
        <v>193</v>
      </c>
      <c r="H475" s="3">
        <v>5</v>
      </c>
      <c r="I475" s="7">
        <v>1797.12</v>
      </c>
      <c r="J475" s="9">
        <v>0.1</v>
      </c>
      <c r="K475" s="7">
        <v>8087.04</v>
      </c>
      <c r="L475" s="7">
        <v>2212.9899999999998</v>
      </c>
      <c r="M475" s="3" t="s">
        <v>56</v>
      </c>
      <c r="N475" s="3" t="str">
        <f t="shared" si="28"/>
        <v>2024-05</v>
      </c>
      <c r="O475" s="3" t="str">
        <f t="shared" si="29"/>
        <v>1-10%</v>
      </c>
      <c r="P475" s="9">
        <f t="shared" si="30"/>
        <v>0.27364647633744854</v>
      </c>
      <c r="Q475" s="3" t="str">
        <f t="shared" si="31"/>
        <v>No</v>
      </c>
    </row>
    <row r="476" spans="1:17" ht="21" customHeight="1">
      <c r="A476" s="3" t="s">
        <v>926</v>
      </c>
      <c r="B476" s="5">
        <v>45435</v>
      </c>
      <c r="C476" s="3" t="s">
        <v>226</v>
      </c>
      <c r="D476" s="3" t="s">
        <v>46</v>
      </c>
      <c r="E476" s="3" t="s">
        <v>40</v>
      </c>
      <c r="F476" s="3" t="s">
        <v>160</v>
      </c>
      <c r="G476" s="3" t="s">
        <v>173</v>
      </c>
      <c r="H476" s="3">
        <v>1</v>
      </c>
      <c r="I476" s="7">
        <v>8743.0400000000009</v>
      </c>
      <c r="J476" s="9">
        <v>0.15</v>
      </c>
      <c r="K476" s="7">
        <v>7431.58</v>
      </c>
      <c r="L476" s="7">
        <v>1334.01</v>
      </c>
      <c r="M476" s="3" t="s">
        <v>57</v>
      </c>
      <c r="N476" s="3" t="str">
        <f t="shared" si="28"/>
        <v>2024-05</v>
      </c>
      <c r="O476" s="3" t="str">
        <f t="shared" si="29"/>
        <v>11-15%</v>
      </c>
      <c r="P476" s="9">
        <f t="shared" si="30"/>
        <v>0.1795055694751318</v>
      </c>
      <c r="Q476" s="3" t="str">
        <f t="shared" si="31"/>
        <v>No</v>
      </c>
    </row>
    <row r="477" spans="1:17" ht="21" customHeight="1">
      <c r="A477" s="3" t="s">
        <v>927</v>
      </c>
      <c r="B477" s="5">
        <v>45435</v>
      </c>
      <c r="C477" s="3" t="s">
        <v>122</v>
      </c>
      <c r="D477" s="3" t="s">
        <v>45</v>
      </c>
      <c r="E477" s="3" t="s">
        <v>38</v>
      </c>
      <c r="F477" s="3" t="s">
        <v>142</v>
      </c>
      <c r="G477" s="3" t="s">
        <v>245</v>
      </c>
      <c r="H477" s="3">
        <v>1</v>
      </c>
      <c r="I477" s="7">
        <v>4773.7299999999996</v>
      </c>
      <c r="J477" s="9">
        <v>0.1</v>
      </c>
      <c r="K477" s="7">
        <v>4296.3599999999997</v>
      </c>
      <c r="L477" s="7">
        <v>400.03</v>
      </c>
      <c r="M477" s="3" t="s">
        <v>57</v>
      </c>
      <c r="N477" s="3" t="str">
        <f t="shared" si="28"/>
        <v>2024-05</v>
      </c>
      <c r="O477" s="3" t="str">
        <f t="shared" si="29"/>
        <v>1-10%</v>
      </c>
      <c r="P477" s="9">
        <f t="shared" si="30"/>
        <v>9.3109050452010539E-2</v>
      </c>
      <c r="Q477" s="3" t="str">
        <f t="shared" si="31"/>
        <v>No</v>
      </c>
    </row>
    <row r="478" spans="1:17" ht="21" customHeight="1">
      <c r="A478" s="3" t="s">
        <v>928</v>
      </c>
      <c r="B478" s="5">
        <v>45436</v>
      </c>
      <c r="C478" s="3" t="s">
        <v>849</v>
      </c>
      <c r="D478" s="3" t="s">
        <v>45</v>
      </c>
      <c r="E478" s="3" t="s">
        <v>38</v>
      </c>
      <c r="F478" s="3" t="s">
        <v>94</v>
      </c>
      <c r="G478" s="3" t="s">
        <v>95</v>
      </c>
      <c r="H478" s="3">
        <v>1</v>
      </c>
      <c r="I478" s="7">
        <v>81635.12</v>
      </c>
      <c r="J478" s="9">
        <v>0.15</v>
      </c>
      <c r="K478" s="7">
        <v>69389.850000000006</v>
      </c>
      <c r="L478" s="7">
        <v>1898.92</v>
      </c>
      <c r="M478" s="3" t="s">
        <v>56</v>
      </c>
      <c r="N478" s="3" t="str">
        <f t="shared" si="28"/>
        <v>2024-05</v>
      </c>
      <c r="O478" s="3" t="str">
        <f t="shared" si="29"/>
        <v>11-15%</v>
      </c>
      <c r="P478" s="9">
        <f t="shared" si="30"/>
        <v>2.7365962024705343E-2</v>
      </c>
      <c r="Q478" s="3" t="str">
        <f t="shared" si="31"/>
        <v>No</v>
      </c>
    </row>
    <row r="479" spans="1:17" ht="21" customHeight="1">
      <c r="A479" s="3" t="s">
        <v>929</v>
      </c>
      <c r="B479" s="5">
        <v>45436</v>
      </c>
      <c r="C479" s="3" t="s">
        <v>357</v>
      </c>
      <c r="D479" s="3" t="s">
        <v>46</v>
      </c>
      <c r="E479" s="3" t="s">
        <v>40</v>
      </c>
      <c r="F479" s="3" t="s">
        <v>160</v>
      </c>
      <c r="G479" s="3" t="s">
        <v>173</v>
      </c>
      <c r="H479" s="3">
        <v>1</v>
      </c>
      <c r="I479" s="7">
        <v>9388.7000000000007</v>
      </c>
      <c r="J479" s="9">
        <v>0</v>
      </c>
      <c r="K479" s="7">
        <v>9388.7000000000007</v>
      </c>
      <c r="L479" s="7">
        <v>2842.49</v>
      </c>
      <c r="M479" s="3" t="s">
        <v>59</v>
      </c>
      <c r="N479" s="3" t="str">
        <f t="shared" si="28"/>
        <v>2024-05</v>
      </c>
      <c r="O479" s="3" t="str">
        <f t="shared" si="29"/>
        <v>No discount</v>
      </c>
      <c r="P479" s="9">
        <f t="shared" si="30"/>
        <v>0.30275650516045882</v>
      </c>
      <c r="Q479" s="3" t="str">
        <f t="shared" si="31"/>
        <v>No</v>
      </c>
    </row>
    <row r="480" spans="1:17" ht="21" customHeight="1">
      <c r="A480" s="3" t="s">
        <v>930</v>
      </c>
      <c r="B480" s="5">
        <v>45438</v>
      </c>
      <c r="C480" s="3" t="s">
        <v>118</v>
      </c>
      <c r="D480" s="3" t="s">
        <v>47</v>
      </c>
      <c r="E480" s="3" t="s">
        <v>38</v>
      </c>
      <c r="F480" s="3" t="s">
        <v>142</v>
      </c>
      <c r="G480" s="3" t="s">
        <v>245</v>
      </c>
      <c r="H480" s="3">
        <v>1</v>
      </c>
      <c r="I480" s="7">
        <v>4898.6499999999996</v>
      </c>
      <c r="J480" s="9">
        <v>0.05</v>
      </c>
      <c r="K480" s="7">
        <v>4653.72</v>
      </c>
      <c r="L480" s="7">
        <v>526.41999999999996</v>
      </c>
      <c r="M480" s="3" t="s">
        <v>59</v>
      </c>
      <c r="N480" s="3" t="str">
        <f t="shared" si="28"/>
        <v>2024-05</v>
      </c>
      <c r="O480" s="3" t="str">
        <f t="shared" si="29"/>
        <v>1-10%</v>
      </c>
      <c r="P480" s="9">
        <f t="shared" si="30"/>
        <v>0.1131181076644061</v>
      </c>
      <c r="Q480" s="3" t="str">
        <f t="shared" si="31"/>
        <v>No</v>
      </c>
    </row>
    <row r="481" spans="1:17" ht="21" customHeight="1">
      <c r="A481" s="3" t="s">
        <v>931</v>
      </c>
      <c r="B481" s="5">
        <v>45438</v>
      </c>
      <c r="C481" s="3" t="s">
        <v>932</v>
      </c>
      <c r="D481" s="3" t="s">
        <v>46</v>
      </c>
      <c r="E481" s="3" t="s">
        <v>42</v>
      </c>
      <c r="F481" s="3" t="s">
        <v>126</v>
      </c>
      <c r="G481" s="3" t="s">
        <v>151</v>
      </c>
      <c r="H481" s="3">
        <v>2</v>
      </c>
      <c r="I481" s="7">
        <v>1554.38</v>
      </c>
      <c r="J481" s="9">
        <v>0.25</v>
      </c>
      <c r="K481" s="7">
        <v>2331.5700000000002</v>
      </c>
      <c r="L481" s="7">
        <v>539.16</v>
      </c>
      <c r="M481" s="3" t="s">
        <v>58</v>
      </c>
      <c r="N481" s="3" t="str">
        <f t="shared" si="28"/>
        <v>2024-05</v>
      </c>
      <c r="O481" s="3" t="str">
        <f t="shared" si="29"/>
        <v>21%+</v>
      </c>
      <c r="P481" s="9">
        <f t="shared" si="30"/>
        <v>0.2312433253129865</v>
      </c>
      <c r="Q481" s="3" t="str">
        <f t="shared" si="31"/>
        <v>No</v>
      </c>
    </row>
    <row r="482" spans="1:17" ht="21" customHeight="1">
      <c r="A482" s="3" t="s">
        <v>933</v>
      </c>
      <c r="B482" s="5">
        <v>45438</v>
      </c>
      <c r="C482" s="3" t="s">
        <v>375</v>
      </c>
      <c r="D482" s="3" t="s">
        <v>47</v>
      </c>
      <c r="E482" s="3" t="s">
        <v>40</v>
      </c>
      <c r="F482" s="3" t="s">
        <v>160</v>
      </c>
      <c r="G482" s="3" t="s">
        <v>173</v>
      </c>
      <c r="H482" s="3">
        <v>1</v>
      </c>
      <c r="I482" s="7">
        <v>9063.83</v>
      </c>
      <c r="J482" s="9">
        <v>0</v>
      </c>
      <c r="K482" s="7">
        <v>9063.83</v>
      </c>
      <c r="L482" s="7">
        <v>2980.47</v>
      </c>
      <c r="M482" s="3" t="s">
        <v>57</v>
      </c>
      <c r="N482" s="3" t="str">
        <f t="shared" si="28"/>
        <v>2024-05</v>
      </c>
      <c r="O482" s="3" t="str">
        <f t="shared" si="29"/>
        <v>No discount</v>
      </c>
      <c r="P482" s="9">
        <f t="shared" si="30"/>
        <v>0.32883118946405654</v>
      </c>
      <c r="Q482" s="3" t="str">
        <f t="shared" si="31"/>
        <v>No</v>
      </c>
    </row>
    <row r="483" spans="1:17" ht="21" customHeight="1">
      <c r="A483" s="3" t="s">
        <v>934</v>
      </c>
      <c r="B483" s="5">
        <v>45439</v>
      </c>
      <c r="C483" s="3" t="s">
        <v>935</v>
      </c>
      <c r="D483" s="3" t="s">
        <v>44</v>
      </c>
      <c r="E483" s="3" t="s">
        <v>40</v>
      </c>
      <c r="F483" s="3" t="s">
        <v>160</v>
      </c>
      <c r="G483" s="3" t="s">
        <v>161</v>
      </c>
      <c r="H483" s="3">
        <v>2</v>
      </c>
      <c r="I483" s="7">
        <v>12840.55</v>
      </c>
      <c r="J483" s="9">
        <v>0.15</v>
      </c>
      <c r="K483" s="7">
        <v>21828.93</v>
      </c>
      <c r="L483" s="7">
        <v>3019.78</v>
      </c>
      <c r="M483" s="3" t="s">
        <v>56</v>
      </c>
      <c r="N483" s="3" t="str">
        <f t="shared" si="28"/>
        <v>2024-05</v>
      </c>
      <c r="O483" s="3" t="str">
        <f t="shared" si="29"/>
        <v>11-15%</v>
      </c>
      <c r="P483" s="9">
        <f t="shared" si="30"/>
        <v>0.13833843436210572</v>
      </c>
      <c r="Q483" s="3" t="str">
        <f t="shared" si="31"/>
        <v>No</v>
      </c>
    </row>
    <row r="484" spans="1:17" ht="21" customHeight="1">
      <c r="A484" s="3" t="s">
        <v>936</v>
      </c>
      <c r="B484" s="5">
        <v>45439</v>
      </c>
      <c r="C484" s="3" t="s">
        <v>937</v>
      </c>
      <c r="D484" s="3" t="s">
        <v>47</v>
      </c>
      <c r="E484" s="3" t="s">
        <v>41</v>
      </c>
      <c r="F484" s="3" t="s">
        <v>113</v>
      </c>
      <c r="G484" s="3" t="s">
        <v>123</v>
      </c>
      <c r="H484" s="3">
        <v>1</v>
      </c>
      <c r="I484" s="7">
        <v>3385.06</v>
      </c>
      <c r="J484" s="9">
        <v>0.1</v>
      </c>
      <c r="K484" s="7">
        <v>3046.55</v>
      </c>
      <c r="L484" s="7">
        <v>921.25</v>
      </c>
      <c r="M484" s="3" t="s">
        <v>59</v>
      </c>
      <c r="N484" s="3" t="str">
        <f t="shared" si="28"/>
        <v>2024-05</v>
      </c>
      <c r="O484" s="3" t="str">
        <f t="shared" si="29"/>
        <v>1-10%</v>
      </c>
      <c r="P484" s="9">
        <f t="shared" si="30"/>
        <v>0.30239122942344615</v>
      </c>
      <c r="Q484" s="3" t="str">
        <f t="shared" si="31"/>
        <v>No</v>
      </c>
    </row>
    <row r="485" spans="1:17" ht="21" customHeight="1">
      <c r="A485" s="3" t="s">
        <v>938</v>
      </c>
      <c r="B485" s="5">
        <v>45439</v>
      </c>
      <c r="C485" s="3" t="s">
        <v>101</v>
      </c>
      <c r="D485" s="3" t="s">
        <v>44</v>
      </c>
      <c r="E485" s="3" t="s">
        <v>39</v>
      </c>
      <c r="F485" s="3" t="s">
        <v>130</v>
      </c>
      <c r="G485" s="3" t="s">
        <v>131</v>
      </c>
      <c r="H485" s="3">
        <v>3</v>
      </c>
      <c r="I485" s="7">
        <v>2118.02</v>
      </c>
      <c r="J485" s="9">
        <v>0.25</v>
      </c>
      <c r="K485" s="7">
        <v>4765.55</v>
      </c>
      <c r="L485" s="7">
        <v>578.27</v>
      </c>
      <c r="M485" s="3" t="s">
        <v>56</v>
      </c>
      <c r="N485" s="3" t="str">
        <f t="shared" si="28"/>
        <v>2024-05</v>
      </c>
      <c r="O485" s="3" t="str">
        <f t="shared" si="29"/>
        <v>21%+</v>
      </c>
      <c r="P485" s="9">
        <f t="shared" si="30"/>
        <v>0.12134381131244032</v>
      </c>
      <c r="Q485" s="3" t="str">
        <f t="shared" si="31"/>
        <v>No</v>
      </c>
    </row>
    <row r="486" spans="1:17" ht="21" customHeight="1">
      <c r="A486" s="3" t="s">
        <v>939</v>
      </c>
      <c r="B486" s="5">
        <v>45440</v>
      </c>
      <c r="C486" s="3" t="s">
        <v>940</v>
      </c>
      <c r="D486" s="3" t="s">
        <v>45</v>
      </c>
      <c r="E486" s="3" t="s">
        <v>42</v>
      </c>
      <c r="F486" s="3" t="s">
        <v>90</v>
      </c>
      <c r="G486" s="3" t="s">
        <v>91</v>
      </c>
      <c r="H486" s="3">
        <v>1</v>
      </c>
      <c r="I486" s="7">
        <v>1152.5899999999999</v>
      </c>
      <c r="J486" s="9">
        <v>0.1</v>
      </c>
      <c r="K486" s="7">
        <v>1037.33</v>
      </c>
      <c r="L486" s="7">
        <v>455.03</v>
      </c>
      <c r="M486" s="3" t="s">
        <v>56</v>
      </c>
      <c r="N486" s="3" t="str">
        <f t="shared" si="28"/>
        <v>2024-05</v>
      </c>
      <c r="O486" s="3" t="str">
        <f t="shared" si="29"/>
        <v>1-10%</v>
      </c>
      <c r="P486" s="9">
        <f t="shared" si="30"/>
        <v>0.4386550085315184</v>
      </c>
      <c r="Q486" s="3" t="str">
        <f t="shared" si="31"/>
        <v>No</v>
      </c>
    </row>
    <row r="487" spans="1:17" ht="21" customHeight="1">
      <c r="A487" s="3" t="s">
        <v>941</v>
      </c>
      <c r="B487" s="5">
        <v>45440</v>
      </c>
      <c r="C487" s="3" t="s">
        <v>148</v>
      </c>
      <c r="D487" s="3" t="s">
        <v>47</v>
      </c>
      <c r="E487" s="3" t="s">
        <v>39</v>
      </c>
      <c r="F487" s="3" t="s">
        <v>130</v>
      </c>
      <c r="G487" s="3" t="s">
        <v>193</v>
      </c>
      <c r="H487" s="3">
        <v>1</v>
      </c>
      <c r="I487" s="7">
        <v>1796.46</v>
      </c>
      <c r="J487" s="9">
        <v>0</v>
      </c>
      <c r="K487" s="7">
        <v>1796.46</v>
      </c>
      <c r="L487" s="7">
        <v>714.11</v>
      </c>
      <c r="M487" s="3" t="s">
        <v>57</v>
      </c>
      <c r="N487" s="3" t="str">
        <f t="shared" si="28"/>
        <v>2024-05</v>
      </c>
      <c r="O487" s="3" t="str">
        <f t="shared" si="29"/>
        <v>No discount</v>
      </c>
      <c r="P487" s="9">
        <f t="shared" si="30"/>
        <v>0.39750954655266468</v>
      </c>
      <c r="Q487" s="3" t="str">
        <f t="shared" si="31"/>
        <v>No</v>
      </c>
    </row>
    <row r="488" spans="1:17" ht="21" customHeight="1">
      <c r="A488" s="3" t="s">
        <v>942</v>
      </c>
      <c r="B488" s="5">
        <v>45440</v>
      </c>
      <c r="C488" s="3" t="s">
        <v>871</v>
      </c>
      <c r="D488" s="3" t="s">
        <v>44</v>
      </c>
      <c r="E488" s="3" t="s">
        <v>39</v>
      </c>
      <c r="F488" s="3" t="s">
        <v>109</v>
      </c>
      <c r="G488" s="3" t="s">
        <v>355</v>
      </c>
      <c r="H488" s="3">
        <v>2</v>
      </c>
      <c r="I488" s="7">
        <v>3654.12</v>
      </c>
      <c r="J488" s="9">
        <v>0.25</v>
      </c>
      <c r="K488" s="7">
        <v>5481.18</v>
      </c>
      <c r="L488" s="7">
        <v>546.23</v>
      </c>
      <c r="M488" s="3" t="s">
        <v>56</v>
      </c>
      <c r="N488" s="3" t="str">
        <f t="shared" si="28"/>
        <v>2024-05</v>
      </c>
      <c r="O488" s="3" t="str">
        <f t="shared" si="29"/>
        <v>21%+</v>
      </c>
      <c r="P488" s="9">
        <f t="shared" si="30"/>
        <v>9.9655548622741813E-2</v>
      </c>
      <c r="Q488" s="3" t="str">
        <f t="shared" si="31"/>
        <v>No</v>
      </c>
    </row>
    <row r="489" spans="1:17" ht="21" customHeight="1">
      <c r="A489" s="3" t="s">
        <v>943</v>
      </c>
      <c r="B489" s="5">
        <v>45441</v>
      </c>
      <c r="C489" s="3" t="s">
        <v>944</v>
      </c>
      <c r="D489" s="3" t="s">
        <v>44</v>
      </c>
      <c r="E489" s="3" t="s">
        <v>38</v>
      </c>
      <c r="F489" s="3" t="s">
        <v>94</v>
      </c>
      <c r="G489" s="3" t="s">
        <v>213</v>
      </c>
      <c r="H489" s="3">
        <v>2</v>
      </c>
      <c r="I489" s="7">
        <v>52502</v>
      </c>
      <c r="J489" s="9">
        <v>0.25</v>
      </c>
      <c r="K489" s="7">
        <v>78753</v>
      </c>
      <c r="L489" s="7">
        <v>-6600.17</v>
      </c>
      <c r="M489" s="3" t="s">
        <v>56</v>
      </c>
      <c r="N489" s="3" t="str">
        <f t="shared" si="28"/>
        <v>2024-05</v>
      </c>
      <c r="O489" s="3" t="str">
        <f t="shared" si="29"/>
        <v>21%+</v>
      </c>
      <c r="P489" s="9">
        <f t="shared" si="30"/>
        <v>-8.3808489835307864E-2</v>
      </c>
      <c r="Q489" s="3" t="str">
        <f t="shared" si="31"/>
        <v>Yes</v>
      </c>
    </row>
    <row r="490" spans="1:17" ht="21" customHeight="1">
      <c r="A490" s="3" t="s">
        <v>945</v>
      </c>
      <c r="B490" s="5">
        <v>45441</v>
      </c>
      <c r="C490" s="3" t="s">
        <v>946</v>
      </c>
      <c r="D490" s="3" t="s">
        <v>47</v>
      </c>
      <c r="E490" s="3" t="s">
        <v>40</v>
      </c>
      <c r="F490" s="3" t="s">
        <v>160</v>
      </c>
      <c r="G490" s="3" t="s">
        <v>173</v>
      </c>
      <c r="H490" s="3">
        <v>5</v>
      </c>
      <c r="I490" s="7">
        <v>8574.42</v>
      </c>
      <c r="J490" s="9">
        <v>0.05</v>
      </c>
      <c r="K490" s="7">
        <v>40728.49</v>
      </c>
      <c r="L490" s="7">
        <v>12502.26</v>
      </c>
      <c r="M490" s="3" t="s">
        <v>57</v>
      </c>
      <c r="N490" s="3" t="str">
        <f t="shared" si="28"/>
        <v>2024-05</v>
      </c>
      <c r="O490" s="3" t="str">
        <f t="shared" si="29"/>
        <v>1-10%</v>
      </c>
      <c r="P490" s="9">
        <f t="shared" si="30"/>
        <v>0.30696595920938885</v>
      </c>
      <c r="Q490" s="3" t="str">
        <f t="shared" si="31"/>
        <v>No</v>
      </c>
    </row>
    <row r="491" spans="1:17" ht="21" customHeight="1">
      <c r="A491" s="3" t="s">
        <v>947</v>
      </c>
      <c r="B491" s="5">
        <v>45441</v>
      </c>
      <c r="C491" s="3" t="s">
        <v>948</v>
      </c>
      <c r="D491" s="3" t="s">
        <v>46</v>
      </c>
      <c r="E491" s="3" t="s">
        <v>40</v>
      </c>
      <c r="F491" s="3" t="s">
        <v>221</v>
      </c>
      <c r="G491" s="3" t="s">
        <v>222</v>
      </c>
      <c r="H491" s="3">
        <v>2</v>
      </c>
      <c r="I491" s="7">
        <v>1021.14</v>
      </c>
      <c r="J491" s="9">
        <v>0.25</v>
      </c>
      <c r="K491" s="7">
        <v>1531.71</v>
      </c>
      <c r="L491" s="7">
        <v>39.090000000000003</v>
      </c>
      <c r="M491" s="3" t="s">
        <v>57</v>
      </c>
      <c r="N491" s="3" t="str">
        <f t="shared" si="28"/>
        <v>2024-05</v>
      </c>
      <c r="O491" s="3" t="str">
        <f t="shared" si="29"/>
        <v>21%+</v>
      </c>
      <c r="P491" s="9">
        <f t="shared" si="30"/>
        <v>2.5520496699766929E-2</v>
      </c>
      <c r="Q491" s="3" t="str">
        <f t="shared" si="31"/>
        <v>No</v>
      </c>
    </row>
    <row r="492" spans="1:17" ht="21" customHeight="1">
      <c r="A492" s="3" t="s">
        <v>949</v>
      </c>
      <c r="B492" s="5">
        <v>45441</v>
      </c>
      <c r="C492" s="3" t="s">
        <v>950</v>
      </c>
      <c r="D492" s="3" t="s">
        <v>46</v>
      </c>
      <c r="E492" s="3" t="s">
        <v>41</v>
      </c>
      <c r="F492" s="3" t="s">
        <v>119</v>
      </c>
      <c r="G492" s="3" t="s">
        <v>168</v>
      </c>
      <c r="H492" s="3">
        <v>1</v>
      </c>
      <c r="I492" s="7">
        <v>9997.4</v>
      </c>
      <c r="J492" s="9">
        <v>0.15</v>
      </c>
      <c r="K492" s="7">
        <v>8497.7900000000009</v>
      </c>
      <c r="L492" s="7">
        <v>1675.86</v>
      </c>
      <c r="M492" s="3" t="s">
        <v>56</v>
      </c>
      <c r="N492" s="3" t="str">
        <f t="shared" si="28"/>
        <v>2024-05</v>
      </c>
      <c r="O492" s="3" t="str">
        <f t="shared" si="29"/>
        <v>11-15%</v>
      </c>
      <c r="P492" s="9">
        <f t="shared" si="30"/>
        <v>0.19721127493148216</v>
      </c>
      <c r="Q492" s="3" t="str">
        <f t="shared" si="31"/>
        <v>No</v>
      </c>
    </row>
    <row r="493" spans="1:17" ht="21" customHeight="1">
      <c r="A493" s="3" t="s">
        <v>951</v>
      </c>
      <c r="B493" s="5">
        <v>45441</v>
      </c>
      <c r="C493" s="3" t="s">
        <v>952</v>
      </c>
      <c r="D493" s="3" t="s">
        <v>45</v>
      </c>
      <c r="E493" s="3" t="s">
        <v>40</v>
      </c>
      <c r="F493" s="3" t="s">
        <v>221</v>
      </c>
      <c r="G493" s="3" t="s">
        <v>222</v>
      </c>
      <c r="H493" s="3">
        <v>1</v>
      </c>
      <c r="I493" s="7">
        <v>960.47</v>
      </c>
      <c r="J493" s="9">
        <v>0.15</v>
      </c>
      <c r="K493" s="7">
        <v>816.4</v>
      </c>
      <c r="L493" s="7">
        <v>125.62</v>
      </c>
      <c r="M493" s="3" t="s">
        <v>60</v>
      </c>
      <c r="N493" s="3" t="str">
        <f t="shared" si="28"/>
        <v>2024-05</v>
      </c>
      <c r="O493" s="3" t="str">
        <f t="shared" si="29"/>
        <v>11-15%</v>
      </c>
      <c r="P493" s="9">
        <f t="shared" si="30"/>
        <v>0.1538706516413523</v>
      </c>
      <c r="Q493" s="3" t="str">
        <f t="shared" si="31"/>
        <v>No</v>
      </c>
    </row>
    <row r="494" spans="1:17" ht="21" customHeight="1">
      <c r="A494" s="3" t="s">
        <v>953</v>
      </c>
      <c r="B494" s="5">
        <v>45441</v>
      </c>
      <c r="C494" s="3" t="s">
        <v>778</v>
      </c>
      <c r="D494" s="3" t="s">
        <v>45</v>
      </c>
      <c r="E494" s="3" t="s">
        <v>39</v>
      </c>
      <c r="F494" s="3" t="s">
        <v>109</v>
      </c>
      <c r="G494" s="3" t="s">
        <v>110</v>
      </c>
      <c r="H494" s="3">
        <v>1</v>
      </c>
      <c r="I494" s="7">
        <v>2959.2</v>
      </c>
      <c r="J494" s="9">
        <v>0</v>
      </c>
      <c r="K494" s="7">
        <v>2959.2</v>
      </c>
      <c r="L494" s="7">
        <v>1318.79</v>
      </c>
      <c r="M494" s="3" t="s">
        <v>56</v>
      </c>
      <c r="N494" s="3" t="str">
        <f t="shared" si="28"/>
        <v>2024-05</v>
      </c>
      <c r="O494" s="3" t="str">
        <f t="shared" si="29"/>
        <v>No discount</v>
      </c>
      <c r="P494" s="9">
        <f t="shared" si="30"/>
        <v>0.44565761016490946</v>
      </c>
      <c r="Q494" s="3" t="str">
        <f t="shared" si="31"/>
        <v>No</v>
      </c>
    </row>
    <row r="495" spans="1:17" ht="21" customHeight="1">
      <c r="A495" s="3" t="s">
        <v>954</v>
      </c>
      <c r="B495" s="5">
        <v>45441</v>
      </c>
      <c r="C495" s="3" t="s">
        <v>955</v>
      </c>
      <c r="D495" s="3" t="s">
        <v>46</v>
      </c>
      <c r="E495" s="3" t="s">
        <v>40</v>
      </c>
      <c r="F495" s="3" t="s">
        <v>160</v>
      </c>
      <c r="G495" s="3" t="s">
        <v>173</v>
      </c>
      <c r="H495" s="3">
        <v>3</v>
      </c>
      <c r="I495" s="7">
        <v>9022.24</v>
      </c>
      <c r="J495" s="9">
        <v>0</v>
      </c>
      <c r="K495" s="7">
        <v>27066.720000000001</v>
      </c>
      <c r="L495" s="7">
        <v>9313.16</v>
      </c>
      <c r="M495" s="3" t="s">
        <v>57</v>
      </c>
      <c r="N495" s="3" t="str">
        <f t="shared" si="28"/>
        <v>2024-05</v>
      </c>
      <c r="O495" s="3" t="str">
        <f t="shared" si="29"/>
        <v>No discount</v>
      </c>
      <c r="P495" s="9">
        <f t="shared" si="30"/>
        <v>0.34408158801657529</v>
      </c>
      <c r="Q495" s="3" t="str">
        <f t="shared" si="31"/>
        <v>No</v>
      </c>
    </row>
    <row r="496" spans="1:17" ht="21" customHeight="1">
      <c r="A496" s="3" t="s">
        <v>956</v>
      </c>
      <c r="B496" s="5">
        <v>45441</v>
      </c>
      <c r="C496" s="3" t="s">
        <v>957</v>
      </c>
      <c r="D496" s="3" t="s">
        <v>46</v>
      </c>
      <c r="E496" s="3" t="s">
        <v>40</v>
      </c>
      <c r="F496" s="3" t="s">
        <v>160</v>
      </c>
      <c r="G496" s="3" t="s">
        <v>161</v>
      </c>
      <c r="H496" s="3">
        <v>1</v>
      </c>
      <c r="I496" s="7">
        <v>12946.01</v>
      </c>
      <c r="J496" s="9">
        <v>0.1</v>
      </c>
      <c r="K496" s="7">
        <v>11651.41</v>
      </c>
      <c r="L496" s="7">
        <v>2363.36</v>
      </c>
      <c r="M496" s="3" t="s">
        <v>57</v>
      </c>
      <c r="N496" s="3" t="str">
        <f t="shared" si="28"/>
        <v>2024-05</v>
      </c>
      <c r="O496" s="3" t="str">
        <f t="shared" si="29"/>
        <v>1-10%</v>
      </c>
      <c r="P496" s="9">
        <f t="shared" si="30"/>
        <v>0.2028389697040959</v>
      </c>
      <c r="Q496" s="3" t="str">
        <f t="shared" si="31"/>
        <v>No</v>
      </c>
    </row>
    <row r="497" spans="1:17" ht="21" customHeight="1">
      <c r="A497" s="3" t="s">
        <v>958</v>
      </c>
      <c r="B497" s="5">
        <v>45442</v>
      </c>
      <c r="C497" s="3" t="s">
        <v>959</v>
      </c>
      <c r="D497" s="3" t="s">
        <v>46</v>
      </c>
      <c r="E497" s="3" t="s">
        <v>41</v>
      </c>
      <c r="F497" s="3" t="s">
        <v>119</v>
      </c>
      <c r="G497" s="3" t="s">
        <v>168</v>
      </c>
      <c r="H497" s="3">
        <v>1</v>
      </c>
      <c r="I497" s="7">
        <v>10352.9</v>
      </c>
      <c r="J497" s="9">
        <v>0.05</v>
      </c>
      <c r="K497" s="7">
        <v>9835.25</v>
      </c>
      <c r="L497" s="7">
        <v>2805.78</v>
      </c>
      <c r="M497" s="3" t="s">
        <v>57</v>
      </c>
      <c r="N497" s="3" t="str">
        <f t="shared" si="28"/>
        <v>2024-05</v>
      </c>
      <c r="O497" s="3" t="str">
        <f t="shared" si="29"/>
        <v>1-10%</v>
      </c>
      <c r="P497" s="9">
        <f t="shared" si="30"/>
        <v>0.28527795429704383</v>
      </c>
      <c r="Q497" s="3" t="str">
        <f t="shared" si="31"/>
        <v>No</v>
      </c>
    </row>
    <row r="498" spans="1:17" ht="21" customHeight="1">
      <c r="A498" s="3" t="s">
        <v>960</v>
      </c>
      <c r="B498" s="5">
        <v>45442</v>
      </c>
      <c r="C498" s="3" t="s">
        <v>212</v>
      </c>
      <c r="D498" s="3" t="s">
        <v>46</v>
      </c>
      <c r="E498" s="3" t="s">
        <v>39</v>
      </c>
      <c r="F498" s="3" t="s">
        <v>109</v>
      </c>
      <c r="G498" s="3" t="s">
        <v>355</v>
      </c>
      <c r="H498" s="3">
        <v>1</v>
      </c>
      <c r="I498" s="7">
        <v>3621.11</v>
      </c>
      <c r="J498" s="9">
        <v>0.1</v>
      </c>
      <c r="K498" s="7">
        <v>3259</v>
      </c>
      <c r="L498" s="7">
        <v>902.02</v>
      </c>
      <c r="M498" s="3" t="s">
        <v>56</v>
      </c>
      <c r="N498" s="3" t="str">
        <f t="shared" si="28"/>
        <v>2024-05</v>
      </c>
      <c r="O498" s="3" t="str">
        <f t="shared" si="29"/>
        <v>1-10%</v>
      </c>
      <c r="P498" s="9">
        <f t="shared" si="30"/>
        <v>0.2767781528076097</v>
      </c>
      <c r="Q498" s="3" t="str">
        <f t="shared" si="31"/>
        <v>No</v>
      </c>
    </row>
    <row r="499" spans="1:17" ht="21" customHeight="1">
      <c r="A499" s="3" t="s">
        <v>961</v>
      </c>
      <c r="B499" s="5">
        <v>45442</v>
      </c>
      <c r="C499" s="3" t="s">
        <v>962</v>
      </c>
      <c r="D499" s="3" t="s">
        <v>46</v>
      </c>
      <c r="E499" s="3" t="s">
        <v>40</v>
      </c>
      <c r="F499" s="3" t="s">
        <v>221</v>
      </c>
      <c r="G499" s="3" t="s">
        <v>222</v>
      </c>
      <c r="H499" s="3">
        <v>1</v>
      </c>
      <c r="I499" s="7">
        <v>1015.86</v>
      </c>
      <c r="J499" s="9">
        <v>0.05</v>
      </c>
      <c r="K499" s="7">
        <v>965.07</v>
      </c>
      <c r="L499" s="7">
        <v>226.4</v>
      </c>
      <c r="M499" s="3" t="s">
        <v>56</v>
      </c>
      <c r="N499" s="3" t="str">
        <f t="shared" si="28"/>
        <v>2024-05</v>
      </c>
      <c r="O499" s="3" t="str">
        <f t="shared" si="29"/>
        <v>1-10%</v>
      </c>
      <c r="P499" s="9">
        <f t="shared" si="30"/>
        <v>0.23459438175469136</v>
      </c>
      <c r="Q499" s="3" t="str">
        <f t="shared" si="31"/>
        <v>No</v>
      </c>
    </row>
    <row r="500" spans="1:17" ht="21" customHeight="1">
      <c r="A500" s="3" t="s">
        <v>963</v>
      </c>
      <c r="B500" s="5">
        <v>45443</v>
      </c>
      <c r="C500" s="3" t="s">
        <v>426</v>
      </c>
      <c r="D500" s="3" t="s">
        <v>47</v>
      </c>
      <c r="E500" s="3" t="s">
        <v>40</v>
      </c>
      <c r="F500" s="3" t="s">
        <v>160</v>
      </c>
      <c r="G500" s="3" t="s">
        <v>173</v>
      </c>
      <c r="H500" s="3">
        <v>2</v>
      </c>
      <c r="I500" s="7">
        <v>8557.75</v>
      </c>
      <c r="J500" s="9">
        <v>0.05</v>
      </c>
      <c r="K500" s="7">
        <v>16259.72</v>
      </c>
      <c r="L500" s="7">
        <v>3878.26</v>
      </c>
      <c r="M500" s="3" t="s">
        <v>59</v>
      </c>
      <c r="N500" s="3" t="str">
        <f t="shared" si="28"/>
        <v>2024-05</v>
      </c>
      <c r="O500" s="3" t="str">
        <f t="shared" si="29"/>
        <v>1-10%</v>
      </c>
      <c r="P500" s="9">
        <f t="shared" si="30"/>
        <v>0.23851948250031368</v>
      </c>
      <c r="Q500" s="3" t="str">
        <f t="shared" si="31"/>
        <v>No</v>
      </c>
    </row>
    <row r="501" spans="1:17" ht="21" customHeight="1">
      <c r="A501" s="3" t="s">
        <v>964</v>
      </c>
      <c r="B501" s="5">
        <v>45443</v>
      </c>
      <c r="C501" s="3" t="s">
        <v>186</v>
      </c>
      <c r="D501" s="3" t="s">
        <v>46</v>
      </c>
      <c r="E501" s="3" t="s">
        <v>39</v>
      </c>
      <c r="F501" s="3" t="s">
        <v>130</v>
      </c>
      <c r="G501" s="3" t="s">
        <v>131</v>
      </c>
      <c r="H501" s="3">
        <v>1</v>
      </c>
      <c r="I501" s="7">
        <v>2137.02</v>
      </c>
      <c r="J501" s="9">
        <v>0</v>
      </c>
      <c r="K501" s="7">
        <v>2137.02</v>
      </c>
      <c r="L501" s="7">
        <v>940.01</v>
      </c>
      <c r="M501" s="3" t="s">
        <v>56</v>
      </c>
      <c r="N501" s="3" t="str">
        <f t="shared" si="28"/>
        <v>2024-05</v>
      </c>
      <c r="O501" s="3" t="str">
        <f t="shared" si="29"/>
        <v>No discount</v>
      </c>
      <c r="P501" s="9">
        <f t="shared" si="30"/>
        <v>0.439869537954722</v>
      </c>
      <c r="Q501" s="3" t="str">
        <f t="shared" si="31"/>
        <v>No</v>
      </c>
    </row>
    <row r="502" spans="1:17" ht="21" customHeight="1">
      <c r="A502" s="3" t="s">
        <v>965</v>
      </c>
      <c r="B502" s="5">
        <v>45443</v>
      </c>
      <c r="C502" s="3" t="s">
        <v>611</v>
      </c>
      <c r="D502" s="3" t="s">
        <v>44</v>
      </c>
      <c r="E502" s="3" t="s">
        <v>41</v>
      </c>
      <c r="F502" s="3" t="s">
        <v>113</v>
      </c>
      <c r="G502" s="3" t="s">
        <v>123</v>
      </c>
      <c r="H502" s="3">
        <v>4</v>
      </c>
      <c r="I502" s="7">
        <v>3519.98</v>
      </c>
      <c r="J502" s="9">
        <v>0</v>
      </c>
      <c r="K502" s="7">
        <v>14079.92</v>
      </c>
      <c r="L502" s="7">
        <v>5416.82</v>
      </c>
      <c r="M502" s="3" t="s">
        <v>56</v>
      </c>
      <c r="N502" s="3" t="str">
        <f t="shared" si="28"/>
        <v>2024-05</v>
      </c>
      <c r="O502" s="3" t="str">
        <f t="shared" si="29"/>
        <v>No discount</v>
      </c>
      <c r="P502" s="9">
        <f t="shared" si="30"/>
        <v>0.38471951545179234</v>
      </c>
      <c r="Q502" s="3" t="str">
        <f t="shared" si="31"/>
        <v>No</v>
      </c>
    </row>
    <row r="503" spans="1:17" ht="21" customHeight="1">
      <c r="A503" s="3" t="s">
        <v>966</v>
      </c>
      <c r="B503" s="5">
        <v>45443</v>
      </c>
      <c r="C503" s="3" t="s">
        <v>959</v>
      </c>
      <c r="D503" s="3" t="s">
        <v>44</v>
      </c>
      <c r="E503" s="3" t="s">
        <v>40</v>
      </c>
      <c r="F503" s="3" t="s">
        <v>102</v>
      </c>
      <c r="G503" s="3" t="s">
        <v>103</v>
      </c>
      <c r="H503" s="3">
        <v>1</v>
      </c>
      <c r="I503" s="7">
        <v>6631.08</v>
      </c>
      <c r="J503" s="9">
        <v>0.05</v>
      </c>
      <c r="K503" s="7">
        <v>6299.53</v>
      </c>
      <c r="L503" s="7">
        <v>1483.19</v>
      </c>
      <c r="M503" s="3" t="s">
        <v>59</v>
      </c>
      <c r="N503" s="3" t="str">
        <f t="shared" si="28"/>
        <v>2024-05</v>
      </c>
      <c r="O503" s="3" t="str">
        <f t="shared" si="29"/>
        <v>1-10%</v>
      </c>
      <c r="P503" s="9">
        <f t="shared" si="30"/>
        <v>0.23544454903778539</v>
      </c>
      <c r="Q503" s="3" t="str">
        <f t="shared" si="31"/>
        <v>No</v>
      </c>
    </row>
    <row r="504" spans="1:17" ht="21" customHeight="1">
      <c r="A504" s="3" t="s">
        <v>967</v>
      </c>
      <c r="B504" s="5">
        <v>45443</v>
      </c>
      <c r="C504" s="3" t="s">
        <v>381</v>
      </c>
      <c r="D504" s="3" t="s">
        <v>45</v>
      </c>
      <c r="E504" s="3" t="s">
        <v>41</v>
      </c>
      <c r="F504" s="3" t="s">
        <v>113</v>
      </c>
      <c r="G504" s="3" t="s">
        <v>123</v>
      </c>
      <c r="H504" s="3">
        <v>1</v>
      </c>
      <c r="I504" s="7">
        <v>3657.96</v>
      </c>
      <c r="J504" s="9">
        <v>0.15</v>
      </c>
      <c r="K504" s="7">
        <v>3109.27</v>
      </c>
      <c r="L504" s="7">
        <v>624.23</v>
      </c>
      <c r="M504" s="3" t="s">
        <v>60</v>
      </c>
      <c r="N504" s="3" t="str">
        <f t="shared" si="28"/>
        <v>2024-05</v>
      </c>
      <c r="O504" s="3" t="str">
        <f t="shared" si="29"/>
        <v>11-15%</v>
      </c>
      <c r="P504" s="9">
        <f t="shared" si="30"/>
        <v>0.20076416650853737</v>
      </c>
      <c r="Q504" s="3" t="str">
        <f t="shared" si="31"/>
        <v>No</v>
      </c>
    </row>
    <row r="505" spans="1:17" ht="21" customHeight="1">
      <c r="A505" s="3" t="s">
        <v>968</v>
      </c>
      <c r="B505" s="5">
        <v>45443</v>
      </c>
      <c r="C505" s="3" t="s">
        <v>741</v>
      </c>
      <c r="D505" s="3" t="s">
        <v>45</v>
      </c>
      <c r="E505" s="3" t="s">
        <v>39</v>
      </c>
      <c r="F505" s="3" t="s">
        <v>109</v>
      </c>
      <c r="G505" s="3" t="s">
        <v>110</v>
      </c>
      <c r="H505" s="3">
        <v>3</v>
      </c>
      <c r="I505" s="7">
        <v>3051.99</v>
      </c>
      <c r="J505" s="9">
        <v>0.25</v>
      </c>
      <c r="K505" s="7">
        <v>6866.98</v>
      </c>
      <c r="L505" s="7">
        <v>1015.08</v>
      </c>
      <c r="M505" s="3" t="s">
        <v>56</v>
      </c>
      <c r="N505" s="3" t="str">
        <f t="shared" si="28"/>
        <v>2024-05</v>
      </c>
      <c r="O505" s="3" t="str">
        <f t="shared" si="29"/>
        <v>21%+</v>
      </c>
      <c r="P505" s="9">
        <f t="shared" si="30"/>
        <v>0.14782043926150945</v>
      </c>
      <c r="Q505" s="3" t="str">
        <f t="shared" si="31"/>
        <v>No</v>
      </c>
    </row>
    <row r="506" spans="1:17" ht="21" customHeight="1">
      <c r="A506" s="3" t="s">
        <v>969</v>
      </c>
      <c r="B506" s="5">
        <v>45443</v>
      </c>
      <c r="C506" s="3" t="s">
        <v>970</v>
      </c>
      <c r="D506" s="3" t="s">
        <v>44</v>
      </c>
      <c r="E506" s="3" t="s">
        <v>40</v>
      </c>
      <c r="F506" s="3" t="s">
        <v>160</v>
      </c>
      <c r="G506" s="3" t="s">
        <v>173</v>
      </c>
      <c r="H506" s="3">
        <v>1</v>
      </c>
      <c r="I506" s="7">
        <v>9032.14</v>
      </c>
      <c r="J506" s="9">
        <v>0.1</v>
      </c>
      <c r="K506" s="7">
        <v>8128.93</v>
      </c>
      <c r="L506" s="7">
        <v>2021.18</v>
      </c>
      <c r="M506" s="3" t="s">
        <v>57</v>
      </c>
      <c r="N506" s="3" t="str">
        <f t="shared" si="28"/>
        <v>2024-05</v>
      </c>
      <c r="O506" s="3" t="str">
        <f t="shared" si="29"/>
        <v>1-10%</v>
      </c>
      <c r="P506" s="9">
        <f t="shared" si="30"/>
        <v>0.24864034995995782</v>
      </c>
      <c r="Q506" s="3" t="str">
        <f t="shared" si="31"/>
        <v>No</v>
      </c>
    </row>
    <row r="507" spans="1:17" ht="21" customHeight="1">
      <c r="A507" s="3" t="s">
        <v>971</v>
      </c>
      <c r="B507" s="5">
        <v>45444</v>
      </c>
      <c r="C507" s="3" t="s">
        <v>416</v>
      </c>
      <c r="D507" s="3" t="s">
        <v>47</v>
      </c>
      <c r="E507" s="3" t="s">
        <v>40</v>
      </c>
      <c r="F507" s="3" t="s">
        <v>102</v>
      </c>
      <c r="G507" s="3" t="s">
        <v>103</v>
      </c>
      <c r="H507" s="3">
        <v>3</v>
      </c>
      <c r="I507" s="7">
        <v>6368.08</v>
      </c>
      <c r="J507" s="9">
        <v>0</v>
      </c>
      <c r="K507" s="7">
        <v>19104.240000000002</v>
      </c>
      <c r="L507" s="7">
        <v>6437.27</v>
      </c>
      <c r="M507" s="3" t="s">
        <v>57</v>
      </c>
      <c r="N507" s="3" t="str">
        <f t="shared" si="28"/>
        <v>2024-06</v>
      </c>
      <c r="O507" s="3" t="str">
        <f t="shared" si="29"/>
        <v>No discount</v>
      </c>
      <c r="P507" s="9">
        <f t="shared" si="30"/>
        <v>0.33695504244084035</v>
      </c>
      <c r="Q507" s="3" t="str">
        <f t="shared" si="31"/>
        <v>No</v>
      </c>
    </row>
    <row r="508" spans="1:17" ht="21" customHeight="1">
      <c r="A508" s="3" t="s">
        <v>972</v>
      </c>
      <c r="B508" s="5">
        <v>45444</v>
      </c>
      <c r="C508" s="3" t="s">
        <v>232</v>
      </c>
      <c r="D508" s="3" t="s">
        <v>45</v>
      </c>
      <c r="E508" s="3" t="s">
        <v>40</v>
      </c>
      <c r="F508" s="3" t="s">
        <v>221</v>
      </c>
      <c r="G508" s="3" t="s">
        <v>222</v>
      </c>
      <c r="H508" s="3">
        <v>3</v>
      </c>
      <c r="I508" s="7">
        <v>964.3</v>
      </c>
      <c r="J508" s="9">
        <v>0.05</v>
      </c>
      <c r="K508" s="7">
        <v>2748.25</v>
      </c>
      <c r="L508" s="7">
        <v>801.19</v>
      </c>
      <c r="M508" s="3" t="s">
        <v>60</v>
      </c>
      <c r="N508" s="3" t="str">
        <f t="shared" si="28"/>
        <v>2024-06</v>
      </c>
      <c r="O508" s="3" t="str">
        <f t="shared" si="29"/>
        <v>1-10%</v>
      </c>
      <c r="P508" s="9">
        <f t="shared" si="30"/>
        <v>0.29152733557718552</v>
      </c>
      <c r="Q508" s="3" t="str">
        <f t="shared" si="31"/>
        <v>No</v>
      </c>
    </row>
    <row r="509" spans="1:17" ht="21" customHeight="1">
      <c r="A509" s="3" t="s">
        <v>973</v>
      </c>
      <c r="B509" s="5">
        <v>45444</v>
      </c>
      <c r="C509" s="3" t="s">
        <v>974</v>
      </c>
      <c r="D509" s="3" t="s">
        <v>44</v>
      </c>
      <c r="E509" s="3" t="s">
        <v>39</v>
      </c>
      <c r="F509" s="3" t="s">
        <v>109</v>
      </c>
      <c r="G509" s="3" t="s">
        <v>355</v>
      </c>
      <c r="H509" s="3">
        <v>2</v>
      </c>
      <c r="I509" s="7">
        <v>3586.62</v>
      </c>
      <c r="J509" s="9">
        <v>0.4</v>
      </c>
      <c r="K509" s="7">
        <v>4303.9399999999996</v>
      </c>
      <c r="L509" s="7">
        <v>-257.57</v>
      </c>
      <c r="M509" s="3" t="s">
        <v>56</v>
      </c>
      <c r="N509" s="3" t="str">
        <f t="shared" si="28"/>
        <v>2024-06</v>
      </c>
      <c r="O509" s="3" t="str">
        <f t="shared" si="29"/>
        <v>21%+</v>
      </c>
      <c r="P509" s="9">
        <f t="shared" si="30"/>
        <v>-5.9845165127766657E-2</v>
      </c>
      <c r="Q509" s="3" t="str">
        <f t="shared" si="31"/>
        <v>Yes</v>
      </c>
    </row>
    <row r="510" spans="1:17" ht="21" customHeight="1">
      <c r="A510" s="3" t="s">
        <v>975</v>
      </c>
      <c r="B510" s="5">
        <v>45444</v>
      </c>
      <c r="C510" s="3" t="s">
        <v>976</v>
      </c>
      <c r="D510" s="3" t="s">
        <v>46</v>
      </c>
      <c r="E510" s="3" t="s">
        <v>42</v>
      </c>
      <c r="F510" s="3" t="s">
        <v>90</v>
      </c>
      <c r="G510" s="3" t="s">
        <v>106</v>
      </c>
      <c r="H510" s="3">
        <v>2</v>
      </c>
      <c r="I510" s="7">
        <v>920.11</v>
      </c>
      <c r="J510" s="9">
        <v>0.15</v>
      </c>
      <c r="K510" s="7">
        <v>1564.19</v>
      </c>
      <c r="L510" s="7">
        <v>543.88</v>
      </c>
      <c r="M510" s="3" t="s">
        <v>60</v>
      </c>
      <c r="N510" s="3" t="str">
        <f t="shared" si="28"/>
        <v>2024-06</v>
      </c>
      <c r="O510" s="3" t="str">
        <f t="shared" si="29"/>
        <v>11-15%</v>
      </c>
      <c r="P510" s="9">
        <f t="shared" si="30"/>
        <v>0.34770711997903064</v>
      </c>
      <c r="Q510" s="3" t="str">
        <f t="shared" si="31"/>
        <v>No</v>
      </c>
    </row>
    <row r="511" spans="1:17" ht="21" customHeight="1">
      <c r="A511" s="3" t="s">
        <v>977</v>
      </c>
      <c r="B511" s="5">
        <v>45444</v>
      </c>
      <c r="C511" s="3" t="s">
        <v>170</v>
      </c>
      <c r="D511" s="3" t="s">
        <v>47</v>
      </c>
      <c r="E511" s="3" t="s">
        <v>40</v>
      </c>
      <c r="F511" s="3" t="s">
        <v>160</v>
      </c>
      <c r="G511" s="3" t="s">
        <v>161</v>
      </c>
      <c r="H511" s="3">
        <v>1</v>
      </c>
      <c r="I511" s="7">
        <v>13387.08</v>
      </c>
      <c r="J511" s="9">
        <v>0.15</v>
      </c>
      <c r="K511" s="7">
        <v>11379.02</v>
      </c>
      <c r="L511" s="7">
        <v>2231.91</v>
      </c>
      <c r="M511" s="3" t="s">
        <v>56</v>
      </c>
      <c r="N511" s="3" t="str">
        <f t="shared" si="28"/>
        <v>2024-06</v>
      </c>
      <c r="O511" s="3" t="str">
        <f t="shared" si="29"/>
        <v>11-15%</v>
      </c>
      <c r="P511" s="9">
        <f t="shared" si="30"/>
        <v>0.19614255006142883</v>
      </c>
      <c r="Q511" s="3" t="str">
        <f t="shared" si="31"/>
        <v>No</v>
      </c>
    </row>
    <row r="512" spans="1:17" ht="21" customHeight="1">
      <c r="A512" s="3" t="s">
        <v>978</v>
      </c>
      <c r="B512" s="5">
        <v>45445</v>
      </c>
      <c r="C512" s="3" t="s">
        <v>979</v>
      </c>
      <c r="D512" s="3" t="s">
        <v>46</v>
      </c>
      <c r="E512" s="3" t="s">
        <v>42</v>
      </c>
      <c r="F512" s="3" t="s">
        <v>90</v>
      </c>
      <c r="G512" s="3" t="s">
        <v>91</v>
      </c>
      <c r="H512" s="3">
        <v>1</v>
      </c>
      <c r="I512" s="7">
        <v>1220.3900000000001</v>
      </c>
      <c r="J512" s="9">
        <v>0</v>
      </c>
      <c r="K512" s="7">
        <v>1220.3900000000001</v>
      </c>
      <c r="L512" s="7">
        <v>650.14</v>
      </c>
      <c r="M512" s="3" t="s">
        <v>57</v>
      </c>
      <c r="N512" s="3" t="str">
        <f t="shared" si="28"/>
        <v>2024-06</v>
      </c>
      <c r="O512" s="3" t="str">
        <f t="shared" si="29"/>
        <v>No discount</v>
      </c>
      <c r="P512" s="9">
        <f t="shared" si="30"/>
        <v>0.53273133998148126</v>
      </c>
      <c r="Q512" s="3" t="str">
        <f t="shared" si="31"/>
        <v>No</v>
      </c>
    </row>
    <row r="513" spans="1:17" ht="21" customHeight="1">
      <c r="A513" s="3" t="s">
        <v>980</v>
      </c>
      <c r="B513" s="5">
        <v>45445</v>
      </c>
      <c r="C513" s="3" t="s">
        <v>849</v>
      </c>
      <c r="D513" s="3" t="s">
        <v>47</v>
      </c>
      <c r="E513" s="3" t="s">
        <v>41</v>
      </c>
      <c r="F513" s="3" t="s">
        <v>119</v>
      </c>
      <c r="G513" s="3" t="s">
        <v>120</v>
      </c>
      <c r="H513" s="3">
        <v>1</v>
      </c>
      <c r="I513" s="7">
        <v>1236.2</v>
      </c>
      <c r="J513" s="9">
        <v>0</v>
      </c>
      <c r="K513" s="7">
        <v>1236.2</v>
      </c>
      <c r="L513" s="7">
        <v>472</v>
      </c>
      <c r="M513" s="3" t="s">
        <v>57</v>
      </c>
      <c r="N513" s="3" t="str">
        <f t="shared" si="28"/>
        <v>2024-06</v>
      </c>
      <c r="O513" s="3" t="str">
        <f t="shared" si="29"/>
        <v>No discount</v>
      </c>
      <c r="P513" s="9">
        <f t="shared" si="30"/>
        <v>0.38181524025238633</v>
      </c>
      <c r="Q513" s="3" t="str">
        <f t="shared" si="31"/>
        <v>No</v>
      </c>
    </row>
    <row r="514" spans="1:17" ht="21" customHeight="1">
      <c r="A514" s="3" t="s">
        <v>981</v>
      </c>
      <c r="B514" s="5">
        <v>45445</v>
      </c>
      <c r="C514" s="3" t="s">
        <v>839</v>
      </c>
      <c r="D514" s="3" t="s">
        <v>47</v>
      </c>
      <c r="E514" s="3" t="s">
        <v>39</v>
      </c>
      <c r="F514" s="3" t="s">
        <v>109</v>
      </c>
      <c r="G514" s="3" t="s">
        <v>110</v>
      </c>
      <c r="H514" s="3">
        <v>3</v>
      </c>
      <c r="I514" s="7">
        <v>3090.2</v>
      </c>
      <c r="J514" s="9">
        <v>0.15</v>
      </c>
      <c r="K514" s="7">
        <v>7880.01</v>
      </c>
      <c r="L514" s="7">
        <v>1985.19</v>
      </c>
      <c r="M514" s="3" t="s">
        <v>56</v>
      </c>
      <c r="N514" s="3" t="str">
        <f t="shared" ref="N514:N577" si="32">TEXT(B514,"yyyy-mm")</f>
        <v>2024-06</v>
      </c>
      <c r="O514" s="3" t="str">
        <f t="shared" ref="O514:O577" si="33">IF(J514=0,"No discount",IF(J514&lt;=0.1,"1-10%",IF(J514&lt;=0.15,"11-15%",IF(J514&lt;=0.2,"16-20%","21%+"))))</f>
        <v>11-15%</v>
      </c>
      <c r="P514" s="9">
        <f t="shared" ref="P514:P577" si="34">IF(K514=0,0,L514/K514)</f>
        <v>0.25192734526986643</v>
      </c>
      <c r="Q514" s="3" t="str">
        <f t="shared" ref="Q514:Q577" si="35">IF(L514&lt;0,"Yes","No")</f>
        <v>No</v>
      </c>
    </row>
    <row r="515" spans="1:17" ht="21" customHeight="1">
      <c r="A515" s="3" t="s">
        <v>982</v>
      </c>
      <c r="B515" s="5">
        <v>45445</v>
      </c>
      <c r="C515" s="3" t="s">
        <v>272</v>
      </c>
      <c r="D515" s="3" t="s">
        <v>44</v>
      </c>
      <c r="E515" s="3" t="s">
        <v>41</v>
      </c>
      <c r="F515" s="3" t="s">
        <v>113</v>
      </c>
      <c r="G515" s="3" t="s">
        <v>123</v>
      </c>
      <c r="H515" s="3">
        <v>2</v>
      </c>
      <c r="I515" s="7">
        <v>3466.56</v>
      </c>
      <c r="J515" s="9">
        <v>0</v>
      </c>
      <c r="K515" s="7">
        <v>6933.12</v>
      </c>
      <c r="L515" s="7">
        <v>2768.51</v>
      </c>
      <c r="M515" s="3" t="s">
        <v>58</v>
      </c>
      <c r="N515" s="3" t="str">
        <f t="shared" si="32"/>
        <v>2024-06</v>
      </c>
      <c r="O515" s="3" t="str">
        <f t="shared" si="33"/>
        <v>No discount</v>
      </c>
      <c r="P515" s="9">
        <f t="shared" si="34"/>
        <v>0.39931661358811044</v>
      </c>
      <c r="Q515" s="3" t="str">
        <f t="shared" si="35"/>
        <v>No</v>
      </c>
    </row>
    <row r="516" spans="1:17" ht="21" customHeight="1">
      <c r="A516" s="3" t="s">
        <v>983</v>
      </c>
      <c r="B516" s="5">
        <v>45446</v>
      </c>
      <c r="C516" s="3" t="s">
        <v>307</v>
      </c>
      <c r="D516" s="3" t="s">
        <v>47</v>
      </c>
      <c r="E516" s="3" t="s">
        <v>39</v>
      </c>
      <c r="F516" s="3" t="s">
        <v>164</v>
      </c>
      <c r="G516" s="3" t="s">
        <v>200</v>
      </c>
      <c r="H516" s="3">
        <v>1</v>
      </c>
      <c r="I516" s="7">
        <v>1249.42</v>
      </c>
      <c r="J516" s="9">
        <v>0.1</v>
      </c>
      <c r="K516" s="7">
        <v>1124.48</v>
      </c>
      <c r="L516" s="7">
        <v>381.05</v>
      </c>
      <c r="M516" s="3" t="s">
        <v>59</v>
      </c>
      <c r="N516" s="3" t="str">
        <f t="shared" si="32"/>
        <v>2024-06</v>
      </c>
      <c r="O516" s="3" t="str">
        <f t="shared" si="33"/>
        <v>1-10%</v>
      </c>
      <c r="P516" s="9">
        <f t="shared" si="34"/>
        <v>0.33886774331246444</v>
      </c>
      <c r="Q516" s="3" t="str">
        <f t="shared" si="35"/>
        <v>No</v>
      </c>
    </row>
    <row r="517" spans="1:17" ht="21" customHeight="1">
      <c r="A517" s="3" t="s">
        <v>984</v>
      </c>
      <c r="B517" s="5">
        <v>45446</v>
      </c>
      <c r="C517" s="3" t="s">
        <v>985</v>
      </c>
      <c r="D517" s="3" t="s">
        <v>44</v>
      </c>
      <c r="E517" s="3" t="s">
        <v>41</v>
      </c>
      <c r="F517" s="3" t="s">
        <v>113</v>
      </c>
      <c r="G517" s="3" t="s">
        <v>114</v>
      </c>
      <c r="H517" s="3">
        <v>1</v>
      </c>
      <c r="I517" s="7">
        <v>12199.54</v>
      </c>
      <c r="J517" s="9">
        <v>0.15</v>
      </c>
      <c r="K517" s="7">
        <v>10369.61</v>
      </c>
      <c r="L517" s="7">
        <v>2315.36</v>
      </c>
      <c r="M517" s="3" t="s">
        <v>56</v>
      </c>
      <c r="N517" s="3" t="str">
        <f t="shared" si="32"/>
        <v>2024-06</v>
      </c>
      <c r="O517" s="3" t="str">
        <f t="shared" si="33"/>
        <v>11-15%</v>
      </c>
      <c r="P517" s="9">
        <f t="shared" si="34"/>
        <v>0.22328322858815328</v>
      </c>
      <c r="Q517" s="3" t="str">
        <f t="shared" si="35"/>
        <v>No</v>
      </c>
    </row>
    <row r="518" spans="1:17" ht="21" customHeight="1">
      <c r="A518" s="3" t="s">
        <v>986</v>
      </c>
      <c r="B518" s="5">
        <v>45446</v>
      </c>
      <c r="C518" s="3" t="s">
        <v>715</v>
      </c>
      <c r="D518" s="3" t="s">
        <v>45</v>
      </c>
      <c r="E518" s="3" t="s">
        <v>42</v>
      </c>
      <c r="F518" s="3" t="s">
        <v>126</v>
      </c>
      <c r="G518" s="3" t="s">
        <v>127</v>
      </c>
      <c r="H518" s="3">
        <v>1</v>
      </c>
      <c r="I518" s="7">
        <v>1040.04</v>
      </c>
      <c r="J518" s="9">
        <v>0</v>
      </c>
      <c r="K518" s="7">
        <v>1040.04</v>
      </c>
      <c r="L518" s="7">
        <v>593.24</v>
      </c>
      <c r="M518" s="3" t="s">
        <v>59</v>
      </c>
      <c r="N518" s="3" t="str">
        <f t="shared" si="32"/>
        <v>2024-06</v>
      </c>
      <c r="O518" s="3" t="str">
        <f t="shared" si="33"/>
        <v>No discount</v>
      </c>
      <c r="P518" s="9">
        <f t="shared" si="34"/>
        <v>0.5704011384177532</v>
      </c>
      <c r="Q518" s="3" t="str">
        <f t="shared" si="35"/>
        <v>No</v>
      </c>
    </row>
    <row r="519" spans="1:17" ht="21" customHeight="1">
      <c r="A519" s="3" t="s">
        <v>987</v>
      </c>
      <c r="B519" s="5">
        <v>45446</v>
      </c>
      <c r="C519" s="3" t="s">
        <v>855</v>
      </c>
      <c r="D519" s="3" t="s">
        <v>44</v>
      </c>
      <c r="E519" s="3" t="s">
        <v>40</v>
      </c>
      <c r="F519" s="3" t="s">
        <v>102</v>
      </c>
      <c r="G519" s="3" t="s">
        <v>146</v>
      </c>
      <c r="H519" s="3">
        <v>3</v>
      </c>
      <c r="I519" s="7">
        <v>7848.26</v>
      </c>
      <c r="J519" s="9">
        <v>0</v>
      </c>
      <c r="K519" s="7">
        <v>23544.78</v>
      </c>
      <c r="L519" s="7">
        <v>8521.25</v>
      </c>
      <c r="M519" s="3" t="s">
        <v>59</v>
      </c>
      <c r="N519" s="3" t="str">
        <f t="shared" si="32"/>
        <v>2024-06</v>
      </c>
      <c r="O519" s="3" t="str">
        <f t="shared" si="33"/>
        <v>No discount</v>
      </c>
      <c r="P519" s="9">
        <f t="shared" si="34"/>
        <v>0.36191673908186872</v>
      </c>
      <c r="Q519" s="3" t="str">
        <f t="shared" si="35"/>
        <v>No</v>
      </c>
    </row>
    <row r="520" spans="1:17" ht="21" customHeight="1">
      <c r="A520" s="3" t="s">
        <v>988</v>
      </c>
      <c r="B520" s="5">
        <v>45447</v>
      </c>
      <c r="C520" s="3" t="s">
        <v>329</v>
      </c>
      <c r="D520" s="3" t="s">
        <v>44</v>
      </c>
      <c r="E520" s="3" t="s">
        <v>42</v>
      </c>
      <c r="F520" s="3" t="s">
        <v>126</v>
      </c>
      <c r="G520" s="3" t="s">
        <v>151</v>
      </c>
      <c r="H520" s="3">
        <v>1</v>
      </c>
      <c r="I520" s="7">
        <v>1521.91</v>
      </c>
      <c r="J520" s="9">
        <v>0.05</v>
      </c>
      <c r="K520" s="7">
        <v>1445.81</v>
      </c>
      <c r="L520" s="7">
        <v>654.33000000000004</v>
      </c>
      <c r="M520" s="3" t="s">
        <v>56</v>
      </c>
      <c r="N520" s="3" t="str">
        <f t="shared" si="32"/>
        <v>2024-06</v>
      </c>
      <c r="O520" s="3" t="str">
        <f t="shared" si="33"/>
        <v>1-10%</v>
      </c>
      <c r="P520" s="9">
        <f t="shared" si="34"/>
        <v>0.45256983974381149</v>
      </c>
      <c r="Q520" s="3" t="str">
        <f t="shared" si="35"/>
        <v>No</v>
      </c>
    </row>
    <row r="521" spans="1:17" ht="21" customHeight="1">
      <c r="A521" s="3" t="s">
        <v>989</v>
      </c>
      <c r="B521" s="5">
        <v>45447</v>
      </c>
      <c r="C521" s="3" t="s">
        <v>493</v>
      </c>
      <c r="D521" s="3" t="s">
        <v>45</v>
      </c>
      <c r="E521" s="3" t="s">
        <v>38</v>
      </c>
      <c r="F521" s="3" t="s">
        <v>142</v>
      </c>
      <c r="G521" s="3" t="s">
        <v>143</v>
      </c>
      <c r="H521" s="3">
        <v>2</v>
      </c>
      <c r="I521" s="7">
        <v>9225.69</v>
      </c>
      <c r="J521" s="9">
        <v>0.4</v>
      </c>
      <c r="K521" s="7">
        <v>11070.83</v>
      </c>
      <c r="L521" s="7">
        <v>-2863.26</v>
      </c>
      <c r="M521" s="3" t="s">
        <v>56</v>
      </c>
      <c r="N521" s="3" t="str">
        <f t="shared" si="32"/>
        <v>2024-06</v>
      </c>
      <c r="O521" s="3" t="str">
        <f t="shared" si="33"/>
        <v>21%+</v>
      </c>
      <c r="P521" s="9">
        <f t="shared" si="34"/>
        <v>-0.25863101501874747</v>
      </c>
      <c r="Q521" s="3" t="str">
        <f t="shared" si="35"/>
        <v>Yes</v>
      </c>
    </row>
    <row r="522" spans="1:17" ht="21" customHeight="1">
      <c r="A522" s="3" t="s">
        <v>990</v>
      </c>
      <c r="B522" s="5">
        <v>45447</v>
      </c>
      <c r="C522" s="3" t="s">
        <v>957</v>
      </c>
      <c r="D522" s="3" t="s">
        <v>46</v>
      </c>
      <c r="E522" s="3" t="s">
        <v>40</v>
      </c>
      <c r="F522" s="3" t="s">
        <v>102</v>
      </c>
      <c r="G522" s="3" t="s">
        <v>146</v>
      </c>
      <c r="H522" s="3">
        <v>2</v>
      </c>
      <c r="I522" s="7">
        <v>7732.44</v>
      </c>
      <c r="J522" s="9">
        <v>0.4</v>
      </c>
      <c r="K522" s="7">
        <v>9278.93</v>
      </c>
      <c r="L522" s="7">
        <v>-1459.58</v>
      </c>
      <c r="M522" s="3" t="s">
        <v>57</v>
      </c>
      <c r="N522" s="3" t="str">
        <f t="shared" si="32"/>
        <v>2024-06</v>
      </c>
      <c r="O522" s="3" t="str">
        <f t="shared" si="33"/>
        <v>21%+</v>
      </c>
      <c r="P522" s="9">
        <f t="shared" si="34"/>
        <v>-0.15730046460098307</v>
      </c>
      <c r="Q522" s="3" t="str">
        <f t="shared" si="35"/>
        <v>Yes</v>
      </c>
    </row>
    <row r="523" spans="1:17" ht="21" customHeight="1">
      <c r="A523" s="3" t="s">
        <v>991</v>
      </c>
      <c r="B523" s="5">
        <v>45447</v>
      </c>
      <c r="C523" s="3" t="s">
        <v>992</v>
      </c>
      <c r="D523" s="3" t="s">
        <v>44</v>
      </c>
      <c r="E523" s="3" t="s">
        <v>42</v>
      </c>
      <c r="F523" s="3" t="s">
        <v>90</v>
      </c>
      <c r="G523" s="3" t="s">
        <v>106</v>
      </c>
      <c r="H523" s="3">
        <v>4</v>
      </c>
      <c r="I523" s="7">
        <v>912.4</v>
      </c>
      <c r="J523" s="9">
        <v>0.05</v>
      </c>
      <c r="K523" s="7">
        <v>3467.12</v>
      </c>
      <c r="L523" s="7">
        <v>1751.46</v>
      </c>
      <c r="M523" s="3" t="s">
        <v>56</v>
      </c>
      <c r="N523" s="3" t="str">
        <f t="shared" si="32"/>
        <v>2024-06</v>
      </c>
      <c r="O523" s="3" t="str">
        <f t="shared" si="33"/>
        <v>1-10%</v>
      </c>
      <c r="P523" s="9">
        <f t="shared" si="34"/>
        <v>0.50516278640485479</v>
      </c>
      <c r="Q523" s="3" t="str">
        <f t="shared" si="35"/>
        <v>No</v>
      </c>
    </row>
    <row r="524" spans="1:17" ht="21" customHeight="1">
      <c r="A524" s="3" t="s">
        <v>993</v>
      </c>
      <c r="B524" s="5">
        <v>45448</v>
      </c>
      <c r="C524" s="3" t="s">
        <v>726</v>
      </c>
      <c r="D524" s="3" t="s">
        <v>46</v>
      </c>
      <c r="E524" s="3" t="s">
        <v>41</v>
      </c>
      <c r="F524" s="3" t="s">
        <v>119</v>
      </c>
      <c r="G524" s="3" t="s">
        <v>120</v>
      </c>
      <c r="H524" s="3">
        <v>2</v>
      </c>
      <c r="I524" s="7">
        <v>1322.12</v>
      </c>
      <c r="J524" s="9">
        <v>0.1</v>
      </c>
      <c r="K524" s="7">
        <v>2379.8200000000002</v>
      </c>
      <c r="L524" s="7">
        <v>701.61</v>
      </c>
      <c r="M524" s="3" t="s">
        <v>56</v>
      </c>
      <c r="N524" s="3" t="str">
        <f t="shared" si="32"/>
        <v>2024-06</v>
      </c>
      <c r="O524" s="3" t="str">
        <f t="shared" si="33"/>
        <v>1-10%</v>
      </c>
      <c r="P524" s="9">
        <f t="shared" si="34"/>
        <v>0.29481641468682501</v>
      </c>
      <c r="Q524" s="3" t="str">
        <f t="shared" si="35"/>
        <v>No</v>
      </c>
    </row>
    <row r="525" spans="1:17" ht="21" customHeight="1">
      <c r="A525" s="3" t="s">
        <v>994</v>
      </c>
      <c r="B525" s="5">
        <v>45448</v>
      </c>
      <c r="C525" s="3" t="s">
        <v>377</v>
      </c>
      <c r="D525" s="3" t="s">
        <v>45</v>
      </c>
      <c r="E525" s="3" t="s">
        <v>38</v>
      </c>
      <c r="F525" s="3" t="s">
        <v>98</v>
      </c>
      <c r="G525" s="3" t="s">
        <v>182</v>
      </c>
      <c r="H525" s="3">
        <v>1</v>
      </c>
      <c r="I525" s="7">
        <v>71245.73</v>
      </c>
      <c r="J525" s="9">
        <v>0</v>
      </c>
      <c r="K525" s="7">
        <v>71245.73</v>
      </c>
      <c r="L525" s="7">
        <v>15514.88</v>
      </c>
      <c r="M525" s="3" t="s">
        <v>57</v>
      </c>
      <c r="N525" s="3" t="str">
        <f t="shared" si="32"/>
        <v>2024-06</v>
      </c>
      <c r="O525" s="3" t="str">
        <f t="shared" si="33"/>
        <v>No discount</v>
      </c>
      <c r="P525" s="9">
        <f t="shared" si="34"/>
        <v>0.21776575241772383</v>
      </c>
      <c r="Q525" s="3" t="str">
        <f t="shared" si="35"/>
        <v>No</v>
      </c>
    </row>
    <row r="526" spans="1:17" ht="21" customHeight="1">
      <c r="A526" s="3" t="s">
        <v>995</v>
      </c>
      <c r="B526" s="5">
        <v>45448</v>
      </c>
      <c r="C526" s="3" t="s">
        <v>244</v>
      </c>
      <c r="D526" s="3" t="s">
        <v>44</v>
      </c>
      <c r="E526" s="3" t="s">
        <v>38</v>
      </c>
      <c r="F526" s="3" t="s">
        <v>142</v>
      </c>
      <c r="G526" s="3" t="s">
        <v>245</v>
      </c>
      <c r="H526" s="3">
        <v>1</v>
      </c>
      <c r="I526" s="7">
        <v>5096.4399999999996</v>
      </c>
      <c r="J526" s="9">
        <v>0.2</v>
      </c>
      <c r="K526" s="7">
        <v>4077.15</v>
      </c>
      <c r="L526" s="7">
        <v>-277.85000000000002</v>
      </c>
      <c r="M526" s="3" t="s">
        <v>57</v>
      </c>
      <c r="N526" s="3" t="str">
        <f t="shared" si="32"/>
        <v>2024-06</v>
      </c>
      <c r="O526" s="3" t="str">
        <f t="shared" si="33"/>
        <v>16-20%</v>
      </c>
      <c r="P526" s="9">
        <f t="shared" si="34"/>
        <v>-6.814809364384436E-2</v>
      </c>
      <c r="Q526" s="3" t="str">
        <f t="shared" si="35"/>
        <v>Yes</v>
      </c>
    </row>
    <row r="527" spans="1:17" ht="21" customHeight="1">
      <c r="A527" s="3" t="s">
        <v>996</v>
      </c>
      <c r="B527" s="5">
        <v>45448</v>
      </c>
      <c r="C527" s="3" t="s">
        <v>997</v>
      </c>
      <c r="D527" s="3" t="s">
        <v>47</v>
      </c>
      <c r="E527" s="3" t="s">
        <v>41</v>
      </c>
      <c r="F527" s="3" t="s">
        <v>113</v>
      </c>
      <c r="G527" s="3" t="s">
        <v>123</v>
      </c>
      <c r="H527" s="3">
        <v>1</v>
      </c>
      <c r="I527" s="7">
        <v>3369.9</v>
      </c>
      <c r="J527" s="9">
        <v>0.15</v>
      </c>
      <c r="K527" s="7">
        <v>2864.41</v>
      </c>
      <c r="L527" s="7">
        <v>527.87</v>
      </c>
      <c r="M527" s="3" t="s">
        <v>56</v>
      </c>
      <c r="N527" s="3" t="str">
        <f t="shared" si="32"/>
        <v>2024-06</v>
      </c>
      <c r="O527" s="3" t="str">
        <f t="shared" si="33"/>
        <v>11-15%</v>
      </c>
      <c r="P527" s="9">
        <f t="shared" si="34"/>
        <v>0.1842857691461767</v>
      </c>
      <c r="Q527" s="3" t="str">
        <f t="shared" si="35"/>
        <v>No</v>
      </c>
    </row>
    <row r="528" spans="1:17" ht="21" customHeight="1">
      <c r="A528" s="3" t="s">
        <v>998</v>
      </c>
      <c r="B528" s="5">
        <v>45449</v>
      </c>
      <c r="C528" s="3" t="s">
        <v>999</v>
      </c>
      <c r="D528" s="3" t="s">
        <v>45</v>
      </c>
      <c r="E528" s="3" t="s">
        <v>39</v>
      </c>
      <c r="F528" s="3" t="s">
        <v>130</v>
      </c>
      <c r="G528" s="3" t="s">
        <v>193</v>
      </c>
      <c r="H528" s="3">
        <v>2</v>
      </c>
      <c r="I528" s="7">
        <v>1887.56</v>
      </c>
      <c r="J528" s="9">
        <v>0</v>
      </c>
      <c r="K528" s="7">
        <v>3775.12</v>
      </c>
      <c r="L528" s="7">
        <v>1710.26</v>
      </c>
      <c r="M528" s="3" t="s">
        <v>56</v>
      </c>
      <c r="N528" s="3" t="str">
        <f t="shared" si="32"/>
        <v>2024-06</v>
      </c>
      <c r="O528" s="3" t="str">
        <f t="shared" si="33"/>
        <v>No discount</v>
      </c>
      <c r="P528" s="9">
        <f t="shared" si="34"/>
        <v>0.45303460552247349</v>
      </c>
      <c r="Q528" s="3" t="str">
        <f t="shared" si="35"/>
        <v>No</v>
      </c>
    </row>
    <row r="529" spans="1:17" ht="21" customHeight="1">
      <c r="A529" s="3" t="s">
        <v>1000</v>
      </c>
      <c r="B529" s="5">
        <v>45449</v>
      </c>
      <c r="C529" s="3" t="s">
        <v>754</v>
      </c>
      <c r="D529" s="3" t="s">
        <v>46</v>
      </c>
      <c r="E529" s="3" t="s">
        <v>39</v>
      </c>
      <c r="F529" s="3" t="s">
        <v>164</v>
      </c>
      <c r="G529" s="3" t="s">
        <v>200</v>
      </c>
      <c r="H529" s="3">
        <v>1</v>
      </c>
      <c r="I529" s="7">
        <v>1354.97</v>
      </c>
      <c r="J529" s="9">
        <v>0.1</v>
      </c>
      <c r="K529" s="7">
        <v>1219.47</v>
      </c>
      <c r="L529" s="7">
        <v>420.42</v>
      </c>
      <c r="M529" s="3" t="s">
        <v>56</v>
      </c>
      <c r="N529" s="3" t="str">
        <f t="shared" si="32"/>
        <v>2024-06</v>
      </c>
      <c r="O529" s="3" t="str">
        <f t="shared" si="33"/>
        <v>1-10%</v>
      </c>
      <c r="P529" s="9">
        <f t="shared" si="34"/>
        <v>0.34475632856896848</v>
      </c>
      <c r="Q529" s="3" t="str">
        <f t="shared" si="35"/>
        <v>No</v>
      </c>
    </row>
    <row r="530" spans="1:17" ht="21" customHeight="1">
      <c r="A530" s="3" t="s">
        <v>1001</v>
      </c>
      <c r="B530" s="5">
        <v>45449</v>
      </c>
      <c r="C530" s="3" t="s">
        <v>992</v>
      </c>
      <c r="D530" s="3" t="s">
        <v>44</v>
      </c>
      <c r="E530" s="3" t="s">
        <v>39</v>
      </c>
      <c r="F530" s="3" t="s">
        <v>164</v>
      </c>
      <c r="G530" s="3" t="s">
        <v>165</v>
      </c>
      <c r="H530" s="3">
        <v>2</v>
      </c>
      <c r="I530" s="7">
        <v>1923.87</v>
      </c>
      <c r="J530" s="9">
        <v>0</v>
      </c>
      <c r="K530" s="7">
        <v>3847.74</v>
      </c>
      <c r="L530" s="7">
        <v>1690.37</v>
      </c>
      <c r="M530" s="3" t="s">
        <v>57</v>
      </c>
      <c r="N530" s="3" t="str">
        <f t="shared" si="32"/>
        <v>2024-06</v>
      </c>
      <c r="O530" s="3" t="str">
        <f t="shared" si="33"/>
        <v>No discount</v>
      </c>
      <c r="P530" s="9">
        <f t="shared" si="34"/>
        <v>0.43931502648307835</v>
      </c>
      <c r="Q530" s="3" t="str">
        <f t="shared" si="35"/>
        <v>No</v>
      </c>
    </row>
    <row r="531" spans="1:17" ht="21" customHeight="1">
      <c r="A531" s="3" t="s">
        <v>1002</v>
      </c>
      <c r="B531" s="5">
        <v>45449</v>
      </c>
      <c r="C531" s="3" t="s">
        <v>238</v>
      </c>
      <c r="D531" s="3" t="s">
        <v>46</v>
      </c>
      <c r="E531" s="3" t="s">
        <v>39</v>
      </c>
      <c r="F531" s="3" t="s">
        <v>130</v>
      </c>
      <c r="G531" s="3" t="s">
        <v>193</v>
      </c>
      <c r="H531" s="3">
        <v>1</v>
      </c>
      <c r="I531" s="7">
        <v>1869.68</v>
      </c>
      <c r="J531" s="9">
        <v>0.1</v>
      </c>
      <c r="K531" s="7">
        <v>1682.71</v>
      </c>
      <c r="L531" s="7">
        <v>460.53</v>
      </c>
      <c r="M531" s="3" t="s">
        <v>56</v>
      </c>
      <c r="N531" s="3" t="str">
        <f t="shared" si="32"/>
        <v>2024-06</v>
      </c>
      <c r="O531" s="3" t="str">
        <f t="shared" si="33"/>
        <v>1-10%</v>
      </c>
      <c r="P531" s="9">
        <f t="shared" si="34"/>
        <v>0.27368352241325006</v>
      </c>
      <c r="Q531" s="3" t="str">
        <f t="shared" si="35"/>
        <v>No</v>
      </c>
    </row>
    <row r="532" spans="1:17" ht="21" customHeight="1">
      <c r="A532" s="3" t="s">
        <v>1003</v>
      </c>
      <c r="B532" s="5">
        <v>45449</v>
      </c>
      <c r="C532" s="3" t="s">
        <v>1004</v>
      </c>
      <c r="D532" s="3" t="s">
        <v>47</v>
      </c>
      <c r="E532" s="3" t="s">
        <v>42</v>
      </c>
      <c r="F532" s="3" t="s">
        <v>90</v>
      </c>
      <c r="G532" s="3" t="s">
        <v>106</v>
      </c>
      <c r="H532" s="3">
        <v>2</v>
      </c>
      <c r="I532" s="7">
        <v>943.69</v>
      </c>
      <c r="J532" s="9">
        <v>0</v>
      </c>
      <c r="K532" s="7">
        <v>1887.38</v>
      </c>
      <c r="L532" s="7">
        <v>1014.82</v>
      </c>
      <c r="M532" s="3" t="s">
        <v>59</v>
      </c>
      <c r="N532" s="3" t="str">
        <f t="shared" si="32"/>
        <v>2024-06</v>
      </c>
      <c r="O532" s="3" t="str">
        <f t="shared" si="33"/>
        <v>No discount</v>
      </c>
      <c r="P532" s="9">
        <f t="shared" si="34"/>
        <v>0.53768716421706275</v>
      </c>
      <c r="Q532" s="3" t="str">
        <f t="shared" si="35"/>
        <v>No</v>
      </c>
    </row>
    <row r="533" spans="1:17" ht="21" customHeight="1">
      <c r="A533" s="3" t="s">
        <v>1005</v>
      </c>
      <c r="B533" s="5">
        <v>45449</v>
      </c>
      <c r="C533" s="3" t="s">
        <v>1006</v>
      </c>
      <c r="D533" s="3" t="s">
        <v>44</v>
      </c>
      <c r="E533" s="3" t="s">
        <v>41</v>
      </c>
      <c r="F533" s="3" t="s">
        <v>119</v>
      </c>
      <c r="G533" s="3" t="s">
        <v>168</v>
      </c>
      <c r="H533" s="3">
        <v>1</v>
      </c>
      <c r="I533" s="7">
        <v>9973.17</v>
      </c>
      <c r="J533" s="9">
        <v>0.25</v>
      </c>
      <c r="K533" s="7">
        <v>7479.88</v>
      </c>
      <c r="L533" s="7">
        <v>868.29</v>
      </c>
      <c r="M533" s="3" t="s">
        <v>56</v>
      </c>
      <c r="N533" s="3" t="str">
        <f t="shared" si="32"/>
        <v>2024-06</v>
      </c>
      <c r="O533" s="3" t="str">
        <f t="shared" si="33"/>
        <v>21%+</v>
      </c>
      <c r="P533" s="9">
        <f t="shared" si="34"/>
        <v>0.116083413102884</v>
      </c>
      <c r="Q533" s="3" t="str">
        <f t="shared" si="35"/>
        <v>No</v>
      </c>
    </row>
    <row r="534" spans="1:17" ht="21" customHeight="1">
      <c r="A534" s="3" t="s">
        <v>1007</v>
      </c>
      <c r="B534" s="5">
        <v>45449</v>
      </c>
      <c r="C534" s="3" t="s">
        <v>303</v>
      </c>
      <c r="D534" s="3" t="s">
        <v>45</v>
      </c>
      <c r="E534" s="3" t="s">
        <v>41</v>
      </c>
      <c r="F534" s="3" t="s">
        <v>119</v>
      </c>
      <c r="G534" s="3" t="s">
        <v>120</v>
      </c>
      <c r="H534" s="3">
        <v>1</v>
      </c>
      <c r="I534" s="7">
        <v>1332.44</v>
      </c>
      <c r="J534" s="9">
        <v>0.05</v>
      </c>
      <c r="K534" s="7">
        <v>1265.82</v>
      </c>
      <c r="L534" s="7">
        <v>428.59</v>
      </c>
      <c r="M534" s="3" t="s">
        <v>57</v>
      </c>
      <c r="N534" s="3" t="str">
        <f t="shared" si="32"/>
        <v>2024-06</v>
      </c>
      <c r="O534" s="3" t="str">
        <f t="shared" si="33"/>
        <v>1-10%</v>
      </c>
      <c r="P534" s="9">
        <f t="shared" si="34"/>
        <v>0.33858684489105878</v>
      </c>
      <c r="Q534" s="3" t="str">
        <f t="shared" si="35"/>
        <v>No</v>
      </c>
    </row>
    <row r="535" spans="1:17" ht="21" customHeight="1">
      <c r="A535" s="3" t="s">
        <v>1008</v>
      </c>
      <c r="B535" s="5">
        <v>45449</v>
      </c>
      <c r="C535" s="3" t="s">
        <v>899</v>
      </c>
      <c r="D535" s="3" t="s">
        <v>46</v>
      </c>
      <c r="E535" s="3" t="s">
        <v>42</v>
      </c>
      <c r="F535" s="3" t="s">
        <v>126</v>
      </c>
      <c r="G535" s="3" t="s">
        <v>151</v>
      </c>
      <c r="H535" s="3">
        <v>1</v>
      </c>
      <c r="I535" s="7">
        <v>1460.24</v>
      </c>
      <c r="J535" s="9">
        <v>0.1</v>
      </c>
      <c r="K535" s="7">
        <v>1314.22</v>
      </c>
      <c r="L535" s="7">
        <v>519.51</v>
      </c>
      <c r="M535" s="3" t="s">
        <v>59</v>
      </c>
      <c r="N535" s="3" t="str">
        <f t="shared" si="32"/>
        <v>2024-06</v>
      </c>
      <c r="O535" s="3" t="str">
        <f t="shared" si="33"/>
        <v>1-10%</v>
      </c>
      <c r="P535" s="9">
        <f t="shared" si="34"/>
        <v>0.39529911278172603</v>
      </c>
      <c r="Q535" s="3" t="str">
        <f t="shared" si="35"/>
        <v>No</v>
      </c>
    </row>
    <row r="536" spans="1:17" ht="21" customHeight="1">
      <c r="A536" s="3" t="s">
        <v>1009</v>
      </c>
      <c r="B536" s="5">
        <v>45449</v>
      </c>
      <c r="C536" s="3" t="s">
        <v>1010</v>
      </c>
      <c r="D536" s="3" t="s">
        <v>44</v>
      </c>
      <c r="E536" s="3" t="s">
        <v>40</v>
      </c>
      <c r="F536" s="3" t="s">
        <v>102</v>
      </c>
      <c r="G536" s="3" t="s">
        <v>146</v>
      </c>
      <c r="H536" s="3">
        <v>2</v>
      </c>
      <c r="I536" s="7">
        <v>7709.52</v>
      </c>
      <c r="J536" s="9">
        <v>0.25</v>
      </c>
      <c r="K536" s="7">
        <v>11564.28</v>
      </c>
      <c r="L536" s="7">
        <v>295.64</v>
      </c>
      <c r="M536" s="3" t="s">
        <v>56</v>
      </c>
      <c r="N536" s="3" t="str">
        <f t="shared" si="32"/>
        <v>2024-06</v>
      </c>
      <c r="O536" s="3" t="str">
        <f t="shared" si="33"/>
        <v>21%+</v>
      </c>
      <c r="P536" s="9">
        <f t="shared" si="34"/>
        <v>2.556492924764879E-2</v>
      </c>
      <c r="Q536" s="3" t="str">
        <f t="shared" si="35"/>
        <v>No</v>
      </c>
    </row>
    <row r="537" spans="1:17" ht="21" customHeight="1">
      <c r="A537" s="3" t="s">
        <v>1011</v>
      </c>
      <c r="B537" s="5">
        <v>45450</v>
      </c>
      <c r="C537" s="3" t="s">
        <v>891</v>
      </c>
      <c r="D537" s="3" t="s">
        <v>47</v>
      </c>
      <c r="E537" s="3" t="s">
        <v>42</v>
      </c>
      <c r="F537" s="3" t="s">
        <v>90</v>
      </c>
      <c r="G537" s="3" t="s">
        <v>91</v>
      </c>
      <c r="H537" s="3">
        <v>1</v>
      </c>
      <c r="I537" s="7">
        <v>1170.73</v>
      </c>
      <c r="J537" s="9">
        <v>0</v>
      </c>
      <c r="K537" s="7">
        <v>1170.73</v>
      </c>
      <c r="L537" s="7">
        <v>612.14</v>
      </c>
      <c r="M537" s="3" t="s">
        <v>56</v>
      </c>
      <c r="N537" s="3" t="str">
        <f t="shared" si="32"/>
        <v>2024-06</v>
      </c>
      <c r="O537" s="3" t="str">
        <f t="shared" si="33"/>
        <v>No discount</v>
      </c>
      <c r="P537" s="9">
        <f t="shared" si="34"/>
        <v>0.52287034585258774</v>
      </c>
      <c r="Q537" s="3" t="str">
        <f t="shared" si="35"/>
        <v>No</v>
      </c>
    </row>
    <row r="538" spans="1:17" ht="21" customHeight="1">
      <c r="A538" s="3" t="s">
        <v>1012</v>
      </c>
      <c r="B538" s="5">
        <v>45450</v>
      </c>
      <c r="C538" s="3" t="s">
        <v>1013</v>
      </c>
      <c r="D538" s="3" t="s">
        <v>46</v>
      </c>
      <c r="E538" s="3" t="s">
        <v>38</v>
      </c>
      <c r="F538" s="3" t="s">
        <v>98</v>
      </c>
      <c r="G538" s="3" t="s">
        <v>362</v>
      </c>
      <c r="H538" s="3">
        <v>2</v>
      </c>
      <c r="I538" s="7">
        <v>32151.22</v>
      </c>
      <c r="J538" s="9">
        <v>0.05</v>
      </c>
      <c r="K538" s="7">
        <v>61087.32</v>
      </c>
      <c r="L538" s="7">
        <v>9774.39</v>
      </c>
      <c r="M538" s="3" t="s">
        <v>57</v>
      </c>
      <c r="N538" s="3" t="str">
        <f t="shared" si="32"/>
        <v>2024-06</v>
      </c>
      <c r="O538" s="3" t="str">
        <f t="shared" si="33"/>
        <v>1-10%</v>
      </c>
      <c r="P538" s="9">
        <f t="shared" si="34"/>
        <v>0.16000685575991874</v>
      </c>
      <c r="Q538" s="3" t="str">
        <f t="shared" si="35"/>
        <v>No</v>
      </c>
    </row>
    <row r="539" spans="1:17" ht="21" customHeight="1">
      <c r="A539" s="3" t="s">
        <v>1014</v>
      </c>
      <c r="B539" s="5">
        <v>45450</v>
      </c>
      <c r="C539" s="3" t="s">
        <v>974</v>
      </c>
      <c r="D539" s="3" t="s">
        <v>47</v>
      </c>
      <c r="E539" s="3" t="s">
        <v>42</v>
      </c>
      <c r="F539" s="3" t="s">
        <v>90</v>
      </c>
      <c r="G539" s="3" t="s">
        <v>106</v>
      </c>
      <c r="H539" s="3">
        <v>1</v>
      </c>
      <c r="I539" s="7">
        <v>941.01</v>
      </c>
      <c r="J539" s="9">
        <v>0.1</v>
      </c>
      <c r="K539" s="7">
        <v>846.91</v>
      </c>
      <c r="L539" s="7">
        <v>343.77</v>
      </c>
      <c r="M539" s="3" t="s">
        <v>57</v>
      </c>
      <c r="N539" s="3" t="str">
        <f t="shared" si="32"/>
        <v>2024-06</v>
      </c>
      <c r="O539" s="3" t="str">
        <f t="shared" si="33"/>
        <v>1-10%</v>
      </c>
      <c r="P539" s="9">
        <f t="shared" si="34"/>
        <v>0.4059108996233366</v>
      </c>
      <c r="Q539" s="3" t="str">
        <f t="shared" si="35"/>
        <v>No</v>
      </c>
    </row>
    <row r="540" spans="1:17" ht="21" customHeight="1">
      <c r="A540" s="3" t="s">
        <v>1015</v>
      </c>
      <c r="B540" s="5">
        <v>45450</v>
      </c>
      <c r="C540" s="3" t="s">
        <v>1016</v>
      </c>
      <c r="D540" s="3" t="s">
        <v>45</v>
      </c>
      <c r="E540" s="3" t="s">
        <v>39</v>
      </c>
      <c r="F540" s="3" t="s">
        <v>164</v>
      </c>
      <c r="G540" s="3" t="s">
        <v>200</v>
      </c>
      <c r="H540" s="3">
        <v>1</v>
      </c>
      <c r="I540" s="7">
        <v>1302.95</v>
      </c>
      <c r="J540" s="9">
        <v>0.05</v>
      </c>
      <c r="K540" s="7">
        <v>1237.8</v>
      </c>
      <c r="L540" s="7">
        <v>409.38</v>
      </c>
      <c r="M540" s="3" t="s">
        <v>57</v>
      </c>
      <c r="N540" s="3" t="str">
        <f t="shared" si="32"/>
        <v>2024-06</v>
      </c>
      <c r="O540" s="3" t="str">
        <f t="shared" si="33"/>
        <v>1-10%</v>
      </c>
      <c r="P540" s="9">
        <f t="shared" si="34"/>
        <v>0.33073194377120702</v>
      </c>
      <c r="Q540" s="3" t="str">
        <f t="shared" si="35"/>
        <v>No</v>
      </c>
    </row>
    <row r="541" spans="1:17" ht="21" customHeight="1">
      <c r="A541" s="3" t="s">
        <v>1017</v>
      </c>
      <c r="B541" s="5">
        <v>45451</v>
      </c>
      <c r="C541" s="3" t="s">
        <v>737</v>
      </c>
      <c r="D541" s="3" t="s">
        <v>47</v>
      </c>
      <c r="E541" s="3" t="s">
        <v>42</v>
      </c>
      <c r="F541" s="3" t="s">
        <v>126</v>
      </c>
      <c r="G541" s="3" t="s">
        <v>127</v>
      </c>
      <c r="H541" s="3">
        <v>2</v>
      </c>
      <c r="I541" s="7">
        <v>1042.1300000000001</v>
      </c>
      <c r="J541" s="9">
        <v>0.1</v>
      </c>
      <c r="K541" s="7">
        <v>1875.83</v>
      </c>
      <c r="L541" s="7">
        <v>756.5</v>
      </c>
      <c r="M541" s="3" t="s">
        <v>56</v>
      </c>
      <c r="N541" s="3" t="str">
        <f t="shared" si="32"/>
        <v>2024-06</v>
      </c>
      <c r="O541" s="3" t="str">
        <f t="shared" si="33"/>
        <v>1-10%</v>
      </c>
      <c r="P541" s="9">
        <f t="shared" si="34"/>
        <v>0.40328814444805766</v>
      </c>
      <c r="Q541" s="3" t="str">
        <f t="shared" si="35"/>
        <v>No</v>
      </c>
    </row>
    <row r="542" spans="1:17" ht="21" customHeight="1">
      <c r="A542" s="3" t="s">
        <v>1018</v>
      </c>
      <c r="B542" s="5">
        <v>45451</v>
      </c>
      <c r="C542" s="3" t="s">
        <v>1019</v>
      </c>
      <c r="D542" s="3" t="s">
        <v>46</v>
      </c>
      <c r="E542" s="3" t="s">
        <v>40</v>
      </c>
      <c r="F542" s="3" t="s">
        <v>221</v>
      </c>
      <c r="G542" s="3" t="s">
        <v>222</v>
      </c>
      <c r="H542" s="3">
        <v>1</v>
      </c>
      <c r="I542" s="7">
        <v>956.51</v>
      </c>
      <c r="J542" s="9">
        <v>0</v>
      </c>
      <c r="K542" s="7">
        <v>956.51</v>
      </c>
      <c r="L542" s="7">
        <v>292.89999999999998</v>
      </c>
      <c r="M542" s="3" t="s">
        <v>57</v>
      </c>
      <c r="N542" s="3" t="str">
        <f t="shared" si="32"/>
        <v>2024-06</v>
      </c>
      <c r="O542" s="3" t="str">
        <f t="shared" si="33"/>
        <v>No discount</v>
      </c>
      <c r="P542" s="9">
        <f t="shared" si="34"/>
        <v>0.30621739448620505</v>
      </c>
      <c r="Q542" s="3" t="str">
        <f t="shared" si="35"/>
        <v>No</v>
      </c>
    </row>
    <row r="543" spans="1:17" ht="21" customHeight="1">
      <c r="A543" s="3" t="s">
        <v>1020</v>
      </c>
      <c r="B543" s="5">
        <v>45451</v>
      </c>
      <c r="C543" s="3" t="s">
        <v>616</v>
      </c>
      <c r="D543" s="3" t="s">
        <v>47</v>
      </c>
      <c r="E543" s="3" t="s">
        <v>40</v>
      </c>
      <c r="F543" s="3" t="s">
        <v>221</v>
      </c>
      <c r="G543" s="3" t="s">
        <v>279</v>
      </c>
      <c r="H543" s="3">
        <v>1</v>
      </c>
      <c r="I543" s="7">
        <v>1448.42</v>
      </c>
      <c r="J543" s="9">
        <v>0.1</v>
      </c>
      <c r="K543" s="7">
        <v>1303.58</v>
      </c>
      <c r="L543" s="7">
        <v>259.58</v>
      </c>
      <c r="M543" s="3" t="s">
        <v>56</v>
      </c>
      <c r="N543" s="3" t="str">
        <f t="shared" si="32"/>
        <v>2024-06</v>
      </c>
      <c r="O543" s="3" t="str">
        <f t="shared" si="33"/>
        <v>1-10%</v>
      </c>
      <c r="P543" s="9">
        <f t="shared" si="34"/>
        <v>0.1991285536752635</v>
      </c>
      <c r="Q543" s="3" t="str">
        <f t="shared" si="35"/>
        <v>No</v>
      </c>
    </row>
    <row r="544" spans="1:17" ht="21" customHeight="1">
      <c r="A544" s="3" t="s">
        <v>1021</v>
      </c>
      <c r="B544" s="5">
        <v>45451</v>
      </c>
      <c r="C544" s="3" t="s">
        <v>1022</v>
      </c>
      <c r="D544" s="3" t="s">
        <v>45</v>
      </c>
      <c r="E544" s="3" t="s">
        <v>42</v>
      </c>
      <c r="F544" s="3" t="s">
        <v>90</v>
      </c>
      <c r="G544" s="3" t="s">
        <v>106</v>
      </c>
      <c r="H544" s="3">
        <v>1</v>
      </c>
      <c r="I544" s="7">
        <v>894.39</v>
      </c>
      <c r="J544" s="9">
        <v>0</v>
      </c>
      <c r="K544" s="7">
        <v>894.39</v>
      </c>
      <c r="L544" s="7">
        <v>459.46</v>
      </c>
      <c r="M544" s="3" t="s">
        <v>60</v>
      </c>
      <c r="N544" s="3" t="str">
        <f t="shared" si="32"/>
        <v>2024-06</v>
      </c>
      <c r="O544" s="3" t="str">
        <f t="shared" si="33"/>
        <v>No discount</v>
      </c>
      <c r="P544" s="9">
        <f t="shared" si="34"/>
        <v>0.51371325708024462</v>
      </c>
      <c r="Q544" s="3" t="str">
        <f t="shared" si="35"/>
        <v>No</v>
      </c>
    </row>
    <row r="545" spans="1:17" ht="21" customHeight="1">
      <c r="A545" s="3" t="s">
        <v>1023</v>
      </c>
      <c r="B545" s="5">
        <v>45451</v>
      </c>
      <c r="C545" s="3" t="s">
        <v>283</v>
      </c>
      <c r="D545" s="3" t="s">
        <v>45</v>
      </c>
      <c r="E545" s="3" t="s">
        <v>39</v>
      </c>
      <c r="F545" s="3" t="s">
        <v>164</v>
      </c>
      <c r="G545" s="3" t="s">
        <v>165</v>
      </c>
      <c r="H545" s="3">
        <v>2</v>
      </c>
      <c r="I545" s="7">
        <v>2010.21</v>
      </c>
      <c r="J545" s="9">
        <v>0</v>
      </c>
      <c r="K545" s="7">
        <v>4020.42</v>
      </c>
      <c r="L545" s="7">
        <v>1619.07</v>
      </c>
      <c r="M545" s="3" t="s">
        <v>57</v>
      </c>
      <c r="N545" s="3" t="str">
        <f t="shared" si="32"/>
        <v>2024-06</v>
      </c>
      <c r="O545" s="3" t="str">
        <f t="shared" si="33"/>
        <v>No discount</v>
      </c>
      <c r="P545" s="9">
        <f t="shared" si="34"/>
        <v>0.4027116569910606</v>
      </c>
      <c r="Q545" s="3" t="str">
        <f t="shared" si="35"/>
        <v>No</v>
      </c>
    </row>
    <row r="546" spans="1:17" ht="21" customHeight="1">
      <c r="A546" s="3" t="s">
        <v>1024</v>
      </c>
      <c r="B546" s="5">
        <v>45452</v>
      </c>
      <c r="C546" s="3" t="s">
        <v>1025</v>
      </c>
      <c r="D546" s="3" t="s">
        <v>47</v>
      </c>
      <c r="E546" s="3" t="s">
        <v>38</v>
      </c>
      <c r="F546" s="3" t="s">
        <v>94</v>
      </c>
      <c r="G546" s="3" t="s">
        <v>95</v>
      </c>
      <c r="H546" s="3">
        <v>2</v>
      </c>
      <c r="I546" s="7">
        <v>82369.820000000007</v>
      </c>
      <c r="J546" s="9">
        <v>0</v>
      </c>
      <c r="K546" s="7">
        <v>164739.64000000001</v>
      </c>
      <c r="L546" s="7">
        <v>28090.26</v>
      </c>
      <c r="M546" s="3" t="s">
        <v>56</v>
      </c>
      <c r="N546" s="3" t="str">
        <f t="shared" si="32"/>
        <v>2024-06</v>
      </c>
      <c r="O546" s="3" t="str">
        <f t="shared" si="33"/>
        <v>No discount</v>
      </c>
      <c r="P546" s="9">
        <f t="shared" si="34"/>
        <v>0.17051305927340862</v>
      </c>
      <c r="Q546" s="3" t="str">
        <f t="shared" si="35"/>
        <v>No</v>
      </c>
    </row>
    <row r="547" spans="1:17" ht="21" customHeight="1">
      <c r="A547" s="3" t="s">
        <v>1026</v>
      </c>
      <c r="B547" s="5">
        <v>45452</v>
      </c>
      <c r="C547" s="3" t="s">
        <v>105</v>
      </c>
      <c r="D547" s="3" t="s">
        <v>46</v>
      </c>
      <c r="E547" s="3" t="s">
        <v>41</v>
      </c>
      <c r="F547" s="3" t="s">
        <v>113</v>
      </c>
      <c r="G547" s="3" t="s">
        <v>114</v>
      </c>
      <c r="H547" s="3">
        <v>2</v>
      </c>
      <c r="I547" s="7">
        <v>12501.94</v>
      </c>
      <c r="J547" s="9">
        <v>0.2</v>
      </c>
      <c r="K547" s="7">
        <v>20003.099999999999</v>
      </c>
      <c r="L547" s="7">
        <v>3003.46</v>
      </c>
      <c r="M547" s="3" t="s">
        <v>57</v>
      </c>
      <c r="N547" s="3" t="str">
        <f t="shared" si="32"/>
        <v>2024-06</v>
      </c>
      <c r="O547" s="3" t="str">
        <f t="shared" si="33"/>
        <v>16-20%</v>
      </c>
      <c r="P547" s="9">
        <f t="shared" si="34"/>
        <v>0.1501497267923472</v>
      </c>
      <c r="Q547" s="3" t="str">
        <f t="shared" si="35"/>
        <v>No</v>
      </c>
    </row>
    <row r="548" spans="1:17" ht="21" customHeight="1">
      <c r="A548" s="3" t="s">
        <v>1027</v>
      </c>
      <c r="B548" s="5">
        <v>45452</v>
      </c>
      <c r="C548" s="3" t="s">
        <v>1028</v>
      </c>
      <c r="D548" s="3" t="s">
        <v>47</v>
      </c>
      <c r="E548" s="3" t="s">
        <v>38</v>
      </c>
      <c r="F548" s="3" t="s">
        <v>98</v>
      </c>
      <c r="G548" s="3" t="s">
        <v>182</v>
      </c>
      <c r="H548" s="3">
        <v>1</v>
      </c>
      <c r="I548" s="7">
        <v>66804.31</v>
      </c>
      <c r="J548" s="9">
        <v>0.2</v>
      </c>
      <c r="K548" s="7">
        <v>53443.45</v>
      </c>
      <c r="L548" s="7">
        <v>-2356.23</v>
      </c>
      <c r="M548" s="3" t="s">
        <v>56</v>
      </c>
      <c r="N548" s="3" t="str">
        <f t="shared" si="32"/>
        <v>2024-06</v>
      </c>
      <c r="O548" s="3" t="str">
        <f t="shared" si="33"/>
        <v>16-20%</v>
      </c>
      <c r="P548" s="9">
        <f t="shared" si="34"/>
        <v>-4.408828397118824E-2</v>
      </c>
      <c r="Q548" s="3" t="str">
        <f t="shared" si="35"/>
        <v>Yes</v>
      </c>
    </row>
    <row r="549" spans="1:17" ht="21" customHeight="1">
      <c r="A549" s="3" t="s">
        <v>1029</v>
      </c>
      <c r="B549" s="5">
        <v>45452</v>
      </c>
      <c r="C549" s="3" t="s">
        <v>743</v>
      </c>
      <c r="D549" s="3" t="s">
        <v>45</v>
      </c>
      <c r="E549" s="3" t="s">
        <v>41</v>
      </c>
      <c r="F549" s="3" t="s">
        <v>119</v>
      </c>
      <c r="G549" s="3" t="s">
        <v>120</v>
      </c>
      <c r="H549" s="3">
        <v>1</v>
      </c>
      <c r="I549" s="7">
        <v>1356.29</v>
      </c>
      <c r="J549" s="9">
        <v>0</v>
      </c>
      <c r="K549" s="7">
        <v>1356.29</v>
      </c>
      <c r="L549" s="7">
        <v>549.39</v>
      </c>
      <c r="M549" s="3" t="s">
        <v>56</v>
      </c>
      <c r="N549" s="3" t="str">
        <f t="shared" si="32"/>
        <v>2024-06</v>
      </c>
      <c r="O549" s="3" t="str">
        <f t="shared" si="33"/>
        <v>No discount</v>
      </c>
      <c r="P549" s="9">
        <f t="shared" si="34"/>
        <v>0.40506823761879834</v>
      </c>
      <c r="Q549" s="3" t="str">
        <f t="shared" si="35"/>
        <v>No</v>
      </c>
    </row>
    <row r="550" spans="1:17" ht="21" customHeight="1">
      <c r="A550" s="3" t="s">
        <v>1030</v>
      </c>
      <c r="B550" s="5">
        <v>45452</v>
      </c>
      <c r="C550" s="3" t="s">
        <v>1031</v>
      </c>
      <c r="D550" s="3" t="s">
        <v>44</v>
      </c>
      <c r="E550" s="3" t="s">
        <v>40</v>
      </c>
      <c r="F550" s="3" t="s">
        <v>160</v>
      </c>
      <c r="G550" s="3" t="s">
        <v>173</v>
      </c>
      <c r="H550" s="3">
        <v>3</v>
      </c>
      <c r="I550" s="7">
        <v>9372.77</v>
      </c>
      <c r="J550" s="9">
        <v>0.05</v>
      </c>
      <c r="K550" s="7">
        <v>26712.39</v>
      </c>
      <c r="L550" s="7">
        <v>6391.33</v>
      </c>
      <c r="M550" s="3" t="s">
        <v>57</v>
      </c>
      <c r="N550" s="3" t="str">
        <f t="shared" si="32"/>
        <v>2024-06</v>
      </c>
      <c r="O550" s="3" t="str">
        <f t="shared" si="33"/>
        <v>1-10%</v>
      </c>
      <c r="P550" s="9">
        <f t="shared" si="34"/>
        <v>0.23926462589083194</v>
      </c>
      <c r="Q550" s="3" t="str">
        <f t="shared" si="35"/>
        <v>No</v>
      </c>
    </row>
    <row r="551" spans="1:17" ht="21" customHeight="1">
      <c r="A551" s="3" t="s">
        <v>1032</v>
      </c>
      <c r="B551" s="5">
        <v>45453</v>
      </c>
      <c r="C551" s="3" t="s">
        <v>529</v>
      </c>
      <c r="D551" s="3" t="s">
        <v>44</v>
      </c>
      <c r="E551" s="3" t="s">
        <v>39</v>
      </c>
      <c r="F551" s="3" t="s">
        <v>164</v>
      </c>
      <c r="G551" s="3" t="s">
        <v>165</v>
      </c>
      <c r="H551" s="3">
        <v>2</v>
      </c>
      <c r="I551" s="7">
        <v>1981.67</v>
      </c>
      <c r="J551" s="9">
        <v>0</v>
      </c>
      <c r="K551" s="7">
        <v>3963.34</v>
      </c>
      <c r="L551" s="7">
        <v>1733.52</v>
      </c>
      <c r="M551" s="3" t="s">
        <v>58</v>
      </c>
      <c r="N551" s="3" t="str">
        <f t="shared" si="32"/>
        <v>2024-06</v>
      </c>
      <c r="O551" s="3" t="str">
        <f t="shared" si="33"/>
        <v>No discount</v>
      </c>
      <c r="P551" s="9">
        <f t="shared" si="34"/>
        <v>0.4373886671342857</v>
      </c>
      <c r="Q551" s="3" t="str">
        <f t="shared" si="35"/>
        <v>No</v>
      </c>
    </row>
    <row r="552" spans="1:17" ht="21" customHeight="1">
      <c r="A552" s="3" t="s">
        <v>1033</v>
      </c>
      <c r="B552" s="5">
        <v>45454</v>
      </c>
      <c r="C552" s="3" t="s">
        <v>507</v>
      </c>
      <c r="D552" s="3" t="s">
        <v>44</v>
      </c>
      <c r="E552" s="3" t="s">
        <v>39</v>
      </c>
      <c r="F552" s="3" t="s">
        <v>109</v>
      </c>
      <c r="G552" s="3" t="s">
        <v>110</v>
      </c>
      <c r="H552" s="3">
        <v>1</v>
      </c>
      <c r="I552" s="7">
        <v>2877.23</v>
      </c>
      <c r="J552" s="9">
        <v>0.15</v>
      </c>
      <c r="K552" s="7">
        <v>2445.65</v>
      </c>
      <c r="L552" s="7">
        <v>637.78</v>
      </c>
      <c r="M552" s="3" t="s">
        <v>56</v>
      </c>
      <c r="N552" s="3" t="str">
        <f t="shared" si="32"/>
        <v>2024-06</v>
      </c>
      <c r="O552" s="3" t="str">
        <f t="shared" si="33"/>
        <v>11-15%</v>
      </c>
      <c r="P552" s="9">
        <f t="shared" si="34"/>
        <v>0.26078138736123319</v>
      </c>
      <c r="Q552" s="3" t="str">
        <f t="shared" si="35"/>
        <v>No</v>
      </c>
    </row>
    <row r="553" spans="1:17" ht="21" customHeight="1">
      <c r="A553" s="3" t="s">
        <v>1034</v>
      </c>
      <c r="B553" s="5">
        <v>45454</v>
      </c>
      <c r="C553" s="3" t="s">
        <v>1035</v>
      </c>
      <c r="D553" s="3" t="s">
        <v>45</v>
      </c>
      <c r="E553" s="3" t="s">
        <v>38</v>
      </c>
      <c r="F553" s="3" t="s">
        <v>142</v>
      </c>
      <c r="G553" s="3" t="s">
        <v>245</v>
      </c>
      <c r="H553" s="3">
        <v>1</v>
      </c>
      <c r="I553" s="7">
        <v>5129.5200000000004</v>
      </c>
      <c r="J553" s="9">
        <v>0.15</v>
      </c>
      <c r="K553" s="7">
        <v>4360.09</v>
      </c>
      <c r="L553" s="7">
        <v>149.46</v>
      </c>
      <c r="M553" s="3" t="s">
        <v>57</v>
      </c>
      <c r="N553" s="3" t="str">
        <f t="shared" si="32"/>
        <v>2024-06</v>
      </c>
      <c r="O553" s="3" t="str">
        <f t="shared" si="33"/>
        <v>11-15%</v>
      </c>
      <c r="P553" s="9">
        <f t="shared" si="34"/>
        <v>3.4279108917476472E-2</v>
      </c>
      <c r="Q553" s="3" t="str">
        <f t="shared" si="35"/>
        <v>No</v>
      </c>
    </row>
    <row r="554" spans="1:17" ht="21" customHeight="1">
      <c r="A554" s="3" t="s">
        <v>1036</v>
      </c>
      <c r="B554" s="5">
        <v>45455</v>
      </c>
      <c r="C554" s="3" t="s">
        <v>1037</v>
      </c>
      <c r="D554" s="3" t="s">
        <v>45</v>
      </c>
      <c r="E554" s="3" t="s">
        <v>39</v>
      </c>
      <c r="F554" s="3" t="s">
        <v>164</v>
      </c>
      <c r="G554" s="3" t="s">
        <v>165</v>
      </c>
      <c r="H554" s="3">
        <v>2</v>
      </c>
      <c r="I554" s="7">
        <v>2039.24</v>
      </c>
      <c r="J554" s="9">
        <v>0.15</v>
      </c>
      <c r="K554" s="7">
        <v>3466.71</v>
      </c>
      <c r="L554" s="7">
        <v>835.69</v>
      </c>
      <c r="M554" s="3" t="s">
        <v>56</v>
      </c>
      <c r="N554" s="3" t="str">
        <f t="shared" si="32"/>
        <v>2024-06</v>
      </c>
      <c r="O554" s="3" t="str">
        <f t="shared" si="33"/>
        <v>11-15%</v>
      </c>
      <c r="P554" s="9">
        <f t="shared" si="34"/>
        <v>0.24106140980930046</v>
      </c>
      <c r="Q554" s="3" t="str">
        <f t="shared" si="35"/>
        <v>No</v>
      </c>
    </row>
    <row r="555" spans="1:17" ht="21" customHeight="1">
      <c r="A555" s="3" t="s">
        <v>1038</v>
      </c>
      <c r="B555" s="5">
        <v>45455</v>
      </c>
      <c r="C555" s="3" t="s">
        <v>1039</v>
      </c>
      <c r="D555" s="3" t="s">
        <v>46</v>
      </c>
      <c r="E555" s="3" t="s">
        <v>38</v>
      </c>
      <c r="F555" s="3" t="s">
        <v>98</v>
      </c>
      <c r="G555" s="3" t="s">
        <v>99</v>
      </c>
      <c r="H555" s="3">
        <v>2</v>
      </c>
      <c r="I555" s="7">
        <v>23962.31</v>
      </c>
      <c r="J555" s="9">
        <v>0.1</v>
      </c>
      <c r="K555" s="7">
        <v>43132.160000000003</v>
      </c>
      <c r="L555" s="7">
        <v>3518.82</v>
      </c>
      <c r="M555" s="3" t="s">
        <v>60</v>
      </c>
      <c r="N555" s="3" t="str">
        <f t="shared" si="32"/>
        <v>2024-06</v>
      </c>
      <c r="O555" s="3" t="str">
        <f t="shared" si="33"/>
        <v>1-10%</v>
      </c>
      <c r="P555" s="9">
        <f t="shared" si="34"/>
        <v>8.1582281063596163E-2</v>
      </c>
      <c r="Q555" s="3" t="str">
        <f t="shared" si="35"/>
        <v>No</v>
      </c>
    </row>
    <row r="556" spans="1:17" ht="21" customHeight="1">
      <c r="A556" s="3" t="s">
        <v>1040</v>
      </c>
      <c r="B556" s="5">
        <v>45455</v>
      </c>
      <c r="C556" s="3" t="s">
        <v>985</v>
      </c>
      <c r="D556" s="3" t="s">
        <v>44</v>
      </c>
      <c r="E556" s="3" t="s">
        <v>41</v>
      </c>
      <c r="F556" s="3" t="s">
        <v>113</v>
      </c>
      <c r="G556" s="3" t="s">
        <v>114</v>
      </c>
      <c r="H556" s="3">
        <v>2</v>
      </c>
      <c r="I556" s="7">
        <v>11937.79</v>
      </c>
      <c r="J556" s="9">
        <v>0.05</v>
      </c>
      <c r="K556" s="7">
        <v>22681.8</v>
      </c>
      <c r="L556" s="7">
        <v>7016.5</v>
      </c>
      <c r="M556" s="3" t="s">
        <v>60</v>
      </c>
      <c r="N556" s="3" t="str">
        <f t="shared" si="32"/>
        <v>2024-06</v>
      </c>
      <c r="O556" s="3" t="str">
        <f t="shared" si="33"/>
        <v>1-10%</v>
      </c>
      <c r="P556" s="9">
        <f t="shared" si="34"/>
        <v>0.30934493735065122</v>
      </c>
      <c r="Q556" s="3" t="str">
        <f t="shared" si="35"/>
        <v>No</v>
      </c>
    </row>
    <row r="557" spans="1:17" ht="21" customHeight="1">
      <c r="A557" s="3" t="s">
        <v>1041</v>
      </c>
      <c r="B557" s="5">
        <v>45455</v>
      </c>
      <c r="C557" s="3" t="s">
        <v>1042</v>
      </c>
      <c r="D557" s="3" t="s">
        <v>47</v>
      </c>
      <c r="E557" s="3" t="s">
        <v>41</v>
      </c>
      <c r="F557" s="3" t="s">
        <v>113</v>
      </c>
      <c r="G557" s="3" t="s">
        <v>123</v>
      </c>
      <c r="H557" s="3">
        <v>1</v>
      </c>
      <c r="I557" s="7">
        <v>3453.33</v>
      </c>
      <c r="J557" s="9">
        <v>0.15</v>
      </c>
      <c r="K557" s="7">
        <v>2935.33</v>
      </c>
      <c r="L557" s="7">
        <v>550.19000000000005</v>
      </c>
      <c r="M557" s="3" t="s">
        <v>57</v>
      </c>
      <c r="N557" s="3" t="str">
        <f t="shared" si="32"/>
        <v>2024-06</v>
      </c>
      <c r="O557" s="3" t="str">
        <f t="shared" si="33"/>
        <v>11-15%</v>
      </c>
      <c r="P557" s="9">
        <f t="shared" si="34"/>
        <v>0.18743718764159398</v>
      </c>
      <c r="Q557" s="3" t="str">
        <f t="shared" si="35"/>
        <v>No</v>
      </c>
    </row>
    <row r="558" spans="1:17" ht="21" customHeight="1">
      <c r="A558" s="3" t="s">
        <v>1043</v>
      </c>
      <c r="B558" s="5">
        <v>45456</v>
      </c>
      <c r="C558" s="3" t="s">
        <v>1044</v>
      </c>
      <c r="D558" s="3" t="s">
        <v>45</v>
      </c>
      <c r="E558" s="3" t="s">
        <v>40</v>
      </c>
      <c r="F558" s="3" t="s">
        <v>160</v>
      </c>
      <c r="G558" s="3" t="s">
        <v>173</v>
      </c>
      <c r="H558" s="3">
        <v>2</v>
      </c>
      <c r="I558" s="7">
        <v>8631.16</v>
      </c>
      <c r="J558" s="9">
        <v>0.05</v>
      </c>
      <c r="K558" s="7">
        <v>16399.2</v>
      </c>
      <c r="L558" s="7">
        <v>4269.32</v>
      </c>
      <c r="M558" s="3" t="s">
        <v>57</v>
      </c>
      <c r="N558" s="3" t="str">
        <f t="shared" si="32"/>
        <v>2024-06</v>
      </c>
      <c r="O558" s="3" t="str">
        <f t="shared" si="33"/>
        <v>1-10%</v>
      </c>
      <c r="P558" s="9">
        <f t="shared" si="34"/>
        <v>0.26033708961412749</v>
      </c>
      <c r="Q558" s="3" t="str">
        <f t="shared" si="35"/>
        <v>No</v>
      </c>
    </row>
    <row r="559" spans="1:17" ht="21" customHeight="1">
      <c r="A559" s="3" t="s">
        <v>1045</v>
      </c>
      <c r="B559" s="5">
        <v>45456</v>
      </c>
      <c r="C559" s="3" t="s">
        <v>1046</v>
      </c>
      <c r="D559" s="3" t="s">
        <v>46</v>
      </c>
      <c r="E559" s="3" t="s">
        <v>39</v>
      </c>
      <c r="F559" s="3" t="s">
        <v>109</v>
      </c>
      <c r="G559" s="3" t="s">
        <v>110</v>
      </c>
      <c r="H559" s="3">
        <v>1</v>
      </c>
      <c r="I559" s="7">
        <v>2989.52</v>
      </c>
      <c r="J559" s="9">
        <v>0.05</v>
      </c>
      <c r="K559" s="7">
        <v>2840.04</v>
      </c>
      <c r="L559" s="7">
        <v>1113.05</v>
      </c>
      <c r="M559" s="3" t="s">
        <v>59</v>
      </c>
      <c r="N559" s="3" t="str">
        <f t="shared" si="32"/>
        <v>2024-06</v>
      </c>
      <c r="O559" s="3" t="str">
        <f t="shared" si="33"/>
        <v>1-10%</v>
      </c>
      <c r="P559" s="9">
        <f t="shared" si="34"/>
        <v>0.39191349417613836</v>
      </c>
      <c r="Q559" s="3" t="str">
        <f t="shared" si="35"/>
        <v>No</v>
      </c>
    </row>
    <row r="560" spans="1:17" ht="21" customHeight="1">
      <c r="A560" s="3" t="s">
        <v>1047</v>
      </c>
      <c r="B560" s="5">
        <v>45456</v>
      </c>
      <c r="C560" s="3" t="s">
        <v>896</v>
      </c>
      <c r="D560" s="3" t="s">
        <v>45</v>
      </c>
      <c r="E560" s="3" t="s">
        <v>39</v>
      </c>
      <c r="F560" s="3" t="s">
        <v>130</v>
      </c>
      <c r="G560" s="3" t="s">
        <v>131</v>
      </c>
      <c r="H560" s="3">
        <v>5</v>
      </c>
      <c r="I560" s="7">
        <v>2099.46</v>
      </c>
      <c r="J560" s="9">
        <v>0.15</v>
      </c>
      <c r="K560" s="7">
        <v>8922.7000000000007</v>
      </c>
      <c r="L560" s="7">
        <v>2103.52</v>
      </c>
      <c r="M560" s="3" t="s">
        <v>56</v>
      </c>
      <c r="N560" s="3" t="str">
        <f t="shared" si="32"/>
        <v>2024-06</v>
      </c>
      <c r="O560" s="3" t="str">
        <f t="shared" si="33"/>
        <v>11-15%</v>
      </c>
      <c r="P560" s="9">
        <f t="shared" si="34"/>
        <v>0.23574926871910967</v>
      </c>
      <c r="Q560" s="3" t="str">
        <f t="shared" si="35"/>
        <v>No</v>
      </c>
    </row>
    <row r="561" spans="1:17" ht="21" customHeight="1">
      <c r="A561" s="3" t="s">
        <v>1048</v>
      </c>
      <c r="B561" s="5">
        <v>45456</v>
      </c>
      <c r="C561" s="3" t="s">
        <v>1049</v>
      </c>
      <c r="D561" s="3" t="s">
        <v>45</v>
      </c>
      <c r="E561" s="3" t="s">
        <v>38</v>
      </c>
      <c r="F561" s="3" t="s">
        <v>142</v>
      </c>
      <c r="G561" s="3" t="s">
        <v>143</v>
      </c>
      <c r="H561" s="3">
        <v>2</v>
      </c>
      <c r="I561" s="7">
        <v>9418.7099999999991</v>
      </c>
      <c r="J561" s="9">
        <v>0</v>
      </c>
      <c r="K561" s="7">
        <v>18837.419999999998</v>
      </c>
      <c r="L561" s="7">
        <v>3214.83</v>
      </c>
      <c r="M561" s="3" t="s">
        <v>56</v>
      </c>
      <c r="N561" s="3" t="str">
        <f t="shared" si="32"/>
        <v>2024-06</v>
      </c>
      <c r="O561" s="3" t="str">
        <f t="shared" si="33"/>
        <v>No discount</v>
      </c>
      <c r="P561" s="9">
        <f t="shared" si="34"/>
        <v>0.17066190592979294</v>
      </c>
      <c r="Q561" s="3" t="str">
        <f t="shared" si="35"/>
        <v>No</v>
      </c>
    </row>
    <row r="562" spans="1:17" ht="21" customHeight="1">
      <c r="A562" s="3" t="s">
        <v>1050</v>
      </c>
      <c r="B562" s="5">
        <v>45457</v>
      </c>
      <c r="C562" s="3" t="s">
        <v>1051</v>
      </c>
      <c r="D562" s="3" t="s">
        <v>44</v>
      </c>
      <c r="E562" s="3" t="s">
        <v>42</v>
      </c>
      <c r="F562" s="3" t="s">
        <v>126</v>
      </c>
      <c r="G562" s="3" t="s">
        <v>151</v>
      </c>
      <c r="H562" s="3">
        <v>5</v>
      </c>
      <c r="I562" s="7">
        <v>1540.1</v>
      </c>
      <c r="J562" s="9">
        <v>0.1</v>
      </c>
      <c r="K562" s="7">
        <v>6930.45</v>
      </c>
      <c r="L562" s="7">
        <v>2958.27</v>
      </c>
      <c r="M562" s="3" t="s">
        <v>59</v>
      </c>
      <c r="N562" s="3" t="str">
        <f t="shared" si="32"/>
        <v>2024-06</v>
      </c>
      <c r="O562" s="3" t="str">
        <f t="shared" si="33"/>
        <v>1-10%</v>
      </c>
      <c r="P562" s="9">
        <f t="shared" si="34"/>
        <v>0.42685107027682184</v>
      </c>
      <c r="Q562" s="3" t="str">
        <f t="shared" si="35"/>
        <v>No</v>
      </c>
    </row>
    <row r="563" spans="1:17" ht="21" customHeight="1">
      <c r="A563" s="3" t="s">
        <v>1052</v>
      </c>
      <c r="B563" s="5">
        <v>45457</v>
      </c>
      <c r="C563" s="3" t="s">
        <v>722</v>
      </c>
      <c r="D563" s="3" t="s">
        <v>46</v>
      </c>
      <c r="E563" s="3" t="s">
        <v>39</v>
      </c>
      <c r="F563" s="3" t="s">
        <v>130</v>
      </c>
      <c r="G563" s="3" t="s">
        <v>131</v>
      </c>
      <c r="H563" s="3">
        <v>4</v>
      </c>
      <c r="I563" s="7">
        <v>2237.0700000000002</v>
      </c>
      <c r="J563" s="9">
        <v>0.2</v>
      </c>
      <c r="K563" s="7">
        <v>7158.62</v>
      </c>
      <c r="L563" s="7">
        <v>1494.48</v>
      </c>
      <c r="M563" s="3" t="s">
        <v>58</v>
      </c>
      <c r="N563" s="3" t="str">
        <f t="shared" si="32"/>
        <v>2024-06</v>
      </c>
      <c r="O563" s="3" t="str">
        <f t="shared" si="33"/>
        <v>16-20%</v>
      </c>
      <c r="P563" s="9">
        <f t="shared" si="34"/>
        <v>0.20876649410081832</v>
      </c>
      <c r="Q563" s="3" t="str">
        <f t="shared" si="35"/>
        <v>No</v>
      </c>
    </row>
    <row r="564" spans="1:17" ht="21" customHeight="1">
      <c r="A564" s="3" t="s">
        <v>1053</v>
      </c>
      <c r="B564" s="5">
        <v>45457</v>
      </c>
      <c r="C564" s="3" t="s">
        <v>105</v>
      </c>
      <c r="D564" s="3" t="s">
        <v>46</v>
      </c>
      <c r="E564" s="3" t="s">
        <v>40</v>
      </c>
      <c r="F564" s="3" t="s">
        <v>102</v>
      </c>
      <c r="G564" s="3" t="s">
        <v>146</v>
      </c>
      <c r="H564" s="3">
        <v>2</v>
      </c>
      <c r="I564" s="7">
        <v>7808.09</v>
      </c>
      <c r="J564" s="9">
        <v>0.1</v>
      </c>
      <c r="K564" s="7">
        <v>14054.56</v>
      </c>
      <c r="L564" s="7">
        <v>2971.66</v>
      </c>
      <c r="M564" s="3" t="s">
        <v>56</v>
      </c>
      <c r="N564" s="3" t="str">
        <f t="shared" si="32"/>
        <v>2024-06</v>
      </c>
      <c r="O564" s="3" t="str">
        <f t="shared" si="33"/>
        <v>1-10%</v>
      </c>
      <c r="P564" s="9">
        <f t="shared" si="34"/>
        <v>0.21143742671417676</v>
      </c>
      <c r="Q564" s="3" t="str">
        <f t="shared" si="35"/>
        <v>No</v>
      </c>
    </row>
    <row r="565" spans="1:17" ht="21" customHeight="1">
      <c r="A565" s="3" t="s">
        <v>1054</v>
      </c>
      <c r="B565" s="5">
        <v>45457</v>
      </c>
      <c r="C565" s="3" t="s">
        <v>481</v>
      </c>
      <c r="D565" s="3" t="s">
        <v>46</v>
      </c>
      <c r="E565" s="3" t="s">
        <v>41</v>
      </c>
      <c r="F565" s="3" t="s">
        <v>119</v>
      </c>
      <c r="G565" s="3" t="s">
        <v>168</v>
      </c>
      <c r="H565" s="3">
        <v>1</v>
      </c>
      <c r="I565" s="7">
        <v>10165.75</v>
      </c>
      <c r="J565" s="9">
        <v>0.25</v>
      </c>
      <c r="K565" s="7">
        <v>7624.31</v>
      </c>
      <c r="L565" s="7">
        <v>415.27</v>
      </c>
      <c r="M565" s="3" t="s">
        <v>56</v>
      </c>
      <c r="N565" s="3" t="str">
        <f t="shared" si="32"/>
        <v>2024-06</v>
      </c>
      <c r="O565" s="3" t="str">
        <f t="shared" si="33"/>
        <v>21%+</v>
      </c>
      <c r="P565" s="9">
        <f t="shared" si="34"/>
        <v>5.4466568122230073E-2</v>
      </c>
      <c r="Q565" s="3" t="str">
        <f t="shared" si="35"/>
        <v>No</v>
      </c>
    </row>
    <row r="566" spans="1:17" ht="21" customHeight="1">
      <c r="A566" s="3" t="s">
        <v>1055</v>
      </c>
      <c r="B566" s="5">
        <v>45458</v>
      </c>
      <c r="C566" s="3" t="s">
        <v>428</v>
      </c>
      <c r="D566" s="3" t="s">
        <v>44</v>
      </c>
      <c r="E566" s="3" t="s">
        <v>41</v>
      </c>
      <c r="F566" s="3" t="s">
        <v>113</v>
      </c>
      <c r="G566" s="3" t="s">
        <v>114</v>
      </c>
      <c r="H566" s="3">
        <v>1</v>
      </c>
      <c r="I566" s="7">
        <v>12104.96</v>
      </c>
      <c r="J566" s="9">
        <v>0.1</v>
      </c>
      <c r="K566" s="7">
        <v>10894.46</v>
      </c>
      <c r="L566" s="7">
        <v>2807.54</v>
      </c>
      <c r="M566" s="3" t="s">
        <v>59</v>
      </c>
      <c r="N566" s="3" t="str">
        <f t="shared" si="32"/>
        <v>2024-06</v>
      </c>
      <c r="O566" s="3" t="str">
        <f t="shared" si="33"/>
        <v>1-10%</v>
      </c>
      <c r="P566" s="9">
        <f t="shared" si="34"/>
        <v>0.25770345661923583</v>
      </c>
      <c r="Q566" s="3" t="str">
        <f t="shared" si="35"/>
        <v>No</v>
      </c>
    </row>
    <row r="567" spans="1:17" ht="21" customHeight="1">
      <c r="A567" s="3" t="s">
        <v>1056</v>
      </c>
      <c r="B567" s="5">
        <v>45459</v>
      </c>
      <c r="C567" s="3" t="s">
        <v>1049</v>
      </c>
      <c r="D567" s="3" t="s">
        <v>44</v>
      </c>
      <c r="E567" s="3" t="s">
        <v>40</v>
      </c>
      <c r="F567" s="3" t="s">
        <v>160</v>
      </c>
      <c r="G567" s="3" t="s">
        <v>173</v>
      </c>
      <c r="H567" s="3">
        <v>1</v>
      </c>
      <c r="I567" s="7">
        <v>9180.6200000000008</v>
      </c>
      <c r="J567" s="9">
        <v>0.1</v>
      </c>
      <c r="K567" s="7">
        <v>8262.56</v>
      </c>
      <c r="L567" s="7">
        <v>1897.78</v>
      </c>
      <c r="M567" s="3" t="s">
        <v>57</v>
      </c>
      <c r="N567" s="3" t="str">
        <f t="shared" si="32"/>
        <v>2024-06</v>
      </c>
      <c r="O567" s="3" t="str">
        <f t="shared" si="33"/>
        <v>1-10%</v>
      </c>
      <c r="P567" s="9">
        <f t="shared" si="34"/>
        <v>0.22968426250459906</v>
      </c>
      <c r="Q567" s="3" t="str">
        <f t="shared" si="35"/>
        <v>No</v>
      </c>
    </row>
    <row r="568" spans="1:17" ht="21" customHeight="1">
      <c r="A568" s="3" t="s">
        <v>1057</v>
      </c>
      <c r="B568" s="5">
        <v>45459</v>
      </c>
      <c r="C568" s="3" t="s">
        <v>1058</v>
      </c>
      <c r="D568" s="3" t="s">
        <v>46</v>
      </c>
      <c r="E568" s="3" t="s">
        <v>38</v>
      </c>
      <c r="F568" s="3" t="s">
        <v>94</v>
      </c>
      <c r="G568" s="3" t="s">
        <v>213</v>
      </c>
      <c r="H568" s="3">
        <v>1</v>
      </c>
      <c r="I568" s="7">
        <v>57727.56</v>
      </c>
      <c r="J568" s="9">
        <v>0</v>
      </c>
      <c r="K568" s="7">
        <v>57727.56</v>
      </c>
      <c r="L568" s="7">
        <v>12273.52</v>
      </c>
      <c r="M568" s="3" t="s">
        <v>56</v>
      </c>
      <c r="N568" s="3" t="str">
        <f t="shared" si="32"/>
        <v>2024-06</v>
      </c>
      <c r="O568" s="3" t="str">
        <f t="shared" si="33"/>
        <v>No discount</v>
      </c>
      <c r="P568" s="9">
        <f t="shared" si="34"/>
        <v>0.21261109944712717</v>
      </c>
      <c r="Q568" s="3" t="str">
        <f t="shared" si="35"/>
        <v>No</v>
      </c>
    </row>
    <row r="569" spans="1:17" ht="21" customHeight="1">
      <c r="A569" s="3" t="s">
        <v>1059</v>
      </c>
      <c r="B569" s="5">
        <v>45459</v>
      </c>
      <c r="C569" s="3" t="s">
        <v>1060</v>
      </c>
      <c r="D569" s="3" t="s">
        <v>44</v>
      </c>
      <c r="E569" s="3" t="s">
        <v>38</v>
      </c>
      <c r="F569" s="3" t="s">
        <v>94</v>
      </c>
      <c r="G569" s="3" t="s">
        <v>95</v>
      </c>
      <c r="H569" s="3">
        <v>1</v>
      </c>
      <c r="I569" s="7">
        <v>76690.960000000006</v>
      </c>
      <c r="J569" s="9">
        <v>0</v>
      </c>
      <c r="K569" s="7">
        <v>76690.960000000006</v>
      </c>
      <c r="L569" s="7">
        <v>12691.05</v>
      </c>
      <c r="M569" s="3" t="s">
        <v>57</v>
      </c>
      <c r="N569" s="3" t="str">
        <f t="shared" si="32"/>
        <v>2024-06</v>
      </c>
      <c r="O569" s="3" t="str">
        <f t="shared" si="33"/>
        <v>No discount</v>
      </c>
      <c r="P569" s="9">
        <f t="shared" si="34"/>
        <v>0.16548299825690013</v>
      </c>
      <c r="Q569" s="3" t="str">
        <f t="shared" si="35"/>
        <v>No</v>
      </c>
    </row>
    <row r="570" spans="1:17" ht="21" customHeight="1">
      <c r="A570" s="3" t="s">
        <v>1061</v>
      </c>
      <c r="B570" s="5">
        <v>45459</v>
      </c>
      <c r="C570" s="3" t="s">
        <v>1062</v>
      </c>
      <c r="D570" s="3" t="s">
        <v>45</v>
      </c>
      <c r="E570" s="3" t="s">
        <v>42</v>
      </c>
      <c r="F570" s="3" t="s">
        <v>126</v>
      </c>
      <c r="G570" s="3" t="s">
        <v>127</v>
      </c>
      <c r="H570" s="3">
        <v>1</v>
      </c>
      <c r="I570" s="7">
        <v>956.37</v>
      </c>
      <c r="J570" s="9">
        <v>0</v>
      </c>
      <c r="K570" s="7">
        <v>956.37</v>
      </c>
      <c r="L570" s="7">
        <v>540.16</v>
      </c>
      <c r="M570" s="3" t="s">
        <v>57</v>
      </c>
      <c r="N570" s="3" t="str">
        <f t="shared" si="32"/>
        <v>2024-06</v>
      </c>
      <c r="O570" s="3" t="str">
        <f t="shared" si="33"/>
        <v>No discount</v>
      </c>
      <c r="P570" s="9">
        <f t="shared" si="34"/>
        <v>0.56480232545981157</v>
      </c>
      <c r="Q570" s="3" t="str">
        <f t="shared" si="35"/>
        <v>No</v>
      </c>
    </row>
    <row r="571" spans="1:17" ht="21" customHeight="1">
      <c r="A571" s="3" t="s">
        <v>1063</v>
      </c>
      <c r="B571" s="5">
        <v>45460</v>
      </c>
      <c r="C571" s="3" t="s">
        <v>597</v>
      </c>
      <c r="D571" s="3" t="s">
        <v>45</v>
      </c>
      <c r="E571" s="3" t="s">
        <v>40</v>
      </c>
      <c r="F571" s="3" t="s">
        <v>102</v>
      </c>
      <c r="G571" s="3" t="s">
        <v>103</v>
      </c>
      <c r="H571" s="3">
        <v>1</v>
      </c>
      <c r="I571" s="7">
        <v>6524.61</v>
      </c>
      <c r="J571" s="9">
        <v>0</v>
      </c>
      <c r="K571" s="7">
        <v>6524.61</v>
      </c>
      <c r="L571" s="7">
        <v>2399.2199999999998</v>
      </c>
      <c r="M571" s="3" t="s">
        <v>59</v>
      </c>
      <c r="N571" s="3" t="str">
        <f t="shared" si="32"/>
        <v>2024-06</v>
      </c>
      <c r="O571" s="3" t="str">
        <f t="shared" si="33"/>
        <v>No discount</v>
      </c>
      <c r="P571" s="9">
        <f t="shared" si="34"/>
        <v>0.36771853030296064</v>
      </c>
      <c r="Q571" s="3" t="str">
        <f t="shared" si="35"/>
        <v>No</v>
      </c>
    </row>
    <row r="572" spans="1:17" ht="21" customHeight="1">
      <c r="A572" s="3" t="s">
        <v>1064</v>
      </c>
      <c r="B572" s="5">
        <v>45460</v>
      </c>
      <c r="C572" s="3" t="s">
        <v>881</v>
      </c>
      <c r="D572" s="3" t="s">
        <v>47</v>
      </c>
      <c r="E572" s="3" t="s">
        <v>42</v>
      </c>
      <c r="F572" s="3" t="s">
        <v>126</v>
      </c>
      <c r="G572" s="3" t="s">
        <v>127</v>
      </c>
      <c r="H572" s="3">
        <v>1</v>
      </c>
      <c r="I572" s="7">
        <v>1047.8599999999999</v>
      </c>
      <c r="J572" s="9">
        <v>0.15</v>
      </c>
      <c r="K572" s="7">
        <v>890.68</v>
      </c>
      <c r="L572" s="7">
        <v>307.11</v>
      </c>
      <c r="M572" s="3" t="s">
        <v>56</v>
      </c>
      <c r="N572" s="3" t="str">
        <f t="shared" si="32"/>
        <v>2024-06</v>
      </c>
      <c r="O572" s="3" t="str">
        <f t="shared" si="33"/>
        <v>11-15%</v>
      </c>
      <c r="P572" s="9">
        <f t="shared" si="34"/>
        <v>0.34480397000044916</v>
      </c>
      <c r="Q572" s="3" t="str">
        <f t="shared" si="35"/>
        <v>No</v>
      </c>
    </row>
    <row r="573" spans="1:17" ht="21" customHeight="1">
      <c r="A573" s="3" t="s">
        <v>1065</v>
      </c>
      <c r="B573" s="5">
        <v>45460</v>
      </c>
      <c r="C573" s="3" t="s">
        <v>573</v>
      </c>
      <c r="D573" s="3" t="s">
        <v>46</v>
      </c>
      <c r="E573" s="3" t="s">
        <v>38</v>
      </c>
      <c r="F573" s="3" t="s">
        <v>142</v>
      </c>
      <c r="G573" s="3" t="s">
        <v>245</v>
      </c>
      <c r="H573" s="3">
        <v>2</v>
      </c>
      <c r="I573" s="7">
        <v>5109.4399999999996</v>
      </c>
      <c r="J573" s="9">
        <v>0</v>
      </c>
      <c r="K573" s="7">
        <v>10218.879999999999</v>
      </c>
      <c r="L573" s="7">
        <v>1877.6</v>
      </c>
      <c r="M573" s="3" t="s">
        <v>56</v>
      </c>
      <c r="N573" s="3" t="str">
        <f t="shared" si="32"/>
        <v>2024-06</v>
      </c>
      <c r="O573" s="3" t="str">
        <f t="shared" si="33"/>
        <v>No discount</v>
      </c>
      <c r="P573" s="9">
        <f t="shared" si="34"/>
        <v>0.18373833531659048</v>
      </c>
      <c r="Q573" s="3" t="str">
        <f t="shared" si="35"/>
        <v>No</v>
      </c>
    </row>
    <row r="574" spans="1:17" ht="21" customHeight="1">
      <c r="A574" s="3" t="s">
        <v>1066</v>
      </c>
      <c r="B574" s="5">
        <v>45460</v>
      </c>
      <c r="C574" s="3" t="s">
        <v>1067</v>
      </c>
      <c r="D574" s="3" t="s">
        <v>47</v>
      </c>
      <c r="E574" s="3" t="s">
        <v>40</v>
      </c>
      <c r="F574" s="3" t="s">
        <v>221</v>
      </c>
      <c r="G574" s="3" t="s">
        <v>279</v>
      </c>
      <c r="H574" s="3">
        <v>3</v>
      </c>
      <c r="I574" s="7">
        <v>1568.03</v>
      </c>
      <c r="J574" s="9">
        <v>0</v>
      </c>
      <c r="K574" s="7">
        <v>4704.09</v>
      </c>
      <c r="L574" s="7">
        <v>1711.83</v>
      </c>
      <c r="M574" s="3" t="s">
        <v>56</v>
      </c>
      <c r="N574" s="3" t="str">
        <f t="shared" si="32"/>
        <v>2024-06</v>
      </c>
      <c r="O574" s="3" t="str">
        <f t="shared" si="33"/>
        <v>No discount</v>
      </c>
      <c r="P574" s="9">
        <f t="shared" si="34"/>
        <v>0.36390247635568196</v>
      </c>
      <c r="Q574" s="3" t="str">
        <f t="shared" si="35"/>
        <v>No</v>
      </c>
    </row>
    <row r="575" spans="1:17" ht="21" customHeight="1">
      <c r="A575" s="3" t="s">
        <v>1068</v>
      </c>
      <c r="B575" s="5">
        <v>45460</v>
      </c>
      <c r="C575" s="3" t="s">
        <v>676</v>
      </c>
      <c r="D575" s="3" t="s">
        <v>45</v>
      </c>
      <c r="E575" s="3" t="s">
        <v>39</v>
      </c>
      <c r="F575" s="3" t="s">
        <v>109</v>
      </c>
      <c r="G575" s="3" t="s">
        <v>355</v>
      </c>
      <c r="H575" s="3">
        <v>1</v>
      </c>
      <c r="I575" s="7">
        <v>3328.82</v>
      </c>
      <c r="J575" s="9">
        <v>0.15</v>
      </c>
      <c r="K575" s="7">
        <v>2829.5</v>
      </c>
      <c r="L575" s="7">
        <v>768.64</v>
      </c>
      <c r="M575" s="3" t="s">
        <v>60</v>
      </c>
      <c r="N575" s="3" t="str">
        <f t="shared" si="32"/>
        <v>2024-06</v>
      </c>
      <c r="O575" s="3" t="str">
        <f t="shared" si="33"/>
        <v>11-15%</v>
      </c>
      <c r="P575" s="9">
        <f t="shared" si="34"/>
        <v>0.27165223537727512</v>
      </c>
      <c r="Q575" s="3" t="str">
        <f t="shared" si="35"/>
        <v>No</v>
      </c>
    </row>
    <row r="576" spans="1:17" ht="21" customHeight="1">
      <c r="A576" s="3" t="s">
        <v>1069</v>
      </c>
      <c r="B576" s="5">
        <v>45461</v>
      </c>
      <c r="C576" s="3" t="s">
        <v>805</v>
      </c>
      <c r="D576" s="3" t="s">
        <v>44</v>
      </c>
      <c r="E576" s="3" t="s">
        <v>38</v>
      </c>
      <c r="F576" s="3" t="s">
        <v>98</v>
      </c>
      <c r="G576" s="3" t="s">
        <v>182</v>
      </c>
      <c r="H576" s="3">
        <v>1</v>
      </c>
      <c r="I576" s="7">
        <v>71823.19</v>
      </c>
      <c r="J576" s="9">
        <v>0</v>
      </c>
      <c r="K576" s="7">
        <v>71823.19</v>
      </c>
      <c r="L576" s="7">
        <v>14455.62</v>
      </c>
      <c r="M576" s="3" t="s">
        <v>57</v>
      </c>
      <c r="N576" s="3" t="str">
        <f t="shared" si="32"/>
        <v>2024-06</v>
      </c>
      <c r="O576" s="3" t="str">
        <f t="shared" si="33"/>
        <v>No discount</v>
      </c>
      <c r="P576" s="9">
        <f t="shared" si="34"/>
        <v>0.20126674963893973</v>
      </c>
      <c r="Q576" s="3" t="str">
        <f t="shared" si="35"/>
        <v>No</v>
      </c>
    </row>
    <row r="577" spans="1:17" ht="21" customHeight="1">
      <c r="A577" s="3" t="s">
        <v>1070</v>
      </c>
      <c r="B577" s="5">
        <v>45461</v>
      </c>
      <c r="C577" s="3" t="s">
        <v>391</v>
      </c>
      <c r="D577" s="3" t="s">
        <v>44</v>
      </c>
      <c r="E577" s="3" t="s">
        <v>41</v>
      </c>
      <c r="F577" s="3" t="s">
        <v>119</v>
      </c>
      <c r="G577" s="3" t="s">
        <v>168</v>
      </c>
      <c r="H577" s="3">
        <v>1</v>
      </c>
      <c r="I577" s="7">
        <v>10169.43</v>
      </c>
      <c r="J577" s="9">
        <v>0</v>
      </c>
      <c r="K577" s="7">
        <v>10169.43</v>
      </c>
      <c r="L577" s="7">
        <v>3818.09</v>
      </c>
      <c r="M577" s="3" t="s">
        <v>56</v>
      </c>
      <c r="N577" s="3" t="str">
        <f t="shared" si="32"/>
        <v>2024-06</v>
      </c>
      <c r="O577" s="3" t="str">
        <f t="shared" si="33"/>
        <v>No discount</v>
      </c>
      <c r="P577" s="9">
        <f t="shared" si="34"/>
        <v>0.37544778812578483</v>
      </c>
      <c r="Q577" s="3" t="str">
        <f t="shared" si="35"/>
        <v>No</v>
      </c>
    </row>
    <row r="578" spans="1:17" ht="21" customHeight="1">
      <c r="A578" s="3" t="s">
        <v>1071</v>
      </c>
      <c r="B578" s="5">
        <v>45461</v>
      </c>
      <c r="C578" s="3" t="s">
        <v>1072</v>
      </c>
      <c r="D578" s="3" t="s">
        <v>47</v>
      </c>
      <c r="E578" s="3" t="s">
        <v>42</v>
      </c>
      <c r="F578" s="3" t="s">
        <v>90</v>
      </c>
      <c r="G578" s="3" t="s">
        <v>91</v>
      </c>
      <c r="H578" s="3">
        <v>1</v>
      </c>
      <c r="I578" s="7">
        <v>1140.94</v>
      </c>
      <c r="J578" s="9">
        <v>0</v>
      </c>
      <c r="K578" s="7">
        <v>1140.94</v>
      </c>
      <c r="L578" s="7">
        <v>672.73</v>
      </c>
      <c r="M578" s="3" t="s">
        <v>57</v>
      </c>
      <c r="N578" s="3" t="str">
        <f t="shared" ref="N578:N641" si="36">TEXT(B578,"yyyy-mm")</f>
        <v>2024-06</v>
      </c>
      <c r="O578" s="3" t="str">
        <f t="shared" ref="O578:O641" si="37">IF(J578=0,"No discount",IF(J578&lt;=0.1,"1-10%",IF(J578&lt;=0.15,"11-15%",IF(J578&lt;=0.2,"16-20%","21%+"))))</f>
        <v>No discount</v>
      </c>
      <c r="P578" s="9">
        <f t="shared" ref="P578:P641" si="38">IF(K578=0,0,L578/K578)</f>
        <v>0.58962785071958213</v>
      </c>
      <c r="Q578" s="3" t="str">
        <f t="shared" ref="Q578:Q641" si="39">IF(L578&lt;0,"Yes","No")</f>
        <v>No</v>
      </c>
    </row>
    <row r="579" spans="1:17" ht="21" customHeight="1">
      <c r="A579" s="3" t="s">
        <v>1073</v>
      </c>
      <c r="B579" s="5">
        <v>45462</v>
      </c>
      <c r="C579" s="3" t="s">
        <v>1074</v>
      </c>
      <c r="D579" s="3" t="s">
        <v>45</v>
      </c>
      <c r="E579" s="3" t="s">
        <v>39</v>
      </c>
      <c r="F579" s="3" t="s">
        <v>164</v>
      </c>
      <c r="G579" s="3" t="s">
        <v>200</v>
      </c>
      <c r="H579" s="3">
        <v>1</v>
      </c>
      <c r="I579" s="7">
        <v>1342.61</v>
      </c>
      <c r="J579" s="9">
        <v>0.05</v>
      </c>
      <c r="K579" s="7">
        <v>1275.48</v>
      </c>
      <c r="L579" s="7">
        <v>481.74</v>
      </c>
      <c r="M579" s="3" t="s">
        <v>57</v>
      </c>
      <c r="N579" s="3" t="str">
        <f t="shared" si="36"/>
        <v>2024-06</v>
      </c>
      <c r="O579" s="3" t="str">
        <f t="shared" si="37"/>
        <v>1-10%</v>
      </c>
      <c r="P579" s="9">
        <f t="shared" si="38"/>
        <v>0.37769310377269733</v>
      </c>
      <c r="Q579" s="3" t="str">
        <f t="shared" si="39"/>
        <v>No</v>
      </c>
    </row>
    <row r="580" spans="1:17" ht="21" customHeight="1">
      <c r="A580" s="3" t="s">
        <v>1075</v>
      </c>
      <c r="B580" s="5">
        <v>45462</v>
      </c>
      <c r="C580" s="3" t="s">
        <v>133</v>
      </c>
      <c r="D580" s="3" t="s">
        <v>44</v>
      </c>
      <c r="E580" s="3" t="s">
        <v>40</v>
      </c>
      <c r="F580" s="3" t="s">
        <v>102</v>
      </c>
      <c r="G580" s="3" t="s">
        <v>103</v>
      </c>
      <c r="H580" s="3">
        <v>4</v>
      </c>
      <c r="I580" s="7">
        <v>6640.24</v>
      </c>
      <c r="J580" s="9">
        <v>0.05</v>
      </c>
      <c r="K580" s="7">
        <v>25232.91</v>
      </c>
      <c r="L580" s="7">
        <v>7705.32</v>
      </c>
      <c r="M580" s="3" t="s">
        <v>56</v>
      </c>
      <c r="N580" s="3" t="str">
        <f t="shared" si="36"/>
        <v>2024-06</v>
      </c>
      <c r="O580" s="3" t="str">
        <f t="shared" si="37"/>
        <v>1-10%</v>
      </c>
      <c r="P580" s="9">
        <f t="shared" si="38"/>
        <v>0.30536787076876981</v>
      </c>
      <c r="Q580" s="3" t="str">
        <f t="shared" si="39"/>
        <v>No</v>
      </c>
    </row>
    <row r="581" spans="1:17" ht="21" customHeight="1">
      <c r="A581" s="3" t="s">
        <v>1076</v>
      </c>
      <c r="B581" s="5">
        <v>45462</v>
      </c>
      <c r="C581" s="3" t="s">
        <v>724</v>
      </c>
      <c r="D581" s="3" t="s">
        <v>46</v>
      </c>
      <c r="E581" s="3" t="s">
        <v>42</v>
      </c>
      <c r="F581" s="3" t="s">
        <v>126</v>
      </c>
      <c r="G581" s="3" t="s">
        <v>127</v>
      </c>
      <c r="H581" s="3">
        <v>1</v>
      </c>
      <c r="I581" s="7">
        <v>988.82</v>
      </c>
      <c r="J581" s="9">
        <v>0.25</v>
      </c>
      <c r="K581" s="7">
        <v>741.62</v>
      </c>
      <c r="L581" s="7">
        <v>177.25</v>
      </c>
      <c r="M581" s="3" t="s">
        <v>57</v>
      </c>
      <c r="N581" s="3" t="str">
        <f t="shared" si="36"/>
        <v>2024-06</v>
      </c>
      <c r="O581" s="3" t="str">
        <f t="shared" si="37"/>
        <v>21%+</v>
      </c>
      <c r="P581" s="9">
        <f t="shared" si="38"/>
        <v>0.23900380248644859</v>
      </c>
      <c r="Q581" s="3" t="str">
        <f t="shared" si="39"/>
        <v>No</v>
      </c>
    </row>
    <row r="582" spans="1:17" ht="21" customHeight="1">
      <c r="A582" s="3" t="s">
        <v>1077</v>
      </c>
      <c r="B582" s="5">
        <v>45463</v>
      </c>
      <c r="C582" s="3" t="s">
        <v>1078</v>
      </c>
      <c r="D582" s="3" t="s">
        <v>44</v>
      </c>
      <c r="E582" s="3" t="s">
        <v>38</v>
      </c>
      <c r="F582" s="3" t="s">
        <v>94</v>
      </c>
      <c r="G582" s="3" t="s">
        <v>95</v>
      </c>
      <c r="H582" s="3">
        <v>1</v>
      </c>
      <c r="I582" s="7">
        <v>79108.539999999994</v>
      </c>
      <c r="J582" s="9">
        <v>0.25</v>
      </c>
      <c r="K582" s="7">
        <v>59331.4</v>
      </c>
      <c r="L582" s="7">
        <v>-5113.45</v>
      </c>
      <c r="M582" s="3" t="s">
        <v>56</v>
      </c>
      <c r="N582" s="3" t="str">
        <f t="shared" si="36"/>
        <v>2024-06</v>
      </c>
      <c r="O582" s="3" t="str">
        <f t="shared" si="37"/>
        <v>21%+</v>
      </c>
      <c r="P582" s="9">
        <f t="shared" si="38"/>
        <v>-8.6184549833646262E-2</v>
      </c>
      <c r="Q582" s="3" t="str">
        <f t="shared" si="39"/>
        <v>Yes</v>
      </c>
    </row>
    <row r="583" spans="1:17" ht="21" customHeight="1">
      <c r="A583" s="3" t="s">
        <v>1079</v>
      </c>
      <c r="B583" s="5">
        <v>45463</v>
      </c>
      <c r="C583" s="3" t="s">
        <v>1080</v>
      </c>
      <c r="D583" s="3" t="s">
        <v>46</v>
      </c>
      <c r="E583" s="3" t="s">
        <v>41</v>
      </c>
      <c r="F583" s="3" t="s">
        <v>119</v>
      </c>
      <c r="G583" s="3" t="s">
        <v>120</v>
      </c>
      <c r="H583" s="3">
        <v>2</v>
      </c>
      <c r="I583" s="7">
        <v>1257.58</v>
      </c>
      <c r="J583" s="9">
        <v>0.1</v>
      </c>
      <c r="K583" s="7">
        <v>2263.64</v>
      </c>
      <c r="L583" s="7">
        <v>681.73</v>
      </c>
      <c r="M583" s="3" t="s">
        <v>58</v>
      </c>
      <c r="N583" s="3" t="str">
        <f t="shared" si="36"/>
        <v>2024-06</v>
      </c>
      <c r="O583" s="3" t="str">
        <f t="shared" si="37"/>
        <v>1-10%</v>
      </c>
      <c r="P583" s="9">
        <f t="shared" si="38"/>
        <v>0.30116537965400864</v>
      </c>
      <c r="Q583" s="3" t="str">
        <f t="shared" si="39"/>
        <v>No</v>
      </c>
    </row>
    <row r="584" spans="1:17" ht="21" customHeight="1">
      <c r="A584" s="3" t="s">
        <v>1081</v>
      </c>
      <c r="B584" s="5">
        <v>45464</v>
      </c>
      <c r="C584" s="3" t="s">
        <v>1082</v>
      </c>
      <c r="D584" s="3" t="s">
        <v>46</v>
      </c>
      <c r="E584" s="3" t="s">
        <v>42</v>
      </c>
      <c r="F584" s="3" t="s">
        <v>126</v>
      </c>
      <c r="G584" s="3" t="s">
        <v>127</v>
      </c>
      <c r="H584" s="3">
        <v>2</v>
      </c>
      <c r="I584" s="7">
        <v>1030.32</v>
      </c>
      <c r="J584" s="9">
        <v>0.15</v>
      </c>
      <c r="K584" s="7">
        <v>1751.54</v>
      </c>
      <c r="L584" s="7">
        <v>704.01</v>
      </c>
      <c r="M584" s="3" t="s">
        <v>57</v>
      </c>
      <c r="N584" s="3" t="str">
        <f t="shared" si="36"/>
        <v>2024-06</v>
      </c>
      <c r="O584" s="3" t="str">
        <f t="shared" si="37"/>
        <v>11-15%</v>
      </c>
      <c r="P584" s="9">
        <f t="shared" si="38"/>
        <v>0.40193772337485872</v>
      </c>
      <c r="Q584" s="3" t="str">
        <f t="shared" si="39"/>
        <v>No</v>
      </c>
    </row>
    <row r="585" spans="1:17" ht="21" customHeight="1">
      <c r="A585" s="3" t="s">
        <v>1083</v>
      </c>
      <c r="B585" s="5">
        <v>45464</v>
      </c>
      <c r="C585" s="3" t="s">
        <v>259</v>
      </c>
      <c r="D585" s="3" t="s">
        <v>44</v>
      </c>
      <c r="E585" s="3" t="s">
        <v>38</v>
      </c>
      <c r="F585" s="3" t="s">
        <v>94</v>
      </c>
      <c r="G585" s="3" t="s">
        <v>95</v>
      </c>
      <c r="H585" s="3">
        <v>2</v>
      </c>
      <c r="I585" s="7">
        <v>80061.53</v>
      </c>
      <c r="J585" s="9">
        <v>0</v>
      </c>
      <c r="K585" s="7">
        <v>160123.06</v>
      </c>
      <c r="L585" s="7">
        <v>22477.61</v>
      </c>
      <c r="M585" s="3" t="s">
        <v>58</v>
      </c>
      <c r="N585" s="3" t="str">
        <f t="shared" si="36"/>
        <v>2024-06</v>
      </c>
      <c r="O585" s="3" t="str">
        <f t="shared" si="37"/>
        <v>No discount</v>
      </c>
      <c r="P585" s="9">
        <f t="shared" si="38"/>
        <v>0.14037709496683365</v>
      </c>
      <c r="Q585" s="3" t="str">
        <f t="shared" si="39"/>
        <v>No</v>
      </c>
    </row>
    <row r="586" spans="1:17" ht="21" customHeight="1">
      <c r="A586" s="3" t="s">
        <v>1084</v>
      </c>
      <c r="B586" s="5">
        <v>45464</v>
      </c>
      <c r="C586" s="3" t="s">
        <v>1085</v>
      </c>
      <c r="D586" s="3" t="s">
        <v>45</v>
      </c>
      <c r="E586" s="3" t="s">
        <v>39</v>
      </c>
      <c r="F586" s="3" t="s">
        <v>130</v>
      </c>
      <c r="G586" s="3" t="s">
        <v>131</v>
      </c>
      <c r="H586" s="3">
        <v>1</v>
      </c>
      <c r="I586" s="7">
        <v>2156.27</v>
      </c>
      <c r="J586" s="9">
        <v>0.1</v>
      </c>
      <c r="K586" s="7">
        <v>1940.64</v>
      </c>
      <c r="L586" s="7">
        <v>604.96</v>
      </c>
      <c r="M586" s="3" t="s">
        <v>56</v>
      </c>
      <c r="N586" s="3" t="str">
        <f t="shared" si="36"/>
        <v>2024-06</v>
      </c>
      <c r="O586" s="3" t="str">
        <f t="shared" si="37"/>
        <v>1-10%</v>
      </c>
      <c r="P586" s="9">
        <f t="shared" si="38"/>
        <v>0.31173221205375545</v>
      </c>
      <c r="Q586" s="3" t="str">
        <f t="shared" si="39"/>
        <v>No</v>
      </c>
    </row>
    <row r="587" spans="1:17" ht="21" customHeight="1">
      <c r="A587" s="3" t="s">
        <v>1086</v>
      </c>
      <c r="B587" s="5">
        <v>45464</v>
      </c>
      <c r="C587" s="3" t="s">
        <v>636</v>
      </c>
      <c r="D587" s="3" t="s">
        <v>45</v>
      </c>
      <c r="E587" s="3" t="s">
        <v>42</v>
      </c>
      <c r="F587" s="3" t="s">
        <v>90</v>
      </c>
      <c r="G587" s="3" t="s">
        <v>91</v>
      </c>
      <c r="H587" s="3">
        <v>3</v>
      </c>
      <c r="I587" s="7">
        <v>1230.68</v>
      </c>
      <c r="J587" s="9">
        <v>0.15</v>
      </c>
      <c r="K587" s="7">
        <v>3138.23</v>
      </c>
      <c r="L587" s="7">
        <v>1208.05</v>
      </c>
      <c r="M587" s="3" t="s">
        <v>56</v>
      </c>
      <c r="N587" s="3" t="str">
        <f t="shared" si="36"/>
        <v>2024-06</v>
      </c>
      <c r="O587" s="3" t="str">
        <f t="shared" si="37"/>
        <v>11-15%</v>
      </c>
      <c r="P587" s="9">
        <f t="shared" si="38"/>
        <v>0.38494629138081021</v>
      </c>
      <c r="Q587" s="3" t="str">
        <f t="shared" si="39"/>
        <v>No</v>
      </c>
    </row>
    <row r="588" spans="1:17" ht="21" customHeight="1">
      <c r="A588" s="3" t="s">
        <v>1087</v>
      </c>
      <c r="B588" s="5">
        <v>45464</v>
      </c>
      <c r="C588" s="3" t="s">
        <v>1088</v>
      </c>
      <c r="D588" s="3" t="s">
        <v>46</v>
      </c>
      <c r="E588" s="3" t="s">
        <v>38</v>
      </c>
      <c r="F588" s="3" t="s">
        <v>94</v>
      </c>
      <c r="G588" s="3" t="s">
        <v>95</v>
      </c>
      <c r="H588" s="3">
        <v>1</v>
      </c>
      <c r="I588" s="7">
        <v>75990.86</v>
      </c>
      <c r="J588" s="9">
        <v>0.1</v>
      </c>
      <c r="K588" s="7">
        <v>68391.77</v>
      </c>
      <c r="L588" s="7">
        <v>3869.94</v>
      </c>
      <c r="M588" s="3" t="s">
        <v>60</v>
      </c>
      <c r="N588" s="3" t="str">
        <f t="shared" si="36"/>
        <v>2024-06</v>
      </c>
      <c r="O588" s="3" t="str">
        <f t="shared" si="37"/>
        <v>1-10%</v>
      </c>
      <c r="P588" s="9">
        <f t="shared" si="38"/>
        <v>5.6584878560680618E-2</v>
      </c>
      <c r="Q588" s="3" t="str">
        <f t="shared" si="39"/>
        <v>No</v>
      </c>
    </row>
    <row r="589" spans="1:17" ht="21" customHeight="1">
      <c r="A589" s="3" t="s">
        <v>1089</v>
      </c>
      <c r="B589" s="5">
        <v>45464</v>
      </c>
      <c r="C589" s="3" t="s">
        <v>563</v>
      </c>
      <c r="D589" s="3" t="s">
        <v>45</v>
      </c>
      <c r="E589" s="3" t="s">
        <v>42</v>
      </c>
      <c r="F589" s="3" t="s">
        <v>126</v>
      </c>
      <c r="G589" s="3" t="s">
        <v>127</v>
      </c>
      <c r="H589" s="3">
        <v>2</v>
      </c>
      <c r="I589" s="7">
        <v>1034.56</v>
      </c>
      <c r="J589" s="9">
        <v>0</v>
      </c>
      <c r="K589" s="7">
        <v>2069.12</v>
      </c>
      <c r="L589" s="7">
        <v>1135.6099999999999</v>
      </c>
      <c r="M589" s="3" t="s">
        <v>57</v>
      </c>
      <c r="N589" s="3" t="str">
        <f t="shared" si="36"/>
        <v>2024-06</v>
      </c>
      <c r="O589" s="3" t="str">
        <f t="shared" si="37"/>
        <v>No discount</v>
      </c>
      <c r="P589" s="9">
        <f t="shared" si="38"/>
        <v>0.54883718682338378</v>
      </c>
      <c r="Q589" s="3" t="str">
        <f t="shared" si="39"/>
        <v>No</v>
      </c>
    </row>
    <row r="590" spans="1:17" ht="21" customHeight="1">
      <c r="A590" s="3" t="s">
        <v>1090</v>
      </c>
      <c r="B590" s="5">
        <v>45464</v>
      </c>
      <c r="C590" s="3" t="s">
        <v>702</v>
      </c>
      <c r="D590" s="3" t="s">
        <v>44</v>
      </c>
      <c r="E590" s="3" t="s">
        <v>38</v>
      </c>
      <c r="F590" s="3" t="s">
        <v>98</v>
      </c>
      <c r="G590" s="3" t="s">
        <v>362</v>
      </c>
      <c r="H590" s="3">
        <v>3</v>
      </c>
      <c r="I590" s="7">
        <v>33830.36</v>
      </c>
      <c r="J590" s="9">
        <v>0</v>
      </c>
      <c r="K590" s="7">
        <v>101491.08</v>
      </c>
      <c r="L590" s="7">
        <v>14258.43</v>
      </c>
      <c r="M590" s="3" t="s">
        <v>58</v>
      </c>
      <c r="N590" s="3" t="str">
        <f t="shared" si="36"/>
        <v>2024-06</v>
      </c>
      <c r="O590" s="3" t="str">
        <f t="shared" si="37"/>
        <v>No discount</v>
      </c>
      <c r="P590" s="9">
        <f t="shared" si="38"/>
        <v>0.14048948932260846</v>
      </c>
      <c r="Q590" s="3" t="str">
        <f t="shared" si="39"/>
        <v>No</v>
      </c>
    </row>
    <row r="591" spans="1:17" ht="21" customHeight="1">
      <c r="A591" s="3" t="s">
        <v>1091</v>
      </c>
      <c r="B591" s="5">
        <v>45464</v>
      </c>
      <c r="C591" s="3" t="s">
        <v>184</v>
      </c>
      <c r="D591" s="3" t="s">
        <v>44</v>
      </c>
      <c r="E591" s="3" t="s">
        <v>41</v>
      </c>
      <c r="F591" s="3" t="s">
        <v>119</v>
      </c>
      <c r="G591" s="3" t="s">
        <v>120</v>
      </c>
      <c r="H591" s="3">
        <v>3</v>
      </c>
      <c r="I591" s="7">
        <v>1314</v>
      </c>
      <c r="J591" s="9">
        <v>0.05</v>
      </c>
      <c r="K591" s="7">
        <v>3744.9</v>
      </c>
      <c r="L591" s="7">
        <v>1114.49</v>
      </c>
      <c r="M591" s="3" t="s">
        <v>56</v>
      </c>
      <c r="N591" s="3" t="str">
        <f t="shared" si="36"/>
        <v>2024-06</v>
      </c>
      <c r="O591" s="3" t="str">
        <f t="shared" si="37"/>
        <v>1-10%</v>
      </c>
      <c r="P591" s="9">
        <f t="shared" si="38"/>
        <v>0.29760207215145934</v>
      </c>
      <c r="Q591" s="3" t="str">
        <f t="shared" si="39"/>
        <v>No</v>
      </c>
    </row>
    <row r="592" spans="1:17" ht="21" customHeight="1">
      <c r="A592" s="3" t="s">
        <v>1092</v>
      </c>
      <c r="B592" s="5">
        <v>45465</v>
      </c>
      <c r="C592" s="3" t="s">
        <v>188</v>
      </c>
      <c r="D592" s="3" t="s">
        <v>45</v>
      </c>
      <c r="E592" s="3" t="s">
        <v>38</v>
      </c>
      <c r="F592" s="3" t="s">
        <v>98</v>
      </c>
      <c r="G592" s="3" t="s">
        <v>182</v>
      </c>
      <c r="H592" s="3">
        <v>4</v>
      </c>
      <c r="I592" s="7">
        <v>67862.259999999995</v>
      </c>
      <c r="J592" s="9">
        <v>0.05</v>
      </c>
      <c r="K592" s="7">
        <v>257876.59</v>
      </c>
      <c r="L592" s="7">
        <v>37448</v>
      </c>
      <c r="M592" s="3" t="s">
        <v>57</v>
      </c>
      <c r="N592" s="3" t="str">
        <f t="shared" si="36"/>
        <v>2024-06</v>
      </c>
      <c r="O592" s="3" t="str">
        <f t="shared" si="37"/>
        <v>1-10%</v>
      </c>
      <c r="P592" s="9">
        <f t="shared" si="38"/>
        <v>0.14521674883323066</v>
      </c>
      <c r="Q592" s="3" t="str">
        <f t="shared" si="39"/>
        <v>No</v>
      </c>
    </row>
    <row r="593" spans="1:17" ht="21" customHeight="1">
      <c r="A593" s="3" t="s">
        <v>1093</v>
      </c>
      <c r="B593" s="5">
        <v>45465</v>
      </c>
      <c r="C593" s="3" t="s">
        <v>1094</v>
      </c>
      <c r="D593" s="3" t="s">
        <v>44</v>
      </c>
      <c r="E593" s="3" t="s">
        <v>42</v>
      </c>
      <c r="F593" s="3" t="s">
        <v>126</v>
      </c>
      <c r="G593" s="3" t="s">
        <v>151</v>
      </c>
      <c r="H593" s="3">
        <v>5</v>
      </c>
      <c r="I593" s="7">
        <v>1443.87</v>
      </c>
      <c r="J593" s="9">
        <v>0.1</v>
      </c>
      <c r="K593" s="7">
        <v>6497.41</v>
      </c>
      <c r="L593" s="7">
        <v>3030.25</v>
      </c>
      <c r="M593" s="3" t="s">
        <v>56</v>
      </c>
      <c r="N593" s="3" t="str">
        <f t="shared" si="36"/>
        <v>2024-06</v>
      </c>
      <c r="O593" s="3" t="str">
        <f t="shared" si="37"/>
        <v>1-10%</v>
      </c>
      <c r="P593" s="9">
        <f t="shared" si="38"/>
        <v>0.46637814144405232</v>
      </c>
      <c r="Q593" s="3" t="str">
        <f t="shared" si="39"/>
        <v>No</v>
      </c>
    </row>
    <row r="594" spans="1:17" ht="21" customHeight="1">
      <c r="A594" s="3" t="s">
        <v>1095</v>
      </c>
      <c r="B594" s="5">
        <v>45465</v>
      </c>
      <c r="C594" s="3" t="s">
        <v>558</v>
      </c>
      <c r="D594" s="3" t="s">
        <v>44</v>
      </c>
      <c r="E594" s="3" t="s">
        <v>38</v>
      </c>
      <c r="F594" s="3" t="s">
        <v>98</v>
      </c>
      <c r="G594" s="3" t="s">
        <v>99</v>
      </c>
      <c r="H594" s="3">
        <v>1</v>
      </c>
      <c r="I594" s="7">
        <v>24205.7</v>
      </c>
      <c r="J594" s="9">
        <v>0</v>
      </c>
      <c r="K594" s="7">
        <v>24205.7</v>
      </c>
      <c r="L594" s="7">
        <v>4876.59</v>
      </c>
      <c r="M594" s="3" t="s">
        <v>60</v>
      </c>
      <c r="N594" s="3" t="str">
        <f t="shared" si="36"/>
        <v>2024-06</v>
      </c>
      <c r="O594" s="3" t="str">
        <f t="shared" si="37"/>
        <v>No discount</v>
      </c>
      <c r="P594" s="9">
        <f t="shared" si="38"/>
        <v>0.20146453108152212</v>
      </c>
      <c r="Q594" s="3" t="str">
        <f t="shared" si="39"/>
        <v>No</v>
      </c>
    </row>
    <row r="595" spans="1:17" ht="21" customHeight="1">
      <c r="A595" s="3" t="s">
        <v>1096</v>
      </c>
      <c r="B595" s="5">
        <v>45466</v>
      </c>
      <c r="C595" s="3" t="s">
        <v>1039</v>
      </c>
      <c r="D595" s="3" t="s">
        <v>46</v>
      </c>
      <c r="E595" s="3" t="s">
        <v>42</v>
      </c>
      <c r="F595" s="3" t="s">
        <v>126</v>
      </c>
      <c r="G595" s="3" t="s">
        <v>151</v>
      </c>
      <c r="H595" s="3">
        <v>5</v>
      </c>
      <c r="I595" s="7">
        <v>1540.4</v>
      </c>
      <c r="J595" s="9">
        <v>0.15</v>
      </c>
      <c r="K595" s="7">
        <v>6546.7</v>
      </c>
      <c r="L595" s="7">
        <v>2512.04</v>
      </c>
      <c r="M595" s="3" t="s">
        <v>57</v>
      </c>
      <c r="N595" s="3" t="str">
        <f t="shared" si="36"/>
        <v>2024-06</v>
      </c>
      <c r="O595" s="3" t="str">
        <f t="shared" si="37"/>
        <v>11-15%</v>
      </c>
      <c r="P595" s="9">
        <f t="shared" si="38"/>
        <v>0.38371087723585928</v>
      </c>
      <c r="Q595" s="3" t="str">
        <f t="shared" si="39"/>
        <v>No</v>
      </c>
    </row>
    <row r="596" spans="1:17" ht="21" customHeight="1">
      <c r="A596" s="3" t="s">
        <v>1097</v>
      </c>
      <c r="B596" s="5">
        <v>45466</v>
      </c>
      <c r="C596" s="3" t="s">
        <v>636</v>
      </c>
      <c r="D596" s="3" t="s">
        <v>45</v>
      </c>
      <c r="E596" s="3" t="s">
        <v>42</v>
      </c>
      <c r="F596" s="3" t="s">
        <v>90</v>
      </c>
      <c r="G596" s="3" t="s">
        <v>91</v>
      </c>
      <c r="H596" s="3">
        <v>1</v>
      </c>
      <c r="I596" s="7">
        <v>1194.03</v>
      </c>
      <c r="J596" s="9">
        <v>0.2</v>
      </c>
      <c r="K596" s="7">
        <v>955.22</v>
      </c>
      <c r="L596" s="7">
        <v>280.54000000000002</v>
      </c>
      <c r="M596" s="3" t="s">
        <v>59</v>
      </c>
      <c r="N596" s="3" t="str">
        <f t="shared" si="36"/>
        <v>2024-06</v>
      </c>
      <c r="O596" s="3" t="str">
        <f t="shared" si="37"/>
        <v>16-20%</v>
      </c>
      <c r="P596" s="9">
        <f t="shared" si="38"/>
        <v>0.29369150562174162</v>
      </c>
      <c r="Q596" s="3" t="str">
        <f t="shared" si="39"/>
        <v>No</v>
      </c>
    </row>
    <row r="597" spans="1:17" ht="21" customHeight="1">
      <c r="A597" s="3" t="s">
        <v>1098</v>
      </c>
      <c r="B597" s="5">
        <v>45466</v>
      </c>
      <c r="C597" s="3" t="s">
        <v>1099</v>
      </c>
      <c r="D597" s="3" t="s">
        <v>46</v>
      </c>
      <c r="E597" s="3" t="s">
        <v>42</v>
      </c>
      <c r="F597" s="3" t="s">
        <v>126</v>
      </c>
      <c r="G597" s="3" t="s">
        <v>127</v>
      </c>
      <c r="H597" s="3">
        <v>1</v>
      </c>
      <c r="I597" s="7">
        <v>1035.5</v>
      </c>
      <c r="J597" s="9">
        <v>0.15</v>
      </c>
      <c r="K597" s="7">
        <v>880.17</v>
      </c>
      <c r="L597" s="7">
        <v>335.89</v>
      </c>
      <c r="M597" s="3" t="s">
        <v>59</v>
      </c>
      <c r="N597" s="3" t="str">
        <f t="shared" si="36"/>
        <v>2024-06</v>
      </c>
      <c r="O597" s="3" t="str">
        <f t="shared" si="37"/>
        <v>11-15%</v>
      </c>
      <c r="P597" s="9">
        <f t="shared" si="38"/>
        <v>0.38161945987706919</v>
      </c>
      <c r="Q597" s="3" t="str">
        <f t="shared" si="39"/>
        <v>No</v>
      </c>
    </row>
    <row r="598" spans="1:17" ht="21" customHeight="1">
      <c r="A598" s="3" t="s">
        <v>1100</v>
      </c>
      <c r="B598" s="5">
        <v>45466</v>
      </c>
      <c r="C598" s="3" t="s">
        <v>1101</v>
      </c>
      <c r="D598" s="3" t="s">
        <v>46</v>
      </c>
      <c r="E598" s="3" t="s">
        <v>42</v>
      </c>
      <c r="F598" s="3" t="s">
        <v>90</v>
      </c>
      <c r="G598" s="3" t="s">
        <v>91</v>
      </c>
      <c r="H598" s="3">
        <v>1</v>
      </c>
      <c r="I598" s="7">
        <v>1192.33</v>
      </c>
      <c r="J598" s="9">
        <v>0.05</v>
      </c>
      <c r="K598" s="7">
        <v>1132.71</v>
      </c>
      <c r="L598" s="7">
        <v>554.41</v>
      </c>
      <c r="M598" s="3" t="s">
        <v>56</v>
      </c>
      <c r="N598" s="3" t="str">
        <f t="shared" si="36"/>
        <v>2024-06</v>
      </c>
      <c r="O598" s="3" t="str">
        <f t="shared" si="37"/>
        <v>1-10%</v>
      </c>
      <c r="P598" s="9">
        <f t="shared" si="38"/>
        <v>0.48945449408939617</v>
      </c>
      <c r="Q598" s="3" t="str">
        <f t="shared" si="39"/>
        <v>No</v>
      </c>
    </row>
    <row r="599" spans="1:17" ht="21" customHeight="1">
      <c r="A599" s="3" t="s">
        <v>1102</v>
      </c>
      <c r="B599" s="5">
        <v>45466</v>
      </c>
      <c r="C599" s="3" t="s">
        <v>1103</v>
      </c>
      <c r="D599" s="3" t="s">
        <v>46</v>
      </c>
      <c r="E599" s="3" t="s">
        <v>42</v>
      </c>
      <c r="F599" s="3" t="s">
        <v>126</v>
      </c>
      <c r="G599" s="3" t="s">
        <v>151</v>
      </c>
      <c r="H599" s="3">
        <v>1</v>
      </c>
      <c r="I599" s="7">
        <v>1559.85</v>
      </c>
      <c r="J599" s="9">
        <v>0</v>
      </c>
      <c r="K599" s="7">
        <v>1559.85</v>
      </c>
      <c r="L599" s="7">
        <v>899.43</v>
      </c>
      <c r="M599" s="3" t="s">
        <v>56</v>
      </c>
      <c r="N599" s="3" t="str">
        <f t="shared" si="36"/>
        <v>2024-06</v>
      </c>
      <c r="O599" s="3" t="str">
        <f t="shared" si="37"/>
        <v>No discount</v>
      </c>
      <c r="P599" s="9">
        <f t="shared" si="38"/>
        <v>0.57661313587844987</v>
      </c>
      <c r="Q599" s="3" t="str">
        <f t="shared" si="39"/>
        <v>No</v>
      </c>
    </row>
    <row r="600" spans="1:17" ht="21" customHeight="1">
      <c r="A600" s="3" t="s">
        <v>1104</v>
      </c>
      <c r="B600" s="5">
        <v>45466</v>
      </c>
      <c r="C600" s="3" t="s">
        <v>148</v>
      </c>
      <c r="D600" s="3" t="s">
        <v>45</v>
      </c>
      <c r="E600" s="3" t="s">
        <v>40</v>
      </c>
      <c r="F600" s="3" t="s">
        <v>102</v>
      </c>
      <c r="G600" s="3" t="s">
        <v>103</v>
      </c>
      <c r="H600" s="3">
        <v>2</v>
      </c>
      <c r="I600" s="7">
        <v>6719.56</v>
      </c>
      <c r="J600" s="9">
        <v>0.25</v>
      </c>
      <c r="K600" s="7">
        <v>10079.34</v>
      </c>
      <c r="L600" s="7">
        <v>521.16</v>
      </c>
      <c r="M600" s="3" t="s">
        <v>56</v>
      </c>
      <c r="N600" s="3" t="str">
        <f t="shared" si="36"/>
        <v>2024-06</v>
      </c>
      <c r="O600" s="3" t="str">
        <f t="shared" si="37"/>
        <v>21%+</v>
      </c>
      <c r="P600" s="9">
        <f t="shared" si="38"/>
        <v>5.1705766448993683E-2</v>
      </c>
      <c r="Q600" s="3" t="str">
        <f t="shared" si="39"/>
        <v>No</v>
      </c>
    </row>
    <row r="601" spans="1:17" ht="21" customHeight="1">
      <c r="A601" s="3" t="s">
        <v>1105</v>
      </c>
      <c r="B601" s="5">
        <v>45467</v>
      </c>
      <c r="C601" s="3" t="s">
        <v>179</v>
      </c>
      <c r="D601" s="3" t="s">
        <v>45</v>
      </c>
      <c r="E601" s="3" t="s">
        <v>39</v>
      </c>
      <c r="F601" s="3" t="s">
        <v>130</v>
      </c>
      <c r="G601" s="3" t="s">
        <v>193</v>
      </c>
      <c r="H601" s="3">
        <v>2</v>
      </c>
      <c r="I601" s="7">
        <v>1845.7</v>
      </c>
      <c r="J601" s="9">
        <v>0.2</v>
      </c>
      <c r="K601" s="7">
        <v>2953.12</v>
      </c>
      <c r="L601" s="7">
        <v>465.06</v>
      </c>
      <c r="M601" s="3" t="s">
        <v>57</v>
      </c>
      <c r="N601" s="3" t="str">
        <f t="shared" si="36"/>
        <v>2024-06</v>
      </c>
      <c r="O601" s="3" t="str">
        <f t="shared" si="37"/>
        <v>16-20%</v>
      </c>
      <c r="P601" s="9">
        <f t="shared" si="38"/>
        <v>0.15748090155496561</v>
      </c>
      <c r="Q601" s="3" t="str">
        <f t="shared" si="39"/>
        <v>No</v>
      </c>
    </row>
    <row r="602" spans="1:17" ht="21" customHeight="1">
      <c r="A602" s="3" t="s">
        <v>1106</v>
      </c>
      <c r="B602" s="5">
        <v>45467</v>
      </c>
      <c r="C602" s="3" t="s">
        <v>1107</v>
      </c>
      <c r="D602" s="3" t="s">
        <v>45</v>
      </c>
      <c r="E602" s="3" t="s">
        <v>38</v>
      </c>
      <c r="F602" s="3" t="s">
        <v>98</v>
      </c>
      <c r="G602" s="3" t="s">
        <v>362</v>
      </c>
      <c r="H602" s="3">
        <v>5</v>
      </c>
      <c r="I602" s="7">
        <v>31370.79</v>
      </c>
      <c r="J602" s="9">
        <v>0.15</v>
      </c>
      <c r="K602" s="7">
        <v>133325.85999999999</v>
      </c>
      <c r="L602" s="7">
        <v>4571.09</v>
      </c>
      <c r="M602" s="3" t="s">
        <v>56</v>
      </c>
      <c r="N602" s="3" t="str">
        <f t="shared" si="36"/>
        <v>2024-06</v>
      </c>
      <c r="O602" s="3" t="str">
        <f t="shared" si="37"/>
        <v>11-15%</v>
      </c>
      <c r="P602" s="9">
        <f t="shared" si="38"/>
        <v>3.4285096679668899E-2</v>
      </c>
      <c r="Q602" s="3" t="str">
        <f t="shared" si="39"/>
        <v>No</v>
      </c>
    </row>
    <row r="603" spans="1:17" ht="21" customHeight="1">
      <c r="A603" s="3" t="s">
        <v>1108</v>
      </c>
      <c r="B603" s="5">
        <v>45467</v>
      </c>
      <c r="C603" s="3" t="s">
        <v>1109</v>
      </c>
      <c r="D603" s="3" t="s">
        <v>44</v>
      </c>
      <c r="E603" s="3" t="s">
        <v>42</v>
      </c>
      <c r="F603" s="3" t="s">
        <v>126</v>
      </c>
      <c r="G603" s="3" t="s">
        <v>127</v>
      </c>
      <c r="H603" s="3">
        <v>5</v>
      </c>
      <c r="I603" s="7">
        <v>994.39</v>
      </c>
      <c r="J603" s="9">
        <v>0</v>
      </c>
      <c r="K603" s="7">
        <v>4971.95</v>
      </c>
      <c r="L603" s="7">
        <v>2571.17</v>
      </c>
      <c r="M603" s="3" t="s">
        <v>60</v>
      </c>
      <c r="N603" s="3" t="str">
        <f t="shared" si="36"/>
        <v>2024-06</v>
      </c>
      <c r="O603" s="3" t="str">
        <f t="shared" si="37"/>
        <v>No discount</v>
      </c>
      <c r="P603" s="9">
        <f t="shared" si="38"/>
        <v>0.51713512806846407</v>
      </c>
      <c r="Q603" s="3" t="str">
        <f t="shared" si="39"/>
        <v>No</v>
      </c>
    </row>
    <row r="604" spans="1:17" ht="21" customHeight="1">
      <c r="A604" s="3" t="s">
        <v>1110</v>
      </c>
      <c r="B604" s="5">
        <v>45467</v>
      </c>
      <c r="C604" s="3" t="s">
        <v>498</v>
      </c>
      <c r="D604" s="3" t="s">
        <v>45</v>
      </c>
      <c r="E604" s="3" t="s">
        <v>39</v>
      </c>
      <c r="F604" s="3" t="s">
        <v>109</v>
      </c>
      <c r="G604" s="3" t="s">
        <v>355</v>
      </c>
      <c r="H604" s="3">
        <v>2</v>
      </c>
      <c r="I604" s="7">
        <v>3386.3</v>
      </c>
      <c r="J604" s="9">
        <v>0.25</v>
      </c>
      <c r="K604" s="7">
        <v>5079.45</v>
      </c>
      <c r="L604" s="7">
        <v>853.87</v>
      </c>
      <c r="M604" s="3" t="s">
        <v>60</v>
      </c>
      <c r="N604" s="3" t="str">
        <f t="shared" si="36"/>
        <v>2024-06</v>
      </c>
      <c r="O604" s="3" t="str">
        <f t="shared" si="37"/>
        <v>21%+</v>
      </c>
      <c r="P604" s="9">
        <f t="shared" si="38"/>
        <v>0.1681028457805471</v>
      </c>
      <c r="Q604" s="3" t="str">
        <f t="shared" si="39"/>
        <v>No</v>
      </c>
    </row>
    <row r="605" spans="1:17" ht="21" customHeight="1">
      <c r="A605" s="3" t="s">
        <v>1111</v>
      </c>
      <c r="B605" s="5">
        <v>45467</v>
      </c>
      <c r="C605" s="3" t="s">
        <v>177</v>
      </c>
      <c r="D605" s="3" t="s">
        <v>47</v>
      </c>
      <c r="E605" s="3" t="s">
        <v>40</v>
      </c>
      <c r="F605" s="3" t="s">
        <v>160</v>
      </c>
      <c r="G605" s="3" t="s">
        <v>173</v>
      </c>
      <c r="H605" s="3">
        <v>1</v>
      </c>
      <c r="I605" s="7">
        <v>8760.48</v>
      </c>
      <c r="J605" s="9">
        <v>0.1</v>
      </c>
      <c r="K605" s="7">
        <v>7884.43</v>
      </c>
      <c r="L605" s="7">
        <v>1827.47</v>
      </c>
      <c r="M605" s="3" t="s">
        <v>57</v>
      </c>
      <c r="N605" s="3" t="str">
        <f t="shared" si="36"/>
        <v>2024-06</v>
      </c>
      <c r="O605" s="3" t="str">
        <f t="shared" si="37"/>
        <v>1-10%</v>
      </c>
      <c r="P605" s="9">
        <f t="shared" si="38"/>
        <v>0.23178213263355751</v>
      </c>
      <c r="Q605" s="3" t="str">
        <f t="shared" si="39"/>
        <v>No</v>
      </c>
    </row>
    <row r="606" spans="1:17" ht="21" customHeight="1">
      <c r="A606" s="3" t="s">
        <v>1112</v>
      </c>
      <c r="B606" s="5">
        <v>45467</v>
      </c>
      <c r="C606" s="3" t="s">
        <v>1072</v>
      </c>
      <c r="D606" s="3" t="s">
        <v>46</v>
      </c>
      <c r="E606" s="3" t="s">
        <v>42</v>
      </c>
      <c r="F606" s="3" t="s">
        <v>90</v>
      </c>
      <c r="G606" s="3" t="s">
        <v>91</v>
      </c>
      <c r="H606" s="3">
        <v>4</v>
      </c>
      <c r="I606" s="7">
        <v>1194.22</v>
      </c>
      <c r="J606" s="9">
        <v>0</v>
      </c>
      <c r="K606" s="7">
        <v>4776.88</v>
      </c>
      <c r="L606" s="7">
        <v>2491.4</v>
      </c>
      <c r="M606" s="3" t="s">
        <v>56</v>
      </c>
      <c r="N606" s="3" t="str">
        <f t="shared" si="36"/>
        <v>2024-06</v>
      </c>
      <c r="O606" s="3" t="str">
        <f t="shared" si="37"/>
        <v>No discount</v>
      </c>
      <c r="P606" s="9">
        <f t="shared" si="38"/>
        <v>0.52155381755455443</v>
      </c>
      <c r="Q606" s="3" t="str">
        <f t="shared" si="39"/>
        <v>No</v>
      </c>
    </row>
    <row r="607" spans="1:17" ht="21" customHeight="1">
      <c r="A607" s="3" t="s">
        <v>1113</v>
      </c>
      <c r="B607" s="5">
        <v>45468</v>
      </c>
      <c r="C607" s="3" t="s">
        <v>118</v>
      </c>
      <c r="D607" s="3" t="s">
        <v>44</v>
      </c>
      <c r="E607" s="3" t="s">
        <v>40</v>
      </c>
      <c r="F607" s="3" t="s">
        <v>102</v>
      </c>
      <c r="G607" s="3" t="s">
        <v>146</v>
      </c>
      <c r="H607" s="3">
        <v>2</v>
      </c>
      <c r="I607" s="7">
        <v>7944.43</v>
      </c>
      <c r="J607" s="9">
        <v>0.25</v>
      </c>
      <c r="K607" s="7">
        <v>11916.65</v>
      </c>
      <c r="L607" s="7">
        <v>928.97</v>
      </c>
      <c r="M607" s="3" t="s">
        <v>56</v>
      </c>
      <c r="N607" s="3" t="str">
        <f t="shared" si="36"/>
        <v>2024-06</v>
      </c>
      <c r="O607" s="3" t="str">
        <f t="shared" si="37"/>
        <v>21%+</v>
      </c>
      <c r="P607" s="9">
        <f t="shared" si="38"/>
        <v>7.7955633504382532E-2</v>
      </c>
      <c r="Q607" s="3" t="str">
        <f t="shared" si="39"/>
        <v>No</v>
      </c>
    </row>
    <row r="608" spans="1:17" ht="21" customHeight="1">
      <c r="A608" s="3" t="s">
        <v>1114</v>
      </c>
      <c r="B608" s="5">
        <v>45469</v>
      </c>
      <c r="C608" s="3" t="s">
        <v>1115</v>
      </c>
      <c r="D608" s="3" t="s">
        <v>45</v>
      </c>
      <c r="E608" s="3" t="s">
        <v>38</v>
      </c>
      <c r="F608" s="3" t="s">
        <v>98</v>
      </c>
      <c r="G608" s="3" t="s">
        <v>362</v>
      </c>
      <c r="H608" s="3">
        <v>2</v>
      </c>
      <c r="I608" s="7">
        <v>32729.200000000001</v>
      </c>
      <c r="J608" s="9">
        <v>0.05</v>
      </c>
      <c r="K608" s="7">
        <v>62185.48</v>
      </c>
      <c r="L608" s="7">
        <v>5816.17</v>
      </c>
      <c r="M608" s="3" t="s">
        <v>56</v>
      </c>
      <c r="N608" s="3" t="str">
        <f t="shared" si="36"/>
        <v>2024-06</v>
      </c>
      <c r="O608" s="3" t="str">
        <f t="shared" si="37"/>
        <v>1-10%</v>
      </c>
      <c r="P608" s="9">
        <f t="shared" si="38"/>
        <v>9.352938981897381E-2</v>
      </c>
      <c r="Q608" s="3" t="str">
        <f t="shared" si="39"/>
        <v>No</v>
      </c>
    </row>
    <row r="609" spans="1:17" ht="21" customHeight="1">
      <c r="A609" s="3" t="s">
        <v>1116</v>
      </c>
      <c r="B609" s="5">
        <v>45469</v>
      </c>
      <c r="C609" s="3" t="s">
        <v>322</v>
      </c>
      <c r="D609" s="3" t="s">
        <v>45</v>
      </c>
      <c r="E609" s="3" t="s">
        <v>40</v>
      </c>
      <c r="F609" s="3" t="s">
        <v>102</v>
      </c>
      <c r="G609" s="3" t="s">
        <v>146</v>
      </c>
      <c r="H609" s="3">
        <v>2</v>
      </c>
      <c r="I609" s="7">
        <v>8059.55</v>
      </c>
      <c r="J609" s="9">
        <v>0.25</v>
      </c>
      <c r="K609" s="7">
        <v>12089.33</v>
      </c>
      <c r="L609" s="7">
        <v>980.6</v>
      </c>
      <c r="M609" s="3" t="s">
        <v>60</v>
      </c>
      <c r="N609" s="3" t="str">
        <f t="shared" si="36"/>
        <v>2024-06</v>
      </c>
      <c r="O609" s="3" t="str">
        <f t="shared" si="37"/>
        <v>21%+</v>
      </c>
      <c r="P609" s="9">
        <f t="shared" si="38"/>
        <v>8.1112849099164303E-2</v>
      </c>
      <c r="Q609" s="3" t="str">
        <f t="shared" si="39"/>
        <v>No</v>
      </c>
    </row>
    <row r="610" spans="1:17" ht="21" customHeight="1">
      <c r="A610" s="3" t="s">
        <v>1117</v>
      </c>
      <c r="B610" s="5">
        <v>45469</v>
      </c>
      <c r="C610" s="3" t="s">
        <v>370</v>
      </c>
      <c r="D610" s="3" t="s">
        <v>45</v>
      </c>
      <c r="E610" s="3" t="s">
        <v>38</v>
      </c>
      <c r="F610" s="3" t="s">
        <v>98</v>
      </c>
      <c r="G610" s="3" t="s">
        <v>362</v>
      </c>
      <c r="H610" s="3">
        <v>2</v>
      </c>
      <c r="I610" s="7">
        <v>32398.84</v>
      </c>
      <c r="J610" s="9">
        <v>0.05</v>
      </c>
      <c r="K610" s="7">
        <v>61557.8</v>
      </c>
      <c r="L610" s="7">
        <v>6963.61</v>
      </c>
      <c r="M610" s="3" t="s">
        <v>57</v>
      </c>
      <c r="N610" s="3" t="str">
        <f t="shared" si="36"/>
        <v>2024-06</v>
      </c>
      <c r="O610" s="3" t="str">
        <f t="shared" si="37"/>
        <v>1-10%</v>
      </c>
      <c r="P610" s="9">
        <f t="shared" si="38"/>
        <v>0.11312311356156327</v>
      </c>
      <c r="Q610" s="3" t="str">
        <f t="shared" si="39"/>
        <v>No</v>
      </c>
    </row>
    <row r="611" spans="1:17" ht="21" customHeight="1">
      <c r="A611" s="3" t="s">
        <v>1118</v>
      </c>
      <c r="B611" s="5">
        <v>45469</v>
      </c>
      <c r="C611" s="3" t="s">
        <v>436</v>
      </c>
      <c r="D611" s="3" t="s">
        <v>44</v>
      </c>
      <c r="E611" s="3" t="s">
        <v>41</v>
      </c>
      <c r="F611" s="3" t="s">
        <v>119</v>
      </c>
      <c r="G611" s="3" t="s">
        <v>168</v>
      </c>
      <c r="H611" s="3">
        <v>1</v>
      </c>
      <c r="I611" s="7">
        <v>9942.98</v>
      </c>
      <c r="J611" s="9">
        <v>0.15</v>
      </c>
      <c r="K611" s="7">
        <v>8451.5300000000007</v>
      </c>
      <c r="L611" s="7">
        <v>1851.63</v>
      </c>
      <c r="M611" s="3" t="s">
        <v>56</v>
      </c>
      <c r="N611" s="3" t="str">
        <f t="shared" si="36"/>
        <v>2024-06</v>
      </c>
      <c r="O611" s="3" t="str">
        <f t="shared" si="37"/>
        <v>11-15%</v>
      </c>
      <c r="P611" s="9">
        <f t="shared" si="38"/>
        <v>0.21908814143711255</v>
      </c>
      <c r="Q611" s="3" t="str">
        <f t="shared" si="39"/>
        <v>No</v>
      </c>
    </row>
    <row r="612" spans="1:17" ht="21" customHeight="1">
      <c r="A612" s="3" t="s">
        <v>1119</v>
      </c>
      <c r="B612" s="5">
        <v>45469</v>
      </c>
      <c r="C612" s="3" t="s">
        <v>805</v>
      </c>
      <c r="D612" s="3" t="s">
        <v>46</v>
      </c>
      <c r="E612" s="3" t="s">
        <v>39</v>
      </c>
      <c r="F612" s="3" t="s">
        <v>130</v>
      </c>
      <c r="G612" s="3" t="s">
        <v>131</v>
      </c>
      <c r="H612" s="3">
        <v>1</v>
      </c>
      <c r="I612" s="7">
        <v>2295.62</v>
      </c>
      <c r="J612" s="9">
        <v>0.1</v>
      </c>
      <c r="K612" s="7">
        <v>2066.06</v>
      </c>
      <c r="L612" s="7">
        <v>549.21</v>
      </c>
      <c r="M612" s="3" t="s">
        <v>56</v>
      </c>
      <c r="N612" s="3" t="str">
        <f t="shared" si="36"/>
        <v>2024-06</v>
      </c>
      <c r="O612" s="3" t="str">
        <f t="shared" si="37"/>
        <v>1-10%</v>
      </c>
      <c r="P612" s="9">
        <f t="shared" si="38"/>
        <v>0.26582480663678693</v>
      </c>
      <c r="Q612" s="3" t="str">
        <f t="shared" si="39"/>
        <v>No</v>
      </c>
    </row>
    <row r="613" spans="1:17" ht="21" customHeight="1">
      <c r="A613" s="3" t="s">
        <v>1120</v>
      </c>
      <c r="B613" s="5">
        <v>45469</v>
      </c>
      <c r="C613" s="3" t="s">
        <v>833</v>
      </c>
      <c r="D613" s="3" t="s">
        <v>45</v>
      </c>
      <c r="E613" s="3" t="s">
        <v>40</v>
      </c>
      <c r="F613" s="3" t="s">
        <v>221</v>
      </c>
      <c r="G613" s="3" t="s">
        <v>279</v>
      </c>
      <c r="H613" s="3">
        <v>1</v>
      </c>
      <c r="I613" s="7">
        <v>1446.37</v>
      </c>
      <c r="J613" s="9">
        <v>0.05</v>
      </c>
      <c r="K613" s="7">
        <v>1374.05</v>
      </c>
      <c r="L613" s="7">
        <v>330.3</v>
      </c>
      <c r="M613" s="3" t="s">
        <v>57</v>
      </c>
      <c r="N613" s="3" t="str">
        <f t="shared" si="36"/>
        <v>2024-06</v>
      </c>
      <c r="O613" s="3" t="str">
        <f t="shared" si="37"/>
        <v>1-10%</v>
      </c>
      <c r="P613" s="9">
        <f t="shared" si="38"/>
        <v>0.24038426549252212</v>
      </c>
      <c r="Q613" s="3" t="str">
        <f t="shared" si="39"/>
        <v>No</v>
      </c>
    </row>
    <row r="614" spans="1:17" ht="21" customHeight="1">
      <c r="A614" s="3" t="s">
        <v>1121</v>
      </c>
      <c r="B614" s="5">
        <v>45470</v>
      </c>
      <c r="C614" s="3" t="s">
        <v>1122</v>
      </c>
      <c r="D614" s="3" t="s">
        <v>47</v>
      </c>
      <c r="E614" s="3" t="s">
        <v>41</v>
      </c>
      <c r="F614" s="3" t="s">
        <v>113</v>
      </c>
      <c r="G614" s="3" t="s">
        <v>114</v>
      </c>
      <c r="H614" s="3">
        <v>1</v>
      </c>
      <c r="I614" s="7">
        <v>11846.41</v>
      </c>
      <c r="J614" s="9">
        <v>0</v>
      </c>
      <c r="K614" s="7">
        <v>11846.41</v>
      </c>
      <c r="L614" s="7">
        <v>4321.96</v>
      </c>
      <c r="M614" s="3" t="s">
        <v>60</v>
      </c>
      <c r="N614" s="3" t="str">
        <f t="shared" si="36"/>
        <v>2024-06</v>
      </c>
      <c r="O614" s="3" t="str">
        <f t="shared" si="37"/>
        <v>No discount</v>
      </c>
      <c r="P614" s="9">
        <f t="shared" si="38"/>
        <v>0.36483289030178762</v>
      </c>
      <c r="Q614" s="3" t="str">
        <f t="shared" si="39"/>
        <v>No</v>
      </c>
    </row>
    <row r="615" spans="1:17" ht="21" customHeight="1">
      <c r="A615" s="3" t="s">
        <v>1123</v>
      </c>
      <c r="B615" s="5">
        <v>45471</v>
      </c>
      <c r="C615" s="3" t="s">
        <v>1042</v>
      </c>
      <c r="D615" s="3" t="s">
        <v>46</v>
      </c>
      <c r="E615" s="3" t="s">
        <v>38</v>
      </c>
      <c r="F615" s="3" t="s">
        <v>98</v>
      </c>
      <c r="G615" s="3" t="s">
        <v>182</v>
      </c>
      <c r="H615" s="3">
        <v>3</v>
      </c>
      <c r="I615" s="7">
        <v>73154.460000000006</v>
      </c>
      <c r="J615" s="9">
        <v>0.1</v>
      </c>
      <c r="K615" s="7">
        <v>197517.04</v>
      </c>
      <c r="L615" s="7">
        <v>20732.53</v>
      </c>
      <c r="M615" s="3" t="s">
        <v>56</v>
      </c>
      <c r="N615" s="3" t="str">
        <f t="shared" si="36"/>
        <v>2024-06</v>
      </c>
      <c r="O615" s="3" t="str">
        <f t="shared" si="37"/>
        <v>1-10%</v>
      </c>
      <c r="P615" s="9">
        <f t="shared" si="38"/>
        <v>0.10496577915505416</v>
      </c>
      <c r="Q615" s="3" t="str">
        <f t="shared" si="39"/>
        <v>No</v>
      </c>
    </row>
    <row r="616" spans="1:17" ht="21" customHeight="1">
      <c r="A616" s="3" t="s">
        <v>1124</v>
      </c>
      <c r="B616" s="5">
        <v>45471</v>
      </c>
      <c r="C616" s="3" t="s">
        <v>858</v>
      </c>
      <c r="D616" s="3" t="s">
        <v>46</v>
      </c>
      <c r="E616" s="3" t="s">
        <v>41</v>
      </c>
      <c r="F616" s="3" t="s">
        <v>119</v>
      </c>
      <c r="G616" s="3" t="s">
        <v>168</v>
      </c>
      <c r="H616" s="3">
        <v>1</v>
      </c>
      <c r="I616" s="7">
        <v>10406.9</v>
      </c>
      <c r="J616" s="9">
        <v>0.1</v>
      </c>
      <c r="K616" s="7">
        <v>9366.2099999999991</v>
      </c>
      <c r="L616" s="7">
        <v>2174.4299999999998</v>
      </c>
      <c r="M616" s="3" t="s">
        <v>57</v>
      </c>
      <c r="N616" s="3" t="str">
        <f t="shared" si="36"/>
        <v>2024-06</v>
      </c>
      <c r="O616" s="3" t="str">
        <f t="shared" si="37"/>
        <v>1-10%</v>
      </c>
      <c r="P616" s="9">
        <f t="shared" si="38"/>
        <v>0.232156870281576</v>
      </c>
      <c r="Q616" s="3" t="str">
        <f t="shared" si="39"/>
        <v>No</v>
      </c>
    </row>
    <row r="617" spans="1:17" ht="21" customHeight="1">
      <c r="A617" s="3" t="s">
        <v>1125</v>
      </c>
      <c r="B617" s="5">
        <v>45471</v>
      </c>
      <c r="C617" s="3" t="s">
        <v>700</v>
      </c>
      <c r="D617" s="3" t="s">
        <v>45</v>
      </c>
      <c r="E617" s="3" t="s">
        <v>39</v>
      </c>
      <c r="F617" s="3" t="s">
        <v>164</v>
      </c>
      <c r="G617" s="3" t="s">
        <v>165</v>
      </c>
      <c r="H617" s="3">
        <v>1</v>
      </c>
      <c r="I617" s="7">
        <v>1989.68</v>
      </c>
      <c r="J617" s="9">
        <v>0.05</v>
      </c>
      <c r="K617" s="7">
        <v>1890.2</v>
      </c>
      <c r="L617" s="7">
        <v>701.65</v>
      </c>
      <c r="M617" s="3" t="s">
        <v>58</v>
      </c>
      <c r="N617" s="3" t="str">
        <f t="shared" si="36"/>
        <v>2024-06</v>
      </c>
      <c r="O617" s="3" t="str">
        <f t="shared" si="37"/>
        <v>1-10%</v>
      </c>
      <c r="P617" s="9">
        <f t="shared" si="38"/>
        <v>0.37120410538567344</v>
      </c>
      <c r="Q617" s="3" t="str">
        <f t="shared" si="39"/>
        <v>No</v>
      </c>
    </row>
    <row r="618" spans="1:17" ht="21" customHeight="1">
      <c r="A618" s="3" t="s">
        <v>1126</v>
      </c>
      <c r="B618" s="5">
        <v>45471</v>
      </c>
      <c r="C618" s="3" t="s">
        <v>473</v>
      </c>
      <c r="D618" s="3" t="s">
        <v>46</v>
      </c>
      <c r="E618" s="3" t="s">
        <v>39</v>
      </c>
      <c r="F618" s="3" t="s">
        <v>130</v>
      </c>
      <c r="G618" s="3" t="s">
        <v>193</v>
      </c>
      <c r="H618" s="3">
        <v>2</v>
      </c>
      <c r="I618" s="7">
        <v>1876.48</v>
      </c>
      <c r="J618" s="9">
        <v>0.15</v>
      </c>
      <c r="K618" s="7">
        <v>3190.02</v>
      </c>
      <c r="L618" s="7">
        <v>764.17</v>
      </c>
      <c r="M618" s="3" t="s">
        <v>56</v>
      </c>
      <c r="N618" s="3" t="str">
        <f t="shared" si="36"/>
        <v>2024-06</v>
      </c>
      <c r="O618" s="3" t="str">
        <f t="shared" si="37"/>
        <v>11-15%</v>
      </c>
      <c r="P618" s="9">
        <f t="shared" si="38"/>
        <v>0.23955022225565983</v>
      </c>
      <c r="Q618" s="3" t="str">
        <f t="shared" si="39"/>
        <v>No</v>
      </c>
    </row>
    <row r="619" spans="1:17" ht="21" customHeight="1">
      <c r="A619" s="3" t="s">
        <v>1127</v>
      </c>
      <c r="B619" s="5">
        <v>45471</v>
      </c>
      <c r="C619" s="3" t="s">
        <v>715</v>
      </c>
      <c r="D619" s="3" t="s">
        <v>45</v>
      </c>
      <c r="E619" s="3" t="s">
        <v>40</v>
      </c>
      <c r="F619" s="3" t="s">
        <v>221</v>
      </c>
      <c r="G619" s="3" t="s">
        <v>222</v>
      </c>
      <c r="H619" s="3">
        <v>2</v>
      </c>
      <c r="I619" s="7">
        <v>982.34</v>
      </c>
      <c r="J619" s="9">
        <v>0</v>
      </c>
      <c r="K619" s="7">
        <v>1964.68</v>
      </c>
      <c r="L619" s="7">
        <v>632.01</v>
      </c>
      <c r="M619" s="3" t="s">
        <v>60</v>
      </c>
      <c r="N619" s="3" t="str">
        <f t="shared" si="36"/>
        <v>2024-06</v>
      </c>
      <c r="O619" s="3" t="str">
        <f t="shared" si="37"/>
        <v>No discount</v>
      </c>
      <c r="P619" s="9">
        <f t="shared" si="38"/>
        <v>0.32168597430624835</v>
      </c>
      <c r="Q619" s="3" t="str">
        <f t="shared" si="39"/>
        <v>No</v>
      </c>
    </row>
    <row r="620" spans="1:17" ht="21" customHeight="1">
      <c r="A620" s="3" t="s">
        <v>1128</v>
      </c>
      <c r="B620" s="5">
        <v>45471</v>
      </c>
      <c r="C620" s="3" t="s">
        <v>1129</v>
      </c>
      <c r="D620" s="3" t="s">
        <v>46</v>
      </c>
      <c r="E620" s="3" t="s">
        <v>41</v>
      </c>
      <c r="F620" s="3" t="s">
        <v>113</v>
      </c>
      <c r="G620" s="3" t="s">
        <v>123</v>
      </c>
      <c r="H620" s="3">
        <v>4</v>
      </c>
      <c r="I620" s="7">
        <v>3455.53</v>
      </c>
      <c r="J620" s="9">
        <v>0.1</v>
      </c>
      <c r="K620" s="7">
        <v>12439.91</v>
      </c>
      <c r="L620" s="7">
        <v>2805.57</v>
      </c>
      <c r="M620" s="3" t="s">
        <v>56</v>
      </c>
      <c r="N620" s="3" t="str">
        <f t="shared" si="36"/>
        <v>2024-06</v>
      </c>
      <c r="O620" s="3" t="str">
        <f t="shared" si="37"/>
        <v>1-10%</v>
      </c>
      <c r="P620" s="9">
        <f t="shared" si="38"/>
        <v>0.2255297666944536</v>
      </c>
      <c r="Q620" s="3" t="str">
        <f t="shared" si="39"/>
        <v>No</v>
      </c>
    </row>
    <row r="621" spans="1:17" ht="21" customHeight="1">
      <c r="A621" s="3" t="s">
        <v>1130</v>
      </c>
      <c r="B621" s="5">
        <v>45471</v>
      </c>
      <c r="C621" s="3" t="s">
        <v>1131</v>
      </c>
      <c r="D621" s="3" t="s">
        <v>47</v>
      </c>
      <c r="E621" s="3" t="s">
        <v>42</v>
      </c>
      <c r="F621" s="3" t="s">
        <v>126</v>
      </c>
      <c r="G621" s="3" t="s">
        <v>127</v>
      </c>
      <c r="H621" s="3">
        <v>1</v>
      </c>
      <c r="I621" s="7">
        <v>1030.8699999999999</v>
      </c>
      <c r="J621" s="9">
        <v>0.05</v>
      </c>
      <c r="K621" s="7">
        <v>979.33</v>
      </c>
      <c r="L621" s="7">
        <v>456.37</v>
      </c>
      <c r="M621" s="3" t="s">
        <v>60</v>
      </c>
      <c r="N621" s="3" t="str">
        <f t="shared" si="36"/>
        <v>2024-06</v>
      </c>
      <c r="O621" s="3" t="str">
        <f t="shared" si="37"/>
        <v>1-10%</v>
      </c>
      <c r="P621" s="9">
        <f t="shared" si="38"/>
        <v>0.46600226685591167</v>
      </c>
      <c r="Q621" s="3" t="str">
        <f t="shared" si="39"/>
        <v>No</v>
      </c>
    </row>
    <row r="622" spans="1:17" ht="21" customHeight="1">
      <c r="A622" s="3" t="s">
        <v>1132</v>
      </c>
      <c r="B622" s="5">
        <v>45472</v>
      </c>
      <c r="C622" s="3" t="s">
        <v>962</v>
      </c>
      <c r="D622" s="3" t="s">
        <v>46</v>
      </c>
      <c r="E622" s="3" t="s">
        <v>39</v>
      </c>
      <c r="F622" s="3" t="s">
        <v>109</v>
      </c>
      <c r="G622" s="3" t="s">
        <v>110</v>
      </c>
      <c r="H622" s="3">
        <v>1</v>
      </c>
      <c r="I622" s="7">
        <v>2864.69</v>
      </c>
      <c r="J622" s="9">
        <v>0</v>
      </c>
      <c r="K622" s="7">
        <v>2864.69</v>
      </c>
      <c r="L622" s="7">
        <v>1238.6099999999999</v>
      </c>
      <c r="M622" s="3" t="s">
        <v>60</v>
      </c>
      <c r="N622" s="3" t="str">
        <f t="shared" si="36"/>
        <v>2024-06</v>
      </c>
      <c r="O622" s="3" t="str">
        <f t="shared" si="37"/>
        <v>No discount</v>
      </c>
      <c r="P622" s="9">
        <f t="shared" si="38"/>
        <v>0.43237139097075072</v>
      </c>
      <c r="Q622" s="3" t="str">
        <f t="shared" si="39"/>
        <v>No</v>
      </c>
    </row>
    <row r="623" spans="1:17" ht="21" customHeight="1">
      <c r="A623" s="3" t="s">
        <v>1133</v>
      </c>
      <c r="B623" s="5">
        <v>45472</v>
      </c>
      <c r="C623" s="3" t="s">
        <v>1134</v>
      </c>
      <c r="D623" s="3" t="s">
        <v>46</v>
      </c>
      <c r="E623" s="3" t="s">
        <v>40</v>
      </c>
      <c r="F623" s="3" t="s">
        <v>160</v>
      </c>
      <c r="G623" s="3" t="s">
        <v>161</v>
      </c>
      <c r="H623" s="3">
        <v>1</v>
      </c>
      <c r="I623" s="7">
        <v>13323.43</v>
      </c>
      <c r="J623" s="9">
        <v>0.2</v>
      </c>
      <c r="K623" s="7">
        <v>10658.74</v>
      </c>
      <c r="L623" s="7">
        <v>750.58</v>
      </c>
      <c r="M623" s="3" t="s">
        <v>56</v>
      </c>
      <c r="N623" s="3" t="str">
        <f t="shared" si="36"/>
        <v>2024-06</v>
      </c>
      <c r="O623" s="3" t="str">
        <f t="shared" si="37"/>
        <v>16-20%</v>
      </c>
      <c r="P623" s="9">
        <f t="shared" si="38"/>
        <v>7.0419205271917695E-2</v>
      </c>
      <c r="Q623" s="3" t="str">
        <f t="shared" si="39"/>
        <v>No</v>
      </c>
    </row>
    <row r="624" spans="1:17" ht="21" customHeight="1">
      <c r="A624" s="3" t="s">
        <v>1135</v>
      </c>
      <c r="B624" s="5">
        <v>45473</v>
      </c>
      <c r="C624" s="3" t="s">
        <v>333</v>
      </c>
      <c r="D624" s="3" t="s">
        <v>44</v>
      </c>
      <c r="E624" s="3" t="s">
        <v>39</v>
      </c>
      <c r="F624" s="3" t="s">
        <v>130</v>
      </c>
      <c r="G624" s="3" t="s">
        <v>193</v>
      </c>
      <c r="H624" s="3">
        <v>1</v>
      </c>
      <c r="I624" s="7">
        <v>1824.01</v>
      </c>
      <c r="J624" s="9">
        <v>0.3</v>
      </c>
      <c r="K624" s="7">
        <v>1276.81</v>
      </c>
      <c r="L624" s="7">
        <v>75.81</v>
      </c>
      <c r="M624" s="3" t="s">
        <v>57</v>
      </c>
      <c r="N624" s="3" t="str">
        <f t="shared" si="36"/>
        <v>2024-06</v>
      </c>
      <c r="O624" s="3" t="str">
        <f t="shared" si="37"/>
        <v>21%+</v>
      </c>
      <c r="P624" s="9">
        <f t="shared" si="38"/>
        <v>5.9374534973880219E-2</v>
      </c>
      <c r="Q624" s="3" t="str">
        <f t="shared" si="39"/>
        <v>No</v>
      </c>
    </row>
    <row r="625" spans="1:17" ht="21" customHeight="1">
      <c r="A625" s="3" t="s">
        <v>1136</v>
      </c>
      <c r="B625" s="5">
        <v>45473</v>
      </c>
      <c r="C625" s="3" t="s">
        <v>741</v>
      </c>
      <c r="D625" s="3" t="s">
        <v>45</v>
      </c>
      <c r="E625" s="3" t="s">
        <v>39</v>
      </c>
      <c r="F625" s="3" t="s">
        <v>109</v>
      </c>
      <c r="G625" s="3" t="s">
        <v>110</v>
      </c>
      <c r="H625" s="3">
        <v>5</v>
      </c>
      <c r="I625" s="7">
        <v>3053.94</v>
      </c>
      <c r="J625" s="9">
        <v>0</v>
      </c>
      <c r="K625" s="7">
        <v>15269.7</v>
      </c>
      <c r="L625" s="7">
        <v>5991.43</v>
      </c>
      <c r="M625" s="3" t="s">
        <v>56</v>
      </c>
      <c r="N625" s="3" t="str">
        <f t="shared" si="36"/>
        <v>2024-06</v>
      </c>
      <c r="O625" s="3" t="str">
        <f t="shared" si="37"/>
        <v>No discount</v>
      </c>
      <c r="P625" s="9">
        <f t="shared" si="38"/>
        <v>0.3923737859944858</v>
      </c>
      <c r="Q625" s="3" t="str">
        <f t="shared" si="39"/>
        <v>No</v>
      </c>
    </row>
    <row r="626" spans="1:17" ht="21" customHeight="1">
      <c r="A626" s="3" t="s">
        <v>1137</v>
      </c>
      <c r="B626" s="5">
        <v>45473</v>
      </c>
      <c r="C626" s="3" t="s">
        <v>1138</v>
      </c>
      <c r="D626" s="3" t="s">
        <v>45</v>
      </c>
      <c r="E626" s="3" t="s">
        <v>41</v>
      </c>
      <c r="F626" s="3" t="s">
        <v>119</v>
      </c>
      <c r="G626" s="3" t="s">
        <v>120</v>
      </c>
      <c r="H626" s="3">
        <v>1</v>
      </c>
      <c r="I626" s="7">
        <v>1325.52</v>
      </c>
      <c r="J626" s="9">
        <v>0.15</v>
      </c>
      <c r="K626" s="7">
        <v>1126.69</v>
      </c>
      <c r="L626" s="7">
        <v>228.85</v>
      </c>
      <c r="M626" s="3" t="s">
        <v>57</v>
      </c>
      <c r="N626" s="3" t="str">
        <f t="shared" si="36"/>
        <v>2024-06</v>
      </c>
      <c r="O626" s="3" t="str">
        <f t="shared" si="37"/>
        <v>11-15%</v>
      </c>
      <c r="P626" s="9">
        <f t="shared" si="38"/>
        <v>0.20311709520808738</v>
      </c>
      <c r="Q626" s="3" t="str">
        <f t="shared" si="39"/>
        <v>No</v>
      </c>
    </row>
    <row r="627" spans="1:17" ht="21" customHeight="1">
      <c r="A627" s="3" t="s">
        <v>1139</v>
      </c>
      <c r="B627" s="5">
        <v>45473</v>
      </c>
      <c r="C627" s="3" t="s">
        <v>1140</v>
      </c>
      <c r="D627" s="3" t="s">
        <v>45</v>
      </c>
      <c r="E627" s="3" t="s">
        <v>38</v>
      </c>
      <c r="F627" s="3" t="s">
        <v>98</v>
      </c>
      <c r="G627" s="3" t="s">
        <v>182</v>
      </c>
      <c r="H627" s="3">
        <v>2</v>
      </c>
      <c r="I627" s="7">
        <v>71050.080000000002</v>
      </c>
      <c r="J627" s="9">
        <v>0.4</v>
      </c>
      <c r="K627" s="7">
        <v>85260.1</v>
      </c>
      <c r="L627" s="7">
        <v>-24487.66</v>
      </c>
      <c r="M627" s="3" t="s">
        <v>56</v>
      </c>
      <c r="N627" s="3" t="str">
        <f t="shared" si="36"/>
        <v>2024-06</v>
      </c>
      <c r="O627" s="3" t="str">
        <f t="shared" si="37"/>
        <v>21%+</v>
      </c>
      <c r="P627" s="9">
        <f t="shared" si="38"/>
        <v>-0.28721125121833069</v>
      </c>
      <c r="Q627" s="3" t="str">
        <f t="shared" si="39"/>
        <v>Yes</v>
      </c>
    </row>
    <row r="628" spans="1:17" ht="21" customHeight="1">
      <c r="A628" s="3" t="s">
        <v>1141</v>
      </c>
      <c r="B628" s="5">
        <v>45474</v>
      </c>
      <c r="C628" s="3" t="s">
        <v>1142</v>
      </c>
      <c r="D628" s="3" t="s">
        <v>44</v>
      </c>
      <c r="E628" s="3" t="s">
        <v>40</v>
      </c>
      <c r="F628" s="3" t="s">
        <v>160</v>
      </c>
      <c r="G628" s="3" t="s">
        <v>161</v>
      </c>
      <c r="H628" s="3">
        <v>1</v>
      </c>
      <c r="I628" s="7">
        <v>12854.18</v>
      </c>
      <c r="J628" s="9">
        <v>0</v>
      </c>
      <c r="K628" s="7">
        <v>12854.18</v>
      </c>
      <c r="L628" s="7">
        <v>4751.8900000000003</v>
      </c>
      <c r="M628" s="3" t="s">
        <v>58</v>
      </c>
      <c r="N628" s="3" t="str">
        <f t="shared" si="36"/>
        <v>2024-07</v>
      </c>
      <c r="O628" s="3" t="str">
        <f t="shared" si="37"/>
        <v>No discount</v>
      </c>
      <c r="P628" s="9">
        <f t="shared" si="38"/>
        <v>0.36967663437107617</v>
      </c>
      <c r="Q628" s="3" t="str">
        <f t="shared" si="39"/>
        <v>No</v>
      </c>
    </row>
    <row r="629" spans="1:17" ht="21" customHeight="1">
      <c r="A629" s="3" t="s">
        <v>1143</v>
      </c>
      <c r="B629" s="5">
        <v>45474</v>
      </c>
      <c r="C629" s="3" t="s">
        <v>902</v>
      </c>
      <c r="D629" s="3" t="s">
        <v>46</v>
      </c>
      <c r="E629" s="3" t="s">
        <v>41</v>
      </c>
      <c r="F629" s="3" t="s">
        <v>119</v>
      </c>
      <c r="G629" s="3" t="s">
        <v>168</v>
      </c>
      <c r="H629" s="3">
        <v>5</v>
      </c>
      <c r="I629" s="7">
        <v>10324.36</v>
      </c>
      <c r="J629" s="9">
        <v>0</v>
      </c>
      <c r="K629" s="7">
        <v>51621.8</v>
      </c>
      <c r="L629" s="7">
        <v>21159.59</v>
      </c>
      <c r="M629" s="3" t="s">
        <v>57</v>
      </c>
      <c r="N629" s="3" t="str">
        <f t="shared" si="36"/>
        <v>2024-07</v>
      </c>
      <c r="O629" s="3" t="str">
        <f t="shared" si="37"/>
        <v>No discount</v>
      </c>
      <c r="P629" s="9">
        <f t="shared" si="38"/>
        <v>0.40989640035798824</v>
      </c>
      <c r="Q629" s="3" t="str">
        <f t="shared" si="39"/>
        <v>No</v>
      </c>
    </row>
    <row r="630" spans="1:17" ht="21" customHeight="1">
      <c r="A630" s="3" t="s">
        <v>1144</v>
      </c>
      <c r="B630" s="5">
        <v>45475</v>
      </c>
      <c r="C630" s="3" t="s">
        <v>377</v>
      </c>
      <c r="D630" s="3" t="s">
        <v>44</v>
      </c>
      <c r="E630" s="3" t="s">
        <v>38</v>
      </c>
      <c r="F630" s="3" t="s">
        <v>142</v>
      </c>
      <c r="G630" s="3" t="s">
        <v>143</v>
      </c>
      <c r="H630" s="3">
        <v>1</v>
      </c>
      <c r="I630" s="7">
        <v>8796.2900000000009</v>
      </c>
      <c r="J630" s="9">
        <v>0.1</v>
      </c>
      <c r="K630" s="7">
        <v>7916.66</v>
      </c>
      <c r="L630" s="7">
        <v>816.99</v>
      </c>
      <c r="M630" s="3" t="s">
        <v>58</v>
      </c>
      <c r="N630" s="3" t="str">
        <f t="shared" si="36"/>
        <v>2024-07</v>
      </c>
      <c r="O630" s="3" t="str">
        <f t="shared" si="37"/>
        <v>1-10%</v>
      </c>
      <c r="P630" s="9">
        <f t="shared" si="38"/>
        <v>0.1031988237463779</v>
      </c>
      <c r="Q630" s="3" t="str">
        <f t="shared" si="39"/>
        <v>No</v>
      </c>
    </row>
    <row r="631" spans="1:17" ht="21" customHeight="1">
      <c r="A631" s="3" t="s">
        <v>1145</v>
      </c>
      <c r="B631" s="5">
        <v>45475</v>
      </c>
      <c r="C631" s="3" t="s">
        <v>1146</v>
      </c>
      <c r="D631" s="3" t="s">
        <v>45</v>
      </c>
      <c r="E631" s="3" t="s">
        <v>38</v>
      </c>
      <c r="F631" s="3" t="s">
        <v>142</v>
      </c>
      <c r="G631" s="3" t="s">
        <v>245</v>
      </c>
      <c r="H631" s="3">
        <v>3</v>
      </c>
      <c r="I631" s="7">
        <v>5056.01</v>
      </c>
      <c r="J631" s="9">
        <v>0.15</v>
      </c>
      <c r="K631" s="7">
        <v>12892.83</v>
      </c>
      <c r="L631" s="7">
        <v>-247.96</v>
      </c>
      <c r="M631" s="3" t="s">
        <v>57</v>
      </c>
      <c r="N631" s="3" t="str">
        <f t="shared" si="36"/>
        <v>2024-07</v>
      </c>
      <c r="O631" s="3" t="str">
        <f t="shared" si="37"/>
        <v>11-15%</v>
      </c>
      <c r="P631" s="9">
        <f t="shared" si="38"/>
        <v>-1.9232395059889877E-2</v>
      </c>
      <c r="Q631" s="3" t="str">
        <f t="shared" si="39"/>
        <v>Yes</v>
      </c>
    </row>
    <row r="632" spans="1:17" ht="21" customHeight="1">
      <c r="A632" s="3" t="s">
        <v>1147</v>
      </c>
      <c r="B632" s="5">
        <v>45475</v>
      </c>
      <c r="C632" s="3" t="s">
        <v>906</v>
      </c>
      <c r="D632" s="3" t="s">
        <v>44</v>
      </c>
      <c r="E632" s="3" t="s">
        <v>42</v>
      </c>
      <c r="F632" s="3" t="s">
        <v>90</v>
      </c>
      <c r="G632" s="3" t="s">
        <v>106</v>
      </c>
      <c r="H632" s="3">
        <v>2</v>
      </c>
      <c r="I632" s="7">
        <v>871.08</v>
      </c>
      <c r="J632" s="9">
        <v>0.1</v>
      </c>
      <c r="K632" s="7">
        <v>1567.94</v>
      </c>
      <c r="L632" s="7">
        <v>685.34</v>
      </c>
      <c r="M632" s="3" t="s">
        <v>57</v>
      </c>
      <c r="N632" s="3" t="str">
        <f t="shared" si="36"/>
        <v>2024-07</v>
      </c>
      <c r="O632" s="3" t="str">
        <f t="shared" si="37"/>
        <v>1-10%</v>
      </c>
      <c r="P632" s="9">
        <f t="shared" si="38"/>
        <v>0.43709580723752184</v>
      </c>
      <c r="Q632" s="3" t="str">
        <f t="shared" si="39"/>
        <v>No</v>
      </c>
    </row>
    <row r="633" spans="1:17" ht="21" customHeight="1">
      <c r="A633" s="3" t="s">
        <v>1148</v>
      </c>
      <c r="B633" s="5">
        <v>45475</v>
      </c>
      <c r="C633" s="3" t="s">
        <v>518</v>
      </c>
      <c r="D633" s="3" t="s">
        <v>46</v>
      </c>
      <c r="E633" s="3" t="s">
        <v>41</v>
      </c>
      <c r="F633" s="3" t="s">
        <v>119</v>
      </c>
      <c r="G633" s="3" t="s">
        <v>120</v>
      </c>
      <c r="H633" s="3">
        <v>1</v>
      </c>
      <c r="I633" s="7">
        <v>1312.33</v>
      </c>
      <c r="J633" s="9">
        <v>0.3</v>
      </c>
      <c r="K633" s="7">
        <v>918.63</v>
      </c>
      <c r="L633" s="7">
        <v>1.07</v>
      </c>
      <c r="M633" s="3" t="s">
        <v>56</v>
      </c>
      <c r="N633" s="3" t="str">
        <f t="shared" si="36"/>
        <v>2024-07</v>
      </c>
      <c r="O633" s="3" t="str">
        <f t="shared" si="37"/>
        <v>21%+</v>
      </c>
      <c r="P633" s="9">
        <f t="shared" si="38"/>
        <v>1.1647779846075134E-3</v>
      </c>
      <c r="Q633" s="3" t="str">
        <f t="shared" si="39"/>
        <v>No</v>
      </c>
    </row>
    <row r="634" spans="1:17" ht="21" customHeight="1">
      <c r="A634" s="3" t="s">
        <v>1149</v>
      </c>
      <c r="B634" s="5">
        <v>45475</v>
      </c>
      <c r="C634" s="3" t="s">
        <v>1150</v>
      </c>
      <c r="D634" s="3" t="s">
        <v>47</v>
      </c>
      <c r="E634" s="3" t="s">
        <v>40</v>
      </c>
      <c r="F634" s="3" t="s">
        <v>160</v>
      </c>
      <c r="G634" s="3" t="s">
        <v>173</v>
      </c>
      <c r="H634" s="3">
        <v>2</v>
      </c>
      <c r="I634" s="7">
        <v>8925.93</v>
      </c>
      <c r="J634" s="9">
        <v>0.3</v>
      </c>
      <c r="K634" s="7">
        <v>12496.3</v>
      </c>
      <c r="L634" s="7">
        <v>-304.33</v>
      </c>
      <c r="M634" s="3" t="s">
        <v>59</v>
      </c>
      <c r="N634" s="3" t="str">
        <f t="shared" si="36"/>
        <v>2024-07</v>
      </c>
      <c r="O634" s="3" t="str">
        <f t="shared" si="37"/>
        <v>21%+</v>
      </c>
      <c r="P634" s="9">
        <f t="shared" si="38"/>
        <v>-2.4353608668165778E-2</v>
      </c>
      <c r="Q634" s="3" t="str">
        <f t="shared" si="39"/>
        <v>Yes</v>
      </c>
    </row>
    <row r="635" spans="1:17" ht="21" customHeight="1">
      <c r="A635" s="3" t="s">
        <v>1151</v>
      </c>
      <c r="B635" s="5">
        <v>45476</v>
      </c>
      <c r="C635" s="3" t="s">
        <v>1152</v>
      </c>
      <c r="D635" s="3" t="s">
        <v>44</v>
      </c>
      <c r="E635" s="3" t="s">
        <v>41</v>
      </c>
      <c r="F635" s="3" t="s">
        <v>113</v>
      </c>
      <c r="G635" s="3" t="s">
        <v>114</v>
      </c>
      <c r="H635" s="3">
        <v>4</v>
      </c>
      <c r="I635" s="7">
        <v>12360.35</v>
      </c>
      <c r="J635" s="9">
        <v>0.05</v>
      </c>
      <c r="K635" s="7">
        <v>46969.33</v>
      </c>
      <c r="L635" s="7">
        <v>16000.88</v>
      </c>
      <c r="M635" s="3" t="s">
        <v>57</v>
      </c>
      <c r="N635" s="3" t="str">
        <f t="shared" si="36"/>
        <v>2024-07</v>
      </c>
      <c r="O635" s="3" t="str">
        <f t="shared" si="37"/>
        <v>1-10%</v>
      </c>
      <c r="P635" s="9">
        <f t="shared" si="38"/>
        <v>0.3406665583690463</v>
      </c>
      <c r="Q635" s="3" t="str">
        <f t="shared" si="39"/>
        <v>No</v>
      </c>
    </row>
    <row r="636" spans="1:17" ht="21" customHeight="1">
      <c r="A636" s="3" t="s">
        <v>1153</v>
      </c>
      <c r="B636" s="5">
        <v>45476</v>
      </c>
      <c r="C636" s="3" t="s">
        <v>957</v>
      </c>
      <c r="D636" s="3" t="s">
        <v>46</v>
      </c>
      <c r="E636" s="3" t="s">
        <v>41</v>
      </c>
      <c r="F636" s="3" t="s">
        <v>119</v>
      </c>
      <c r="G636" s="3" t="s">
        <v>120</v>
      </c>
      <c r="H636" s="3">
        <v>1</v>
      </c>
      <c r="I636" s="7">
        <v>1345.78</v>
      </c>
      <c r="J636" s="9">
        <v>0.15</v>
      </c>
      <c r="K636" s="7">
        <v>1143.9100000000001</v>
      </c>
      <c r="L636" s="7">
        <v>273.38</v>
      </c>
      <c r="M636" s="3" t="s">
        <v>60</v>
      </c>
      <c r="N636" s="3" t="str">
        <f t="shared" si="36"/>
        <v>2024-07</v>
      </c>
      <c r="O636" s="3" t="str">
        <f t="shared" si="37"/>
        <v>11-15%</v>
      </c>
      <c r="P636" s="9">
        <f t="shared" si="38"/>
        <v>0.23898733291954785</v>
      </c>
      <c r="Q636" s="3" t="str">
        <f t="shared" si="39"/>
        <v>No</v>
      </c>
    </row>
    <row r="637" spans="1:17" ht="21" customHeight="1">
      <c r="A637" s="3" t="s">
        <v>1154</v>
      </c>
      <c r="B637" s="5">
        <v>45476</v>
      </c>
      <c r="C637" s="3" t="s">
        <v>992</v>
      </c>
      <c r="D637" s="3" t="s">
        <v>47</v>
      </c>
      <c r="E637" s="3" t="s">
        <v>38</v>
      </c>
      <c r="F637" s="3" t="s">
        <v>94</v>
      </c>
      <c r="G637" s="3" t="s">
        <v>213</v>
      </c>
      <c r="H637" s="3">
        <v>1</v>
      </c>
      <c r="I637" s="7">
        <v>53405.66</v>
      </c>
      <c r="J637" s="9">
        <v>0.1</v>
      </c>
      <c r="K637" s="7">
        <v>48065.09</v>
      </c>
      <c r="L637" s="7">
        <v>2816.26</v>
      </c>
      <c r="M637" s="3" t="s">
        <v>57</v>
      </c>
      <c r="N637" s="3" t="str">
        <f t="shared" si="36"/>
        <v>2024-07</v>
      </c>
      <c r="O637" s="3" t="str">
        <f t="shared" si="37"/>
        <v>1-10%</v>
      </c>
      <c r="P637" s="9">
        <f t="shared" si="38"/>
        <v>5.8592629286661077E-2</v>
      </c>
      <c r="Q637" s="3" t="str">
        <f t="shared" si="39"/>
        <v>No</v>
      </c>
    </row>
    <row r="638" spans="1:17" ht="21" customHeight="1">
      <c r="A638" s="3" t="s">
        <v>1155</v>
      </c>
      <c r="B638" s="5">
        <v>45476</v>
      </c>
      <c r="C638" s="3" t="s">
        <v>1156</v>
      </c>
      <c r="D638" s="3" t="s">
        <v>44</v>
      </c>
      <c r="E638" s="3" t="s">
        <v>41</v>
      </c>
      <c r="F638" s="3" t="s">
        <v>113</v>
      </c>
      <c r="G638" s="3" t="s">
        <v>123</v>
      </c>
      <c r="H638" s="3">
        <v>1</v>
      </c>
      <c r="I638" s="7">
        <v>3666.57</v>
      </c>
      <c r="J638" s="9">
        <v>0.1</v>
      </c>
      <c r="K638" s="7">
        <v>3299.91</v>
      </c>
      <c r="L638" s="7">
        <v>954.62</v>
      </c>
      <c r="M638" s="3" t="s">
        <v>56</v>
      </c>
      <c r="N638" s="3" t="str">
        <f t="shared" si="36"/>
        <v>2024-07</v>
      </c>
      <c r="O638" s="3" t="str">
        <f t="shared" si="37"/>
        <v>1-10%</v>
      </c>
      <c r="P638" s="9">
        <f t="shared" si="38"/>
        <v>0.2892866775154474</v>
      </c>
      <c r="Q638" s="3" t="str">
        <f t="shared" si="39"/>
        <v>No</v>
      </c>
    </row>
    <row r="639" spans="1:17" ht="21" customHeight="1">
      <c r="A639" s="3" t="s">
        <v>1157</v>
      </c>
      <c r="B639" s="5">
        <v>45476</v>
      </c>
      <c r="C639" s="3" t="s">
        <v>1158</v>
      </c>
      <c r="D639" s="3" t="s">
        <v>44</v>
      </c>
      <c r="E639" s="3" t="s">
        <v>41</v>
      </c>
      <c r="F639" s="3" t="s">
        <v>113</v>
      </c>
      <c r="G639" s="3" t="s">
        <v>114</v>
      </c>
      <c r="H639" s="3">
        <v>2</v>
      </c>
      <c r="I639" s="7">
        <v>11541.54</v>
      </c>
      <c r="J639" s="9">
        <v>0.15</v>
      </c>
      <c r="K639" s="7">
        <v>19620.62</v>
      </c>
      <c r="L639" s="7">
        <v>3969.79</v>
      </c>
      <c r="M639" s="3" t="s">
        <v>56</v>
      </c>
      <c r="N639" s="3" t="str">
        <f t="shared" si="36"/>
        <v>2024-07</v>
      </c>
      <c r="O639" s="3" t="str">
        <f t="shared" si="37"/>
        <v>11-15%</v>
      </c>
      <c r="P639" s="9">
        <f t="shared" si="38"/>
        <v>0.20232744938743016</v>
      </c>
      <c r="Q639" s="3" t="str">
        <f t="shared" si="39"/>
        <v>No</v>
      </c>
    </row>
    <row r="640" spans="1:17" ht="21" customHeight="1">
      <c r="A640" s="3" t="s">
        <v>1159</v>
      </c>
      <c r="B640" s="5">
        <v>45477</v>
      </c>
      <c r="C640" s="3" t="s">
        <v>1160</v>
      </c>
      <c r="D640" s="3" t="s">
        <v>44</v>
      </c>
      <c r="E640" s="3" t="s">
        <v>38</v>
      </c>
      <c r="F640" s="3" t="s">
        <v>94</v>
      </c>
      <c r="G640" s="3" t="s">
        <v>95</v>
      </c>
      <c r="H640" s="3">
        <v>1</v>
      </c>
      <c r="I640" s="7">
        <v>77219.839999999997</v>
      </c>
      <c r="J640" s="9">
        <v>0.25</v>
      </c>
      <c r="K640" s="7">
        <v>57914.879999999997</v>
      </c>
      <c r="L640" s="7">
        <v>-5350.81</v>
      </c>
      <c r="M640" s="3" t="s">
        <v>57</v>
      </c>
      <c r="N640" s="3" t="str">
        <f t="shared" si="36"/>
        <v>2024-07</v>
      </c>
      <c r="O640" s="3" t="str">
        <f t="shared" si="37"/>
        <v>21%+</v>
      </c>
      <c r="P640" s="9">
        <f t="shared" si="38"/>
        <v>-9.2390936491623582E-2</v>
      </c>
      <c r="Q640" s="3" t="str">
        <f t="shared" si="39"/>
        <v>Yes</v>
      </c>
    </row>
    <row r="641" spans="1:17" ht="21" customHeight="1">
      <c r="A641" s="3" t="s">
        <v>1161</v>
      </c>
      <c r="B641" s="5">
        <v>45478</v>
      </c>
      <c r="C641" s="3" t="s">
        <v>1162</v>
      </c>
      <c r="D641" s="3" t="s">
        <v>46</v>
      </c>
      <c r="E641" s="3" t="s">
        <v>41</v>
      </c>
      <c r="F641" s="3" t="s">
        <v>119</v>
      </c>
      <c r="G641" s="3" t="s">
        <v>168</v>
      </c>
      <c r="H641" s="3">
        <v>4</v>
      </c>
      <c r="I641" s="7">
        <v>10033.120000000001</v>
      </c>
      <c r="J641" s="9">
        <v>0.4</v>
      </c>
      <c r="K641" s="7">
        <v>24079.49</v>
      </c>
      <c r="L641" s="7">
        <v>-1142.47</v>
      </c>
      <c r="M641" s="3" t="s">
        <v>57</v>
      </c>
      <c r="N641" s="3" t="str">
        <f t="shared" si="36"/>
        <v>2024-07</v>
      </c>
      <c r="O641" s="3" t="str">
        <f t="shared" si="37"/>
        <v>21%+</v>
      </c>
      <c r="P641" s="9">
        <f t="shared" si="38"/>
        <v>-4.7445772314945206E-2</v>
      </c>
      <c r="Q641" s="3" t="str">
        <f t="shared" si="39"/>
        <v>Yes</v>
      </c>
    </row>
    <row r="642" spans="1:17" ht="21" customHeight="1">
      <c r="A642" s="3" t="s">
        <v>1163</v>
      </c>
      <c r="B642" s="5">
        <v>45478</v>
      </c>
      <c r="C642" s="3" t="s">
        <v>400</v>
      </c>
      <c r="D642" s="3" t="s">
        <v>46</v>
      </c>
      <c r="E642" s="3" t="s">
        <v>40</v>
      </c>
      <c r="F642" s="3" t="s">
        <v>160</v>
      </c>
      <c r="G642" s="3" t="s">
        <v>161</v>
      </c>
      <c r="H642" s="3">
        <v>1</v>
      </c>
      <c r="I642" s="7">
        <v>13324.59</v>
      </c>
      <c r="J642" s="9">
        <v>0.05</v>
      </c>
      <c r="K642" s="7">
        <v>12658.36</v>
      </c>
      <c r="L642" s="7">
        <v>3520.14</v>
      </c>
      <c r="M642" s="3" t="s">
        <v>56</v>
      </c>
      <c r="N642" s="3" t="str">
        <f t="shared" ref="N642:N705" si="40">TEXT(B642,"yyyy-mm")</f>
        <v>2024-07</v>
      </c>
      <c r="O642" s="3" t="str">
        <f t="shared" ref="O642:O705" si="41">IF(J642=0,"No discount",IF(J642&lt;=0.1,"1-10%",IF(J642&lt;=0.15,"11-15%",IF(J642&lt;=0.2,"16-20%","21%+"))))</f>
        <v>1-10%</v>
      </c>
      <c r="P642" s="9">
        <f t="shared" ref="P642:P705" si="42">IF(K642=0,0,L642/K642)</f>
        <v>0.27808815675964338</v>
      </c>
      <c r="Q642" s="3" t="str">
        <f t="shared" ref="Q642:Q705" si="43">IF(L642&lt;0,"Yes","No")</f>
        <v>No</v>
      </c>
    </row>
    <row r="643" spans="1:17" ht="21" customHeight="1">
      <c r="A643" s="3" t="s">
        <v>1164</v>
      </c>
      <c r="B643" s="5">
        <v>45478</v>
      </c>
      <c r="C643" s="3" t="s">
        <v>1165</v>
      </c>
      <c r="D643" s="3" t="s">
        <v>46</v>
      </c>
      <c r="E643" s="3" t="s">
        <v>40</v>
      </c>
      <c r="F643" s="3" t="s">
        <v>221</v>
      </c>
      <c r="G643" s="3" t="s">
        <v>279</v>
      </c>
      <c r="H643" s="3">
        <v>1</v>
      </c>
      <c r="I643" s="7">
        <v>1496.08</v>
      </c>
      <c r="J643" s="9">
        <v>0.05</v>
      </c>
      <c r="K643" s="7">
        <v>1421.28</v>
      </c>
      <c r="L643" s="7">
        <v>389.78</v>
      </c>
      <c r="M643" s="3" t="s">
        <v>57</v>
      </c>
      <c r="N643" s="3" t="str">
        <f t="shared" si="40"/>
        <v>2024-07</v>
      </c>
      <c r="O643" s="3" t="str">
        <f t="shared" si="41"/>
        <v>1-10%</v>
      </c>
      <c r="P643" s="9">
        <f t="shared" si="42"/>
        <v>0.27424575030958009</v>
      </c>
      <c r="Q643" s="3" t="str">
        <f t="shared" si="43"/>
        <v>No</v>
      </c>
    </row>
    <row r="644" spans="1:17" ht="21" customHeight="1">
      <c r="A644" s="3" t="s">
        <v>1166</v>
      </c>
      <c r="B644" s="5">
        <v>45478</v>
      </c>
      <c r="C644" s="3" t="s">
        <v>1167</v>
      </c>
      <c r="D644" s="3" t="s">
        <v>46</v>
      </c>
      <c r="E644" s="3" t="s">
        <v>41</v>
      </c>
      <c r="F644" s="3" t="s">
        <v>113</v>
      </c>
      <c r="G644" s="3" t="s">
        <v>123</v>
      </c>
      <c r="H644" s="3">
        <v>1</v>
      </c>
      <c r="I644" s="7">
        <v>3417.84</v>
      </c>
      <c r="J644" s="9">
        <v>0.25</v>
      </c>
      <c r="K644" s="7">
        <v>2563.38</v>
      </c>
      <c r="L644" s="7">
        <v>327.45</v>
      </c>
      <c r="M644" s="3" t="s">
        <v>60</v>
      </c>
      <c r="N644" s="3" t="str">
        <f t="shared" si="40"/>
        <v>2024-07</v>
      </c>
      <c r="O644" s="3" t="str">
        <f t="shared" si="41"/>
        <v>21%+</v>
      </c>
      <c r="P644" s="9">
        <f t="shared" si="42"/>
        <v>0.12774149755401071</v>
      </c>
      <c r="Q644" s="3" t="str">
        <f t="shared" si="43"/>
        <v>No</v>
      </c>
    </row>
    <row r="645" spans="1:17" ht="21" customHeight="1">
      <c r="A645" s="3" t="s">
        <v>1168</v>
      </c>
      <c r="B645" s="5">
        <v>45478</v>
      </c>
      <c r="C645" s="3" t="s">
        <v>803</v>
      </c>
      <c r="D645" s="3" t="s">
        <v>44</v>
      </c>
      <c r="E645" s="3" t="s">
        <v>42</v>
      </c>
      <c r="F645" s="3" t="s">
        <v>90</v>
      </c>
      <c r="G645" s="3" t="s">
        <v>106</v>
      </c>
      <c r="H645" s="3">
        <v>1</v>
      </c>
      <c r="I645" s="7">
        <v>891.92</v>
      </c>
      <c r="J645" s="9">
        <v>0.1</v>
      </c>
      <c r="K645" s="7">
        <v>802.73</v>
      </c>
      <c r="L645" s="7">
        <v>373.2</v>
      </c>
      <c r="M645" s="3" t="s">
        <v>56</v>
      </c>
      <c r="N645" s="3" t="str">
        <f t="shared" si="40"/>
        <v>2024-07</v>
      </c>
      <c r="O645" s="3" t="str">
        <f t="shared" si="41"/>
        <v>1-10%</v>
      </c>
      <c r="P645" s="9">
        <f t="shared" si="42"/>
        <v>0.46491348274014921</v>
      </c>
      <c r="Q645" s="3" t="str">
        <f t="shared" si="43"/>
        <v>No</v>
      </c>
    </row>
    <row r="646" spans="1:17" ht="21" customHeight="1">
      <c r="A646" s="3" t="s">
        <v>1169</v>
      </c>
      <c r="B646" s="5">
        <v>45478</v>
      </c>
      <c r="C646" s="3" t="s">
        <v>148</v>
      </c>
      <c r="D646" s="3" t="s">
        <v>47</v>
      </c>
      <c r="E646" s="3" t="s">
        <v>42</v>
      </c>
      <c r="F646" s="3" t="s">
        <v>90</v>
      </c>
      <c r="G646" s="3" t="s">
        <v>91</v>
      </c>
      <c r="H646" s="3">
        <v>1</v>
      </c>
      <c r="I646" s="7">
        <v>1141.24</v>
      </c>
      <c r="J646" s="9">
        <v>0.2</v>
      </c>
      <c r="K646" s="7">
        <v>912.99</v>
      </c>
      <c r="L646" s="7">
        <v>317.48</v>
      </c>
      <c r="M646" s="3" t="s">
        <v>60</v>
      </c>
      <c r="N646" s="3" t="str">
        <f t="shared" si="40"/>
        <v>2024-07</v>
      </c>
      <c r="O646" s="3" t="str">
        <f t="shared" si="41"/>
        <v>16-20%</v>
      </c>
      <c r="P646" s="9">
        <f t="shared" si="42"/>
        <v>0.34773655790315339</v>
      </c>
      <c r="Q646" s="3" t="str">
        <f t="shared" si="43"/>
        <v>No</v>
      </c>
    </row>
    <row r="647" spans="1:17" ht="21" customHeight="1">
      <c r="A647" s="3" t="s">
        <v>1170</v>
      </c>
      <c r="B647" s="5">
        <v>45479</v>
      </c>
      <c r="C647" s="3" t="s">
        <v>1171</v>
      </c>
      <c r="D647" s="3" t="s">
        <v>47</v>
      </c>
      <c r="E647" s="3" t="s">
        <v>41</v>
      </c>
      <c r="F647" s="3" t="s">
        <v>113</v>
      </c>
      <c r="G647" s="3" t="s">
        <v>123</v>
      </c>
      <c r="H647" s="3">
        <v>1</v>
      </c>
      <c r="I647" s="7">
        <v>3559.52</v>
      </c>
      <c r="J647" s="9">
        <v>0.15</v>
      </c>
      <c r="K647" s="7">
        <v>3025.59</v>
      </c>
      <c r="L647" s="7">
        <v>529.67999999999995</v>
      </c>
      <c r="M647" s="3" t="s">
        <v>56</v>
      </c>
      <c r="N647" s="3" t="str">
        <f t="shared" si="40"/>
        <v>2024-07</v>
      </c>
      <c r="O647" s="3" t="str">
        <f t="shared" si="41"/>
        <v>11-15%</v>
      </c>
      <c r="P647" s="9">
        <f t="shared" si="42"/>
        <v>0.17506668120928479</v>
      </c>
      <c r="Q647" s="3" t="str">
        <f t="shared" si="43"/>
        <v>No</v>
      </c>
    </row>
    <row r="648" spans="1:17" ht="21" customHeight="1">
      <c r="A648" s="3" t="s">
        <v>1172</v>
      </c>
      <c r="B648" s="5">
        <v>45479</v>
      </c>
      <c r="C648" s="3" t="s">
        <v>475</v>
      </c>
      <c r="D648" s="3" t="s">
        <v>47</v>
      </c>
      <c r="E648" s="3" t="s">
        <v>41</v>
      </c>
      <c r="F648" s="3" t="s">
        <v>113</v>
      </c>
      <c r="G648" s="3" t="s">
        <v>123</v>
      </c>
      <c r="H648" s="3">
        <v>1</v>
      </c>
      <c r="I648" s="7">
        <v>3513.71</v>
      </c>
      <c r="J648" s="9">
        <v>0</v>
      </c>
      <c r="K648" s="7">
        <v>3513.71</v>
      </c>
      <c r="L648" s="7">
        <v>1298.94</v>
      </c>
      <c r="M648" s="3" t="s">
        <v>56</v>
      </c>
      <c r="N648" s="3" t="str">
        <f t="shared" si="40"/>
        <v>2024-07</v>
      </c>
      <c r="O648" s="3" t="str">
        <f t="shared" si="41"/>
        <v>No discount</v>
      </c>
      <c r="P648" s="9">
        <f t="shared" si="42"/>
        <v>0.36967763418153465</v>
      </c>
      <c r="Q648" s="3" t="str">
        <f t="shared" si="43"/>
        <v>No</v>
      </c>
    </row>
    <row r="649" spans="1:17" ht="21" customHeight="1">
      <c r="A649" s="3" t="s">
        <v>1173</v>
      </c>
      <c r="B649" s="5">
        <v>45479</v>
      </c>
      <c r="C649" s="3" t="s">
        <v>1174</v>
      </c>
      <c r="D649" s="3" t="s">
        <v>46</v>
      </c>
      <c r="E649" s="3" t="s">
        <v>42</v>
      </c>
      <c r="F649" s="3" t="s">
        <v>126</v>
      </c>
      <c r="G649" s="3" t="s">
        <v>127</v>
      </c>
      <c r="H649" s="3">
        <v>1</v>
      </c>
      <c r="I649" s="7">
        <v>965.94</v>
      </c>
      <c r="J649" s="9">
        <v>0.05</v>
      </c>
      <c r="K649" s="7">
        <v>917.64</v>
      </c>
      <c r="L649" s="7">
        <v>484.25</v>
      </c>
      <c r="M649" s="3" t="s">
        <v>58</v>
      </c>
      <c r="N649" s="3" t="str">
        <f t="shared" si="40"/>
        <v>2024-07</v>
      </c>
      <c r="O649" s="3" t="str">
        <f t="shared" si="41"/>
        <v>1-10%</v>
      </c>
      <c r="P649" s="9">
        <f t="shared" si="42"/>
        <v>0.52771239265943071</v>
      </c>
      <c r="Q649" s="3" t="str">
        <f t="shared" si="43"/>
        <v>No</v>
      </c>
    </row>
    <row r="650" spans="1:17" ht="21" customHeight="1">
      <c r="A650" s="3" t="s">
        <v>1175</v>
      </c>
      <c r="B650" s="5">
        <v>45479</v>
      </c>
      <c r="C650" s="3" t="s">
        <v>1176</v>
      </c>
      <c r="D650" s="3" t="s">
        <v>44</v>
      </c>
      <c r="E650" s="3" t="s">
        <v>41</v>
      </c>
      <c r="F650" s="3" t="s">
        <v>119</v>
      </c>
      <c r="G650" s="3" t="s">
        <v>168</v>
      </c>
      <c r="H650" s="3">
        <v>2</v>
      </c>
      <c r="I650" s="7">
        <v>9790.23</v>
      </c>
      <c r="J650" s="9">
        <v>0.25</v>
      </c>
      <c r="K650" s="7">
        <v>14685.34</v>
      </c>
      <c r="L650" s="7">
        <v>1003.93</v>
      </c>
      <c r="M650" s="3" t="s">
        <v>58</v>
      </c>
      <c r="N650" s="3" t="str">
        <f t="shared" si="40"/>
        <v>2024-07</v>
      </c>
      <c r="O650" s="3" t="str">
        <f t="shared" si="41"/>
        <v>21%+</v>
      </c>
      <c r="P650" s="9">
        <f t="shared" si="42"/>
        <v>6.8362734536619507E-2</v>
      </c>
      <c r="Q650" s="3" t="str">
        <f t="shared" si="43"/>
        <v>No</v>
      </c>
    </row>
    <row r="651" spans="1:17" ht="21" customHeight="1">
      <c r="A651" s="3" t="s">
        <v>1177</v>
      </c>
      <c r="B651" s="5">
        <v>45480</v>
      </c>
      <c r="C651" s="3" t="s">
        <v>543</v>
      </c>
      <c r="D651" s="3" t="s">
        <v>45</v>
      </c>
      <c r="E651" s="3" t="s">
        <v>42</v>
      </c>
      <c r="F651" s="3" t="s">
        <v>90</v>
      </c>
      <c r="G651" s="3" t="s">
        <v>91</v>
      </c>
      <c r="H651" s="3">
        <v>1</v>
      </c>
      <c r="I651" s="7">
        <v>1181.98</v>
      </c>
      <c r="J651" s="9">
        <v>0.1</v>
      </c>
      <c r="K651" s="7">
        <v>1063.78</v>
      </c>
      <c r="L651" s="7">
        <v>486.92</v>
      </c>
      <c r="M651" s="3" t="s">
        <v>56</v>
      </c>
      <c r="N651" s="3" t="str">
        <f t="shared" si="40"/>
        <v>2024-07</v>
      </c>
      <c r="O651" s="3" t="str">
        <f t="shared" si="41"/>
        <v>1-10%</v>
      </c>
      <c r="P651" s="9">
        <f t="shared" si="42"/>
        <v>0.4577262215871703</v>
      </c>
      <c r="Q651" s="3" t="str">
        <f t="shared" si="43"/>
        <v>No</v>
      </c>
    </row>
    <row r="652" spans="1:17" ht="21" customHeight="1">
      <c r="A652" s="3" t="s">
        <v>1178</v>
      </c>
      <c r="B652" s="5">
        <v>45480</v>
      </c>
      <c r="C652" s="3" t="s">
        <v>1179</v>
      </c>
      <c r="D652" s="3" t="s">
        <v>45</v>
      </c>
      <c r="E652" s="3" t="s">
        <v>39</v>
      </c>
      <c r="F652" s="3" t="s">
        <v>130</v>
      </c>
      <c r="G652" s="3" t="s">
        <v>193</v>
      </c>
      <c r="H652" s="3">
        <v>2</v>
      </c>
      <c r="I652" s="7">
        <v>1737.48</v>
      </c>
      <c r="J652" s="9">
        <v>0.1</v>
      </c>
      <c r="K652" s="7">
        <v>3127.46</v>
      </c>
      <c r="L652" s="7">
        <v>845.74</v>
      </c>
      <c r="M652" s="3" t="s">
        <v>58</v>
      </c>
      <c r="N652" s="3" t="str">
        <f t="shared" si="40"/>
        <v>2024-07</v>
      </c>
      <c r="O652" s="3" t="str">
        <f t="shared" si="41"/>
        <v>1-10%</v>
      </c>
      <c r="P652" s="9">
        <f t="shared" si="42"/>
        <v>0.27042392228837459</v>
      </c>
      <c r="Q652" s="3" t="str">
        <f t="shared" si="43"/>
        <v>No</v>
      </c>
    </row>
    <row r="653" spans="1:17" ht="21" customHeight="1">
      <c r="A653" s="3" t="s">
        <v>1180</v>
      </c>
      <c r="B653" s="5">
        <v>45480</v>
      </c>
      <c r="C653" s="3" t="s">
        <v>1025</v>
      </c>
      <c r="D653" s="3" t="s">
        <v>46</v>
      </c>
      <c r="E653" s="3" t="s">
        <v>39</v>
      </c>
      <c r="F653" s="3" t="s">
        <v>109</v>
      </c>
      <c r="G653" s="3" t="s">
        <v>355</v>
      </c>
      <c r="H653" s="3">
        <v>1</v>
      </c>
      <c r="I653" s="7">
        <v>3534.73</v>
      </c>
      <c r="J653" s="9">
        <v>0.05</v>
      </c>
      <c r="K653" s="7">
        <v>3357.99</v>
      </c>
      <c r="L653" s="7">
        <v>1301.47</v>
      </c>
      <c r="M653" s="3" t="s">
        <v>57</v>
      </c>
      <c r="N653" s="3" t="str">
        <f t="shared" si="40"/>
        <v>2024-07</v>
      </c>
      <c r="O653" s="3" t="str">
        <f t="shared" si="41"/>
        <v>1-10%</v>
      </c>
      <c r="P653" s="9">
        <f t="shared" si="42"/>
        <v>0.3875741142766953</v>
      </c>
      <c r="Q653" s="3" t="str">
        <f t="shared" si="43"/>
        <v>No</v>
      </c>
    </row>
    <row r="654" spans="1:17" ht="21" customHeight="1">
      <c r="A654" s="3" t="s">
        <v>1181</v>
      </c>
      <c r="B654" s="5">
        <v>45480</v>
      </c>
      <c r="C654" s="3" t="s">
        <v>389</v>
      </c>
      <c r="D654" s="3" t="s">
        <v>44</v>
      </c>
      <c r="E654" s="3" t="s">
        <v>39</v>
      </c>
      <c r="F654" s="3" t="s">
        <v>109</v>
      </c>
      <c r="G654" s="3" t="s">
        <v>355</v>
      </c>
      <c r="H654" s="3">
        <v>3</v>
      </c>
      <c r="I654" s="7">
        <v>3398.41</v>
      </c>
      <c r="J654" s="9">
        <v>0</v>
      </c>
      <c r="K654" s="7">
        <v>10195.23</v>
      </c>
      <c r="L654" s="7">
        <v>4183.7</v>
      </c>
      <c r="M654" s="3" t="s">
        <v>59</v>
      </c>
      <c r="N654" s="3" t="str">
        <f t="shared" si="40"/>
        <v>2024-07</v>
      </c>
      <c r="O654" s="3" t="str">
        <f t="shared" si="41"/>
        <v>No discount</v>
      </c>
      <c r="P654" s="9">
        <f t="shared" si="42"/>
        <v>0.41035856964482409</v>
      </c>
      <c r="Q654" s="3" t="str">
        <f t="shared" si="43"/>
        <v>No</v>
      </c>
    </row>
    <row r="655" spans="1:17" ht="21" customHeight="1">
      <c r="A655" s="3" t="s">
        <v>1182</v>
      </c>
      <c r="B655" s="5">
        <v>45480</v>
      </c>
      <c r="C655" s="3" t="s">
        <v>287</v>
      </c>
      <c r="D655" s="3" t="s">
        <v>44</v>
      </c>
      <c r="E655" s="3" t="s">
        <v>38</v>
      </c>
      <c r="F655" s="3" t="s">
        <v>142</v>
      </c>
      <c r="G655" s="3" t="s">
        <v>143</v>
      </c>
      <c r="H655" s="3">
        <v>1</v>
      </c>
      <c r="I655" s="7">
        <v>9428.25</v>
      </c>
      <c r="J655" s="9">
        <v>0</v>
      </c>
      <c r="K655" s="7">
        <v>9428.25</v>
      </c>
      <c r="L655" s="7">
        <v>1716.38</v>
      </c>
      <c r="M655" s="3" t="s">
        <v>59</v>
      </c>
      <c r="N655" s="3" t="str">
        <f t="shared" si="40"/>
        <v>2024-07</v>
      </c>
      <c r="O655" s="3" t="str">
        <f t="shared" si="41"/>
        <v>No discount</v>
      </c>
      <c r="P655" s="9">
        <f t="shared" si="42"/>
        <v>0.18204650916129717</v>
      </c>
      <c r="Q655" s="3" t="str">
        <f t="shared" si="43"/>
        <v>No</v>
      </c>
    </row>
    <row r="656" spans="1:17" ht="21" customHeight="1">
      <c r="A656" s="3" t="s">
        <v>1183</v>
      </c>
      <c r="B656" s="5">
        <v>45481</v>
      </c>
      <c r="C656" s="3" t="s">
        <v>416</v>
      </c>
      <c r="D656" s="3" t="s">
        <v>44</v>
      </c>
      <c r="E656" s="3" t="s">
        <v>41</v>
      </c>
      <c r="F656" s="3" t="s">
        <v>113</v>
      </c>
      <c r="G656" s="3" t="s">
        <v>114</v>
      </c>
      <c r="H656" s="3">
        <v>2</v>
      </c>
      <c r="I656" s="7">
        <v>11700.71</v>
      </c>
      <c r="J656" s="9">
        <v>0</v>
      </c>
      <c r="K656" s="7">
        <v>23401.42</v>
      </c>
      <c r="L656" s="7">
        <v>8182.36</v>
      </c>
      <c r="M656" s="3" t="s">
        <v>56</v>
      </c>
      <c r="N656" s="3" t="str">
        <f t="shared" si="40"/>
        <v>2024-07</v>
      </c>
      <c r="O656" s="3" t="str">
        <f t="shared" si="41"/>
        <v>No discount</v>
      </c>
      <c r="P656" s="9">
        <f t="shared" si="42"/>
        <v>0.34965228605785464</v>
      </c>
      <c r="Q656" s="3" t="str">
        <f t="shared" si="43"/>
        <v>No</v>
      </c>
    </row>
    <row r="657" spans="1:17" ht="21" customHeight="1">
      <c r="A657" s="3" t="s">
        <v>1184</v>
      </c>
      <c r="B657" s="5">
        <v>45481</v>
      </c>
      <c r="C657" s="3" t="s">
        <v>765</v>
      </c>
      <c r="D657" s="3" t="s">
        <v>44</v>
      </c>
      <c r="E657" s="3" t="s">
        <v>42</v>
      </c>
      <c r="F657" s="3" t="s">
        <v>90</v>
      </c>
      <c r="G657" s="3" t="s">
        <v>91</v>
      </c>
      <c r="H657" s="3">
        <v>1</v>
      </c>
      <c r="I657" s="7">
        <v>1191.05</v>
      </c>
      <c r="J657" s="9">
        <v>0.1</v>
      </c>
      <c r="K657" s="7">
        <v>1071.94</v>
      </c>
      <c r="L657" s="7">
        <v>472.42</v>
      </c>
      <c r="M657" s="3" t="s">
        <v>56</v>
      </c>
      <c r="N657" s="3" t="str">
        <f t="shared" si="40"/>
        <v>2024-07</v>
      </c>
      <c r="O657" s="3" t="str">
        <f t="shared" si="41"/>
        <v>1-10%</v>
      </c>
      <c r="P657" s="9">
        <f t="shared" si="42"/>
        <v>0.44071496538985389</v>
      </c>
      <c r="Q657" s="3" t="str">
        <f t="shared" si="43"/>
        <v>No</v>
      </c>
    </row>
    <row r="658" spans="1:17" ht="21" customHeight="1">
      <c r="A658" s="3" t="s">
        <v>1185</v>
      </c>
      <c r="B658" s="5">
        <v>45481</v>
      </c>
      <c r="C658" s="3" t="s">
        <v>1099</v>
      </c>
      <c r="D658" s="3" t="s">
        <v>45</v>
      </c>
      <c r="E658" s="3" t="s">
        <v>41</v>
      </c>
      <c r="F658" s="3" t="s">
        <v>113</v>
      </c>
      <c r="G658" s="3" t="s">
        <v>123</v>
      </c>
      <c r="H658" s="3">
        <v>2</v>
      </c>
      <c r="I658" s="7">
        <v>3399.5</v>
      </c>
      <c r="J658" s="9">
        <v>0.1</v>
      </c>
      <c r="K658" s="7">
        <v>6119.1</v>
      </c>
      <c r="L658" s="7">
        <v>1457.56</v>
      </c>
      <c r="M658" s="3" t="s">
        <v>57</v>
      </c>
      <c r="N658" s="3" t="str">
        <f t="shared" si="40"/>
        <v>2024-07</v>
      </c>
      <c r="O658" s="3" t="str">
        <f t="shared" si="41"/>
        <v>1-10%</v>
      </c>
      <c r="P658" s="9">
        <f t="shared" si="42"/>
        <v>0.23819842787338005</v>
      </c>
      <c r="Q658" s="3" t="str">
        <f t="shared" si="43"/>
        <v>No</v>
      </c>
    </row>
    <row r="659" spans="1:17" ht="21" customHeight="1">
      <c r="A659" s="3" t="s">
        <v>1186</v>
      </c>
      <c r="B659" s="5">
        <v>45482</v>
      </c>
      <c r="C659" s="3" t="s">
        <v>985</v>
      </c>
      <c r="D659" s="3" t="s">
        <v>45</v>
      </c>
      <c r="E659" s="3" t="s">
        <v>39</v>
      </c>
      <c r="F659" s="3" t="s">
        <v>130</v>
      </c>
      <c r="G659" s="3" t="s">
        <v>193</v>
      </c>
      <c r="H659" s="3">
        <v>2</v>
      </c>
      <c r="I659" s="7">
        <v>1741.79</v>
      </c>
      <c r="J659" s="9">
        <v>0</v>
      </c>
      <c r="K659" s="7">
        <v>3483.58</v>
      </c>
      <c r="L659" s="7">
        <v>1588.09</v>
      </c>
      <c r="M659" s="3" t="s">
        <v>58</v>
      </c>
      <c r="N659" s="3" t="str">
        <f t="shared" si="40"/>
        <v>2024-07</v>
      </c>
      <c r="O659" s="3" t="str">
        <f t="shared" si="41"/>
        <v>No discount</v>
      </c>
      <c r="P659" s="9">
        <f t="shared" si="42"/>
        <v>0.45587872246367239</v>
      </c>
      <c r="Q659" s="3" t="str">
        <f t="shared" si="43"/>
        <v>No</v>
      </c>
    </row>
    <row r="660" spans="1:17" ht="21" customHeight="1">
      <c r="A660" s="3" t="s">
        <v>1187</v>
      </c>
      <c r="B660" s="5">
        <v>45482</v>
      </c>
      <c r="C660" s="3" t="s">
        <v>919</v>
      </c>
      <c r="D660" s="3" t="s">
        <v>47</v>
      </c>
      <c r="E660" s="3" t="s">
        <v>42</v>
      </c>
      <c r="F660" s="3" t="s">
        <v>126</v>
      </c>
      <c r="G660" s="3" t="s">
        <v>127</v>
      </c>
      <c r="H660" s="3">
        <v>1</v>
      </c>
      <c r="I660" s="7">
        <v>970.85</v>
      </c>
      <c r="J660" s="9">
        <v>0</v>
      </c>
      <c r="K660" s="7">
        <v>970.85</v>
      </c>
      <c r="L660" s="7">
        <v>515.39</v>
      </c>
      <c r="M660" s="3" t="s">
        <v>57</v>
      </c>
      <c r="N660" s="3" t="str">
        <f t="shared" si="40"/>
        <v>2024-07</v>
      </c>
      <c r="O660" s="3" t="str">
        <f t="shared" si="41"/>
        <v>No discount</v>
      </c>
      <c r="P660" s="9">
        <f t="shared" si="42"/>
        <v>0.53086470618530146</v>
      </c>
      <c r="Q660" s="3" t="str">
        <f t="shared" si="43"/>
        <v>No</v>
      </c>
    </row>
    <row r="661" spans="1:17" ht="21" customHeight="1">
      <c r="A661" s="3" t="s">
        <v>1188</v>
      </c>
      <c r="B661" s="5">
        <v>45482</v>
      </c>
      <c r="C661" s="3" t="s">
        <v>726</v>
      </c>
      <c r="D661" s="3" t="s">
        <v>45</v>
      </c>
      <c r="E661" s="3" t="s">
        <v>38</v>
      </c>
      <c r="F661" s="3" t="s">
        <v>94</v>
      </c>
      <c r="G661" s="3" t="s">
        <v>213</v>
      </c>
      <c r="H661" s="3">
        <v>1</v>
      </c>
      <c r="I661" s="7">
        <v>53068.7</v>
      </c>
      <c r="J661" s="9">
        <v>0</v>
      </c>
      <c r="K661" s="7">
        <v>53068.7</v>
      </c>
      <c r="L661" s="7">
        <v>8030.92</v>
      </c>
      <c r="M661" s="3" t="s">
        <v>59</v>
      </c>
      <c r="N661" s="3" t="str">
        <f t="shared" si="40"/>
        <v>2024-07</v>
      </c>
      <c r="O661" s="3" t="str">
        <f t="shared" si="41"/>
        <v>No discount</v>
      </c>
      <c r="P661" s="9">
        <f t="shared" si="42"/>
        <v>0.15133063368803082</v>
      </c>
      <c r="Q661" s="3" t="str">
        <f t="shared" si="43"/>
        <v>No</v>
      </c>
    </row>
    <row r="662" spans="1:17" ht="21" customHeight="1">
      <c r="A662" s="3" t="s">
        <v>1189</v>
      </c>
      <c r="B662" s="5">
        <v>45482</v>
      </c>
      <c r="C662" s="3" t="s">
        <v>525</v>
      </c>
      <c r="D662" s="3" t="s">
        <v>46</v>
      </c>
      <c r="E662" s="3" t="s">
        <v>38</v>
      </c>
      <c r="F662" s="3" t="s">
        <v>98</v>
      </c>
      <c r="G662" s="3" t="s">
        <v>99</v>
      </c>
      <c r="H662" s="3">
        <v>1</v>
      </c>
      <c r="I662" s="7">
        <v>24626.68</v>
      </c>
      <c r="J662" s="9">
        <v>0.1</v>
      </c>
      <c r="K662" s="7">
        <v>22164.01</v>
      </c>
      <c r="L662" s="7">
        <v>827.47</v>
      </c>
      <c r="M662" s="3" t="s">
        <v>56</v>
      </c>
      <c r="N662" s="3" t="str">
        <f t="shared" si="40"/>
        <v>2024-07</v>
      </c>
      <c r="O662" s="3" t="str">
        <f t="shared" si="41"/>
        <v>1-10%</v>
      </c>
      <c r="P662" s="9">
        <f t="shared" si="42"/>
        <v>3.7333948143860256E-2</v>
      </c>
      <c r="Q662" s="3" t="str">
        <f t="shared" si="43"/>
        <v>No</v>
      </c>
    </row>
    <row r="663" spans="1:17" ht="21" customHeight="1">
      <c r="A663" s="3" t="s">
        <v>1190</v>
      </c>
      <c r="B663" s="5">
        <v>45483</v>
      </c>
      <c r="C663" s="3" t="s">
        <v>1191</v>
      </c>
      <c r="D663" s="3" t="s">
        <v>45</v>
      </c>
      <c r="E663" s="3" t="s">
        <v>38</v>
      </c>
      <c r="F663" s="3" t="s">
        <v>98</v>
      </c>
      <c r="G663" s="3" t="s">
        <v>182</v>
      </c>
      <c r="H663" s="3">
        <v>1</v>
      </c>
      <c r="I663" s="7">
        <v>69971.89</v>
      </c>
      <c r="J663" s="9">
        <v>0.15</v>
      </c>
      <c r="K663" s="7">
        <v>59476.11</v>
      </c>
      <c r="L663" s="7">
        <v>-111.91</v>
      </c>
      <c r="M663" s="3" t="s">
        <v>56</v>
      </c>
      <c r="N663" s="3" t="str">
        <f t="shared" si="40"/>
        <v>2024-07</v>
      </c>
      <c r="O663" s="3" t="str">
        <f t="shared" si="41"/>
        <v>11-15%</v>
      </c>
      <c r="P663" s="9">
        <f t="shared" si="42"/>
        <v>-1.8815958205740085E-3</v>
      </c>
      <c r="Q663" s="3" t="str">
        <f t="shared" si="43"/>
        <v>Yes</v>
      </c>
    </row>
    <row r="664" spans="1:17" ht="21" customHeight="1">
      <c r="A664" s="3" t="s">
        <v>1192</v>
      </c>
      <c r="B664" s="5">
        <v>45483</v>
      </c>
      <c r="C664" s="3" t="s">
        <v>1193</v>
      </c>
      <c r="D664" s="3" t="s">
        <v>46</v>
      </c>
      <c r="E664" s="3" t="s">
        <v>41</v>
      </c>
      <c r="F664" s="3" t="s">
        <v>113</v>
      </c>
      <c r="G664" s="3" t="s">
        <v>123</v>
      </c>
      <c r="H664" s="3">
        <v>1</v>
      </c>
      <c r="I664" s="7">
        <v>3382</v>
      </c>
      <c r="J664" s="9">
        <v>0</v>
      </c>
      <c r="K664" s="7">
        <v>3382</v>
      </c>
      <c r="L664" s="7">
        <v>1170.74</v>
      </c>
      <c r="M664" s="3" t="s">
        <v>56</v>
      </c>
      <c r="N664" s="3" t="str">
        <f t="shared" si="40"/>
        <v>2024-07</v>
      </c>
      <c r="O664" s="3" t="str">
        <f t="shared" si="41"/>
        <v>No discount</v>
      </c>
      <c r="P664" s="9">
        <f t="shared" si="42"/>
        <v>0.34616794795978711</v>
      </c>
      <c r="Q664" s="3" t="str">
        <f t="shared" si="43"/>
        <v>No</v>
      </c>
    </row>
    <row r="665" spans="1:17" ht="21" customHeight="1">
      <c r="A665" s="3" t="s">
        <v>1194</v>
      </c>
      <c r="B665" s="5">
        <v>45483</v>
      </c>
      <c r="C665" s="3" t="s">
        <v>1195</v>
      </c>
      <c r="D665" s="3" t="s">
        <v>47</v>
      </c>
      <c r="E665" s="3" t="s">
        <v>41</v>
      </c>
      <c r="F665" s="3" t="s">
        <v>119</v>
      </c>
      <c r="G665" s="3" t="s">
        <v>168</v>
      </c>
      <c r="H665" s="3">
        <v>5</v>
      </c>
      <c r="I665" s="7">
        <v>9590.68</v>
      </c>
      <c r="J665" s="9">
        <v>0.05</v>
      </c>
      <c r="K665" s="7">
        <v>45555.73</v>
      </c>
      <c r="L665" s="7">
        <v>13047.91</v>
      </c>
      <c r="M665" s="3" t="s">
        <v>56</v>
      </c>
      <c r="N665" s="3" t="str">
        <f t="shared" si="40"/>
        <v>2024-07</v>
      </c>
      <c r="O665" s="3" t="str">
        <f t="shared" si="41"/>
        <v>1-10%</v>
      </c>
      <c r="P665" s="9">
        <f t="shared" si="42"/>
        <v>0.28641643981997433</v>
      </c>
      <c r="Q665" s="3" t="str">
        <f t="shared" si="43"/>
        <v>No</v>
      </c>
    </row>
    <row r="666" spans="1:17" ht="21" customHeight="1">
      <c r="A666" s="3" t="s">
        <v>1196</v>
      </c>
      <c r="B666" s="5">
        <v>45483</v>
      </c>
      <c r="C666" s="3" t="s">
        <v>1197</v>
      </c>
      <c r="D666" s="3" t="s">
        <v>46</v>
      </c>
      <c r="E666" s="3" t="s">
        <v>39</v>
      </c>
      <c r="F666" s="3" t="s">
        <v>164</v>
      </c>
      <c r="G666" s="3" t="s">
        <v>165</v>
      </c>
      <c r="H666" s="3">
        <v>2</v>
      </c>
      <c r="I666" s="7">
        <v>2033.59</v>
      </c>
      <c r="J666" s="9">
        <v>0</v>
      </c>
      <c r="K666" s="7">
        <v>4067.18</v>
      </c>
      <c r="L666" s="7">
        <v>1821.82</v>
      </c>
      <c r="M666" s="3" t="s">
        <v>56</v>
      </c>
      <c r="N666" s="3" t="str">
        <f t="shared" si="40"/>
        <v>2024-07</v>
      </c>
      <c r="O666" s="3" t="str">
        <f t="shared" si="41"/>
        <v>No discount</v>
      </c>
      <c r="P666" s="9">
        <f t="shared" si="42"/>
        <v>0.44793198235632553</v>
      </c>
      <c r="Q666" s="3" t="str">
        <f t="shared" si="43"/>
        <v>No</v>
      </c>
    </row>
    <row r="667" spans="1:17" ht="21" customHeight="1">
      <c r="A667" s="3" t="s">
        <v>1198</v>
      </c>
      <c r="B667" s="5">
        <v>45484</v>
      </c>
      <c r="C667" s="3" t="s">
        <v>1199</v>
      </c>
      <c r="D667" s="3" t="s">
        <v>47</v>
      </c>
      <c r="E667" s="3" t="s">
        <v>39</v>
      </c>
      <c r="F667" s="3" t="s">
        <v>109</v>
      </c>
      <c r="G667" s="3" t="s">
        <v>355</v>
      </c>
      <c r="H667" s="3">
        <v>4</v>
      </c>
      <c r="I667" s="7">
        <v>3422.74</v>
      </c>
      <c r="J667" s="9">
        <v>0</v>
      </c>
      <c r="K667" s="7">
        <v>13690.96</v>
      </c>
      <c r="L667" s="7">
        <v>5542.28</v>
      </c>
      <c r="M667" s="3" t="s">
        <v>58</v>
      </c>
      <c r="N667" s="3" t="str">
        <f t="shared" si="40"/>
        <v>2024-07</v>
      </c>
      <c r="O667" s="3" t="str">
        <f t="shared" si="41"/>
        <v>No discount</v>
      </c>
      <c r="P667" s="9">
        <f t="shared" si="42"/>
        <v>0.40481310295260525</v>
      </c>
      <c r="Q667" s="3" t="str">
        <f t="shared" si="43"/>
        <v>No</v>
      </c>
    </row>
    <row r="668" spans="1:17" ht="21" customHeight="1">
      <c r="A668" s="3" t="s">
        <v>1200</v>
      </c>
      <c r="B668" s="5">
        <v>45484</v>
      </c>
      <c r="C668" s="3" t="s">
        <v>628</v>
      </c>
      <c r="D668" s="3" t="s">
        <v>47</v>
      </c>
      <c r="E668" s="3" t="s">
        <v>39</v>
      </c>
      <c r="F668" s="3" t="s">
        <v>109</v>
      </c>
      <c r="G668" s="3" t="s">
        <v>355</v>
      </c>
      <c r="H668" s="3">
        <v>1</v>
      </c>
      <c r="I668" s="7">
        <v>3376.66</v>
      </c>
      <c r="J668" s="9">
        <v>0.05</v>
      </c>
      <c r="K668" s="7">
        <v>3207.83</v>
      </c>
      <c r="L668" s="7">
        <v>1051.73</v>
      </c>
      <c r="M668" s="3" t="s">
        <v>56</v>
      </c>
      <c r="N668" s="3" t="str">
        <f t="shared" si="40"/>
        <v>2024-07</v>
      </c>
      <c r="O668" s="3" t="str">
        <f t="shared" si="41"/>
        <v>1-10%</v>
      </c>
      <c r="P668" s="9">
        <f t="shared" si="42"/>
        <v>0.32786338428158601</v>
      </c>
      <c r="Q668" s="3" t="str">
        <f t="shared" si="43"/>
        <v>No</v>
      </c>
    </row>
    <row r="669" spans="1:17" ht="21" customHeight="1">
      <c r="A669" s="3" t="s">
        <v>1201</v>
      </c>
      <c r="B669" s="5">
        <v>45484</v>
      </c>
      <c r="C669" s="3" t="s">
        <v>1202</v>
      </c>
      <c r="D669" s="3" t="s">
        <v>47</v>
      </c>
      <c r="E669" s="3" t="s">
        <v>41</v>
      </c>
      <c r="F669" s="3" t="s">
        <v>119</v>
      </c>
      <c r="G669" s="3" t="s">
        <v>120</v>
      </c>
      <c r="H669" s="3">
        <v>2</v>
      </c>
      <c r="I669" s="7">
        <v>1288.52</v>
      </c>
      <c r="J669" s="9">
        <v>0.05</v>
      </c>
      <c r="K669" s="7">
        <v>2448.19</v>
      </c>
      <c r="L669" s="7">
        <v>802.91</v>
      </c>
      <c r="M669" s="3" t="s">
        <v>56</v>
      </c>
      <c r="N669" s="3" t="str">
        <f t="shared" si="40"/>
        <v>2024-07</v>
      </c>
      <c r="O669" s="3" t="str">
        <f t="shared" si="41"/>
        <v>1-10%</v>
      </c>
      <c r="P669" s="9">
        <f t="shared" si="42"/>
        <v>0.32796065664838103</v>
      </c>
      <c r="Q669" s="3" t="str">
        <f t="shared" si="43"/>
        <v>No</v>
      </c>
    </row>
    <row r="670" spans="1:17" ht="21" customHeight="1">
      <c r="A670" s="3" t="s">
        <v>1203</v>
      </c>
      <c r="B670" s="5">
        <v>45485</v>
      </c>
      <c r="C670" s="3" t="s">
        <v>686</v>
      </c>
      <c r="D670" s="3" t="s">
        <v>47</v>
      </c>
      <c r="E670" s="3" t="s">
        <v>41</v>
      </c>
      <c r="F670" s="3" t="s">
        <v>113</v>
      </c>
      <c r="G670" s="3" t="s">
        <v>123</v>
      </c>
      <c r="H670" s="3">
        <v>1</v>
      </c>
      <c r="I670" s="7">
        <v>3341.24</v>
      </c>
      <c r="J670" s="9">
        <v>0.05</v>
      </c>
      <c r="K670" s="7">
        <v>3174.18</v>
      </c>
      <c r="L670" s="7">
        <v>993.84</v>
      </c>
      <c r="M670" s="3" t="s">
        <v>56</v>
      </c>
      <c r="N670" s="3" t="str">
        <f t="shared" si="40"/>
        <v>2024-07</v>
      </c>
      <c r="O670" s="3" t="str">
        <f t="shared" si="41"/>
        <v>1-10%</v>
      </c>
      <c r="P670" s="9">
        <f t="shared" si="42"/>
        <v>0.31310133640814325</v>
      </c>
      <c r="Q670" s="3" t="str">
        <f t="shared" si="43"/>
        <v>No</v>
      </c>
    </row>
    <row r="671" spans="1:17" ht="21" customHeight="1">
      <c r="A671" s="3" t="s">
        <v>1204</v>
      </c>
      <c r="B671" s="5">
        <v>45485</v>
      </c>
      <c r="C671" s="3" t="s">
        <v>1205</v>
      </c>
      <c r="D671" s="3" t="s">
        <v>47</v>
      </c>
      <c r="E671" s="3" t="s">
        <v>38</v>
      </c>
      <c r="F671" s="3" t="s">
        <v>98</v>
      </c>
      <c r="G671" s="3" t="s">
        <v>362</v>
      </c>
      <c r="H671" s="3">
        <v>1</v>
      </c>
      <c r="I671" s="7">
        <v>34335.94</v>
      </c>
      <c r="J671" s="9">
        <v>0</v>
      </c>
      <c r="K671" s="7">
        <v>34335.94</v>
      </c>
      <c r="L671" s="7">
        <v>6354.52</v>
      </c>
      <c r="M671" s="3" t="s">
        <v>60</v>
      </c>
      <c r="N671" s="3" t="str">
        <f t="shared" si="40"/>
        <v>2024-07</v>
      </c>
      <c r="O671" s="3" t="str">
        <f t="shared" si="41"/>
        <v>No discount</v>
      </c>
      <c r="P671" s="9">
        <f t="shared" si="42"/>
        <v>0.18506905592216202</v>
      </c>
      <c r="Q671" s="3" t="str">
        <f t="shared" si="43"/>
        <v>No</v>
      </c>
    </row>
    <row r="672" spans="1:17" ht="21" customHeight="1">
      <c r="A672" s="3" t="s">
        <v>1206</v>
      </c>
      <c r="B672" s="5">
        <v>45485</v>
      </c>
      <c r="C672" s="3" t="s">
        <v>713</v>
      </c>
      <c r="D672" s="3" t="s">
        <v>45</v>
      </c>
      <c r="E672" s="3" t="s">
        <v>41</v>
      </c>
      <c r="F672" s="3" t="s">
        <v>119</v>
      </c>
      <c r="G672" s="3" t="s">
        <v>168</v>
      </c>
      <c r="H672" s="3">
        <v>2</v>
      </c>
      <c r="I672" s="7">
        <v>9582.31</v>
      </c>
      <c r="J672" s="9">
        <v>0</v>
      </c>
      <c r="K672" s="7">
        <v>19164.62</v>
      </c>
      <c r="L672" s="7">
        <v>7725.64</v>
      </c>
      <c r="M672" s="3" t="s">
        <v>56</v>
      </c>
      <c r="N672" s="3" t="str">
        <f t="shared" si="40"/>
        <v>2024-07</v>
      </c>
      <c r="O672" s="3" t="str">
        <f t="shared" si="41"/>
        <v>No discount</v>
      </c>
      <c r="P672" s="9">
        <f t="shared" si="42"/>
        <v>0.40311991576143963</v>
      </c>
      <c r="Q672" s="3" t="str">
        <f t="shared" si="43"/>
        <v>No</v>
      </c>
    </row>
    <row r="673" spans="1:17" ht="21" customHeight="1">
      <c r="A673" s="3" t="s">
        <v>1207</v>
      </c>
      <c r="B673" s="5">
        <v>45486</v>
      </c>
      <c r="C673" s="3" t="s">
        <v>1208</v>
      </c>
      <c r="D673" s="3" t="s">
        <v>47</v>
      </c>
      <c r="E673" s="3" t="s">
        <v>38</v>
      </c>
      <c r="F673" s="3" t="s">
        <v>142</v>
      </c>
      <c r="G673" s="3" t="s">
        <v>245</v>
      </c>
      <c r="H673" s="3">
        <v>1</v>
      </c>
      <c r="I673" s="7">
        <v>5196.12</v>
      </c>
      <c r="J673" s="9">
        <v>0.05</v>
      </c>
      <c r="K673" s="7">
        <v>4936.3100000000004</v>
      </c>
      <c r="L673" s="7">
        <v>513.5</v>
      </c>
      <c r="M673" s="3" t="s">
        <v>57</v>
      </c>
      <c r="N673" s="3" t="str">
        <f t="shared" si="40"/>
        <v>2024-07</v>
      </c>
      <c r="O673" s="3" t="str">
        <f t="shared" si="41"/>
        <v>1-10%</v>
      </c>
      <c r="P673" s="9">
        <f t="shared" si="42"/>
        <v>0.10402507135897056</v>
      </c>
      <c r="Q673" s="3" t="str">
        <f t="shared" si="43"/>
        <v>No</v>
      </c>
    </row>
    <row r="674" spans="1:17" ht="21" customHeight="1">
      <c r="A674" s="3" t="s">
        <v>1209</v>
      </c>
      <c r="B674" s="5">
        <v>45486</v>
      </c>
      <c r="C674" s="3" t="s">
        <v>364</v>
      </c>
      <c r="D674" s="3" t="s">
        <v>45</v>
      </c>
      <c r="E674" s="3" t="s">
        <v>40</v>
      </c>
      <c r="F674" s="3" t="s">
        <v>160</v>
      </c>
      <c r="G674" s="3" t="s">
        <v>173</v>
      </c>
      <c r="H674" s="3">
        <v>2</v>
      </c>
      <c r="I674" s="7">
        <v>9060.8799999999992</v>
      </c>
      <c r="J674" s="9">
        <v>0.1</v>
      </c>
      <c r="K674" s="7">
        <v>16309.58</v>
      </c>
      <c r="L674" s="7">
        <v>3045.89</v>
      </c>
      <c r="M674" s="3" t="s">
        <v>56</v>
      </c>
      <c r="N674" s="3" t="str">
        <f t="shared" si="40"/>
        <v>2024-07</v>
      </c>
      <c r="O674" s="3" t="str">
        <f t="shared" si="41"/>
        <v>1-10%</v>
      </c>
      <c r="P674" s="9">
        <f t="shared" si="42"/>
        <v>0.18675465585257253</v>
      </c>
      <c r="Q674" s="3" t="str">
        <f t="shared" si="43"/>
        <v>No</v>
      </c>
    </row>
    <row r="675" spans="1:17" ht="21" customHeight="1">
      <c r="A675" s="3" t="s">
        <v>1210</v>
      </c>
      <c r="B675" s="5">
        <v>45487</v>
      </c>
      <c r="C675" s="3" t="s">
        <v>1191</v>
      </c>
      <c r="D675" s="3" t="s">
        <v>44</v>
      </c>
      <c r="E675" s="3" t="s">
        <v>40</v>
      </c>
      <c r="F675" s="3" t="s">
        <v>160</v>
      </c>
      <c r="G675" s="3" t="s">
        <v>173</v>
      </c>
      <c r="H675" s="3">
        <v>1</v>
      </c>
      <c r="I675" s="7">
        <v>9115.59</v>
      </c>
      <c r="J675" s="9">
        <v>0</v>
      </c>
      <c r="K675" s="7">
        <v>9115.59</v>
      </c>
      <c r="L675" s="7">
        <v>3082.41</v>
      </c>
      <c r="M675" s="3" t="s">
        <v>60</v>
      </c>
      <c r="N675" s="3" t="str">
        <f t="shared" si="40"/>
        <v>2024-07</v>
      </c>
      <c r="O675" s="3" t="str">
        <f t="shared" si="41"/>
        <v>No discount</v>
      </c>
      <c r="P675" s="9">
        <f t="shared" si="42"/>
        <v>0.33814706453449528</v>
      </c>
      <c r="Q675" s="3" t="str">
        <f t="shared" si="43"/>
        <v>No</v>
      </c>
    </row>
    <row r="676" spans="1:17" ht="21" customHeight="1">
      <c r="A676" s="3" t="s">
        <v>1211</v>
      </c>
      <c r="B676" s="5">
        <v>45487</v>
      </c>
      <c r="C676" s="3" t="s">
        <v>548</v>
      </c>
      <c r="D676" s="3" t="s">
        <v>46</v>
      </c>
      <c r="E676" s="3" t="s">
        <v>42</v>
      </c>
      <c r="F676" s="3" t="s">
        <v>90</v>
      </c>
      <c r="G676" s="3" t="s">
        <v>106</v>
      </c>
      <c r="H676" s="3">
        <v>2</v>
      </c>
      <c r="I676" s="7">
        <v>898.02</v>
      </c>
      <c r="J676" s="9">
        <v>0</v>
      </c>
      <c r="K676" s="7">
        <v>1796.04</v>
      </c>
      <c r="L676" s="7">
        <v>1002.89</v>
      </c>
      <c r="M676" s="3" t="s">
        <v>56</v>
      </c>
      <c r="N676" s="3" t="str">
        <f t="shared" si="40"/>
        <v>2024-07</v>
      </c>
      <c r="O676" s="3" t="str">
        <f t="shared" si="41"/>
        <v>No discount</v>
      </c>
      <c r="P676" s="9">
        <f t="shared" si="42"/>
        <v>0.55838956816106544</v>
      </c>
      <c r="Q676" s="3" t="str">
        <f t="shared" si="43"/>
        <v>No</v>
      </c>
    </row>
    <row r="677" spans="1:17" ht="21" customHeight="1">
      <c r="A677" s="3" t="s">
        <v>1212</v>
      </c>
      <c r="B677" s="5">
        <v>45487</v>
      </c>
      <c r="C677" s="3" t="s">
        <v>1191</v>
      </c>
      <c r="D677" s="3" t="s">
        <v>45</v>
      </c>
      <c r="E677" s="3" t="s">
        <v>41</v>
      </c>
      <c r="F677" s="3" t="s">
        <v>113</v>
      </c>
      <c r="G677" s="3" t="s">
        <v>114</v>
      </c>
      <c r="H677" s="3">
        <v>4</v>
      </c>
      <c r="I677" s="7">
        <v>11778.44</v>
      </c>
      <c r="J677" s="9">
        <v>0</v>
      </c>
      <c r="K677" s="7">
        <v>47113.760000000002</v>
      </c>
      <c r="L677" s="7">
        <v>17604.43</v>
      </c>
      <c r="M677" s="3" t="s">
        <v>57</v>
      </c>
      <c r="N677" s="3" t="str">
        <f t="shared" si="40"/>
        <v>2024-07</v>
      </c>
      <c r="O677" s="3" t="str">
        <f t="shared" si="41"/>
        <v>No discount</v>
      </c>
      <c r="P677" s="9">
        <f t="shared" si="42"/>
        <v>0.3736579292334129</v>
      </c>
      <c r="Q677" s="3" t="str">
        <f t="shared" si="43"/>
        <v>No</v>
      </c>
    </row>
    <row r="678" spans="1:17" ht="21" customHeight="1">
      <c r="A678" s="3" t="s">
        <v>1213</v>
      </c>
      <c r="B678" s="5">
        <v>45488</v>
      </c>
      <c r="C678" s="3" t="s">
        <v>700</v>
      </c>
      <c r="D678" s="3" t="s">
        <v>45</v>
      </c>
      <c r="E678" s="3" t="s">
        <v>38</v>
      </c>
      <c r="F678" s="3" t="s">
        <v>142</v>
      </c>
      <c r="G678" s="3" t="s">
        <v>143</v>
      </c>
      <c r="H678" s="3">
        <v>1</v>
      </c>
      <c r="I678" s="7">
        <v>8827</v>
      </c>
      <c r="J678" s="9">
        <v>0</v>
      </c>
      <c r="K678" s="7">
        <v>8827</v>
      </c>
      <c r="L678" s="7">
        <v>1907.46</v>
      </c>
      <c r="M678" s="3" t="s">
        <v>58</v>
      </c>
      <c r="N678" s="3" t="str">
        <f t="shared" si="40"/>
        <v>2024-07</v>
      </c>
      <c r="O678" s="3" t="str">
        <f t="shared" si="41"/>
        <v>No discount</v>
      </c>
      <c r="P678" s="9">
        <f t="shared" si="42"/>
        <v>0.21609380310411239</v>
      </c>
      <c r="Q678" s="3" t="str">
        <f t="shared" si="43"/>
        <v>No</v>
      </c>
    </row>
    <row r="679" spans="1:17" ht="21" customHeight="1">
      <c r="A679" s="3" t="s">
        <v>1214</v>
      </c>
      <c r="B679" s="5">
        <v>45488</v>
      </c>
      <c r="C679" s="3" t="s">
        <v>240</v>
      </c>
      <c r="D679" s="3" t="s">
        <v>47</v>
      </c>
      <c r="E679" s="3" t="s">
        <v>41</v>
      </c>
      <c r="F679" s="3" t="s">
        <v>119</v>
      </c>
      <c r="G679" s="3" t="s">
        <v>120</v>
      </c>
      <c r="H679" s="3">
        <v>1</v>
      </c>
      <c r="I679" s="7">
        <v>1236.75</v>
      </c>
      <c r="J679" s="9">
        <v>0</v>
      </c>
      <c r="K679" s="7">
        <v>1236.75</v>
      </c>
      <c r="L679" s="7">
        <v>481.07</v>
      </c>
      <c r="M679" s="3" t="s">
        <v>56</v>
      </c>
      <c r="N679" s="3" t="str">
        <f t="shared" si="40"/>
        <v>2024-07</v>
      </c>
      <c r="O679" s="3" t="str">
        <f t="shared" si="41"/>
        <v>No discount</v>
      </c>
      <c r="P679" s="9">
        <f t="shared" si="42"/>
        <v>0.38897917930058623</v>
      </c>
      <c r="Q679" s="3" t="str">
        <f t="shared" si="43"/>
        <v>No</v>
      </c>
    </row>
    <row r="680" spans="1:17" ht="21" customHeight="1">
      <c r="A680" s="3" t="s">
        <v>1215</v>
      </c>
      <c r="B680" s="5">
        <v>45489</v>
      </c>
      <c r="C680" s="3" t="s">
        <v>291</v>
      </c>
      <c r="D680" s="3" t="s">
        <v>45</v>
      </c>
      <c r="E680" s="3" t="s">
        <v>41</v>
      </c>
      <c r="F680" s="3" t="s">
        <v>113</v>
      </c>
      <c r="G680" s="3" t="s">
        <v>114</v>
      </c>
      <c r="H680" s="3">
        <v>1</v>
      </c>
      <c r="I680" s="7">
        <v>12323.57</v>
      </c>
      <c r="J680" s="9">
        <v>0.05</v>
      </c>
      <c r="K680" s="7">
        <v>11707.39</v>
      </c>
      <c r="L680" s="7">
        <v>3789.04</v>
      </c>
      <c r="M680" s="3" t="s">
        <v>57</v>
      </c>
      <c r="N680" s="3" t="str">
        <f t="shared" si="40"/>
        <v>2024-07</v>
      </c>
      <c r="O680" s="3" t="str">
        <f t="shared" si="41"/>
        <v>1-10%</v>
      </c>
      <c r="P680" s="9">
        <f t="shared" si="42"/>
        <v>0.32364515062708255</v>
      </c>
      <c r="Q680" s="3" t="str">
        <f t="shared" si="43"/>
        <v>No</v>
      </c>
    </row>
    <row r="681" spans="1:17" ht="21" customHeight="1">
      <c r="A681" s="3" t="s">
        <v>1216</v>
      </c>
      <c r="B681" s="5">
        <v>45489</v>
      </c>
      <c r="C681" s="3" t="s">
        <v>97</v>
      </c>
      <c r="D681" s="3" t="s">
        <v>45</v>
      </c>
      <c r="E681" s="3" t="s">
        <v>42</v>
      </c>
      <c r="F681" s="3" t="s">
        <v>90</v>
      </c>
      <c r="G681" s="3" t="s">
        <v>106</v>
      </c>
      <c r="H681" s="3">
        <v>5</v>
      </c>
      <c r="I681" s="7">
        <v>897.55</v>
      </c>
      <c r="J681" s="9">
        <v>0.4</v>
      </c>
      <c r="K681" s="7">
        <v>2692.65</v>
      </c>
      <c r="L681" s="7">
        <v>266.89999999999998</v>
      </c>
      <c r="M681" s="3" t="s">
        <v>56</v>
      </c>
      <c r="N681" s="3" t="str">
        <f t="shared" si="40"/>
        <v>2024-07</v>
      </c>
      <c r="O681" s="3" t="str">
        <f t="shared" si="41"/>
        <v>21%+</v>
      </c>
      <c r="P681" s="9">
        <f t="shared" si="42"/>
        <v>9.9121683100291527E-2</v>
      </c>
      <c r="Q681" s="3" t="str">
        <f t="shared" si="43"/>
        <v>No</v>
      </c>
    </row>
    <row r="682" spans="1:17" ht="21" customHeight="1">
      <c r="A682" s="3" t="s">
        <v>1217</v>
      </c>
      <c r="B682" s="5">
        <v>45489</v>
      </c>
      <c r="C682" s="3" t="s">
        <v>1218</v>
      </c>
      <c r="D682" s="3" t="s">
        <v>45</v>
      </c>
      <c r="E682" s="3" t="s">
        <v>39</v>
      </c>
      <c r="F682" s="3" t="s">
        <v>164</v>
      </c>
      <c r="G682" s="3" t="s">
        <v>200</v>
      </c>
      <c r="H682" s="3">
        <v>2</v>
      </c>
      <c r="I682" s="7">
        <v>1294.72</v>
      </c>
      <c r="J682" s="9">
        <v>0.1</v>
      </c>
      <c r="K682" s="7">
        <v>2330.5</v>
      </c>
      <c r="L682" s="7">
        <v>768.41</v>
      </c>
      <c r="M682" s="3" t="s">
        <v>60</v>
      </c>
      <c r="N682" s="3" t="str">
        <f t="shared" si="40"/>
        <v>2024-07</v>
      </c>
      <c r="O682" s="3" t="str">
        <f t="shared" si="41"/>
        <v>1-10%</v>
      </c>
      <c r="P682" s="9">
        <f t="shared" si="42"/>
        <v>0.3297189444325252</v>
      </c>
      <c r="Q682" s="3" t="str">
        <f t="shared" si="43"/>
        <v>No</v>
      </c>
    </row>
    <row r="683" spans="1:17" ht="21" customHeight="1">
      <c r="A683" s="3" t="s">
        <v>1219</v>
      </c>
      <c r="B683" s="5">
        <v>45489</v>
      </c>
      <c r="C683" s="3" t="s">
        <v>420</v>
      </c>
      <c r="D683" s="3" t="s">
        <v>45</v>
      </c>
      <c r="E683" s="3" t="s">
        <v>42</v>
      </c>
      <c r="F683" s="3" t="s">
        <v>90</v>
      </c>
      <c r="G683" s="3" t="s">
        <v>91</v>
      </c>
      <c r="H683" s="3">
        <v>1</v>
      </c>
      <c r="I683" s="7">
        <v>1251.1199999999999</v>
      </c>
      <c r="J683" s="9">
        <v>0.1</v>
      </c>
      <c r="K683" s="7">
        <v>1126.01</v>
      </c>
      <c r="L683" s="7">
        <v>512.63</v>
      </c>
      <c r="M683" s="3" t="s">
        <v>56</v>
      </c>
      <c r="N683" s="3" t="str">
        <f t="shared" si="40"/>
        <v>2024-07</v>
      </c>
      <c r="O683" s="3" t="str">
        <f t="shared" si="41"/>
        <v>1-10%</v>
      </c>
      <c r="P683" s="9">
        <f t="shared" si="42"/>
        <v>0.45526238665731211</v>
      </c>
      <c r="Q683" s="3" t="str">
        <f t="shared" si="43"/>
        <v>No</v>
      </c>
    </row>
    <row r="684" spans="1:17" ht="21" customHeight="1">
      <c r="A684" s="3" t="s">
        <v>1220</v>
      </c>
      <c r="B684" s="5">
        <v>45489</v>
      </c>
      <c r="C684" s="3" t="s">
        <v>1221</v>
      </c>
      <c r="D684" s="3" t="s">
        <v>44</v>
      </c>
      <c r="E684" s="3" t="s">
        <v>41</v>
      </c>
      <c r="F684" s="3" t="s">
        <v>119</v>
      </c>
      <c r="G684" s="3" t="s">
        <v>168</v>
      </c>
      <c r="H684" s="3">
        <v>1</v>
      </c>
      <c r="I684" s="7">
        <v>10104.030000000001</v>
      </c>
      <c r="J684" s="9">
        <v>0.15</v>
      </c>
      <c r="K684" s="7">
        <v>8588.43</v>
      </c>
      <c r="L684" s="7">
        <v>1866.4</v>
      </c>
      <c r="M684" s="3" t="s">
        <v>60</v>
      </c>
      <c r="N684" s="3" t="str">
        <f t="shared" si="40"/>
        <v>2024-07</v>
      </c>
      <c r="O684" s="3" t="str">
        <f t="shared" si="41"/>
        <v>11-15%</v>
      </c>
      <c r="P684" s="9">
        <f t="shared" si="42"/>
        <v>0.21731562113215105</v>
      </c>
      <c r="Q684" s="3" t="str">
        <f t="shared" si="43"/>
        <v>No</v>
      </c>
    </row>
    <row r="685" spans="1:17" ht="21" customHeight="1">
      <c r="A685" s="3" t="s">
        <v>1222</v>
      </c>
      <c r="B685" s="5">
        <v>45490</v>
      </c>
      <c r="C685" s="3" t="s">
        <v>1138</v>
      </c>
      <c r="D685" s="3" t="s">
        <v>46</v>
      </c>
      <c r="E685" s="3" t="s">
        <v>39</v>
      </c>
      <c r="F685" s="3" t="s">
        <v>109</v>
      </c>
      <c r="G685" s="3" t="s">
        <v>355</v>
      </c>
      <c r="H685" s="3">
        <v>1</v>
      </c>
      <c r="I685" s="7">
        <v>3496.38</v>
      </c>
      <c r="J685" s="9">
        <v>0.1</v>
      </c>
      <c r="K685" s="7">
        <v>3146.74</v>
      </c>
      <c r="L685" s="7">
        <v>879.18</v>
      </c>
      <c r="M685" s="3" t="s">
        <v>58</v>
      </c>
      <c r="N685" s="3" t="str">
        <f t="shared" si="40"/>
        <v>2024-07</v>
      </c>
      <c r="O685" s="3" t="str">
        <f t="shared" si="41"/>
        <v>1-10%</v>
      </c>
      <c r="P685" s="9">
        <f t="shared" si="42"/>
        <v>0.27939391243000694</v>
      </c>
      <c r="Q685" s="3" t="str">
        <f t="shared" si="43"/>
        <v>No</v>
      </c>
    </row>
    <row r="686" spans="1:17" ht="21" customHeight="1">
      <c r="A686" s="3" t="s">
        <v>1223</v>
      </c>
      <c r="B686" s="5">
        <v>45491</v>
      </c>
      <c r="C686" s="3" t="s">
        <v>1224</v>
      </c>
      <c r="D686" s="3" t="s">
        <v>47</v>
      </c>
      <c r="E686" s="3" t="s">
        <v>38</v>
      </c>
      <c r="F686" s="3" t="s">
        <v>142</v>
      </c>
      <c r="G686" s="3" t="s">
        <v>143</v>
      </c>
      <c r="H686" s="3">
        <v>2</v>
      </c>
      <c r="I686" s="7">
        <v>9073.6299999999992</v>
      </c>
      <c r="J686" s="9">
        <v>0.1</v>
      </c>
      <c r="K686" s="7">
        <v>16332.53</v>
      </c>
      <c r="L686" s="7">
        <v>862.33</v>
      </c>
      <c r="M686" s="3" t="s">
        <v>56</v>
      </c>
      <c r="N686" s="3" t="str">
        <f t="shared" si="40"/>
        <v>2024-07</v>
      </c>
      <c r="O686" s="3" t="str">
        <f t="shared" si="41"/>
        <v>1-10%</v>
      </c>
      <c r="P686" s="9">
        <f t="shared" si="42"/>
        <v>5.2798311100607197E-2</v>
      </c>
      <c r="Q686" s="3" t="str">
        <f t="shared" si="43"/>
        <v>No</v>
      </c>
    </row>
    <row r="687" spans="1:17" ht="21" customHeight="1">
      <c r="A687" s="3" t="s">
        <v>1225</v>
      </c>
      <c r="B687" s="5">
        <v>45491</v>
      </c>
      <c r="C687" s="3" t="s">
        <v>361</v>
      </c>
      <c r="D687" s="3" t="s">
        <v>45</v>
      </c>
      <c r="E687" s="3" t="s">
        <v>40</v>
      </c>
      <c r="F687" s="3" t="s">
        <v>160</v>
      </c>
      <c r="G687" s="3" t="s">
        <v>161</v>
      </c>
      <c r="H687" s="3">
        <v>1</v>
      </c>
      <c r="I687" s="7">
        <v>13251.81</v>
      </c>
      <c r="J687" s="9">
        <v>0</v>
      </c>
      <c r="K687" s="7">
        <v>13251.81</v>
      </c>
      <c r="L687" s="7">
        <v>4637.8500000000004</v>
      </c>
      <c r="M687" s="3" t="s">
        <v>58</v>
      </c>
      <c r="N687" s="3" t="str">
        <f t="shared" si="40"/>
        <v>2024-07</v>
      </c>
      <c r="O687" s="3" t="str">
        <f t="shared" si="41"/>
        <v>No discount</v>
      </c>
      <c r="P687" s="9">
        <f t="shared" si="42"/>
        <v>0.34997860669599101</v>
      </c>
      <c r="Q687" s="3" t="str">
        <f t="shared" si="43"/>
        <v>No</v>
      </c>
    </row>
    <row r="688" spans="1:17" ht="21" customHeight="1">
      <c r="A688" s="3" t="s">
        <v>1226</v>
      </c>
      <c r="B688" s="5">
        <v>45491</v>
      </c>
      <c r="C688" s="3" t="s">
        <v>442</v>
      </c>
      <c r="D688" s="3" t="s">
        <v>47</v>
      </c>
      <c r="E688" s="3" t="s">
        <v>39</v>
      </c>
      <c r="F688" s="3" t="s">
        <v>164</v>
      </c>
      <c r="G688" s="3" t="s">
        <v>165</v>
      </c>
      <c r="H688" s="3">
        <v>2</v>
      </c>
      <c r="I688" s="7">
        <v>1900.97</v>
      </c>
      <c r="J688" s="9">
        <v>0</v>
      </c>
      <c r="K688" s="7">
        <v>3801.94</v>
      </c>
      <c r="L688" s="7">
        <v>1575.45</v>
      </c>
      <c r="M688" s="3" t="s">
        <v>58</v>
      </c>
      <c r="N688" s="3" t="str">
        <f t="shared" si="40"/>
        <v>2024-07</v>
      </c>
      <c r="O688" s="3" t="str">
        <f t="shared" si="41"/>
        <v>No discount</v>
      </c>
      <c r="P688" s="9">
        <f t="shared" si="42"/>
        <v>0.41438055308605609</v>
      </c>
      <c r="Q688" s="3" t="str">
        <f t="shared" si="43"/>
        <v>No</v>
      </c>
    </row>
    <row r="689" spans="1:17" ht="21" customHeight="1">
      <c r="A689" s="3" t="s">
        <v>1227</v>
      </c>
      <c r="B689" s="5">
        <v>45491</v>
      </c>
      <c r="C689" s="3" t="s">
        <v>1228</v>
      </c>
      <c r="D689" s="3" t="s">
        <v>45</v>
      </c>
      <c r="E689" s="3" t="s">
        <v>39</v>
      </c>
      <c r="F689" s="3" t="s">
        <v>109</v>
      </c>
      <c r="G689" s="3" t="s">
        <v>110</v>
      </c>
      <c r="H689" s="3">
        <v>1</v>
      </c>
      <c r="I689" s="7">
        <v>2982.16</v>
      </c>
      <c r="J689" s="9">
        <v>0.05</v>
      </c>
      <c r="K689" s="7">
        <v>2833.05</v>
      </c>
      <c r="L689" s="7">
        <v>1101.96</v>
      </c>
      <c r="M689" s="3" t="s">
        <v>57</v>
      </c>
      <c r="N689" s="3" t="str">
        <f t="shared" si="40"/>
        <v>2024-07</v>
      </c>
      <c r="O689" s="3" t="str">
        <f t="shared" si="41"/>
        <v>1-10%</v>
      </c>
      <c r="P689" s="9">
        <f t="shared" si="42"/>
        <v>0.38896595541907131</v>
      </c>
      <c r="Q689" s="3" t="str">
        <f t="shared" si="43"/>
        <v>No</v>
      </c>
    </row>
    <row r="690" spans="1:17" ht="21" customHeight="1">
      <c r="A690" s="3" t="s">
        <v>1229</v>
      </c>
      <c r="B690" s="5">
        <v>45492</v>
      </c>
      <c r="C690" s="3" t="s">
        <v>1230</v>
      </c>
      <c r="D690" s="3" t="s">
        <v>44</v>
      </c>
      <c r="E690" s="3" t="s">
        <v>42</v>
      </c>
      <c r="F690" s="3" t="s">
        <v>126</v>
      </c>
      <c r="G690" s="3" t="s">
        <v>151</v>
      </c>
      <c r="H690" s="3">
        <v>1</v>
      </c>
      <c r="I690" s="7">
        <v>1431.51</v>
      </c>
      <c r="J690" s="9">
        <v>0.05</v>
      </c>
      <c r="K690" s="7">
        <v>1359.93</v>
      </c>
      <c r="L690" s="7">
        <v>640.71</v>
      </c>
      <c r="M690" s="3" t="s">
        <v>56</v>
      </c>
      <c r="N690" s="3" t="str">
        <f t="shared" si="40"/>
        <v>2024-07</v>
      </c>
      <c r="O690" s="3" t="str">
        <f t="shared" si="41"/>
        <v>1-10%</v>
      </c>
      <c r="P690" s="9">
        <f t="shared" si="42"/>
        <v>0.47113454368974872</v>
      </c>
      <c r="Q690" s="3" t="str">
        <f t="shared" si="43"/>
        <v>No</v>
      </c>
    </row>
    <row r="691" spans="1:17" ht="21" customHeight="1">
      <c r="A691" s="3" t="s">
        <v>1231</v>
      </c>
      <c r="B691" s="5">
        <v>45493</v>
      </c>
      <c r="C691" s="3" t="s">
        <v>1232</v>
      </c>
      <c r="D691" s="3" t="s">
        <v>46</v>
      </c>
      <c r="E691" s="3" t="s">
        <v>39</v>
      </c>
      <c r="F691" s="3" t="s">
        <v>130</v>
      </c>
      <c r="G691" s="3" t="s">
        <v>193</v>
      </c>
      <c r="H691" s="3">
        <v>2</v>
      </c>
      <c r="I691" s="7">
        <v>1875.56</v>
      </c>
      <c r="J691" s="9">
        <v>0</v>
      </c>
      <c r="K691" s="7">
        <v>3751.12</v>
      </c>
      <c r="L691" s="7">
        <v>1587.01</v>
      </c>
      <c r="M691" s="3" t="s">
        <v>58</v>
      </c>
      <c r="N691" s="3" t="str">
        <f t="shared" si="40"/>
        <v>2024-07</v>
      </c>
      <c r="O691" s="3" t="str">
        <f t="shared" si="41"/>
        <v>No discount</v>
      </c>
      <c r="P691" s="9">
        <f t="shared" si="42"/>
        <v>0.42307630787604772</v>
      </c>
      <c r="Q691" s="3" t="str">
        <f t="shared" si="43"/>
        <v>No</v>
      </c>
    </row>
    <row r="692" spans="1:17" ht="21" customHeight="1">
      <c r="A692" s="3" t="s">
        <v>1233</v>
      </c>
      <c r="B692" s="5">
        <v>45493</v>
      </c>
      <c r="C692" s="3" t="s">
        <v>389</v>
      </c>
      <c r="D692" s="3" t="s">
        <v>46</v>
      </c>
      <c r="E692" s="3" t="s">
        <v>41</v>
      </c>
      <c r="F692" s="3" t="s">
        <v>119</v>
      </c>
      <c r="G692" s="3" t="s">
        <v>120</v>
      </c>
      <c r="H692" s="3">
        <v>1</v>
      </c>
      <c r="I692" s="7">
        <v>1263.19</v>
      </c>
      <c r="J692" s="9">
        <v>0.05</v>
      </c>
      <c r="K692" s="7">
        <v>1200.03</v>
      </c>
      <c r="L692" s="7">
        <v>365.73</v>
      </c>
      <c r="M692" s="3" t="s">
        <v>58</v>
      </c>
      <c r="N692" s="3" t="str">
        <f t="shared" si="40"/>
        <v>2024-07</v>
      </c>
      <c r="O692" s="3" t="str">
        <f t="shared" si="41"/>
        <v>1-10%</v>
      </c>
      <c r="P692" s="9">
        <f t="shared" si="42"/>
        <v>0.30476738081547966</v>
      </c>
      <c r="Q692" s="3" t="str">
        <f t="shared" si="43"/>
        <v>No</v>
      </c>
    </row>
    <row r="693" spans="1:17" ht="21" customHeight="1">
      <c r="A693" s="3" t="s">
        <v>1234</v>
      </c>
      <c r="B693" s="5">
        <v>45493</v>
      </c>
      <c r="C693" s="3" t="s">
        <v>1099</v>
      </c>
      <c r="D693" s="3" t="s">
        <v>45</v>
      </c>
      <c r="E693" s="3" t="s">
        <v>41</v>
      </c>
      <c r="F693" s="3" t="s">
        <v>113</v>
      </c>
      <c r="G693" s="3" t="s">
        <v>114</v>
      </c>
      <c r="H693" s="3">
        <v>3</v>
      </c>
      <c r="I693" s="7">
        <v>11994.45</v>
      </c>
      <c r="J693" s="9">
        <v>0</v>
      </c>
      <c r="K693" s="7">
        <v>35983.35</v>
      </c>
      <c r="L693" s="7">
        <v>12864.84</v>
      </c>
      <c r="M693" s="3" t="s">
        <v>58</v>
      </c>
      <c r="N693" s="3" t="str">
        <f t="shared" si="40"/>
        <v>2024-07</v>
      </c>
      <c r="O693" s="3" t="str">
        <f t="shared" si="41"/>
        <v>No discount</v>
      </c>
      <c r="P693" s="9">
        <f t="shared" si="42"/>
        <v>0.35752202060119476</v>
      </c>
      <c r="Q693" s="3" t="str">
        <f t="shared" si="43"/>
        <v>No</v>
      </c>
    </row>
    <row r="694" spans="1:17" ht="21" customHeight="1">
      <c r="A694" s="3" t="s">
        <v>1235</v>
      </c>
      <c r="B694" s="5">
        <v>45493</v>
      </c>
      <c r="C694" s="3" t="s">
        <v>1197</v>
      </c>
      <c r="D694" s="3" t="s">
        <v>47</v>
      </c>
      <c r="E694" s="3" t="s">
        <v>38</v>
      </c>
      <c r="F694" s="3" t="s">
        <v>94</v>
      </c>
      <c r="G694" s="3" t="s">
        <v>213</v>
      </c>
      <c r="H694" s="3">
        <v>1</v>
      </c>
      <c r="I694" s="7">
        <v>53097.48</v>
      </c>
      <c r="J694" s="9">
        <v>0.2</v>
      </c>
      <c r="K694" s="7">
        <v>42477.98</v>
      </c>
      <c r="L694" s="7">
        <v>-2390.3200000000002</v>
      </c>
      <c r="M694" s="3" t="s">
        <v>56</v>
      </c>
      <c r="N694" s="3" t="str">
        <f t="shared" si="40"/>
        <v>2024-07</v>
      </c>
      <c r="O694" s="3" t="str">
        <f t="shared" si="41"/>
        <v>16-20%</v>
      </c>
      <c r="P694" s="9">
        <f t="shared" si="42"/>
        <v>-5.6271979034784612E-2</v>
      </c>
      <c r="Q694" s="3" t="str">
        <f t="shared" si="43"/>
        <v>Yes</v>
      </c>
    </row>
    <row r="695" spans="1:17" ht="21" customHeight="1">
      <c r="A695" s="3" t="s">
        <v>1236</v>
      </c>
      <c r="B695" s="5">
        <v>45493</v>
      </c>
      <c r="C695" s="3" t="s">
        <v>1237</v>
      </c>
      <c r="D695" s="3" t="s">
        <v>44</v>
      </c>
      <c r="E695" s="3" t="s">
        <v>41</v>
      </c>
      <c r="F695" s="3" t="s">
        <v>119</v>
      </c>
      <c r="G695" s="3" t="s">
        <v>120</v>
      </c>
      <c r="H695" s="3">
        <v>1</v>
      </c>
      <c r="I695" s="7">
        <v>1261.07</v>
      </c>
      <c r="J695" s="9">
        <v>0</v>
      </c>
      <c r="K695" s="7">
        <v>1261.07</v>
      </c>
      <c r="L695" s="7">
        <v>442.06</v>
      </c>
      <c r="M695" s="3" t="s">
        <v>56</v>
      </c>
      <c r="N695" s="3" t="str">
        <f t="shared" si="40"/>
        <v>2024-07</v>
      </c>
      <c r="O695" s="3" t="str">
        <f t="shared" si="41"/>
        <v>No discount</v>
      </c>
      <c r="P695" s="9">
        <f t="shared" si="42"/>
        <v>0.35054358600236307</v>
      </c>
      <c r="Q695" s="3" t="str">
        <f t="shared" si="43"/>
        <v>No</v>
      </c>
    </row>
    <row r="696" spans="1:17" ht="21" customHeight="1">
      <c r="A696" s="3" t="s">
        <v>1238</v>
      </c>
      <c r="B696" s="5">
        <v>45494</v>
      </c>
      <c r="C696" s="3" t="s">
        <v>461</v>
      </c>
      <c r="D696" s="3" t="s">
        <v>44</v>
      </c>
      <c r="E696" s="3" t="s">
        <v>40</v>
      </c>
      <c r="F696" s="3" t="s">
        <v>160</v>
      </c>
      <c r="G696" s="3" t="s">
        <v>161</v>
      </c>
      <c r="H696" s="3">
        <v>1</v>
      </c>
      <c r="I696" s="7">
        <v>13466.45</v>
      </c>
      <c r="J696" s="9">
        <v>0</v>
      </c>
      <c r="K696" s="7">
        <v>13466.45</v>
      </c>
      <c r="L696" s="7">
        <v>3981.95</v>
      </c>
      <c r="M696" s="3" t="s">
        <v>56</v>
      </c>
      <c r="N696" s="3" t="str">
        <f t="shared" si="40"/>
        <v>2024-07</v>
      </c>
      <c r="O696" s="3" t="str">
        <f t="shared" si="41"/>
        <v>No discount</v>
      </c>
      <c r="P696" s="9">
        <f t="shared" si="42"/>
        <v>0.29569411389044625</v>
      </c>
      <c r="Q696" s="3" t="str">
        <f t="shared" si="43"/>
        <v>No</v>
      </c>
    </row>
    <row r="697" spans="1:17" ht="21" customHeight="1">
      <c r="A697" s="3" t="s">
        <v>1239</v>
      </c>
      <c r="B697" s="5">
        <v>45494</v>
      </c>
      <c r="C697" s="3" t="s">
        <v>1199</v>
      </c>
      <c r="D697" s="3" t="s">
        <v>45</v>
      </c>
      <c r="E697" s="3" t="s">
        <v>40</v>
      </c>
      <c r="F697" s="3" t="s">
        <v>221</v>
      </c>
      <c r="G697" s="3" t="s">
        <v>279</v>
      </c>
      <c r="H697" s="3">
        <v>1</v>
      </c>
      <c r="I697" s="7">
        <v>1549.64</v>
      </c>
      <c r="J697" s="9">
        <v>0.1</v>
      </c>
      <c r="K697" s="7">
        <v>1394.68</v>
      </c>
      <c r="L697" s="7">
        <v>260</v>
      </c>
      <c r="M697" s="3" t="s">
        <v>57</v>
      </c>
      <c r="N697" s="3" t="str">
        <f t="shared" si="40"/>
        <v>2024-07</v>
      </c>
      <c r="O697" s="3" t="str">
        <f t="shared" si="41"/>
        <v>1-10%</v>
      </c>
      <c r="P697" s="9">
        <f t="shared" si="42"/>
        <v>0.18642269194367167</v>
      </c>
      <c r="Q697" s="3" t="str">
        <f t="shared" si="43"/>
        <v>No</v>
      </c>
    </row>
    <row r="698" spans="1:17" ht="21" customHeight="1">
      <c r="A698" s="3" t="s">
        <v>1240</v>
      </c>
      <c r="B698" s="5">
        <v>45495</v>
      </c>
      <c r="C698" s="3" t="s">
        <v>1241</v>
      </c>
      <c r="D698" s="3" t="s">
        <v>46</v>
      </c>
      <c r="E698" s="3" t="s">
        <v>42</v>
      </c>
      <c r="F698" s="3" t="s">
        <v>126</v>
      </c>
      <c r="G698" s="3" t="s">
        <v>127</v>
      </c>
      <c r="H698" s="3">
        <v>5</v>
      </c>
      <c r="I698" s="7">
        <v>992.94</v>
      </c>
      <c r="J698" s="9">
        <v>0.1</v>
      </c>
      <c r="K698" s="7">
        <v>4468.2299999999996</v>
      </c>
      <c r="L698" s="7">
        <v>1814.95</v>
      </c>
      <c r="M698" s="3" t="s">
        <v>56</v>
      </c>
      <c r="N698" s="3" t="str">
        <f t="shared" si="40"/>
        <v>2024-07</v>
      </c>
      <c r="O698" s="3" t="str">
        <f t="shared" si="41"/>
        <v>1-10%</v>
      </c>
      <c r="P698" s="9">
        <f t="shared" si="42"/>
        <v>0.40618992307916113</v>
      </c>
      <c r="Q698" s="3" t="str">
        <f t="shared" si="43"/>
        <v>No</v>
      </c>
    </row>
    <row r="699" spans="1:17" ht="21" customHeight="1">
      <c r="A699" s="3" t="s">
        <v>1242</v>
      </c>
      <c r="B699" s="5">
        <v>45495</v>
      </c>
      <c r="C699" s="3" t="s">
        <v>1243</v>
      </c>
      <c r="D699" s="3" t="s">
        <v>44</v>
      </c>
      <c r="E699" s="3" t="s">
        <v>41</v>
      </c>
      <c r="F699" s="3" t="s">
        <v>119</v>
      </c>
      <c r="G699" s="3" t="s">
        <v>120</v>
      </c>
      <c r="H699" s="3">
        <v>1</v>
      </c>
      <c r="I699" s="7">
        <v>1253.21</v>
      </c>
      <c r="J699" s="9">
        <v>0.15</v>
      </c>
      <c r="K699" s="7">
        <v>1065.23</v>
      </c>
      <c r="L699" s="7">
        <v>201.15</v>
      </c>
      <c r="M699" s="3" t="s">
        <v>56</v>
      </c>
      <c r="N699" s="3" t="str">
        <f t="shared" si="40"/>
        <v>2024-07</v>
      </c>
      <c r="O699" s="3" t="str">
        <f t="shared" si="41"/>
        <v>11-15%</v>
      </c>
      <c r="P699" s="9">
        <f t="shared" si="42"/>
        <v>0.18883245871783558</v>
      </c>
      <c r="Q699" s="3" t="str">
        <f t="shared" si="43"/>
        <v>No</v>
      </c>
    </row>
    <row r="700" spans="1:17" ht="21" customHeight="1">
      <c r="A700" s="3" t="s">
        <v>1244</v>
      </c>
      <c r="B700" s="5">
        <v>45495</v>
      </c>
      <c r="C700" s="3" t="s">
        <v>1245</v>
      </c>
      <c r="D700" s="3" t="s">
        <v>46</v>
      </c>
      <c r="E700" s="3" t="s">
        <v>42</v>
      </c>
      <c r="F700" s="3" t="s">
        <v>126</v>
      </c>
      <c r="G700" s="3" t="s">
        <v>151</v>
      </c>
      <c r="H700" s="3">
        <v>1</v>
      </c>
      <c r="I700" s="7">
        <v>1536.72</v>
      </c>
      <c r="J700" s="9">
        <v>0</v>
      </c>
      <c r="K700" s="7">
        <v>1536.72</v>
      </c>
      <c r="L700" s="7">
        <v>873.45</v>
      </c>
      <c r="M700" s="3" t="s">
        <v>58</v>
      </c>
      <c r="N700" s="3" t="str">
        <f t="shared" si="40"/>
        <v>2024-07</v>
      </c>
      <c r="O700" s="3" t="str">
        <f t="shared" si="41"/>
        <v>No discount</v>
      </c>
      <c r="P700" s="9">
        <f t="shared" si="42"/>
        <v>0.56838591285335005</v>
      </c>
      <c r="Q700" s="3" t="str">
        <f t="shared" si="43"/>
        <v>No</v>
      </c>
    </row>
    <row r="701" spans="1:17" ht="21" customHeight="1">
      <c r="A701" s="3" t="s">
        <v>1246</v>
      </c>
      <c r="B701" s="5">
        <v>45496</v>
      </c>
      <c r="C701" s="3" t="s">
        <v>1247</v>
      </c>
      <c r="D701" s="3" t="s">
        <v>44</v>
      </c>
      <c r="E701" s="3" t="s">
        <v>38</v>
      </c>
      <c r="F701" s="3" t="s">
        <v>94</v>
      </c>
      <c r="G701" s="3" t="s">
        <v>95</v>
      </c>
      <c r="H701" s="3">
        <v>1</v>
      </c>
      <c r="I701" s="7">
        <v>81513.460000000006</v>
      </c>
      <c r="J701" s="9">
        <v>0.1</v>
      </c>
      <c r="K701" s="7">
        <v>73362.11</v>
      </c>
      <c r="L701" s="7">
        <v>2474.4699999999998</v>
      </c>
      <c r="M701" s="3" t="s">
        <v>56</v>
      </c>
      <c r="N701" s="3" t="str">
        <f t="shared" si="40"/>
        <v>2024-07</v>
      </c>
      <c r="O701" s="3" t="str">
        <f t="shared" si="41"/>
        <v>1-10%</v>
      </c>
      <c r="P701" s="9">
        <f t="shared" si="42"/>
        <v>3.3729536950341255E-2</v>
      </c>
      <c r="Q701" s="3" t="str">
        <f t="shared" si="43"/>
        <v>No</v>
      </c>
    </row>
    <row r="702" spans="1:17" ht="21" customHeight="1">
      <c r="A702" s="3" t="s">
        <v>1248</v>
      </c>
      <c r="B702" s="5">
        <v>45496</v>
      </c>
      <c r="C702" s="3" t="s">
        <v>318</v>
      </c>
      <c r="D702" s="3" t="s">
        <v>45</v>
      </c>
      <c r="E702" s="3" t="s">
        <v>41</v>
      </c>
      <c r="F702" s="3" t="s">
        <v>113</v>
      </c>
      <c r="G702" s="3" t="s">
        <v>123</v>
      </c>
      <c r="H702" s="3">
        <v>1</v>
      </c>
      <c r="I702" s="7">
        <v>3332.28</v>
      </c>
      <c r="J702" s="9">
        <v>0</v>
      </c>
      <c r="K702" s="7">
        <v>3332.28</v>
      </c>
      <c r="L702" s="7">
        <v>1323.51</v>
      </c>
      <c r="M702" s="3" t="s">
        <v>56</v>
      </c>
      <c r="N702" s="3" t="str">
        <f t="shared" si="40"/>
        <v>2024-07</v>
      </c>
      <c r="O702" s="3" t="str">
        <f t="shared" si="41"/>
        <v>No discount</v>
      </c>
      <c r="P702" s="9">
        <f t="shared" si="42"/>
        <v>0.39717850840865709</v>
      </c>
      <c r="Q702" s="3" t="str">
        <f t="shared" si="43"/>
        <v>No</v>
      </c>
    </row>
    <row r="703" spans="1:17" ht="21" customHeight="1">
      <c r="A703" s="3" t="s">
        <v>1249</v>
      </c>
      <c r="B703" s="5">
        <v>45496</v>
      </c>
      <c r="C703" s="3" t="s">
        <v>518</v>
      </c>
      <c r="D703" s="3" t="s">
        <v>44</v>
      </c>
      <c r="E703" s="3" t="s">
        <v>38</v>
      </c>
      <c r="F703" s="3" t="s">
        <v>142</v>
      </c>
      <c r="G703" s="3" t="s">
        <v>245</v>
      </c>
      <c r="H703" s="3">
        <v>2</v>
      </c>
      <c r="I703" s="7">
        <v>5157.4399999999996</v>
      </c>
      <c r="J703" s="9">
        <v>0</v>
      </c>
      <c r="K703" s="7">
        <v>10314.879999999999</v>
      </c>
      <c r="L703" s="7">
        <v>2099.2399999999998</v>
      </c>
      <c r="M703" s="3" t="s">
        <v>57</v>
      </c>
      <c r="N703" s="3" t="str">
        <f t="shared" si="40"/>
        <v>2024-07</v>
      </c>
      <c r="O703" s="3" t="str">
        <f t="shared" si="41"/>
        <v>No discount</v>
      </c>
      <c r="P703" s="9">
        <f t="shared" si="42"/>
        <v>0.20351569771049202</v>
      </c>
      <c r="Q703" s="3" t="str">
        <f t="shared" si="43"/>
        <v>No</v>
      </c>
    </row>
    <row r="704" spans="1:17" ht="21" customHeight="1">
      <c r="A704" s="3" t="s">
        <v>1250</v>
      </c>
      <c r="B704" s="5">
        <v>45496</v>
      </c>
      <c r="C704" s="3" t="s">
        <v>1101</v>
      </c>
      <c r="D704" s="3" t="s">
        <v>45</v>
      </c>
      <c r="E704" s="3" t="s">
        <v>39</v>
      </c>
      <c r="F704" s="3" t="s">
        <v>130</v>
      </c>
      <c r="G704" s="3" t="s">
        <v>131</v>
      </c>
      <c r="H704" s="3">
        <v>1</v>
      </c>
      <c r="I704" s="7">
        <v>2302.91</v>
      </c>
      <c r="J704" s="9">
        <v>0.1</v>
      </c>
      <c r="K704" s="7">
        <v>2072.62</v>
      </c>
      <c r="L704" s="7">
        <v>597.35</v>
      </c>
      <c r="M704" s="3" t="s">
        <v>56</v>
      </c>
      <c r="N704" s="3" t="str">
        <f t="shared" si="40"/>
        <v>2024-07</v>
      </c>
      <c r="O704" s="3" t="str">
        <f t="shared" si="41"/>
        <v>1-10%</v>
      </c>
      <c r="P704" s="9">
        <f t="shared" si="42"/>
        <v>0.2882100915749149</v>
      </c>
      <c r="Q704" s="3" t="str">
        <f t="shared" si="43"/>
        <v>No</v>
      </c>
    </row>
    <row r="705" spans="1:17" ht="21" customHeight="1">
      <c r="A705" s="3" t="s">
        <v>1251</v>
      </c>
      <c r="B705" s="5">
        <v>45497</v>
      </c>
      <c r="C705" s="3" t="s">
        <v>849</v>
      </c>
      <c r="D705" s="3" t="s">
        <v>45</v>
      </c>
      <c r="E705" s="3" t="s">
        <v>40</v>
      </c>
      <c r="F705" s="3" t="s">
        <v>221</v>
      </c>
      <c r="G705" s="3" t="s">
        <v>222</v>
      </c>
      <c r="H705" s="3">
        <v>1</v>
      </c>
      <c r="I705" s="7">
        <v>1014.09</v>
      </c>
      <c r="J705" s="9">
        <v>0.2</v>
      </c>
      <c r="K705" s="7">
        <v>811.27</v>
      </c>
      <c r="L705" s="7">
        <v>87.25</v>
      </c>
      <c r="M705" s="3" t="s">
        <v>57</v>
      </c>
      <c r="N705" s="3" t="str">
        <f t="shared" si="40"/>
        <v>2024-07</v>
      </c>
      <c r="O705" s="3" t="str">
        <f t="shared" si="41"/>
        <v>16-20%</v>
      </c>
      <c r="P705" s="9">
        <f t="shared" si="42"/>
        <v>0.10754742564127849</v>
      </c>
      <c r="Q705" s="3" t="str">
        <f t="shared" si="43"/>
        <v>No</v>
      </c>
    </row>
    <row r="706" spans="1:17" ht="21" customHeight="1">
      <c r="A706" s="3" t="s">
        <v>1252</v>
      </c>
      <c r="B706" s="5">
        <v>45497</v>
      </c>
      <c r="C706" s="3" t="s">
        <v>1253</v>
      </c>
      <c r="D706" s="3" t="s">
        <v>46</v>
      </c>
      <c r="E706" s="3" t="s">
        <v>39</v>
      </c>
      <c r="F706" s="3" t="s">
        <v>109</v>
      </c>
      <c r="G706" s="3" t="s">
        <v>110</v>
      </c>
      <c r="H706" s="3">
        <v>5</v>
      </c>
      <c r="I706" s="7">
        <v>2931.8</v>
      </c>
      <c r="J706" s="9">
        <v>0</v>
      </c>
      <c r="K706" s="7">
        <v>14659</v>
      </c>
      <c r="L706" s="7">
        <v>6038.84</v>
      </c>
      <c r="M706" s="3" t="s">
        <v>56</v>
      </c>
      <c r="N706" s="3" t="str">
        <f t="shared" ref="N706:N769" si="44">TEXT(B706,"yyyy-mm")</f>
        <v>2024-07</v>
      </c>
      <c r="O706" s="3" t="str">
        <f t="shared" ref="O706:O769" si="45">IF(J706=0,"No discount",IF(J706&lt;=0.1,"1-10%",IF(J706&lt;=0.15,"11-15%",IF(J706&lt;=0.2,"16-20%","21%+"))))</f>
        <v>No discount</v>
      </c>
      <c r="P706" s="9">
        <f t="shared" ref="P706:P769" si="46">IF(K706=0,0,L706/K706)</f>
        <v>0.41195443072515181</v>
      </c>
      <c r="Q706" s="3" t="str">
        <f t="shared" ref="Q706:Q769" si="47">IF(L706&lt;0,"Yes","No")</f>
        <v>No</v>
      </c>
    </row>
    <row r="707" spans="1:17" ht="21" customHeight="1">
      <c r="A707" s="3" t="s">
        <v>1254</v>
      </c>
      <c r="B707" s="5">
        <v>45497</v>
      </c>
      <c r="C707" s="3" t="s">
        <v>420</v>
      </c>
      <c r="D707" s="3" t="s">
        <v>44</v>
      </c>
      <c r="E707" s="3" t="s">
        <v>42</v>
      </c>
      <c r="F707" s="3" t="s">
        <v>126</v>
      </c>
      <c r="G707" s="3" t="s">
        <v>151</v>
      </c>
      <c r="H707" s="3">
        <v>1</v>
      </c>
      <c r="I707" s="7">
        <v>1462.09</v>
      </c>
      <c r="J707" s="9">
        <v>0.05</v>
      </c>
      <c r="K707" s="7">
        <v>1388.99</v>
      </c>
      <c r="L707" s="7">
        <v>631.82000000000005</v>
      </c>
      <c r="M707" s="3" t="s">
        <v>56</v>
      </c>
      <c r="N707" s="3" t="str">
        <f t="shared" si="44"/>
        <v>2024-07</v>
      </c>
      <c r="O707" s="3" t="str">
        <f t="shared" si="45"/>
        <v>1-10%</v>
      </c>
      <c r="P707" s="9">
        <f t="shared" si="46"/>
        <v>0.45487728493365687</v>
      </c>
      <c r="Q707" s="3" t="str">
        <f t="shared" si="47"/>
        <v>No</v>
      </c>
    </row>
    <row r="708" spans="1:17" ht="21" customHeight="1">
      <c r="A708" s="3" t="s">
        <v>1255</v>
      </c>
      <c r="B708" s="5">
        <v>45498</v>
      </c>
      <c r="C708" s="3" t="s">
        <v>1243</v>
      </c>
      <c r="D708" s="3" t="s">
        <v>46</v>
      </c>
      <c r="E708" s="3" t="s">
        <v>41</v>
      </c>
      <c r="F708" s="3" t="s">
        <v>119</v>
      </c>
      <c r="G708" s="3" t="s">
        <v>120</v>
      </c>
      <c r="H708" s="3">
        <v>1</v>
      </c>
      <c r="I708" s="7">
        <v>1298.71</v>
      </c>
      <c r="J708" s="9">
        <v>0.15</v>
      </c>
      <c r="K708" s="7">
        <v>1103.9000000000001</v>
      </c>
      <c r="L708" s="7">
        <v>238.69</v>
      </c>
      <c r="M708" s="3" t="s">
        <v>58</v>
      </c>
      <c r="N708" s="3" t="str">
        <f t="shared" si="44"/>
        <v>2024-07</v>
      </c>
      <c r="O708" s="3" t="str">
        <f t="shared" si="45"/>
        <v>11-15%</v>
      </c>
      <c r="P708" s="9">
        <f t="shared" si="46"/>
        <v>0.2162242956789564</v>
      </c>
      <c r="Q708" s="3" t="str">
        <f t="shared" si="47"/>
        <v>No</v>
      </c>
    </row>
    <row r="709" spans="1:17" ht="21" customHeight="1">
      <c r="A709" s="3" t="s">
        <v>1256</v>
      </c>
      <c r="B709" s="5">
        <v>45498</v>
      </c>
      <c r="C709" s="3" t="s">
        <v>1257</v>
      </c>
      <c r="D709" s="3" t="s">
        <v>46</v>
      </c>
      <c r="E709" s="3" t="s">
        <v>40</v>
      </c>
      <c r="F709" s="3" t="s">
        <v>221</v>
      </c>
      <c r="G709" s="3" t="s">
        <v>222</v>
      </c>
      <c r="H709" s="3">
        <v>1</v>
      </c>
      <c r="I709" s="7">
        <v>980.05</v>
      </c>
      <c r="J709" s="9">
        <v>0.1</v>
      </c>
      <c r="K709" s="7">
        <v>882.04</v>
      </c>
      <c r="L709" s="7">
        <v>168.68</v>
      </c>
      <c r="M709" s="3" t="s">
        <v>57</v>
      </c>
      <c r="N709" s="3" t="str">
        <f t="shared" si="44"/>
        <v>2024-07</v>
      </c>
      <c r="O709" s="3" t="str">
        <f t="shared" si="45"/>
        <v>1-10%</v>
      </c>
      <c r="P709" s="9">
        <f t="shared" si="46"/>
        <v>0.19123849258537029</v>
      </c>
      <c r="Q709" s="3" t="str">
        <f t="shared" si="47"/>
        <v>No</v>
      </c>
    </row>
    <row r="710" spans="1:17" ht="21" customHeight="1">
      <c r="A710" s="3" t="s">
        <v>1258</v>
      </c>
      <c r="B710" s="5">
        <v>45498</v>
      </c>
      <c r="C710" s="3" t="s">
        <v>1259</v>
      </c>
      <c r="D710" s="3" t="s">
        <v>44</v>
      </c>
      <c r="E710" s="3" t="s">
        <v>41</v>
      </c>
      <c r="F710" s="3" t="s">
        <v>119</v>
      </c>
      <c r="G710" s="3" t="s">
        <v>120</v>
      </c>
      <c r="H710" s="3">
        <v>2</v>
      </c>
      <c r="I710" s="7">
        <v>1299.68</v>
      </c>
      <c r="J710" s="9">
        <v>0.1</v>
      </c>
      <c r="K710" s="7">
        <v>2339.42</v>
      </c>
      <c r="L710" s="7">
        <v>536.26</v>
      </c>
      <c r="M710" s="3" t="s">
        <v>56</v>
      </c>
      <c r="N710" s="3" t="str">
        <f t="shared" si="44"/>
        <v>2024-07</v>
      </c>
      <c r="O710" s="3" t="str">
        <f t="shared" si="45"/>
        <v>1-10%</v>
      </c>
      <c r="P710" s="9">
        <f t="shared" si="46"/>
        <v>0.22922775730736678</v>
      </c>
      <c r="Q710" s="3" t="str">
        <f t="shared" si="47"/>
        <v>No</v>
      </c>
    </row>
    <row r="711" spans="1:17" ht="21" customHeight="1">
      <c r="A711" s="3" t="s">
        <v>1260</v>
      </c>
      <c r="B711" s="5">
        <v>45499</v>
      </c>
      <c r="C711" s="3" t="s">
        <v>1261</v>
      </c>
      <c r="D711" s="3" t="s">
        <v>44</v>
      </c>
      <c r="E711" s="3" t="s">
        <v>38</v>
      </c>
      <c r="F711" s="3" t="s">
        <v>94</v>
      </c>
      <c r="G711" s="3" t="s">
        <v>95</v>
      </c>
      <c r="H711" s="3">
        <v>1</v>
      </c>
      <c r="I711" s="7">
        <v>80461.66</v>
      </c>
      <c r="J711" s="9">
        <v>0.15</v>
      </c>
      <c r="K711" s="7">
        <v>68392.41</v>
      </c>
      <c r="L711" s="7">
        <v>3061.7</v>
      </c>
      <c r="M711" s="3" t="s">
        <v>58</v>
      </c>
      <c r="N711" s="3" t="str">
        <f t="shared" si="44"/>
        <v>2024-07</v>
      </c>
      <c r="O711" s="3" t="str">
        <f t="shared" si="45"/>
        <v>11-15%</v>
      </c>
      <c r="P711" s="9">
        <f t="shared" si="46"/>
        <v>4.4766663435313943E-2</v>
      </c>
      <c r="Q711" s="3" t="str">
        <f t="shared" si="47"/>
        <v>No</v>
      </c>
    </row>
    <row r="712" spans="1:17" ht="21" customHeight="1">
      <c r="A712" s="3" t="s">
        <v>1262</v>
      </c>
      <c r="B712" s="5">
        <v>45499</v>
      </c>
      <c r="C712" s="3" t="s">
        <v>268</v>
      </c>
      <c r="D712" s="3" t="s">
        <v>45</v>
      </c>
      <c r="E712" s="3" t="s">
        <v>38</v>
      </c>
      <c r="F712" s="3" t="s">
        <v>94</v>
      </c>
      <c r="G712" s="3" t="s">
        <v>213</v>
      </c>
      <c r="H712" s="3">
        <v>1</v>
      </c>
      <c r="I712" s="7">
        <v>53228.37</v>
      </c>
      <c r="J712" s="9">
        <v>0.1</v>
      </c>
      <c r="K712" s="7">
        <v>47905.53</v>
      </c>
      <c r="L712" s="7">
        <v>2629</v>
      </c>
      <c r="M712" s="3" t="s">
        <v>56</v>
      </c>
      <c r="N712" s="3" t="str">
        <f t="shared" si="44"/>
        <v>2024-07</v>
      </c>
      <c r="O712" s="3" t="str">
        <f t="shared" si="45"/>
        <v>1-10%</v>
      </c>
      <c r="P712" s="9">
        <f t="shared" si="46"/>
        <v>5.4878841753759955E-2</v>
      </c>
      <c r="Q712" s="3" t="str">
        <f t="shared" si="47"/>
        <v>No</v>
      </c>
    </row>
    <row r="713" spans="1:17" ht="21" customHeight="1">
      <c r="A713" s="3" t="s">
        <v>1263</v>
      </c>
      <c r="B713" s="5">
        <v>45499</v>
      </c>
      <c r="C713" s="3" t="s">
        <v>1264</v>
      </c>
      <c r="D713" s="3" t="s">
        <v>44</v>
      </c>
      <c r="E713" s="3" t="s">
        <v>40</v>
      </c>
      <c r="F713" s="3" t="s">
        <v>221</v>
      </c>
      <c r="G713" s="3" t="s">
        <v>222</v>
      </c>
      <c r="H713" s="3">
        <v>2</v>
      </c>
      <c r="I713" s="7">
        <v>1011.44</v>
      </c>
      <c r="J713" s="9">
        <v>0.05</v>
      </c>
      <c r="K713" s="7">
        <v>1921.74</v>
      </c>
      <c r="L713" s="7">
        <v>508.8</v>
      </c>
      <c r="M713" s="3" t="s">
        <v>57</v>
      </c>
      <c r="N713" s="3" t="str">
        <f t="shared" si="44"/>
        <v>2024-07</v>
      </c>
      <c r="O713" s="3" t="str">
        <f t="shared" si="45"/>
        <v>1-10%</v>
      </c>
      <c r="P713" s="9">
        <f t="shared" si="46"/>
        <v>0.26476006119454243</v>
      </c>
      <c r="Q713" s="3" t="str">
        <f t="shared" si="47"/>
        <v>No</v>
      </c>
    </row>
    <row r="714" spans="1:17" ht="21" customHeight="1">
      <c r="A714" s="3" t="s">
        <v>1265</v>
      </c>
      <c r="B714" s="5">
        <v>45499</v>
      </c>
      <c r="C714" s="3" t="s">
        <v>1266</v>
      </c>
      <c r="D714" s="3" t="s">
        <v>45</v>
      </c>
      <c r="E714" s="3" t="s">
        <v>40</v>
      </c>
      <c r="F714" s="3" t="s">
        <v>221</v>
      </c>
      <c r="G714" s="3" t="s">
        <v>222</v>
      </c>
      <c r="H714" s="3">
        <v>2</v>
      </c>
      <c r="I714" s="7">
        <v>956.1</v>
      </c>
      <c r="J714" s="9">
        <v>0.15</v>
      </c>
      <c r="K714" s="7">
        <v>1625.37</v>
      </c>
      <c r="L714" s="7">
        <v>293.83999999999997</v>
      </c>
      <c r="M714" s="3" t="s">
        <v>56</v>
      </c>
      <c r="N714" s="3" t="str">
        <f t="shared" si="44"/>
        <v>2024-07</v>
      </c>
      <c r="O714" s="3" t="str">
        <f t="shared" si="45"/>
        <v>11-15%</v>
      </c>
      <c r="P714" s="9">
        <f t="shared" si="46"/>
        <v>0.18078345238314969</v>
      </c>
      <c r="Q714" s="3" t="str">
        <f t="shared" si="47"/>
        <v>No</v>
      </c>
    </row>
    <row r="715" spans="1:17" ht="21" customHeight="1">
      <c r="A715" s="3" t="s">
        <v>1267</v>
      </c>
      <c r="B715" s="5">
        <v>45499</v>
      </c>
      <c r="C715" s="3" t="s">
        <v>404</v>
      </c>
      <c r="D715" s="3" t="s">
        <v>44</v>
      </c>
      <c r="E715" s="3" t="s">
        <v>40</v>
      </c>
      <c r="F715" s="3" t="s">
        <v>102</v>
      </c>
      <c r="G715" s="3" t="s">
        <v>103</v>
      </c>
      <c r="H715" s="3">
        <v>4</v>
      </c>
      <c r="I715" s="7">
        <v>6489.17</v>
      </c>
      <c r="J715" s="9">
        <v>0.05</v>
      </c>
      <c r="K715" s="7">
        <v>24658.85</v>
      </c>
      <c r="L715" s="7">
        <v>7447.48</v>
      </c>
      <c r="M715" s="3" t="s">
        <v>59</v>
      </c>
      <c r="N715" s="3" t="str">
        <f t="shared" si="44"/>
        <v>2024-07</v>
      </c>
      <c r="O715" s="3" t="str">
        <f t="shared" si="45"/>
        <v>1-10%</v>
      </c>
      <c r="P715" s="9">
        <f t="shared" si="46"/>
        <v>0.30202057273554933</v>
      </c>
      <c r="Q715" s="3" t="str">
        <f t="shared" si="47"/>
        <v>No</v>
      </c>
    </row>
    <row r="716" spans="1:17" ht="21" customHeight="1">
      <c r="A716" s="3" t="s">
        <v>1268</v>
      </c>
      <c r="B716" s="5">
        <v>45500</v>
      </c>
      <c r="C716" s="3" t="s">
        <v>1269</v>
      </c>
      <c r="D716" s="3" t="s">
        <v>45</v>
      </c>
      <c r="E716" s="3" t="s">
        <v>39</v>
      </c>
      <c r="F716" s="3" t="s">
        <v>109</v>
      </c>
      <c r="G716" s="3" t="s">
        <v>110</v>
      </c>
      <c r="H716" s="3">
        <v>1</v>
      </c>
      <c r="I716" s="7">
        <v>2882.01</v>
      </c>
      <c r="J716" s="9">
        <v>0.25</v>
      </c>
      <c r="K716" s="7">
        <v>2161.5100000000002</v>
      </c>
      <c r="L716" s="7">
        <v>203.21</v>
      </c>
      <c r="M716" s="3" t="s">
        <v>56</v>
      </c>
      <c r="N716" s="3" t="str">
        <f t="shared" si="44"/>
        <v>2024-07</v>
      </c>
      <c r="O716" s="3" t="str">
        <f t="shared" si="45"/>
        <v>21%+</v>
      </c>
      <c r="P716" s="9">
        <f t="shared" si="46"/>
        <v>9.401298166559488E-2</v>
      </c>
      <c r="Q716" s="3" t="str">
        <f t="shared" si="47"/>
        <v>No</v>
      </c>
    </row>
    <row r="717" spans="1:17" ht="21" customHeight="1">
      <c r="A717" s="3" t="s">
        <v>1270</v>
      </c>
      <c r="B717" s="5">
        <v>45500</v>
      </c>
      <c r="C717" s="3" t="s">
        <v>135</v>
      </c>
      <c r="D717" s="3" t="s">
        <v>45</v>
      </c>
      <c r="E717" s="3" t="s">
        <v>39</v>
      </c>
      <c r="F717" s="3" t="s">
        <v>130</v>
      </c>
      <c r="G717" s="3" t="s">
        <v>131</v>
      </c>
      <c r="H717" s="3">
        <v>1</v>
      </c>
      <c r="I717" s="7">
        <v>2110.9499999999998</v>
      </c>
      <c r="J717" s="9">
        <v>0.05</v>
      </c>
      <c r="K717" s="7">
        <v>2005.4</v>
      </c>
      <c r="L717" s="7">
        <v>775.28</v>
      </c>
      <c r="M717" s="3" t="s">
        <v>57</v>
      </c>
      <c r="N717" s="3" t="str">
        <f t="shared" si="44"/>
        <v>2024-07</v>
      </c>
      <c r="O717" s="3" t="str">
        <f t="shared" si="45"/>
        <v>1-10%</v>
      </c>
      <c r="P717" s="9">
        <f t="shared" si="46"/>
        <v>0.38659619028622716</v>
      </c>
      <c r="Q717" s="3" t="str">
        <f t="shared" si="47"/>
        <v>No</v>
      </c>
    </row>
    <row r="718" spans="1:17" ht="21" customHeight="1">
      <c r="A718" s="3" t="s">
        <v>1271</v>
      </c>
      <c r="B718" s="5">
        <v>45500</v>
      </c>
      <c r="C718" s="3" t="s">
        <v>244</v>
      </c>
      <c r="D718" s="3" t="s">
        <v>47</v>
      </c>
      <c r="E718" s="3" t="s">
        <v>38</v>
      </c>
      <c r="F718" s="3" t="s">
        <v>142</v>
      </c>
      <c r="G718" s="3" t="s">
        <v>245</v>
      </c>
      <c r="H718" s="3">
        <v>1</v>
      </c>
      <c r="I718" s="7">
        <v>5218.38</v>
      </c>
      <c r="J718" s="9">
        <v>0.2</v>
      </c>
      <c r="K718" s="7">
        <v>4174.7</v>
      </c>
      <c r="L718" s="7">
        <v>-60.5</v>
      </c>
      <c r="M718" s="3" t="s">
        <v>56</v>
      </c>
      <c r="N718" s="3" t="str">
        <f t="shared" si="44"/>
        <v>2024-07</v>
      </c>
      <c r="O718" s="3" t="str">
        <f t="shared" si="45"/>
        <v>16-20%</v>
      </c>
      <c r="P718" s="9">
        <f t="shared" si="46"/>
        <v>-1.4492059309650994E-2</v>
      </c>
      <c r="Q718" s="3" t="str">
        <f t="shared" si="47"/>
        <v>Yes</v>
      </c>
    </row>
    <row r="719" spans="1:17" ht="21" customHeight="1">
      <c r="A719" s="3" t="s">
        <v>1272</v>
      </c>
      <c r="B719" s="5">
        <v>45500</v>
      </c>
      <c r="C719" s="3" t="s">
        <v>914</v>
      </c>
      <c r="D719" s="3" t="s">
        <v>44</v>
      </c>
      <c r="E719" s="3" t="s">
        <v>38</v>
      </c>
      <c r="F719" s="3" t="s">
        <v>142</v>
      </c>
      <c r="G719" s="3" t="s">
        <v>245</v>
      </c>
      <c r="H719" s="3">
        <v>1</v>
      </c>
      <c r="I719" s="7">
        <v>5188.0600000000004</v>
      </c>
      <c r="J719" s="9">
        <v>0</v>
      </c>
      <c r="K719" s="7">
        <v>5188.0600000000004</v>
      </c>
      <c r="L719" s="7">
        <v>1059.8800000000001</v>
      </c>
      <c r="M719" s="3" t="s">
        <v>57</v>
      </c>
      <c r="N719" s="3" t="str">
        <f t="shared" si="44"/>
        <v>2024-07</v>
      </c>
      <c r="O719" s="3" t="str">
        <f t="shared" si="45"/>
        <v>No discount</v>
      </c>
      <c r="P719" s="9">
        <f t="shared" si="46"/>
        <v>0.20429216315925414</v>
      </c>
      <c r="Q719" s="3" t="str">
        <f t="shared" si="47"/>
        <v>No</v>
      </c>
    </row>
    <row r="720" spans="1:17" ht="21" customHeight="1">
      <c r="A720" s="3" t="s">
        <v>1273</v>
      </c>
      <c r="B720" s="5">
        <v>45501</v>
      </c>
      <c r="C720" s="3" t="s">
        <v>1274</v>
      </c>
      <c r="D720" s="3" t="s">
        <v>44</v>
      </c>
      <c r="E720" s="3" t="s">
        <v>40</v>
      </c>
      <c r="F720" s="3" t="s">
        <v>160</v>
      </c>
      <c r="G720" s="3" t="s">
        <v>173</v>
      </c>
      <c r="H720" s="3">
        <v>2</v>
      </c>
      <c r="I720" s="7">
        <v>8602.9699999999993</v>
      </c>
      <c r="J720" s="9">
        <v>0.1</v>
      </c>
      <c r="K720" s="7">
        <v>15485.35</v>
      </c>
      <c r="L720" s="7">
        <v>3173.91</v>
      </c>
      <c r="M720" s="3" t="s">
        <v>56</v>
      </c>
      <c r="N720" s="3" t="str">
        <f t="shared" si="44"/>
        <v>2024-07</v>
      </c>
      <c r="O720" s="3" t="str">
        <f t="shared" si="45"/>
        <v>1-10%</v>
      </c>
      <c r="P720" s="9">
        <f t="shared" si="46"/>
        <v>0.20496210934851325</v>
      </c>
      <c r="Q720" s="3" t="str">
        <f t="shared" si="47"/>
        <v>No</v>
      </c>
    </row>
    <row r="721" spans="1:17" ht="21" customHeight="1">
      <c r="A721" s="3" t="s">
        <v>1275</v>
      </c>
      <c r="B721" s="5">
        <v>45501</v>
      </c>
      <c r="C721" s="3" t="s">
        <v>1276</v>
      </c>
      <c r="D721" s="3" t="s">
        <v>47</v>
      </c>
      <c r="E721" s="3" t="s">
        <v>42</v>
      </c>
      <c r="F721" s="3" t="s">
        <v>126</v>
      </c>
      <c r="G721" s="3" t="s">
        <v>151</v>
      </c>
      <c r="H721" s="3">
        <v>2</v>
      </c>
      <c r="I721" s="7">
        <v>1487.22</v>
      </c>
      <c r="J721" s="9">
        <v>0</v>
      </c>
      <c r="K721" s="7">
        <v>2974.44</v>
      </c>
      <c r="L721" s="7">
        <v>1564.68</v>
      </c>
      <c r="M721" s="3" t="s">
        <v>56</v>
      </c>
      <c r="N721" s="3" t="str">
        <f t="shared" si="44"/>
        <v>2024-07</v>
      </c>
      <c r="O721" s="3" t="str">
        <f t="shared" si="45"/>
        <v>No discount</v>
      </c>
      <c r="P721" s="9">
        <f t="shared" si="46"/>
        <v>0.52604187679025294</v>
      </c>
      <c r="Q721" s="3" t="str">
        <f t="shared" si="47"/>
        <v>No</v>
      </c>
    </row>
    <row r="722" spans="1:17" ht="21" customHeight="1">
      <c r="A722" s="3" t="s">
        <v>1277</v>
      </c>
      <c r="B722" s="5">
        <v>45501</v>
      </c>
      <c r="C722" s="3" t="s">
        <v>1278</v>
      </c>
      <c r="D722" s="3" t="s">
        <v>47</v>
      </c>
      <c r="E722" s="3" t="s">
        <v>38</v>
      </c>
      <c r="F722" s="3" t="s">
        <v>98</v>
      </c>
      <c r="G722" s="3" t="s">
        <v>99</v>
      </c>
      <c r="H722" s="3">
        <v>1</v>
      </c>
      <c r="I722" s="7">
        <v>24420.06</v>
      </c>
      <c r="J722" s="9">
        <v>0.1</v>
      </c>
      <c r="K722" s="7">
        <v>21978.05</v>
      </c>
      <c r="L722" s="7">
        <v>1927.69</v>
      </c>
      <c r="M722" s="3" t="s">
        <v>57</v>
      </c>
      <c r="N722" s="3" t="str">
        <f t="shared" si="44"/>
        <v>2024-07</v>
      </c>
      <c r="O722" s="3" t="str">
        <f t="shared" si="45"/>
        <v>1-10%</v>
      </c>
      <c r="P722" s="9">
        <f t="shared" si="46"/>
        <v>8.7709783170026465E-2</v>
      </c>
      <c r="Q722" s="3" t="str">
        <f t="shared" si="47"/>
        <v>No</v>
      </c>
    </row>
    <row r="723" spans="1:17" ht="21" customHeight="1">
      <c r="A723" s="3" t="s">
        <v>1279</v>
      </c>
      <c r="B723" s="5">
        <v>45501</v>
      </c>
      <c r="C723" s="3" t="s">
        <v>555</v>
      </c>
      <c r="D723" s="3" t="s">
        <v>45</v>
      </c>
      <c r="E723" s="3" t="s">
        <v>41</v>
      </c>
      <c r="F723" s="3" t="s">
        <v>119</v>
      </c>
      <c r="G723" s="3" t="s">
        <v>120</v>
      </c>
      <c r="H723" s="3">
        <v>1</v>
      </c>
      <c r="I723" s="7">
        <v>1291.08</v>
      </c>
      <c r="J723" s="9">
        <v>0</v>
      </c>
      <c r="K723" s="7">
        <v>1291.08</v>
      </c>
      <c r="L723" s="7">
        <v>489.24</v>
      </c>
      <c r="M723" s="3" t="s">
        <v>57</v>
      </c>
      <c r="N723" s="3" t="str">
        <f t="shared" si="44"/>
        <v>2024-07</v>
      </c>
      <c r="O723" s="3" t="str">
        <f t="shared" si="45"/>
        <v>No discount</v>
      </c>
      <c r="P723" s="9">
        <f t="shared" si="46"/>
        <v>0.37893856306348178</v>
      </c>
      <c r="Q723" s="3" t="str">
        <f t="shared" si="47"/>
        <v>No</v>
      </c>
    </row>
    <row r="724" spans="1:17" ht="21" customHeight="1">
      <c r="A724" s="3" t="s">
        <v>1280</v>
      </c>
      <c r="B724" s="5">
        <v>45502</v>
      </c>
      <c r="C724" s="3" t="s">
        <v>1281</v>
      </c>
      <c r="D724" s="3" t="s">
        <v>44</v>
      </c>
      <c r="E724" s="3" t="s">
        <v>39</v>
      </c>
      <c r="F724" s="3" t="s">
        <v>164</v>
      </c>
      <c r="G724" s="3" t="s">
        <v>200</v>
      </c>
      <c r="H724" s="3">
        <v>1</v>
      </c>
      <c r="I724" s="7">
        <v>1317.12</v>
      </c>
      <c r="J724" s="9">
        <v>0</v>
      </c>
      <c r="K724" s="7">
        <v>1317.12</v>
      </c>
      <c r="L724" s="7">
        <v>602.83000000000004</v>
      </c>
      <c r="M724" s="3" t="s">
        <v>56</v>
      </c>
      <c r="N724" s="3" t="str">
        <f t="shared" si="44"/>
        <v>2024-07</v>
      </c>
      <c r="O724" s="3" t="str">
        <f t="shared" si="45"/>
        <v>No discount</v>
      </c>
      <c r="P724" s="9">
        <f t="shared" si="46"/>
        <v>0.45768798590864923</v>
      </c>
      <c r="Q724" s="3" t="str">
        <f t="shared" si="47"/>
        <v>No</v>
      </c>
    </row>
    <row r="725" spans="1:17" ht="21" customHeight="1">
      <c r="A725" s="3" t="s">
        <v>1282</v>
      </c>
      <c r="B725" s="5">
        <v>45502</v>
      </c>
      <c r="C725" s="3" t="s">
        <v>1283</v>
      </c>
      <c r="D725" s="3" t="s">
        <v>45</v>
      </c>
      <c r="E725" s="3" t="s">
        <v>39</v>
      </c>
      <c r="F725" s="3" t="s">
        <v>164</v>
      </c>
      <c r="G725" s="3" t="s">
        <v>165</v>
      </c>
      <c r="H725" s="3">
        <v>1</v>
      </c>
      <c r="I725" s="7">
        <v>2097.71</v>
      </c>
      <c r="J725" s="9">
        <v>0</v>
      </c>
      <c r="K725" s="7">
        <v>2097.71</v>
      </c>
      <c r="L725" s="7">
        <v>893.54</v>
      </c>
      <c r="M725" s="3" t="s">
        <v>56</v>
      </c>
      <c r="N725" s="3" t="str">
        <f t="shared" si="44"/>
        <v>2024-07</v>
      </c>
      <c r="O725" s="3" t="str">
        <f t="shared" si="45"/>
        <v>No discount</v>
      </c>
      <c r="P725" s="9">
        <f t="shared" si="46"/>
        <v>0.42595973704658885</v>
      </c>
      <c r="Q725" s="3" t="str">
        <f t="shared" si="47"/>
        <v>No</v>
      </c>
    </row>
    <row r="726" spans="1:17" ht="21" customHeight="1">
      <c r="A726" s="3" t="s">
        <v>1284</v>
      </c>
      <c r="B726" s="5">
        <v>45502</v>
      </c>
      <c r="C726" s="3" t="s">
        <v>573</v>
      </c>
      <c r="D726" s="3" t="s">
        <v>47</v>
      </c>
      <c r="E726" s="3" t="s">
        <v>42</v>
      </c>
      <c r="F726" s="3" t="s">
        <v>126</v>
      </c>
      <c r="G726" s="3" t="s">
        <v>127</v>
      </c>
      <c r="H726" s="3">
        <v>3</v>
      </c>
      <c r="I726" s="7">
        <v>966.37</v>
      </c>
      <c r="J726" s="9">
        <v>0.1</v>
      </c>
      <c r="K726" s="7">
        <v>2609.1999999999998</v>
      </c>
      <c r="L726" s="7">
        <v>1181.8800000000001</v>
      </c>
      <c r="M726" s="3" t="s">
        <v>57</v>
      </c>
      <c r="N726" s="3" t="str">
        <f t="shared" si="44"/>
        <v>2024-07</v>
      </c>
      <c r="O726" s="3" t="str">
        <f t="shared" si="45"/>
        <v>1-10%</v>
      </c>
      <c r="P726" s="9">
        <f t="shared" si="46"/>
        <v>0.45296642649087848</v>
      </c>
      <c r="Q726" s="3" t="str">
        <f t="shared" si="47"/>
        <v>No</v>
      </c>
    </row>
    <row r="727" spans="1:17" ht="21" customHeight="1">
      <c r="A727" s="3" t="s">
        <v>1285</v>
      </c>
      <c r="B727" s="5">
        <v>45502</v>
      </c>
      <c r="C727" s="3" t="s">
        <v>444</v>
      </c>
      <c r="D727" s="3" t="s">
        <v>45</v>
      </c>
      <c r="E727" s="3" t="s">
        <v>38</v>
      </c>
      <c r="F727" s="3" t="s">
        <v>94</v>
      </c>
      <c r="G727" s="3" t="s">
        <v>213</v>
      </c>
      <c r="H727" s="3">
        <v>1</v>
      </c>
      <c r="I727" s="7">
        <v>52998.03</v>
      </c>
      <c r="J727" s="9">
        <v>0.05</v>
      </c>
      <c r="K727" s="7">
        <v>50348.13</v>
      </c>
      <c r="L727" s="7">
        <v>4871.93</v>
      </c>
      <c r="M727" s="3" t="s">
        <v>59</v>
      </c>
      <c r="N727" s="3" t="str">
        <f t="shared" si="44"/>
        <v>2024-07</v>
      </c>
      <c r="O727" s="3" t="str">
        <f t="shared" si="45"/>
        <v>1-10%</v>
      </c>
      <c r="P727" s="9">
        <f t="shared" si="46"/>
        <v>9.6764864951290164E-2</v>
      </c>
      <c r="Q727" s="3" t="str">
        <f t="shared" si="47"/>
        <v>No</v>
      </c>
    </row>
    <row r="728" spans="1:17" ht="21" customHeight="1">
      <c r="A728" s="3" t="s">
        <v>1286</v>
      </c>
      <c r="B728" s="5">
        <v>45503</v>
      </c>
      <c r="C728" s="3" t="s">
        <v>1287</v>
      </c>
      <c r="D728" s="3" t="s">
        <v>44</v>
      </c>
      <c r="E728" s="3" t="s">
        <v>39</v>
      </c>
      <c r="F728" s="3" t="s">
        <v>109</v>
      </c>
      <c r="G728" s="3" t="s">
        <v>355</v>
      </c>
      <c r="H728" s="3">
        <v>4</v>
      </c>
      <c r="I728" s="7">
        <v>3590.49</v>
      </c>
      <c r="J728" s="9">
        <v>0</v>
      </c>
      <c r="K728" s="7">
        <v>14361.96</v>
      </c>
      <c r="L728" s="7">
        <v>5723.82</v>
      </c>
      <c r="M728" s="3" t="s">
        <v>56</v>
      </c>
      <c r="N728" s="3" t="str">
        <f t="shared" si="44"/>
        <v>2024-07</v>
      </c>
      <c r="O728" s="3" t="str">
        <f t="shared" si="45"/>
        <v>No discount</v>
      </c>
      <c r="P728" s="9">
        <f t="shared" si="46"/>
        <v>0.3985403106539776</v>
      </c>
      <c r="Q728" s="3" t="str">
        <f t="shared" si="47"/>
        <v>No</v>
      </c>
    </row>
    <row r="729" spans="1:17" ht="21" customHeight="1">
      <c r="A729" s="3" t="s">
        <v>1288</v>
      </c>
      <c r="B729" s="5">
        <v>45503</v>
      </c>
      <c r="C729" s="3" t="s">
        <v>1289</v>
      </c>
      <c r="D729" s="3" t="s">
        <v>46</v>
      </c>
      <c r="E729" s="3" t="s">
        <v>39</v>
      </c>
      <c r="F729" s="3" t="s">
        <v>130</v>
      </c>
      <c r="G729" s="3" t="s">
        <v>131</v>
      </c>
      <c r="H729" s="3">
        <v>1</v>
      </c>
      <c r="I729" s="7">
        <v>2117.4499999999998</v>
      </c>
      <c r="J729" s="9">
        <v>0.4</v>
      </c>
      <c r="K729" s="7">
        <v>1270.47</v>
      </c>
      <c r="L729" s="7">
        <v>-59.11</v>
      </c>
      <c r="M729" s="3" t="s">
        <v>56</v>
      </c>
      <c r="N729" s="3" t="str">
        <f t="shared" si="44"/>
        <v>2024-07</v>
      </c>
      <c r="O729" s="3" t="str">
        <f t="shared" si="45"/>
        <v>21%+</v>
      </c>
      <c r="P729" s="9">
        <f t="shared" si="46"/>
        <v>-4.6526088770297604E-2</v>
      </c>
      <c r="Q729" s="3" t="str">
        <f t="shared" si="47"/>
        <v>Yes</v>
      </c>
    </row>
    <row r="730" spans="1:17" ht="21" customHeight="1">
      <c r="A730" s="3" t="s">
        <v>1290</v>
      </c>
      <c r="B730" s="5">
        <v>45503</v>
      </c>
      <c r="C730" s="3" t="s">
        <v>257</v>
      </c>
      <c r="D730" s="3" t="s">
        <v>45</v>
      </c>
      <c r="E730" s="3" t="s">
        <v>41</v>
      </c>
      <c r="F730" s="3" t="s">
        <v>119</v>
      </c>
      <c r="G730" s="3" t="s">
        <v>168</v>
      </c>
      <c r="H730" s="3">
        <v>5</v>
      </c>
      <c r="I730" s="7">
        <v>9927.6200000000008</v>
      </c>
      <c r="J730" s="9">
        <v>0.05</v>
      </c>
      <c r="K730" s="7">
        <v>47156.19</v>
      </c>
      <c r="L730" s="7">
        <v>13835.09</v>
      </c>
      <c r="M730" s="3" t="s">
        <v>59</v>
      </c>
      <c r="N730" s="3" t="str">
        <f t="shared" si="44"/>
        <v>2024-07</v>
      </c>
      <c r="O730" s="3" t="str">
        <f t="shared" si="45"/>
        <v>1-10%</v>
      </c>
      <c r="P730" s="9">
        <f t="shared" si="46"/>
        <v>0.29338863042158408</v>
      </c>
      <c r="Q730" s="3" t="str">
        <f t="shared" si="47"/>
        <v>No</v>
      </c>
    </row>
    <row r="731" spans="1:17" ht="21" customHeight="1">
      <c r="A731" s="3" t="s">
        <v>1291</v>
      </c>
      <c r="B731" s="5">
        <v>45504</v>
      </c>
      <c r="C731" s="3" t="s">
        <v>333</v>
      </c>
      <c r="D731" s="3" t="s">
        <v>47</v>
      </c>
      <c r="E731" s="3" t="s">
        <v>42</v>
      </c>
      <c r="F731" s="3" t="s">
        <v>126</v>
      </c>
      <c r="G731" s="3" t="s">
        <v>127</v>
      </c>
      <c r="H731" s="3">
        <v>4</v>
      </c>
      <c r="I731" s="7">
        <v>978.87</v>
      </c>
      <c r="J731" s="9">
        <v>0</v>
      </c>
      <c r="K731" s="7">
        <v>3915.48</v>
      </c>
      <c r="L731" s="7">
        <v>2291.8000000000002</v>
      </c>
      <c r="M731" s="3" t="s">
        <v>58</v>
      </c>
      <c r="N731" s="3" t="str">
        <f t="shared" si="44"/>
        <v>2024-07</v>
      </c>
      <c r="O731" s="3" t="str">
        <f t="shared" si="45"/>
        <v>No discount</v>
      </c>
      <c r="P731" s="9">
        <f t="shared" si="46"/>
        <v>0.58531776436094685</v>
      </c>
      <c r="Q731" s="3" t="str">
        <f t="shared" si="47"/>
        <v>No</v>
      </c>
    </row>
    <row r="732" spans="1:17" ht="21" customHeight="1">
      <c r="A732" s="3" t="s">
        <v>1292</v>
      </c>
      <c r="B732" s="5">
        <v>45504</v>
      </c>
      <c r="C732" s="3" t="s">
        <v>1293</v>
      </c>
      <c r="D732" s="3" t="s">
        <v>44</v>
      </c>
      <c r="E732" s="3" t="s">
        <v>38</v>
      </c>
      <c r="F732" s="3" t="s">
        <v>98</v>
      </c>
      <c r="G732" s="3" t="s">
        <v>362</v>
      </c>
      <c r="H732" s="3">
        <v>4</v>
      </c>
      <c r="I732" s="7">
        <v>31817.09</v>
      </c>
      <c r="J732" s="9">
        <v>0</v>
      </c>
      <c r="K732" s="7">
        <v>127268.36</v>
      </c>
      <c r="L732" s="7">
        <v>20485.060000000001</v>
      </c>
      <c r="M732" s="3" t="s">
        <v>56</v>
      </c>
      <c r="N732" s="3" t="str">
        <f t="shared" si="44"/>
        <v>2024-07</v>
      </c>
      <c r="O732" s="3" t="str">
        <f t="shared" si="45"/>
        <v>No discount</v>
      </c>
      <c r="P732" s="9">
        <f t="shared" si="46"/>
        <v>0.16095956606968143</v>
      </c>
      <c r="Q732" s="3" t="str">
        <f t="shared" si="47"/>
        <v>No</v>
      </c>
    </row>
    <row r="733" spans="1:17" ht="21" customHeight="1">
      <c r="A733" s="3" t="s">
        <v>1294</v>
      </c>
      <c r="B733" s="5">
        <v>45504</v>
      </c>
      <c r="C733" s="3" t="s">
        <v>1295</v>
      </c>
      <c r="D733" s="3" t="s">
        <v>46</v>
      </c>
      <c r="E733" s="3" t="s">
        <v>38</v>
      </c>
      <c r="F733" s="3" t="s">
        <v>94</v>
      </c>
      <c r="G733" s="3" t="s">
        <v>95</v>
      </c>
      <c r="H733" s="3">
        <v>1</v>
      </c>
      <c r="I733" s="7">
        <v>80886.02</v>
      </c>
      <c r="J733" s="9">
        <v>0.05</v>
      </c>
      <c r="K733" s="7">
        <v>76841.72</v>
      </c>
      <c r="L733" s="7">
        <v>9643.91</v>
      </c>
      <c r="M733" s="3" t="s">
        <v>58</v>
      </c>
      <c r="N733" s="3" t="str">
        <f t="shared" si="44"/>
        <v>2024-07</v>
      </c>
      <c r="O733" s="3" t="str">
        <f t="shared" si="45"/>
        <v>1-10%</v>
      </c>
      <c r="P733" s="9">
        <f t="shared" si="46"/>
        <v>0.12550356759322931</v>
      </c>
      <c r="Q733" s="3" t="str">
        <f t="shared" si="47"/>
        <v>No</v>
      </c>
    </row>
    <row r="734" spans="1:17" ht="21" customHeight="1">
      <c r="A734" s="3" t="s">
        <v>1296</v>
      </c>
      <c r="B734" s="5">
        <v>45504</v>
      </c>
      <c r="C734" s="3" t="s">
        <v>471</v>
      </c>
      <c r="D734" s="3" t="s">
        <v>44</v>
      </c>
      <c r="E734" s="3" t="s">
        <v>41</v>
      </c>
      <c r="F734" s="3" t="s">
        <v>113</v>
      </c>
      <c r="G734" s="3" t="s">
        <v>123</v>
      </c>
      <c r="H734" s="3">
        <v>2</v>
      </c>
      <c r="I734" s="7">
        <v>3641.71</v>
      </c>
      <c r="J734" s="9">
        <v>0.1</v>
      </c>
      <c r="K734" s="7">
        <v>6555.08</v>
      </c>
      <c r="L734" s="7">
        <v>1552.77</v>
      </c>
      <c r="M734" s="3" t="s">
        <v>57</v>
      </c>
      <c r="N734" s="3" t="str">
        <f t="shared" si="44"/>
        <v>2024-07</v>
      </c>
      <c r="O734" s="3" t="str">
        <f t="shared" si="45"/>
        <v>1-10%</v>
      </c>
      <c r="P734" s="9">
        <f t="shared" si="46"/>
        <v>0.23688040420559323</v>
      </c>
      <c r="Q734" s="3" t="str">
        <f t="shared" si="47"/>
        <v>No</v>
      </c>
    </row>
    <row r="735" spans="1:17" ht="21" customHeight="1">
      <c r="A735" s="3" t="s">
        <v>1297</v>
      </c>
      <c r="B735" s="5">
        <v>45505</v>
      </c>
      <c r="C735" s="3" t="s">
        <v>491</v>
      </c>
      <c r="D735" s="3" t="s">
        <v>45</v>
      </c>
      <c r="E735" s="3" t="s">
        <v>39</v>
      </c>
      <c r="F735" s="3" t="s">
        <v>164</v>
      </c>
      <c r="G735" s="3" t="s">
        <v>165</v>
      </c>
      <c r="H735" s="3">
        <v>2</v>
      </c>
      <c r="I735" s="7">
        <v>2096.31</v>
      </c>
      <c r="J735" s="9">
        <v>0.2</v>
      </c>
      <c r="K735" s="7">
        <v>3354.1</v>
      </c>
      <c r="L735" s="7">
        <v>639.29999999999995</v>
      </c>
      <c r="M735" s="3" t="s">
        <v>57</v>
      </c>
      <c r="N735" s="3" t="str">
        <f t="shared" si="44"/>
        <v>2024-08</v>
      </c>
      <c r="O735" s="3" t="str">
        <f t="shared" si="45"/>
        <v>16-20%</v>
      </c>
      <c r="P735" s="9">
        <f t="shared" si="46"/>
        <v>0.19060254613756297</v>
      </c>
      <c r="Q735" s="3" t="str">
        <f t="shared" si="47"/>
        <v>No</v>
      </c>
    </row>
    <row r="736" spans="1:17" ht="21" customHeight="1">
      <c r="A736" s="3" t="s">
        <v>1298</v>
      </c>
      <c r="B736" s="5">
        <v>45505</v>
      </c>
      <c r="C736" s="3" t="s">
        <v>1299</v>
      </c>
      <c r="D736" s="3" t="s">
        <v>45</v>
      </c>
      <c r="E736" s="3" t="s">
        <v>38</v>
      </c>
      <c r="F736" s="3" t="s">
        <v>142</v>
      </c>
      <c r="G736" s="3" t="s">
        <v>143</v>
      </c>
      <c r="H736" s="3">
        <v>1</v>
      </c>
      <c r="I736" s="7">
        <v>8765.1</v>
      </c>
      <c r="J736" s="9">
        <v>0</v>
      </c>
      <c r="K736" s="7">
        <v>8765.1</v>
      </c>
      <c r="L736" s="7">
        <v>1767.66</v>
      </c>
      <c r="M736" s="3" t="s">
        <v>56</v>
      </c>
      <c r="N736" s="3" t="str">
        <f t="shared" si="44"/>
        <v>2024-08</v>
      </c>
      <c r="O736" s="3" t="str">
        <f t="shared" si="45"/>
        <v>No discount</v>
      </c>
      <c r="P736" s="9">
        <f t="shared" si="46"/>
        <v>0.20167026046479788</v>
      </c>
      <c r="Q736" s="3" t="str">
        <f t="shared" si="47"/>
        <v>No</v>
      </c>
    </row>
    <row r="737" spans="1:17" ht="21" customHeight="1">
      <c r="A737" s="3" t="s">
        <v>1300</v>
      </c>
      <c r="B737" s="5">
        <v>45505</v>
      </c>
      <c r="C737" s="3" t="s">
        <v>1301</v>
      </c>
      <c r="D737" s="3" t="s">
        <v>46</v>
      </c>
      <c r="E737" s="3" t="s">
        <v>42</v>
      </c>
      <c r="F737" s="3" t="s">
        <v>126</v>
      </c>
      <c r="G737" s="3" t="s">
        <v>127</v>
      </c>
      <c r="H737" s="3">
        <v>1</v>
      </c>
      <c r="I737" s="7">
        <v>1042.6099999999999</v>
      </c>
      <c r="J737" s="9">
        <v>0.15</v>
      </c>
      <c r="K737" s="7">
        <v>886.22</v>
      </c>
      <c r="L737" s="7">
        <v>350.88</v>
      </c>
      <c r="M737" s="3" t="s">
        <v>56</v>
      </c>
      <c r="N737" s="3" t="str">
        <f t="shared" si="44"/>
        <v>2024-08</v>
      </c>
      <c r="O737" s="3" t="str">
        <f t="shared" si="45"/>
        <v>11-15%</v>
      </c>
      <c r="P737" s="9">
        <f t="shared" si="46"/>
        <v>0.39592877615039151</v>
      </c>
      <c r="Q737" s="3" t="str">
        <f t="shared" si="47"/>
        <v>No</v>
      </c>
    </row>
    <row r="738" spans="1:17" ht="21" customHeight="1">
      <c r="A738" s="3" t="s">
        <v>1302</v>
      </c>
      <c r="B738" s="5">
        <v>45505</v>
      </c>
      <c r="C738" s="3" t="s">
        <v>1303</v>
      </c>
      <c r="D738" s="3" t="s">
        <v>44</v>
      </c>
      <c r="E738" s="3" t="s">
        <v>38</v>
      </c>
      <c r="F738" s="3" t="s">
        <v>98</v>
      </c>
      <c r="G738" s="3" t="s">
        <v>362</v>
      </c>
      <c r="H738" s="3">
        <v>2</v>
      </c>
      <c r="I738" s="7">
        <v>32731.9</v>
      </c>
      <c r="J738" s="9">
        <v>0.25</v>
      </c>
      <c r="K738" s="7">
        <v>49097.85</v>
      </c>
      <c r="L738" s="7">
        <v>-7121.23</v>
      </c>
      <c r="M738" s="3" t="s">
        <v>56</v>
      </c>
      <c r="N738" s="3" t="str">
        <f t="shared" si="44"/>
        <v>2024-08</v>
      </c>
      <c r="O738" s="3" t="str">
        <f t="shared" si="45"/>
        <v>21%+</v>
      </c>
      <c r="P738" s="9">
        <f t="shared" si="46"/>
        <v>-0.14504158532400094</v>
      </c>
      <c r="Q738" s="3" t="str">
        <f t="shared" si="47"/>
        <v>Yes</v>
      </c>
    </row>
    <row r="739" spans="1:17" ht="21" customHeight="1">
      <c r="A739" s="3" t="s">
        <v>1304</v>
      </c>
      <c r="B739" s="5">
        <v>45506</v>
      </c>
      <c r="C739" s="3" t="s">
        <v>1171</v>
      </c>
      <c r="D739" s="3" t="s">
        <v>45</v>
      </c>
      <c r="E739" s="3" t="s">
        <v>38</v>
      </c>
      <c r="F739" s="3" t="s">
        <v>94</v>
      </c>
      <c r="G739" s="3" t="s">
        <v>213</v>
      </c>
      <c r="H739" s="3">
        <v>1</v>
      </c>
      <c r="I739" s="7">
        <v>56069.39</v>
      </c>
      <c r="J739" s="9">
        <v>0</v>
      </c>
      <c r="K739" s="7">
        <v>56069.39</v>
      </c>
      <c r="L739" s="7">
        <v>9080.6299999999992</v>
      </c>
      <c r="M739" s="3" t="s">
        <v>57</v>
      </c>
      <c r="N739" s="3" t="str">
        <f t="shared" si="44"/>
        <v>2024-08</v>
      </c>
      <c r="O739" s="3" t="str">
        <f t="shared" si="45"/>
        <v>No discount</v>
      </c>
      <c r="P739" s="9">
        <f t="shared" si="46"/>
        <v>0.16195342949156391</v>
      </c>
      <c r="Q739" s="3" t="str">
        <f t="shared" si="47"/>
        <v>No</v>
      </c>
    </row>
    <row r="740" spans="1:17" ht="21" customHeight="1">
      <c r="A740" s="3" t="s">
        <v>1305</v>
      </c>
      <c r="B740" s="5">
        <v>45506</v>
      </c>
      <c r="C740" s="3" t="s">
        <v>150</v>
      </c>
      <c r="D740" s="3" t="s">
        <v>47</v>
      </c>
      <c r="E740" s="3" t="s">
        <v>41</v>
      </c>
      <c r="F740" s="3" t="s">
        <v>113</v>
      </c>
      <c r="G740" s="3" t="s">
        <v>123</v>
      </c>
      <c r="H740" s="3">
        <v>1</v>
      </c>
      <c r="I740" s="7">
        <v>3363.21</v>
      </c>
      <c r="J740" s="9">
        <v>0</v>
      </c>
      <c r="K740" s="7">
        <v>3363.21</v>
      </c>
      <c r="L740" s="7">
        <v>1147.77</v>
      </c>
      <c r="M740" s="3" t="s">
        <v>59</v>
      </c>
      <c r="N740" s="3" t="str">
        <f t="shared" si="44"/>
        <v>2024-08</v>
      </c>
      <c r="O740" s="3" t="str">
        <f t="shared" si="45"/>
        <v>No discount</v>
      </c>
      <c r="P740" s="9">
        <f t="shared" si="46"/>
        <v>0.34127217747330674</v>
      </c>
      <c r="Q740" s="3" t="str">
        <f t="shared" si="47"/>
        <v>No</v>
      </c>
    </row>
    <row r="741" spans="1:17" ht="21" customHeight="1">
      <c r="A741" s="3" t="s">
        <v>1306</v>
      </c>
      <c r="B741" s="5">
        <v>45506</v>
      </c>
      <c r="C741" s="3" t="s">
        <v>377</v>
      </c>
      <c r="D741" s="3" t="s">
        <v>46</v>
      </c>
      <c r="E741" s="3" t="s">
        <v>38</v>
      </c>
      <c r="F741" s="3" t="s">
        <v>142</v>
      </c>
      <c r="G741" s="3" t="s">
        <v>245</v>
      </c>
      <c r="H741" s="3">
        <v>1</v>
      </c>
      <c r="I741" s="7">
        <v>5096.45</v>
      </c>
      <c r="J741" s="9">
        <v>0.25</v>
      </c>
      <c r="K741" s="7">
        <v>3822.34</v>
      </c>
      <c r="L741" s="7">
        <v>-470.05</v>
      </c>
      <c r="M741" s="3" t="s">
        <v>56</v>
      </c>
      <c r="N741" s="3" t="str">
        <f t="shared" si="44"/>
        <v>2024-08</v>
      </c>
      <c r="O741" s="3" t="str">
        <f t="shared" si="45"/>
        <v>21%+</v>
      </c>
      <c r="P741" s="9">
        <f t="shared" si="46"/>
        <v>-0.12297440834671955</v>
      </c>
      <c r="Q741" s="3" t="str">
        <f t="shared" si="47"/>
        <v>Yes</v>
      </c>
    </row>
    <row r="742" spans="1:17" ht="21" customHeight="1">
      <c r="A742" s="3" t="s">
        <v>1307</v>
      </c>
      <c r="B742" s="5">
        <v>45506</v>
      </c>
      <c r="C742" s="3" t="s">
        <v>1308</v>
      </c>
      <c r="D742" s="3" t="s">
        <v>44</v>
      </c>
      <c r="E742" s="3" t="s">
        <v>42</v>
      </c>
      <c r="F742" s="3" t="s">
        <v>126</v>
      </c>
      <c r="G742" s="3" t="s">
        <v>127</v>
      </c>
      <c r="H742" s="3">
        <v>3</v>
      </c>
      <c r="I742" s="7">
        <v>974.76</v>
      </c>
      <c r="J742" s="9">
        <v>0.05</v>
      </c>
      <c r="K742" s="7">
        <v>2778.07</v>
      </c>
      <c r="L742" s="7">
        <v>1413.09</v>
      </c>
      <c r="M742" s="3" t="s">
        <v>57</v>
      </c>
      <c r="N742" s="3" t="str">
        <f t="shared" si="44"/>
        <v>2024-08</v>
      </c>
      <c r="O742" s="3" t="str">
        <f t="shared" si="45"/>
        <v>1-10%</v>
      </c>
      <c r="P742" s="9">
        <f t="shared" si="46"/>
        <v>0.50865888908486823</v>
      </c>
      <c r="Q742" s="3" t="str">
        <f t="shared" si="47"/>
        <v>No</v>
      </c>
    </row>
    <row r="743" spans="1:17" ht="21" customHeight="1">
      <c r="A743" s="3" t="s">
        <v>1309</v>
      </c>
      <c r="B743" s="5">
        <v>45506</v>
      </c>
      <c r="C743" s="3" t="s">
        <v>137</v>
      </c>
      <c r="D743" s="3" t="s">
        <v>44</v>
      </c>
      <c r="E743" s="3" t="s">
        <v>38</v>
      </c>
      <c r="F743" s="3" t="s">
        <v>142</v>
      </c>
      <c r="G743" s="3" t="s">
        <v>143</v>
      </c>
      <c r="H743" s="3">
        <v>1</v>
      </c>
      <c r="I743" s="7">
        <v>8820.2199999999993</v>
      </c>
      <c r="J743" s="9">
        <v>0.05</v>
      </c>
      <c r="K743" s="7">
        <v>8379.2099999999991</v>
      </c>
      <c r="L743" s="7">
        <v>788.87</v>
      </c>
      <c r="M743" s="3" t="s">
        <v>59</v>
      </c>
      <c r="N743" s="3" t="str">
        <f t="shared" si="44"/>
        <v>2024-08</v>
      </c>
      <c r="O743" s="3" t="str">
        <f t="shared" si="45"/>
        <v>1-10%</v>
      </c>
      <c r="P743" s="9">
        <f t="shared" si="46"/>
        <v>9.4146106852555325E-2</v>
      </c>
      <c r="Q743" s="3" t="str">
        <f t="shared" si="47"/>
        <v>No</v>
      </c>
    </row>
    <row r="744" spans="1:17" ht="21" customHeight="1">
      <c r="A744" s="3" t="s">
        <v>1310</v>
      </c>
      <c r="B744" s="5">
        <v>45507</v>
      </c>
      <c r="C744" s="3" t="s">
        <v>322</v>
      </c>
      <c r="D744" s="3" t="s">
        <v>46</v>
      </c>
      <c r="E744" s="3" t="s">
        <v>42</v>
      </c>
      <c r="F744" s="3" t="s">
        <v>126</v>
      </c>
      <c r="G744" s="3" t="s">
        <v>127</v>
      </c>
      <c r="H744" s="3">
        <v>1</v>
      </c>
      <c r="I744" s="7">
        <v>956.04</v>
      </c>
      <c r="J744" s="9">
        <v>0.1</v>
      </c>
      <c r="K744" s="7">
        <v>860.44</v>
      </c>
      <c r="L744" s="7">
        <v>346.05</v>
      </c>
      <c r="M744" s="3" t="s">
        <v>58</v>
      </c>
      <c r="N744" s="3" t="str">
        <f t="shared" si="44"/>
        <v>2024-08</v>
      </c>
      <c r="O744" s="3" t="str">
        <f t="shared" si="45"/>
        <v>1-10%</v>
      </c>
      <c r="P744" s="9">
        <f t="shared" si="46"/>
        <v>0.40217795546464596</v>
      </c>
      <c r="Q744" s="3" t="str">
        <f t="shared" si="47"/>
        <v>No</v>
      </c>
    </row>
    <row r="745" spans="1:17" ht="21" customHeight="1">
      <c r="A745" s="3" t="s">
        <v>1311</v>
      </c>
      <c r="B745" s="5">
        <v>45507</v>
      </c>
      <c r="C745" s="3" t="s">
        <v>1312</v>
      </c>
      <c r="D745" s="3" t="s">
        <v>45</v>
      </c>
      <c r="E745" s="3" t="s">
        <v>40</v>
      </c>
      <c r="F745" s="3" t="s">
        <v>221</v>
      </c>
      <c r="G745" s="3" t="s">
        <v>279</v>
      </c>
      <c r="H745" s="3">
        <v>1</v>
      </c>
      <c r="I745" s="7">
        <v>1441.9</v>
      </c>
      <c r="J745" s="9">
        <v>0</v>
      </c>
      <c r="K745" s="7">
        <v>1441.9</v>
      </c>
      <c r="L745" s="7">
        <v>443.98</v>
      </c>
      <c r="M745" s="3" t="s">
        <v>56</v>
      </c>
      <c r="N745" s="3" t="str">
        <f t="shared" si="44"/>
        <v>2024-08</v>
      </c>
      <c r="O745" s="3" t="str">
        <f t="shared" si="45"/>
        <v>No discount</v>
      </c>
      <c r="P745" s="9">
        <f t="shared" si="46"/>
        <v>0.30791317012275471</v>
      </c>
      <c r="Q745" s="3" t="str">
        <f t="shared" si="47"/>
        <v>No</v>
      </c>
    </row>
    <row r="746" spans="1:17" ht="21" customHeight="1">
      <c r="A746" s="3" t="s">
        <v>1313</v>
      </c>
      <c r="B746" s="5">
        <v>45507</v>
      </c>
      <c r="C746" s="3" t="s">
        <v>1314</v>
      </c>
      <c r="D746" s="3" t="s">
        <v>47</v>
      </c>
      <c r="E746" s="3" t="s">
        <v>38</v>
      </c>
      <c r="F746" s="3" t="s">
        <v>94</v>
      </c>
      <c r="G746" s="3" t="s">
        <v>213</v>
      </c>
      <c r="H746" s="3">
        <v>4</v>
      </c>
      <c r="I746" s="7">
        <v>55380.11</v>
      </c>
      <c r="J746" s="9">
        <v>0</v>
      </c>
      <c r="K746" s="7">
        <v>221520.44</v>
      </c>
      <c r="L746" s="7">
        <v>38413.22</v>
      </c>
      <c r="M746" s="3" t="s">
        <v>56</v>
      </c>
      <c r="N746" s="3" t="str">
        <f t="shared" si="44"/>
        <v>2024-08</v>
      </c>
      <c r="O746" s="3" t="str">
        <f t="shared" si="45"/>
        <v>No discount</v>
      </c>
      <c r="P746" s="9">
        <f t="shared" si="46"/>
        <v>0.17340711313141127</v>
      </c>
      <c r="Q746" s="3" t="str">
        <f t="shared" si="47"/>
        <v>No</v>
      </c>
    </row>
    <row r="747" spans="1:17" ht="21" customHeight="1">
      <c r="A747" s="3" t="s">
        <v>1315</v>
      </c>
      <c r="B747" s="5">
        <v>45508</v>
      </c>
      <c r="C747" s="3" t="s">
        <v>1316</v>
      </c>
      <c r="D747" s="3" t="s">
        <v>47</v>
      </c>
      <c r="E747" s="3" t="s">
        <v>40</v>
      </c>
      <c r="F747" s="3" t="s">
        <v>221</v>
      </c>
      <c r="G747" s="3" t="s">
        <v>222</v>
      </c>
      <c r="H747" s="3">
        <v>2</v>
      </c>
      <c r="I747" s="7">
        <v>1029.75</v>
      </c>
      <c r="J747" s="9">
        <v>0.05</v>
      </c>
      <c r="K747" s="7">
        <v>1956.52</v>
      </c>
      <c r="L747" s="7">
        <v>508.32</v>
      </c>
      <c r="M747" s="3" t="s">
        <v>58</v>
      </c>
      <c r="N747" s="3" t="str">
        <f t="shared" si="44"/>
        <v>2024-08</v>
      </c>
      <c r="O747" s="3" t="str">
        <f t="shared" si="45"/>
        <v>1-10%</v>
      </c>
      <c r="P747" s="9">
        <f t="shared" si="46"/>
        <v>0.2598082309406497</v>
      </c>
      <c r="Q747" s="3" t="str">
        <f t="shared" si="47"/>
        <v>No</v>
      </c>
    </row>
    <row r="748" spans="1:17" ht="21" customHeight="1">
      <c r="A748" s="3" t="s">
        <v>1317</v>
      </c>
      <c r="B748" s="5">
        <v>45508</v>
      </c>
      <c r="C748" s="3" t="s">
        <v>170</v>
      </c>
      <c r="D748" s="3" t="s">
        <v>45</v>
      </c>
      <c r="E748" s="3" t="s">
        <v>38</v>
      </c>
      <c r="F748" s="3" t="s">
        <v>94</v>
      </c>
      <c r="G748" s="3" t="s">
        <v>95</v>
      </c>
      <c r="H748" s="3">
        <v>2</v>
      </c>
      <c r="I748" s="7">
        <v>80070.740000000005</v>
      </c>
      <c r="J748" s="9">
        <v>0.05</v>
      </c>
      <c r="K748" s="7">
        <v>152134.41</v>
      </c>
      <c r="L748" s="7">
        <v>15911.17</v>
      </c>
      <c r="M748" s="3" t="s">
        <v>56</v>
      </c>
      <c r="N748" s="3" t="str">
        <f t="shared" si="44"/>
        <v>2024-08</v>
      </c>
      <c r="O748" s="3" t="str">
        <f t="shared" si="45"/>
        <v>1-10%</v>
      </c>
      <c r="P748" s="9">
        <f t="shared" si="46"/>
        <v>0.10458626684127542</v>
      </c>
      <c r="Q748" s="3" t="str">
        <f t="shared" si="47"/>
        <v>No</v>
      </c>
    </row>
    <row r="749" spans="1:17" ht="21" customHeight="1">
      <c r="A749" s="3" t="s">
        <v>1318</v>
      </c>
      <c r="B749" s="5">
        <v>45509</v>
      </c>
      <c r="C749" s="3" t="s">
        <v>516</v>
      </c>
      <c r="D749" s="3" t="s">
        <v>45</v>
      </c>
      <c r="E749" s="3" t="s">
        <v>39</v>
      </c>
      <c r="F749" s="3" t="s">
        <v>130</v>
      </c>
      <c r="G749" s="3" t="s">
        <v>193</v>
      </c>
      <c r="H749" s="3">
        <v>1</v>
      </c>
      <c r="I749" s="7">
        <v>1772.37</v>
      </c>
      <c r="J749" s="9">
        <v>0.1</v>
      </c>
      <c r="K749" s="7">
        <v>1595.13</v>
      </c>
      <c r="L749" s="7">
        <v>437.81</v>
      </c>
      <c r="M749" s="3" t="s">
        <v>56</v>
      </c>
      <c r="N749" s="3" t="str">
        <f t="shared" si="44"/>
        <v>2024-08</v>
      </c>
      <c r="O749" s="3" t="str">
        <f t="shared" si="45"/>
        <v>1-10%</v>
      </c>
      <c r="P749" s="9">
        <f t="shared" si="46"/>
        <v>0.2744666578899525</v>
      </c>
      <c r="Q749" s="3" t="str">
        <f t="shared" si="47"/>
        <v>No</v>
      </c>
    </row>
    <row r="750" spans="1:17" ht="21" customHeight="1">
      <c r="A750" s="3" t="s">
        <v>1319</v>
      </c>
      <c r="B750" s="5">
        <v>45509</v>
      </c>
      <c r="C750" s="3" t="s">
        <v>1035</v>
      </c>
      <c r="D750" s="3" t="s">
        <v>47</v>
      </c>
      <c r="E750" s="3" t="s">
        <v>39</v>
      </c>
      <c r="F750" s="3" t="s">
        <v>109</v>
      </c>
      <c r="G750" s="3" t="s">
        <v>355</v>
      </c>
      <c r="H750" s="3">
        <v>1</v>
      </c>
      <c r="I750" s="7">
        <v>3527.55</v>
      </c>
      <c r="J750" s="9">
        <v>0.15</v>
      </c>
      <c r="K750" s="7">
        <v>2998.42</v>
      </c>
      <c r="L750" s="7">
        <v>710.47</v>
      </c>
      <c r="M750" s="3" t="s">
        <v>56</v>
      </c>
      <c r="N750" s="3" t="str">
        <f t="shared" si="44"/>
        <v>2024-08</v>
      </c>
      <c r="O750" s="3" t="str">
        <f t="shared" si="45"/>
        <v>11-15%</v>
      </c>
      <c r="P750" s="9">
        <f t="shared" si="46"/>
        <v>0.23694812601303353</v>
      </c>
      <c r="Q750" s="3" t="str">
        <f t="shared" si="47"/>
        <v>No</v>
      </c>
    </row>
    <row r="751" spans="1:17" ht="21" customHeight="1">
      <c r="A751" s="3" t="s">
        <v>1320</v>
      </c>
      <c r="B751" s="5">
        <v>45509</v>
      </c>
      <c r="C751" s="3" t="s">
        <v>236</v>
      </c>
      <c r="D751" s="3" t="s">
        <v>44</v>
      </c>
      <c r="E751" s="3" t="s">
        <v>39</v>
      </c>
      <c r="F751" s="3" t="s">
        <v>109</v>
      </c>
      <c r="G751" s="3" t="s">
        <v>110</v>
      </c>
      <c r="H751" s="3">
        <v>1</v>
      </c>
      <c r="I751" s="7">
        <v>3042.81</v>
      </c>
      <c r="J751" s="9">
        <v>0</v>
      </c>
      <c r="K751" s="7">
        <v>3042.81</v>
      </c>
      <c r="L751" s="7">
        <v>1290.08</v>
      </c>
      <c r="M751" s="3" t="s">
        <v>59</v>
      </c>
      <c r="N751" s="3" t="str">
        <f t="shared" si="44"/>
        <v>2024-08</v>
      </c>
      <c r="O751" s="3" t="str">
        <f t="shared" si="45"/>
        <v>No discount</v>
      </c>
      <c r="P751" s="9">
        <f t="shared" si="46"/>
        <v>0.42397652170197941</v>
      </c>
      <c r="Q751" s="3" t="str">
        <f t="shared" si="47"/>
        <v>No</v>
      </c>
    </row>
    <row r="752" spans="1:17" ht="21" customHeight="1">
      <c r="A752" s="3" t="s">
        <v>1321</v>
      </c>
      <c r="B752" s="5">
        <v>45509</v>
      </c>
      <c r="C752" s="3" t="s">
        <v>944</v>
      </c>
      <c r="D752" s="3" t="s">
        <v>47</v>
      </c>
      <c r="E752" s="3" t="s">
        <v>38</v>
      </c>
      <c r="F752" s="3" t="s">
        <v>94</v>
      </c>
      <c r="G752" s="3" t="s">
        <v>213</v>
      </c>
      <c r="H752" s="3">
        <v>4</v>
      </c>
      <c r="I752" s="7">
        <v>52499.75</v>
      </c>
      <c r="J752" s="9">
        <v>0.05</v>
      </c>
      <c r="K752" s="7">
        <v>199499.05</v>
      </c>
      <c r="L752" s="7">
        <v>26389.11</v>
      </c>
      <c r="M752" s="3" t="s">
        <v>56</v>
      </c>
      <c r="N752" s="3" t="str">
        <f t="shared" si="44"/>
        <v>2024-08</v>
      </c>
      <c r="O752" s="3" t="str">
        <f t="shared" si="45"/>
        <v>1-10%</v>
      </c>
      <c r="P752" s="9">
        <f t="shared" si="46"/>
        <v>0.13227687049136325</v>
      </c>
      <c r="Q752" s="3" t="str">
        <f t="shared" si="47"/>
        <v>No</v>
      </c>
    </row>
    <row r="753" spans="1:17" ht="21" customHeight="1">
      <c r="A753" s="3" t="s">
        <v>1322</v>
      </c>
      <c r="B753" s="5">
        <v>45510</v>
      </c>
      <c r="C753" s="3" t="s">
        <v>157</v>
      </c>
      <c r="D753" s="3" t="s">
        <v>47</v>
      </c>
      <c r="E753" s="3" t="s">
        <v>42</v>
      </c>
      <c r="F753" s="3" t="s">
        <v>90</v>
      </c>
      <c r="G753" s="3" t="s">
        <v>106</v>
      </c>
      <c r="H753" s="3">
        <v>1</v>
      </c>
      <c r="I753" s="7">
        <v>901.74</v>
      </c>
      <c r="J753" s="9">
        <v>0</v>
      </c>
      <c r="K753" s="7">
        <v>901.74</v>
      </c>
      <c r="L753" s="7">
        <v>481.77</v>
      </c>
      <c r="M753" s="3" t="s">
        <v>56</v>
      </c>
      <c r="N753" s="3" t="str">
        <f t="shared" si="44"/>
        <v>2024-08</v>
      </c>
      <c r="O753" s="3" t="str">
        <f t="shared" si="45"/>
        <v>No discount</v>
      </c>
      <c r="P753" s="9">
        <f t="shared" si="46"/>
        <v>0.53426708363829922</v>
      </c>
      <c r="Q753" s="3" t="str">
        <f t="shared" si="47"/>
        <v>No</v>
      </c>
    </row>
    <row r="754" spans="1:17" ht="21" customHeight="1">
      <c r="A754" s="3" t="s">
        <v>1323</v>
      </c>
      <c r="B754" s="5">
        <v>45510</v>
      </c>
      <c r="C754" s="3" t="s">
        <v>1324</v>
      </c>
      <c r="D754" s="3" t="s">
        <v>46</v>
      </c>
      <c r="E754" s="3" t="s">
        <v>42</v>
      </c>
      <c r="F754" s="3" t="s">
        <v>90</v>
      </c>
      <c r="G754" s="3" t="s">
        <v>106</v>
      </c>
      <c r="H754" s="3">
        <v>2</v>
      </c>
      <c r="I754" s="7">
        <v>911.3</v>
      </c>
      <c r="J754" s="9">
        <v>0.05</v>
      </c>
      <c r="K754" s="7">
        <v>1731.47</v>
      </c>
      <c r="L754" s="7">
        <v>852.38</v>
      </c>
      <c r="M754" s="3" t="s">
        <v>58</v>
      </c>
      <c r="N754" s="3" t="str">
        <f t="shared" si="44"/>
        <v>2024-08</v>
      </c>
      <c r="O754" s="3" t="str">
        <f t="shared" si="45"/>
        <v>1-10%</v>
      </c>
      <c r="P754" s="9">
        <f t="shared" si="46"/>
        <v>0.4922869007259727</v>
      </c>
      <c r="Q754" s="3" t="str">
        <f t="shared" si="47"/>
        <v>No</v>
      </c>
    </row>
    <row r="755" spans="1:17" ht="21" customHeight="1">
      <c r="A755" s="3" t="s">
        <v>1325</v>
      </c>
      <c r="B755" s="5">
        <v>45510</v>
      </c>
      <c r="C755" s="3" t="s">
        <v>1326</v>
      </c>
      <c r="D755" s="3" t="s">
        <v>45</v>
      </c>
      <c r="E755" s="3" t="s">
        <v>41</v>
      </c>
      <c r="F755" s="3" t="s">
        <v>113</v>
      </c>
      <c r="G755" s="3" t="s">
        <v>123</v>
      </c>
      <c r="H755" s="3">
        <v>1</v>
      </c>
      <c r="I755" s="7">
        <v>3391.4</v>
      </c>
      <c r="J755" s="9">
        <v>0.4</v>
      </c>
      <c r="K755" s="7">
        <v>2034.84</v>
      </c>
      <c r="L755" s="7">
        <v>-243.78</v>
      </c>
      <c r="M755" s="3" t="s">
        <v>58</v>
      </c>
      <c r="N755" s="3" t="str">
        <f t="shared" si="44"/>
        <v>2024-08</v>
      </c>
      <c r="O755" s="3" t="str">
        <f t="shared" si="45"/>
        <v>21%+</v>
      </c>
      <c r="P755" s="9">
        <f t="shared" si="46"/>
        <v>-0.119803031196556</v>
      </c>
      <c r="Q755" s="3" t="str">
        <f t="shared" si="47"/>
        <v>Yes</v>
      </c>
    </row>
    <row r="756" spans="1:17" ht="21" customHeight="1">
      <c r="A756" s="3" t="s">
        <v>1327</v>
      </c>
      <c r="B756" s="5">
        <v>45511</v>
      </c>
      <c r="C756" s="3" t="s">
        <v>475</v>
      </c>
      <c r="D756" s="3" t="s">
        <v>44</v>
      </c>
      <c r="E756" s="3" t="s">
        <v>40</v>
      </c>
      <c r="F756" s="3" t="s">
        <v>221</v>
      </c>
      <c r="G756" s="3" t="s">
        <v>279</v>
      </c>
      <c r="H756" s="3">
        <v>2</v>
      </c>
      <c r="I756" s="7">
        <v>1474.39</v>
      </c>
      <c r="J756" s="9">
        <v>0</v>
      </c>
      <c r="K756" s="7">
        <v>2948.78</v>
      </c>
      <c r="L756" s="7">
        <v>1065.81</v>
      </c>
      <c r="M756" s="3" t="s">
        <v>56</v>
      </c>
      <c r="N756" s="3" t="str">
        <f t="shared" si="44"/>
        <v>2024-08</v>
      </c>
      <c r="O756" s="3" t="str">
        <f t="shared" si="45"/>
        <v>No discount</v>
      </c>
      <c r="P756" s="9">
        <f t="shared" si="46"/>
        <v>0.36144100271976881</v>
      </c>
      <c r="Q756" s="3" t="str">
        <f t="shared" si="47"/>
        <v>No</v>
      </c>
    </row>
    <row r="757" spans="1:17" ht="21" customHeight="1">
      <c r="A757" s="3" t="s">
        <v>1328</v>
      </c>
      <c r="B757" s="5">
        <v>45511</v>
      </c>
      <c r="C757" s="3" t="s">
        <v>1197</v>
      </c>
      <c r="D757" s="3" t="s">
        <v>45</v>
      </c>
      <c r="E757" s="3" t="s">
        <v>39</v>
      </c>
      <c r="F757" s="3" t="s">
        <v>164</v>
      </c>
      <c r="G757" s="3" t="s">
        <v>200</v>
      </c>
      <c r="H757" s="3">
        <v>1</v>
      </c>
      <c r="I757" s="7">
        <v>1348.76</v>
      </c>
      <c r="J757" s="9">
        <v>0.15</v>
      </c>
      <c r="K757" s="7">
        <v>1146.45</v>
      </c>
      <c r="L757" s="7">
        <v>279.12</v>
      </c>
      <c r="M757" s="3" t="s">
        <v>56</v>
      </c>
      <c r="N757" s="3" t="str">
        <f t="shared" si="44"/>
        <v>2024-08</v>
      </c>
      <c r="O757" s="3" t="str">
        <f t="shared" si="45"/>
        <v>11-15%</v>
      </c>
      <c r="P757" s="9">
        <f t="shared" si="46"/>
        <v>0.24346460813816564</v>
      </c>
      <c r="Q757" s="3" t="str">
        <f t="shared" si="47"/>
        <v>No</v>
      </c>
    </row>
    <row r="758" spans="1:17" ht="21" customHeight="1">
      <c r="A758" s="3" t="s">
        <v>1329</v>
      </c>
      <c r="B758" s="5">
        <v>45511</v>
      </c>
      <c r="C758" s="3" t="s">
        <v>224</v>
      </c>
      <c r="D758" s="3" t="s">
        <v>44</v>
      </c>
      <c r="E758" s="3" t="s">
        <v>39</v>
      </c>
      <c r="F758" s="3" t="s">
        <v>109</v>
      </c>
      <c r="G758" s="3" t="s">
        <v>110</v>
      </c>
      <c r="H758" s="3">
        <v>1</v>
      </c>
      <c r="I758" s="7">
        <v>3093.13</v>
      </c>
      <c r="J758" s="9">
        <v>0</v>
      </c>
      <c r="K758" s="7">
        <v>3093.13</v>
      </c>
      <c r="L758" s="7">
        <v>1356.91</v>
      </c>
      <c r="M758" s="3" t="s">
        <v>56</v>
      </c>
      <c r="N758" s="3" t="str">
        <f t="shared" si="44"/>
        <v>2024-08</v>
      </c>
      <c r="O758" s="3" t="str">
        <f t="shared" si="45"/>
        <v>No discount</v>
      </c>
      <c r="P758" s="9">
        <f t="shared" si="46"/>
        <v>0.43868508598086731</v>
      </c>
      <c r="Q758" s="3" t="str">
        <f t="shared" si="47"/>
        <v>No</v>
      </c>
    </row>
    <row r="759" spans="1:17" ht="21" customHeight="1">
      <c r="A759" s="3" t="s">
        <v>1330</v>
      </c>
      <c r="B759" s="5">
        <v>45511</v>
      </c>
      <c r="C759" s="3" t="s">
        <v>1331</v>
      </c>
      <c r="D759" s="3" t="s">
        <v>46</v>
      </c>
      <c r="E759" s="3" t="s">
        <v>38</v>
      </c>
      <c r="F759" s="3" t="s">
        <v>142</v>
      </c>
      <c r="G759" s="3" t="s">
        <v>143</v>
      </c>
      <c r="H759" s="3">
        <v>1</v>
      </c>
      <c r="I759" s="7">
        <v>9114.83</v>
      </c>
      <c r="J759" s="9">
        <v>0.05</v>
      </c>
      <c r="K759" s="7">
        <v>8659.09</v>
      </c>
      <c r="L759" s="7">
        <v>1280.33</v>
      </c>
      <c r="M759" s="3" t="s">
        <v>57</v>
      </c>
      <c r="N759" s="3" t="str">
        <f t="shared" si="44"/>
        <v>2024-08</v>
      </c>
      <c r="O759" s="3" t="str">
        <f t="shared" si="45"/>
        <v>1-10%</v>
      </c>
      <c r="P759" s="9">
        <f t="shared" si="46"/>
        <v>0.14785964806925439</v>
      </c>
      <c r="Q759" s="3" t="str">
        <f t="shared" si="47"/>
        <v>No</v>
      </c>
    </row>
    <row r="760" spans="1:17" ht="21" customHeight="1">
      <c r="A760" s="3" t="s">
        <v>1332</v>
      </c>
      <c r="B760" s="5">
        <v>45511</v>
      </c>
      <c r="C760" s="3" t="s">
        <v>391</v>
      </c>
      <c r="D760" s="3" t="s">
        <v>44</v>
      </c>
      <c r="E760" s="3" t="s">
        <v>41</v>
      </c>
      <c r="F760" s="3" t="s">
        <v>119</v>
      </c>
      <c r="G760" s="3" t="s">
        <v>168</v>
      </c>
      <c r="H760" s="3">
        <v>2</v>
      </c>
      <c r="I760" s="7">
        <v>10258.93</v>
      </c>
      <c r="J760" s="9">
        <v>0.25</v>
      </c>
      <c r="K760" s="7">
        <v>15388.4</v>
      </c>
      <c r="L760" s="7">
        <v>1955.75</v>
      </c>
      <c r="M760" s="3" t="s">
        <v>57</v>
      </c>
      <c r="N760" s="3" t="str">
        <f t="shared" si="44"/>
        <v>2024-08</v>
      </c>
      <c r="O760" s="3" t="str">
        <f t="shared" si="45"/>
        <v>21%+</v>
      </c>
      <c r="P760" s="9">
        <f t="shared" si="46"/>
        <v>0.12709248524862884</v>
      </c>
      <c r="Q760" s="3" t="str">
        <f t="shared" si="47"/>
        <v>No</v>
      </c>
    </row>
    <row r="761" spans="1:17" ht="21" customHeight="1">
      <c r="A761" s="3" t="s">
        <v>1333</v>
      </c>
      <c r="B761" s="5">
        <v>45511</v>
      </c>
      <c r="C761" s="3" t="s">
        <v>157</v>
      </c>
      <c r="D761" s="3" t="s">
        <v>44</v>
      </c>
      <c r="E761" s="3" t="s">
        <v>39</v>
      </c>
      <c r="F761" s="3" t="s">
        <v>130</v>
      </c>
      <c r="G761" s="3" t="s">
        <v>193</v>
      </c>
      <c r="H761" s="3">
        <v>2</v>
      </c>
      <c r="I761" s="7">
        <v>1871.17</v>
      </c>
      <c r="J761" s="9">
        <v>0.15</v>
      </c>
      <c r="K761" s="7">
        <v>3180.99</v>
      </c>
      <c r="L761" s="7">
        <v>789.14</v>
      </c>
      <c r="M761" s="3" t="s">
        <v>57</v>
      </c>
      <c r="N761" s="3" t="str">
        <f t="shared" si="44"/>
        <v>2024-08</v>
      </c>
      <c r="O761" s="3" t="str">
        <f t="shared" si="45"/>
        <v>11-15%</v>
      </c>
      <c r="P761" s="9">
        <f t="shared" si="46"/>
        <v>0.24808000025149404</v>
      </c>
      <c r="Q761" s="3" t="str">
        <f t="shared" si="47"/>
        <v>No</v>
      </c>
    </row>
    <row r="762" spans="1:17" ht="21" customHeight="1">
      <c r="A762" s="3" t="s">
        <v>1334</v>
      </c>
      <c r="B762" s="5">
        <v>45511</v>
      </c>
      <c r="C762" s="3" t="s">
        <v>673</v>
      </c>
      <c r="D762" s="3" t="s">
        <v>47</v>
      </c>
      <c r="E762" s="3" t="s">
        <v>39</v>
      </c>
      <c r="F762" s="3" t="s">
        <v>109</v>
      </c>
      <c r="G762" s="3" t="s">
        <v>110</v>
      </c>
      <c r="H762" s="3">
        <v>1</v>
      </c>
      <c r="I762" s="7">
        <v>2958.1</v>
      </c>
      <c r="J762" s="9">
        <v>0.1</v>
      </c>
      <c r="K762" s="7">
        <v>2662.29</v>
      </c>
      <c r="L762" s="7">
        <v>815.62</v>
      </c>
      <c r="M762" s="3" t="s">
        <v>56</v>
      </c>
      <c r="N762" s="3" t="str">
        <f t="shared" si="44"/>
        <v>2024-08</v>
      </c>
      <c r="O762" s="3" t="str">
        <f t="shared" si="45"/>
        <v>1-10%</v>
      </c>
      <c r="P762" s="9">
        <f t="shared" si="46"/>
        <v>0.30636031386513113</v>
      </c>
      <c r="Q762" s="3" t="str">
        <f t="shared" si="47"/>
        <v>No</v>
      </c>
    </row>
    <row r="763" spans="1:17" ht="21" customHeight="1">
      <c r="A763" s="3" t="s">
        <v>1335</v>
      </c>
      <c r="B763" s="5">
        <v>45512</v>
      </c>
      <c r="C763" s="3" t="s">
        <v>343</v>
      </c>
      <c r="D763" s="3" t="s">
        <v>44</v>
      </c>
      <c r="E763" s="3" t="s">
        <v>40</v>
      </c>
      <c r="F763" s="3" t="s">
        <v>102</v>
      </c>
      <c r="G763" s="3" t="s">
        <v>103</v>
      </c>
      <c r="H763" s="3">
        <v>1</v>
      </c>
      <c r="I763" s="7">
        <v>6699.85</v>
      </c>
      <c r="J763" s="9">
        <v>0</v>
      </c>
      <c r="K763" s="7">
        <v>6699.85</v>
      </c>
      <c r="L763" s="7">
        <v>2173.1</v>
      </c>
      <c r="M763" s="3" t="s">
        <v>56</v>
      </c>
      <c r="N763" s="3" t="str">
        <f t="shared" si="44"/>
        <v>2024-08</v>
      </c>
      <c r="O763" s="3" t="str">
        <f t="shared" si="45"/>
        <v>No discount</v>
      </c>
      <c r="P763" s="9">
        <f t="shared" si="46"/>
        <v>0.32435054516145878</v>
      </c>
      <c r="Q763" s="3" t="str">
        <f t="shared" si="47"/>
        <v>No</v>
      </c>
    </row>
    <row r="764" spans="1:17" ht="21" customHeight="1">
      <c r="A764" s="3" t="s">
        <v>1336</v>
      </c>
      <c r="B764" s="5">
        <v>45512</v>
      </c>
      <c r="C764" s="3" t="s">
        <v>684</v>
      </c>
      <c r="D764" s="3" t="s">
        <v>45</v>
      </c>
      <c r="E764" s="3" t="s">
        <v>38</v>
      </c>
      <c r="F764" s="3" t="s">
        <v>142</v>
      </c>
      <c r="G764" s="3" t="s">
        <v>143</v>
      </c>
      <c r="H764" s="3">
        <v>2</v>
      </c>
      <c r="I764" s="7">
        <v>9203.9599999999991</v>
      </c>
      <c r="J764" s="9">
        <v>0.25</v>
      </c>
      <c r="K764" s="7">
        <v>13805.94</v>
      </c>
      <c r="L764" s="7">
        <v>-1248.21</v>
      </c>
      <c r="M764" s="3" t="s">
        <v>58</v>
      </c>
      <c r="N764" s="3" t="str">
        <f t="shared" si="44"/>
        <v>2024-08</v>
      </c>
      <c r="O764" s="3" t="str">
        <f t="shared" si="45"/>
        <v>21%+</v>
      </c>
      <c r="P764" s="9">
        <f t="shared" si="46"/>
        <v>-9.0411083924745436E-2</v>
      </c>
      <c r="Q764" s="3" t="str">
        <f t="shared" si="47"/>
        <v>Yes</v>
      </c>
    </row>
    <row r="765" spans="1:17" ht="21" customHeight="1">
      <c r="A765" s="3" t="s">
        <v>1337</v>
      </c>
      <c r="B765" s="5">
        <v>45512</v>
      </c>
      <c r="C765" s="3" t="s">
        <v>543</v>
      </c>
      <c r="D765" s="3" t="s">
        <v>44</v>
      </c>
      <c r="E765" s="3" t="s">
        <v>42</v>
      </c>
      <c r="F765" s="3" t="s">
        <v>126</v>
      </c>
      <c r="G765" s="3" t="s">
        <v>151</v>
      </c>
      <c r="H765" s="3">
        <v>3</v>
      </c>
      <c r="I765" s="7">
        <v>1537.45</v>
      </c>
      <c r="J765" s="9">
        <v>0.1</v>
      </c>
      <c r="K765" s="7">
        <v>4151.12</v>
      </c>
      <c r="L765" s="7">
        <v>1774.95</v>
      </c>
      <c r="M765" s="3" t="s">
        <v>58</v>
      </c>
      <c r="N765" s="3" t="str">
        <f t="shared" si="44"/>
        <v>2024-08</v>
      </c>
      <c r="O765" s="3" t="str">
        <f t="shared" si="45"/>
        <v>1-10%</v>
      </c>
      <c r="P765" s="9">
        <f t="shared" si="46"/>
        <v>0.42758339917901678</v>
      </c>
      <c r="Q765" s="3" t="str">
        <f t="shared" si="47"/>
        <v>No</v>
      </c>
    </row>
    <row r="766" spans="1:17" ht="21" customHeight="1">
      <c r="A766" s="3" t="s">
        <v>1338</v>
      </c>
      <c r="B766" s="5">
        <v>45512</v>
      </c>
      <c r="C766" s="3" t="s">
        <v>343</v>
      </c>
      <c r="D766" s="3" t="s">
        <v>47</v>
      </c>
      <c r="E766" s="3" t="s">
        <v>38</v>
      </c>
      <c r="F766" s="3" t="s">
        <v>94</v>
      </c>
      <c r="G766" s="3" t="s">
        <v>95</v>
      </c>
      <c r="H766" s="3">
        <v>1</v>
      </c>
      <c r="I766" s="7">
        <v>80501.100000000006</v>
      </c>
      <c r="J766" s="9">
        <v>0</v>
      </c>
      <c r="K766" s="7">
        <v>80501.100000000006</v>
      </c>
      <c r="L766" s="7">
        <v>15710.38</v>
      </c>
      <c r="M766" s="3" t="s">
        <v>56</v>
      </c>
      <c r="N766" s="3" t="str">
        <f t="shared" si="44"/>
        <v>2024-08</v>
      </c>
      <c r="O766" s="3" t="str">
        <f t="shared" si="45"/>
        <v>No discount</v>
      </c>
      <c r="P766" s="9">
        <f t="shared" si="46"/>
        <v>0.19515733325383128</v>
      </c>
      <c r="Q766" s="3" t="str">
        <f t="shared" si="47"/>
        <v>No</v>
      </c>
    </row>
    <row r="767" spans="1:17" ht="21" customHeight="1">
      <c r="A767" s="3" t="s">
        <v>1339</v>
      </c>
      <c r="B767" s="5">
        <v>45512</v>
      </c>
      <c r="C767" s="3" t="s">
        <v>1072</v>
      </c>
      <c r="D767" s="3" t="s">
        <v>46</v>
      </c>
      <c r="E767" s="3" t="s">
        <v>39</v>
      </c>
      <c r="F767" s="3" t="s">
        <v>164</v>
      </c>
      <c r="G767" s="3" t="s">
        <v>165</v>
      </c>
      <c r="H767" s="3">
        <v>1</v>
      </c>
      <c r="I767" s="7">
        <v>2016.01</v>
      </c>
      <c r="J767" s="9">
        <v>0.15</v>
      </c>
      <c r="K767" s="7">
        <v>1713.61</v>
      </c>
      <c r="L767" s="7">
        <v>466.14</v>
      </c>
      <c r="M767" s="3" t="s">
        <v>56</v>
      </c>
      <c r="N767" s="3" t="str">
        <f t="shared" si="44"/>
        <v>2024-08</v>
      </c>
      <c r="O767" s="3" t="str">
        <f t="shared" si="45"/>
        <v>11-15%</v>
      </c>
      <c r="P767" s="9">
        <f t="shared" si="46"/>
        <v>0.27202222209254151</v>
      </c>
      <c r="Q767" s="3" t="str">
        <f t="shared" si="47"/>
        <v>No</v>
      </c>
    </row>
    <row r="768" spans="1:17" ht="21" customHeight="1">
      <c r="A768" s="3" t="s">
        <v>1340</v>
      </c>
      <c r="B768" s="5">
        <v>45512</v>
      </c>
      <c r="C768" s="3" t="s">
        <v>1341</v>
      </c>
      <c r="D768" s="3" t="s">
        <v>47</v>
      </c>
      <c r="E768" s="3" t="s">
        <v>42</v>
      </c>
      <c r="F768" s="3" t="s">
        <v>90</v>
      </c>
      <c r="G768" s="3" t="s">
        <v>106</v>
      </c>
      <c r="H768" s="3">
        <v>4</v>
      </c>
      <c r="I768" s="7">
        <v>891.7</v>
      </c>
      <c r="J768" s="9">
        <v>0.15</v>
      </c>
      <c r="K768" s="7">
        <v>3031.78</v>
      </c>
      <c r="L768" s="7">
        <v>1078.42</v>
      </c>
      <c r="M768" s="3" t="s">
        <v>60</v>
      </c>
      <c r="N768" s="3" t="str">
        <f t="shared" si="44"/>
        <v>2024-08</v>
      </c>
      <c r="O768" s="3" t="str">
        <f t="shared" si="45"/>
        <v>11-15%</v>
      </c>
      <c r="P768" s="9">
        <f t="shared" si="46"/>
        <v>0.3557052292712532</v>
      </c>
      <c r="Q768" s="3" t="str">
        <f t="shared" si="47"/>
        <v>No</v>
      </c>
    </row>
    <row r="769" spans="1:17" ht="21" customHeight="1">
      <c r="A769" s="3" t="s">
        <v>1342</v>
      </c>
      <c r="B769" s="5">
        <v>45513</v>
      </c>
      <c r="C769" s="3" t="s">
        <v>1269</v>
      </c>
      <c r="D769" s="3" t="s">
        <v>44</v>
      </c>
      <c r="E769" s="3" t="s">
        <v>42</v>
      </c>
      <c r="F769" s="3" t="s">
        <v>90</v>
      </c>
      <c r="G769" s="3" t="s">
        <v>106</v>
      </c>
      <c r="H769" s="3">
        <v>2</v>
      </c>
      <c r="I769" s="7">
        <v>905.5</v>
      </c>
      <c r="J769" s="9">
        <v>0</v>
      </c>
      <c r="K769" s="7">
        <v>1811</v>
      </c>
      <c r="L769" s="7">
        <v>931.71</v>
      </c>
      <c r="M769" s="3" t="s">
        <v>56</v>
      </c>
      <c r="N769" s="3" t="str">
        <f t="shared" si="44"/>
        <v>2024-08</v>
      </c>
      <c r="O769" s="3" t="str">
        <f t="shared" si="45"/>
        <v>No discount</v>
      </c>
      <c r="P769" s="9">
        <f t="shared" si="46"/>
        <v>0.51447266703478745</v>
      </c>
      <c r="Q769" s="3" t="str">
        <f t="shared" si="47"/>
        <v>No</v>
      </c>
    </row>
    <row r="770" spans="1:17" ht="21" customHeight="1">
      <c r="A770" s="3" t="s">
        <v>1343</v>
      </c>
      <c r="B770" s="5">
        <v>45513</v>
      </c>
      <c r="C770" s="3" t="s">
        <v>312</v>
      </c>
      <c r="D770" s="3" t="s">
        <v>46</v>
      </c>
      <c r="E770" s="3" t="s">
        <v>41</v>
      </c>
      <c r="F770" s="3" t="s">
        <v>119</v>
      </c>
      <c r="G770" s="3" t="s">
        <v>120</v>
      </c>
      <c r="H770" s="3">
        <v>2</v>
      </c>
      <c r="I770" s="7">
        <v>1353.19</v>
      </c>
      <c r="J770" s="9">
        <v>0.15</v>
      </c>
      <c r="K770" s="7">
        <v>2300.42</v>
      </c>
      <c r="L770" s="7">
        <v>473.43</v>
      </c>
      <c r="M770" s="3" t="s">
        <v>57</v>
      </c>
      <c r="N770" s="3" t="str">
        <f t="shared" ref="N770:N833" si="48">TEXT(B770,"yyyy-mm")</f>
        <v>2024-08</v>
      </c>
      <c r="O770" s="3" t="str">
        <f t="shared" ref="O770:O833" si="49">IF(J770=0,"No discount",IF(J770&lt;=0.1,"1-10%",IF(J770&lt;=0.15,"11-15%",IF(J770&lt;=0.2,"16-20%","21%+"))))</f>
        <v>11-15%</v>
      </c>
      <c r="P770" s="9">
        <f t="shared" ref="P770:P833" si="50">IF(K770=0,0,L770/K770)</f>
        <v>0.20580154928230496</v>
      </c>
      <c r="Q770" s="3" t="str">
        <f t="shared" ref="Q770:Q833" si="51">IF(L770&lt;0,"Yes","No")</f>
        <v>No</v>
      </c>
    </row>
    <row r="771" spans="1:17" ht="21" customHeight="1">
      <c r="A771" s="3" t="s">
        <v>1344</v>
      </c>
      <c r="B771" s="5">
        <v>45513</v>
      </c>
      <c r="C771" s="3" t="s">
        <v>950</v>
      </c>
      <c r="D771" s="3" t="s">
        <v>46</v>
      </c>
      <c r="E771" s="3" t="s">
        <v>39</v>
      </c>
      <c r="F771" s="3" t="s">
        <v>109</v>
      </c>
      <c r="G771" s="3" t="s">
        <v>355</v>
      </c>
      <c r="H771" s="3">
        <v>1</v>
      </c>
      <c r="I771" s="7">
        <v>3520.54</v>
      </c>
      <c r="J771" s="9">
        <v>0.15</v>
      </c>
      <c r="K771" s="7">
        <v>2992.46</v>
      </c>
      <c r="L771" s="7">
        <v>825.89</v>
      </c>
      <c r="M771" s="3" t="s">
        <v>59</v>
      </c>
      <c r="N771" s="3" t="str">
        <f t="shared" si="48"/>
        <v>2024-08</v>
      </c>
      <c r="O771" s="3" t="str">
        <f t="shared" si="49"/>
        <v>11-15%</v>
      </c>
      <c r="P771" s="9">
        <f t="shared" si="50"/>
        <v>0.27599032234348997</v>
      </c>
      <c r="Q771" s="3" t="str">
        <f t="shared" si="51"/>
        <v>No</v>
      </c>
    </row>
    <row r="772" spans="1:17" ht="21" customHeight="1">
      <c r="A772" s="3" t="s">
        <v>1345</v>
      </c>
      <c r="B772" s="5">
        <v>45513</v>
      </c>
      <c r="C772" s="3" t="s">
        <v>402</v>
      </c>
      <c r="D772" s="3" t="s">
        <v>46</v>
      </c>
      <c r="E772" s="3" t="s">
        <v>39</v>
      </c>
      <c r="F772" s="3" t="s">
        <v>130</v>
      </c>
      <c r="G772" s="3" t="s">
        <v>131</v>
      </c>
      <c r="H772" s="3">
        <v>3</v>
      </c>
      <c r="I772" s="7">
        <v>2232.91</v>
      </c>
      <c r="J772" s="9">
        <v>0</v>
      </c>
      <c r="K772" s="7">
        <v>6698.73</v>
      </c>
      <c r="L772" s="7">
        <v>2831.22</v>
      </c>
      <c r="M772" s="3" t="s">
        <v>56</v>
      </c>
      <c r="N772" s="3" t="str">
        <f t="shared" si="48"/>
        <v>2024-08</v>
      </c>
      <c r="O772" s="3" t="str">
        <f t="shared" si="49"/>
        <v>No discount</v>
      </c>
      <c r="P772" s="9">
        <f t="shared" si="50"/>
        <v>0.42265026355742058</v>
      </c>
      <c r="Q772" s="3" t="str">
        <f t="shared" si="51"/>
        <v>No</v>
      </c>
    </row>
    <row r="773" spans="1:17" ht="21" customHeight="1">
      <c r="A773" s="3" t="s">
        <v>1346</v>
      </c>
      <c r="B773" s="5">
        <v>45514</v>
      </c>
      <c r="C773" s="3" t="s">
        <v>666</v>
      </c>
      <c r="D773" s="3" t="s">
        <v>45</v>
      </c>
      <c r="E773" s="3" t="s">
        <v>38</v>
      </c>
      <c r="F773" s="3" t="s">
        <v>142</v>
      </c>
      <c r="G773" s="3" t="s">
        <v>245</v>
      </c>
      <c r="H773" s="3">
        <v>1</v>
      </c>
      <c r="I773" s="7">
        <v>5063.03</v>
      </c>
      <c r="J773" s="9">
        <v>0.15</v>
      </c>
      <c r="K773" s="7">
        <v>4303.58</v>
      </c>
      <c r="L773" s="7">
        <v>-87.75</v>
      </c>
      <c r="M773" s="3" t="s">
        <v>57</v>
      </c>
      <c r="N773" s="3" t="str">
        <f t="shared" si="48"/>
        <v>2024-08</v>
      </c>
      <c r="O773" s="3" t="str">
        <f t="shared" si="49"/>
        <v>11-15%</v>
      </c>
      <c r="P773" s="9">
        <f t="shared" si="50"/>
        <v>-2.0390000882985794E-2</v>
      </c>
      <c r="Q773" s="3" t="str">
        <f t="shared" si="51"/>
        <v>Yes</v>
      </c>
    </row>
    <row r="774" spans="1:17" ht="21" customHeight="1">
      <c r="A774" s="3" t="s">
        <v>1347</v>
      </c>
      <c r="B774" s="5">
        <v>45515</v>
      </c>
      <c r="C774" s="3" t="s">
        <v>593</v>
      </c>
      <c r="D774" s="3" t="s">
        <v>46</v>
      </c>
      <c r="E774" s="3" t="s">
        <v>40</v>
      </c>
      <c r="F774" s="3" t="s">
        <v>160</v>
      </c>
      <c r="G774" s="3" t="s">
        <v>173</v>
      </c>
      <c r="H774" s="3">
        <v>1</v>
      </c>
      <c r="I774" s="7">
        <v>9141.15</v>
      </c>
      <c r="J774" s="9">
        <v>0</v>
      </c>
      <c r="K774" s="7">
        <v>9141.15</v>
      </c>
      <c r="L774" s="7">
        <v>2854.57</v>
      </c>
      <c r="M774" s="3" t="s">
        <v>56</v>
      </c>
      <c r="N774" s="3" t="str">
        <f t="shared" si="48"/>
        <v>2024-08</v>
      </c>
      <c r="O774" s="3" t="str">
        <f t="shared" si="49"/>
        <v>No discount</v>
      </c>
      <c r="P774" s="9">
        <f t="shared" si="50"/>
        <v>0.31227690170273986</v>
      </c>
      <c r="Q774" s="3" t="str">
        <f t="shared" si="51"/>
        <v>No</v>
      </c>
    </row>
    <row r="775" spans="1:17" ht="21" customHeight="1">
      <c r="A775" s="3" t="s">
        <v>1348</v>
      </c>
      <c r="B775" s="5">
        <v>45515</v>
      </c>
      <c r="C775" s="3" t="s">
        <v>935</v>
      </c>
      <c r="D775" s="3" t="s">
        <v>45</v>
      </c>
      <c r="E775" s="3" t="s">
        <v>40</v>
      </c>
      <c r="F775" s="3" t="s">
        <v>221</v>
      </c>
      <c r="G775" s="3" t="s">
        <v>279</v>
      </c>
      <c r="H775" s="3">
        <v>1</v>
      </c>
      <c r="I775" s="7">
        <v>1425.38</v>
      </c>
      <c r="J775" s="9">
        <v>0</v>
      </c>
      <c r="K775" s="7">
        <v>1425.38</v>
      </c>
      <c r="L775" s="7">
        <v>417.58</v>
      </c>
      <c r="M775" s="3" t="s">
        <v>57</v>
      </c>
      <c r="N775" s="3" t="str">
        <f t="shared" si="48"/>
        <v>2024-08</v>
      </c>
      <c r="O775" s="3" t="str">
        <f t="shared" si="49"/>
        <v>No discount</v>
      </c>
      <c r="P775" s="9">
        <f t="shared" si="50"/>
        <v>0.29296047369824185</v>
      </c>
      <c r="Q775" s="3" t="str">
        <f t="shared" si="51"/>
        <v>No</v>
      </c>
    </row>
    <row r="776" spans="1:17" ht="21" customHeight="1">
      <c r="A776" s="3" t="s">
        <v>1349</v>
      </c>
      <c r="B776" s="5">
        <v>45515</v>
      </c>
      <c r="C776" s="3" t="s">
        <v>1350</v>
      </c>
      <c r="D776" s="3" t="s">
        <v>46</v>
      </c>
      <c r="E776" s="3" t="s">
        <v>39</v>
      </c>
      <c r="F776" s="3" t="s">
        <v>130</v>
      </c>
      <c r="G776" s="3" t="s">
        <v>193</v>
      </c>
      <c r="H776" s="3">
        <v>1</v>
      </c>
      <c r="I776" s="7">
        <v>1888.22</v>
      </c>
      <c r="J776" s="9">
        <v>0.05</v>
      </c>
      <c r="K776" s="7">
        <v>1793.81</v>
      </c>
      <c r="L776" s="7">
        <v>588.91999999999996</v>
      </c>
      <c r="M776" s="3" t="s">
        <v>60</v>
      </c>
      <c r="N776" s="3" t="str">
        <f t="shared" si="48"/>
        <v>2024-08</v>
      </c>
      <c r="O776" s="3" t="str">
        <f t="shared" si="49"/>
        <v>1-10%</v>
      </c>
      <c r="P776" s="9">
        <f t="shared" si="50"/>
        <v>0.328306788344362</v>
      </c>
      <c r="Q776" s="3" t="str">
        <f t="shared" si="51"/>
        <v>No</v>
      </c>
    </row>
    <row r="777" spans="1:17" ht="21" customHeight="1">
      <c r="A777" s="3" t="s">
        <v>1351</v>
      </c>
      <c r="B777" s="5">
        <v>45515</v>
      </c>
      <c r="C777" s="3" t="s">
        <v>1037</v>
      </c>
      <c r="D777" s="3" t="s">
        <v>44</v>
      </c>
      <c r="E777" s="3" t="s">
        <v>42</v>
      </c>
      <c r="F777" s="3" t="s">
        <v>90</v>
      </c>
      <c r="G777" s="3" t="s">
        <v>106</v>
      </c>
      <c r="H777" s="3">
        <v>1</v>
      </c>
      <c r="I777" s="7">
        <v>860.58</v>
      </c>
      <c r="J777" s="9">
        <v>0.1</v>
      </c>
      <c r="K777" s="7">
        <v>774.52</v>
      </c>
      <c r="L777" s="7">
        <v>364.2</v>
      </c>
      <c r="M777" s="3" t="s">
        <v>60</v>
      </c>
      <c r="N777" s="3" t="str">
        <f t="shared" si="48"/>
        <v>2024-08</v>
      </c>
      <c r="O777" s="3" t="str">
        <f t="shared" si="49"/>
        <v>1-10%</v>
      </c>
      <c r="P777" s="9">
        <f t="shared" si="50"/>
        <v>0.47022672106595054</v>
      </c>
      <c r="Q777" s="3" t="str">
        <f t="shared" si="51"/>
        <v>No</v>
      </c>
    </row>
    <row r="778" spans="1:17" ht="21" customHeight="1">
      <c r="A778" s="3" t="s">
        <v>1352</v>
      </c>
      <c r="B778" s="5">
        <v>45515</v>
      </c>
      <c r="C778" s="3" t="s">
        <v>830</v>
      </c>
      <c r="D778" s="3" t="s">
        <v>44</v>
      </c>
      <c r="E778" s="3" t="s">
        <v>41</v>
      </c>
      <c r="F778" s="3" t="s">
        <v>113</v>
      </c>
      <c r="G778" s="3" t="s">
        <v>114</v>
      </c>
      <c r="H778" s="3">
        <v>1</v>
      </c>
      <c r="I778" s="7">
        <v>11688.99</v>
      </c>
      <c r="J778" s="9">
        <v>0.1</v>
      </c>
      <c r="K778" s="7">
        <v>10520.09</v>
      </c>
      <c r="L778" s="7">
        <v>2770.13</v>
      </c>
      <c r="M778" s="3" t="s">
        <v>57</v>
      </c>
      <c r="N778" s="3" t="str">
        <f t="shared" si="48"/>
        <v>2024-08</v>
      </c>
      <c r="O778" s="3" t="str">
        <f t="shared" si="49"/>
        <v>1-10%</v>
      </c>
      <c r="P778" s="9">
        <f t="shared" si="50"/>
        <v>0.26331808948402535</v>
      </c>
      <c r="Q778" s="3" t="str">
        <f t="shared" si="51"/>
        <v>No</v>
      </c>
    </row>
    <row r="779" spans="1:17" ht="21" customHeight="1">
      <c r="A779" s="3" t="s">
        <v>1353</v>
      </c>
      <c r="B779" s="5">
        <v>45516</v>
      </c>
      <c r="C779" s="3" t="s">
        <v>948</v>
      </c>
      <c r="D779" s="3" t="s">
        <v>45</v>
      </c>
      <c r="E779" s="3" t="s">
        <v>40</v>
      </c>
      <c r="F779" s="3" t="s">
        <v>160</v>
      </c>
      <c r="G779" s="3" t="s">
        <v>173</v>
      </c>
      <c r="H779" s="3">
        <v>2</v>
      </c>
      <c r="I779" s="7">
        <v>9116.01</v>
      </c>
      <c r="J779" s="9">
        <v>0.05</v>
      </c>
      <c r="K779" s="7">
        <v>17320.419999999998</v>
      </c>
      <c r="L779" s="7">
        <v>4855.3900000000003</v>
      </c>
      <c r="M779" s="3" t="s">
        <v>56</v>
      </c>
      <c r="N779" s="3" t="str">
        <f t="shared" si="48"/>
        <v>2024-08</v>
      </c>
      <c r="O779" s="3" t="str">
        <f t="shared" si="49"/>
        <v>1-10%</v>
      </c>
      <c r="P779" s="9">
        <f t="shared" si="50"/>
        <v>0.28032749783203875</v>
      </c>
      <c r="Q779" s="3" t="str">
        <f t="shared" si="51"/>
        <v>No</v>
      </c>
    </row>
    <row r="780" spans="1:17" ht="21" customHeight="1">
      <c r="A780" s="3" t="s">
        <v>1354</v>
      </c>
      <c r="B780" s="5">
        <v>45516</v>
      </c>
      <c r="C780" s="3" t="s">
        <v>1355</v>
      </c>
      <c r="D780" s="3" t="s">
        <v>44</v>
      </c>
      <c r="E780" s="3" t="s">
        <v>40</v>
      </c>
      <c r="F780" s="3" t="s">
        <v>160</v>
      </c>
      <c r="G780" s="3" t="s">
        <v>173</v>
      </c>
      <c r="H780" s="3">
        <v>3</v>
      </c>
      <c r="I780" s="7">
        <v>8688.5499999999993</v>
      </c>
      <c r="J780" s="9">
        <v>0</v>
      </c>
      <c r="K780" s="7">
        <v>26065.65</v>
      </c>
      <c r="L780" s="7">
        <v>9629.02</v>
      </c>
      <c r="M780" s="3" t="s">
        <v>56</v>
      </c>
      <c r="N780" s="3" t="str">
        <f t="shared" si="48"/>
        <v>2024-08</v>
      </c>
      <c r="O780" s="3" t="str">
        <f t="shared" si="49"/>
        <v>No discount</v>
      </c>
      <c r="P780" s="9">
        <f t="shared" si="50"/>
        <v>0.36941415234225888</v>
      </c>
      <c r="Q780" s="3" t="str">
        <f t="shared" si="51"/>
        <v>No</v>
      </c>
    </row>
    <row r="781" spans="1:17" ht="21" customHeight="1">
      <c r="A781" s="3" t="s">
        <v>1356</v>
      </c>
      <c r="B781" s="5">
        <v>45517</v>
      </c>
      <c r="C781" s="3" t="s">
        <v>1357</v>
      </c>
      <c r="D781" s="3" t="s">
        <v>46</v>
      </c>
      <c r="E781" s="3" t="s">
        <v>38</v>
      </c>
      <c r="F781" s="3" t="s">
        <v>94</v>
      </c>
      <c r="G781" s="3" t="s">
        <v>213</v>
      </c>
      <c r="H781" s="3">
        <v>2</v>
      </c>
      <c r="I781" s="7">
        <v>53656.95</v>
      </c>
      <c r="J781" s="9">
        <v>0</v>
      </c>
      <c r="K781" s="7">
        <v>107313.9</v>
      </c>
      <c r="L781" s="7">
        <v>15158.2</v>
      </c>
      <c r="M781" s="3" t="s">
        <v>59</v>
      </c>
      <c r="N781" s="3" t="str">
        <f t="shared" si="48"/>
        <v>2024-08</v>
      </c>
      <c r="O781" s="3" t="str">
        <f t="shared" si="49"/>
        <v>No discount</v>
      </c>
      <c r="P781" s="9">
        <f t="shared" si="50"/>
        <v>0.14125104017280149</v>
      </c>
      <c r="Q781" s="3" t="str">
        <f t="shared" si="51"/>
        <v>No</v>
      </c>
    </row>
    <row r="782" spans="1:17" ht="21" customHeight="1">
      <c r="A782" s="3" t="s">
        <v>1358</v>
      </c>
      <c r="B782" s="5">
        <v>45517</v>
      </c>
      <c r="C782" s="3" t="s">
        <v>925</v>
      </c>
      <c r="D782" s="3" t="s">
        <v>47</v>
      </c>
      <c r="E782" s="3" t="s">
        <v>41</v>
      </c>
      <c r="F782" s="3" t="s">
        <v>113</v>
      </c>
      <c r="G782" s="3" t="s">
        <v>123</v>
      </c>
      <c r="H782" s="3">
        <v>2</v>
      </c>
      <c r="I782" s="7">
        <v>3399.6</v>
      </c>
      <c r="J782" s="9">
        <v>0</v>
      </c>
      <c r="K782" s="7">
        <v>6799.2</v>
      </c>
      <c r="L782" s="7">
        <v>2617.23</v>
      </c>
      <c r="M782" s="3" t="s">
        <v>56</v>
      </c>
      <c r="N782" s="3" t="str">
        <f t="shared" si="48"/>
        <v>2024-08</v>
      </c>
      <c r="O782" s="3" t="str">
        <f t="shared" si="49"/>
        <v>No discount</v>
      </c>
      <c r="P782" s="9">
        <f t="shared" si="50"/>
        <v>0.38493205082950938</v>
      </c>
      <c r="Q782" s="3" t="str">
        <f t="shared" si="51"/>
        <v>No</v>
      </c>
    </row>
    <row r="783" spans="1:17" ht="21" customHeight="1">
      <c r="A783" s="3" t="s">
        <v>1359</v>
      </c>
      <c r="B783" s="5">
        <v>45517</v>
      </c>
      <c r="C783" s="3" t="s">
        <v>1360</v>
      </c>
      <c r="D783" s="3" t="s">
        <v>45</v>
      </c>
      <c r="E783" s="3" t="s">
        <v>42</v>
      </c>
      <c r="F783" s="3" t="s">
        <v>126</v>
      </c>
      <c r="G783" s="3" t="s">
        <v>127</v>
      </c>
      <c r="H783" s="3">
        <v>1</v>
      </c>
      <c r="I783" s="7">
        <v>963.25</v>
      </c>
      <c r="J783" s="9">
        <v>0</v>
      </c>
      <c r="K783" s="7">
        <v>963.25</v>
      </c>
      <c r="L783" s="7">
        <v>529.19000000000005</v>
      </c>
      <c r="M783" s="3" t="s">
        <v>56</v>
      </c>
      <c r="N783" s="3" t="str">
        <f t="shared" si="48"/>
        <v>2024-08</v>
      </c>
      <c r="O783" s="3" t="str">
        <f t="shared" si="49"/>
        <v>No discount</v>
      </c>
      <c r="P783" s="9">
        <f t="shared" si="50"/>
        <v>0.5493797041266546</v>
      </c>
      <c r="Q783" s="3" t="str">
        <f t="shared" si="51"/>
        <v>No</v>
      </c>
    </row>
    <row r="784" spans="1:17" ht="21" customHeight="1">
      <c r="A784" s="3" t="s">
        <v>1361</v>
      </c>
      <c r="B784" s="5">
        <v>45517</v>
      </c>
      <c r="C784" s="3" t="s">
        <v>1266</v>
      </c>
      <c r="D784" s="3" t="s">
        <v>46</v>
      </c>
      <c r="E784" s="3" t="s">
        <v>40</v>
      </c>
      <c r="F784" s="3" t="s">
        <v>221</v>
      </c>
      <c r="G784" s="3" t="s">
        <v>222</v>
      </c>
      <c r="H784" s="3">
        <v>1</v>
      </c>
      <c r="I784" s="7">
        <v>976.87</v>
      </c>
      <c r="J784" s="9">
        <v>0.05</v>
      </c>
      <c r="K784" s="7">
        <v>928.03</v>
      </c>
      <c r="L784" s="7">
        <v>239.62</v>
      </c>
      <c r="M784" s="3" t="s">
        <v>56</v>
      </c>
      <c r="N784" s="3" t="str">
        <f t="shared" si="48"/>
        <v>2024-08</v>
      </c>
      <c r="O784" s="3" t="str">
        <f t="shared" si="49"/>
        <v>1-10%</v>
      </c>
      <c r="P784" s="9">
        <f t="shared" si="50"/>
        <v>0.258202859821342</v>
      </c>
      <c r="Q784" s="3" t="str">
        <f t="shared" si="51"/>
        <v>No</v>
      </c>
    </row>
    <row r="785" spans="1:17" ht="21" customHeight="1">
      <c r="A785" s="3" t="s">
        <v>1362</v>
      </c>
      <c r="B785" s="5">
        <v>45517</v>
      </c>
      <c r="C785" s="3" t="s">
        <v>281</v>
      </c>
      <c r="D785" s="3" t="s">
        <v>47</v>
      </c>
      <c r="E785" s="3" t="s">
        <v>42</v>
      </c>
      <c r="F785" s="3" t="s">
        <v>126</v>
      </c>
      <c r="G785" s="3" t="s">
        <v>151</v>
      </c>
      <c r="H785" s="3">
        <v>4</v>
      </c>
      <c r="I785" s="7">
        <v>1539.34</v>
      </c>
      <c r="J785" s="9">
        <v>0.4</v>
      </c>
      <c r="K785" s="7">
        <v>3694.42</v>
      </c>
      <c r="L785" s="7">
        <v>435</v>
      </c>
      <c r="M785" s="3" t="s">
        <v>59</v>
      </c>
      <c r="N785" s="3" t="str">
        <f t="shared" si="48"/>
        <v>2024-08</v>
      </c>
      <c r="O785" s="3" t="str">
        <f t="shared" si="49"/>
        <v>21%+</v>
      </c>
      <c r="P785" s="9">
        <f t="shared" si="50"/>
        <v>0.11774513996784339</v>
      </c>
      <c r="Q785" s="3" t="str">
        <f t="shared" si="51"/>
        <v>No</v>
      </c>
    </row>
    <row r="786" spans="1:17" ht="21" customHeight="1">
      <c r="A786" s="3" t="s">
        <v>1363</v>
      </c>
      <c r="B786" s="5">
        <v>45517</v>
      </c>
      <c r="C786" s="3" t="s">
        <v>502</v>
      </c>
      <c r="D786" s="3" t="s">
        <v>44</v>
      </c>
      <c r="E786" s="3" t="s">
        <v>42</v>
      </c>
      <c r="F786" s="3" t="s">
        <v>126</v>
      </c>
      <c r="G786" s="3" t="s">
        <v>151</v>
      </c>
      <c r="H786" s="3">
        <v>4</v>
      </c>
      <c r="I786" s="7">
        <v>1506.68</v>
      </c>
      <c r="J786" s="9">
        <v>0</v>
      </c>
      <c r="K786" s="7">
        <v>6026.72</v>
      </c>
      <c r="L786" s="7">
        <v>3449.41</v>
      </c>
      <c r="M786" s="3" t="s">
        <v>56</v>
      </c>
      <c r="N786" s="3" t="str">
        <f t="shared" si="48"/>
        <v>2024-08</v>
      </c>
      <c r="O786" s="3" t="str">
        <f t="shared" si="49"/>
        <v>No discount</v>
      </c>
      <c r="P786" s="9">
        <f t="shared" si="50"/>
        <v>0.57235278891337238</v>
      </c>
      <c r="Q786" s="3" t="str">
        <f t="shared" si="51"/>
        <v>No</v>
      </c>
    </row>
    <row r="787" spans="1:17" ht="21" customHeight="1">
      <c r="A787" s="3" t="s">
        <v>1364</v>
      </c>
      <c r="B787" s="5">
        <v>45518</v>
      </c>
      <c r="C787" s="3" t="s">
        <v>1365</v>
      </c>
      <c r="D787" s="3" t="s">
        <v>46</v>
      </c>
      <c r="E787" s="3" t="s">
        <v>42</v>
      </c>
      <c r="F787" s="3" t="s">
        <v>126</v>
      </c>
      <c r="G787" s="3" t="s">
        <v>127</v>
      </c>
      <c r="H787" s="3">
        <v>2</v>
      </c>
      <c r="I787" s="7">
        <v>1015.13</v>
      </c>
      <c r="J787" s="9">
        <v>0.1</v>
      </c>
      <c r="K787" s="7">
        <v>1827.23</v>
      </c>
      <c r="L787" s="7">
        <v>805.47</v>
      </c>
      <c r="M787" s="3" t="s">
        <v>56</v>
      </c>
      <c r="N787" s="3" t="str">
        <f t="shared" si="48"/>
        <v>2024-08</v>
      </c>
      <c r="O787" s="3" t="str">
        <f t="shared" si="49"/>
        <v>1-10%</v>
      </c>
      <c r="P787" s="9">
        <f t="shared" si="50"/>
        <v>0.44081478522134598</v>
      </c>
      <c r="Q787" s="3" t="str">
        <f t="shared" si="51"/>
        <v>No</v>
      </c>
    </row>
    <row r="788" spans="1:17" ht="21" customHeight="1">
      <c r="A788" s="3" t="s">
        <v>1366</v>
      </c>
      <c r="B788" s="5">
        <v>45518</v>
      </c>
      <c r="C788" s="3" t="s">
        <v>1367</v>
      </c>
      <c r="D788" s="3" t="s">
        <v>47</v>
      </c>
      <c r="E788" s="3" t="s">
        <v>40</v>
      </c>
      <c r="F788" s="3" t="s">
        <v>221</v>
      </c>
      <c r="G788" s="3" t="s">
        <v>222</v>
      </c>
      <c r="H788" s="3">
        <v>1</v>
      </c>
      <c r="I788" s="7">
        <v>1024.3499999999999</v>
      </c>
      <c r="J788" s="9">
        <v>0.3</v>
      </c>
      <c r="K788" s="7">
        <v>717.04</v>
      </c>
      <c r="L788" s="7">
        <v>10.74</v>
      </c>
      <c r="M788" s="3" t="s">
        <v>56</v>
      </c>
      <c r="N788" s="3" t="str">
        <f t="shared" si="48"/>
        <v>2024-08</v>
      </c>
      <c r="O788" s="3" t="str">
        <f t="shared" si="49"/>
        <v>21%+</v>
      </c>
      <c r="P788" s="9">
        <f t="shared" si="50"/>
        <v>1.4978243891554168E-2</v>
      </c>
      <c r="Q788" s="3" t="str">
        <f t="shared" si="51"/>
        <v>No</v>
      </c>
    </row>
    <row r="789" spans="1:17" ht="21" customHeight="1">
      <c r="A789" s="3" t="s">
        <v>1368</v>
      </c>
      <c r="B789" s="5">
        <v>45519</v>
      </c>
      <c r="C789" s="3" t="s">
        <v>1109</v>
      </c>
      <c r="D789" s="3" t="s">
        <v>46</v>
      </c>
      <c r="E789" s="3" t="s">
        <v>38</v>
      </c>
      <c r="F789" s="3" t="s">
        <v>94</v>
      </c>
      <c r="G789" s="3" t="s">
        <v>95</v>
      </c>
      <c r="H789" s="3">
        <v>2</v>
      </c>
      <c r="I789" s="7">
        <v>75797.37</v>
      </c>
      <c r="J789" s="9">
        <v>0.1</v>
      </c>
      <c r="K789" s="7">
        <v>136435.26999999999</v>
      </c>
      <c r="L789" s="7">
        <v>4523.18</v>
      </c>
      <c r="M789" s="3" t="s">
        <v>56</v>
      </c>
      <c r="N789" s="3" t="str">
        <f t="shared" si="48"/>
        <v>2024-08</v>
      </c>
      <c r="O789" s="3" t="str">
        <f t="shared" si="49"/>
        <v>1-10%</v>
      </c>
      <c r="P789" s="9">
        <f t="shared" si="50"/>
        <v>3.3152571178992063E-2</v>
      </c>
      <c r="Q789" s="3" t="str">
        <f t="shared" si="51"/>
        <v>No</v>
      </c>
    </row>
    <row r="790" spans="1:17" ht="21" customHeight="1">
      <c r="A790" s="3" t="s">
        <v>1369</v>
      </c>
      <c r="B790" s="5">
        <v>45519</v>
      </c>
      <c r="C790" s="3" t="s">
        <v>89</v>
      </c>
      <c r="D790" s="3" t="s">
        <v>47</v>
      </c>
      <c r="E790" s="3" t="s">
        <v>40</v>
      </c>
      <c r="F790" s="3" t="s">
        <v>221</v>
      </c>
      <c r="G790" s="3" t="s">
        <v>279</v>
      </c>
      <c r="H790" s="3">
        <v>1</v>
      </c>
      <c r="I790" s="7">
        <v>1561.61</v>
      </c>
      <c r="J790" s="9">
        <v>0</v>
      </c>
      <c r="K790" s="7">
        <v>1561.61</v>
      </c>
      <c r="L790" s="7">
        <v>576.34</v>
      </c>
      <c r="M790" s="3" t="s">
        <v>57</v>
      </c>
      <c r="N790" s="3" t="str">
        <f t="shared" si="48"/>
        <v>2024-08</v>
      </c>
      <c r="O790" s="3" t="str">
        <f t="shared" si="49"/>
        <v>No discount</v>
      </c>
      <c r="P790" s="9">
        <f t="shared" si="50"/>
        <v>0.36906782103085922</v>
      </c>
      <c r="Q790" s="3" t="str">
        <f t="shared" si="51"/>
        <v>No</v>
      </c>
    </row>
    <row r="791" spans="1:17" ht="21" customHeight="1">
      <c r="A791" s="3" t="s">
        <v>1370</v>
      </c>
      <c r="B791" s="5">
        <v>45519</v>
      </c>
      <c r="C791" s="3" t="s">
        <v>839</v>
      </c>
      <c r="D791" s="3" t="s">
        <v>45</v>
      </c>
      <c r="E791" s="3" t="s">
        <v>39</v>
      </c>
      <c r="F791" s="3" t="s">
        <v>130</v>
      </c>
      <c r="G791" s="3" t="s">
        <v>131</v>
      </c>
      <c r="H791" s="3">
        <v>1</v>
      </c>
      <c r="I791" s="7">
        <v>2238.4299999999998</v>
      </c>
      <c r="J791" s="9">
        <v>0.05</v>
      </c>
      <c r="K791" s="7">
        <v>2126.5100000000002</v>
      </c>
      <c r="L791" s="7">
        <v>821.31</v>
      </c>
      <c r="M791" s="3" t="s">
        <v>57</v>
      </c>
      <c r="N791" s="3" t="str">
        <f t="shared" si="48"/>
        <v>2024-08</v>
      </c>
      <c r="O791" s="3" t="str">
        <f t="shared" si="49"/>
        <v>1-10%</v>
      </c>
      <c r="P791" s="9">
        <f t="shared" si="50"/>
        <v>0.38622437703090973</v>
      </c>
      <c r="Q791" s="3" t="str">
        <f t="shared" si="51"/>
        <v>No</v>
      </c>
    </row>
    <row r="792" spans="1:17" ht="21" customHeight="1">
      <c r="A792" s="3" t="s">
        <v>1371</v>
      </c>
      <c r="B792" s="5">
        <v>45519</v>
      </c>
      <c r="C792" s="3" t="s">
        <v>1372</v>
      </c>
      <c r="D792" s="3" t="s">
        <v>47</v>
      </c>
      <c r="E792" s="3" t="s">
        <v>40</v>
      </c>
      <c r="F792" s="3" t="s">
        <v>221</v>
      </c>
      <c r="G792" s="3" t="s">
        <v>222</v>
      </c>
      <c r="H792" s="3">
        <v>1</v>
      </c>
      <c r="I792" s="7">
        <v>1020.65</v>
      </c>
      <c r="J792" s="9">
        <v>0.1</v>
      </c>
      <c r="K792" s="7">
        <v>918.59</v>
      </c>
      <c r="L792" s="7">
        <v>171.34</v>
      </c>
      <c r="M792" s="3" t="s">
        <v>57</v>
      </c>
      <c r="N792" s="3" t="str">
        <f t="shared" si="48"/>
        <v>2024-08</v>
      </c>
      <c r="O792" s="3" t="str">
        <f t="shared" si="49"/>
        <v>1-10%</v>
      </c>
      <c r="P792" s="9">
        <f t="shared" si="50"/>
        <v>0.18652500027215624</v>
      </c>
      <c r="Q792" s="3" t="str">
        <f t="shared" si="51"/>
        <v>No</v>
      </c>
    </row>
    <row r="793" spans="1:17" ht="21" customHeight="1">
      <c r="A793" s="3" t="s">
        <v>1373</v>
      </c>
      <c r="B793" s="5">
        <v>45519</v>
      </c>
      <c r="C793" s="3" t="s">
        <v>711</v>
      </c>
      <c r="D793" s="3" t="s">
        <v>47</v>
      </c>
      <c r="E793" s="3" t="s">
        <v>41</v>
      </c>
      <c r="F793" s="3" t="s">
        <v>113</v>
      </c>
      <c r="G793" s="3" t="s">
        <v>114</v>
      </c>
      <c r="H793" s="3">
        <v>1</v>
      </c>
      <c r="I793" s="7">
        <v>11469.32</v>
      </c>
      <c r="J793" s="9">
        <v>0</v>
      </c>
      <c r="K793" s="7">
        <v>11469.32</v>
      </c>
      <c r="L793" s="7">
        <v>4026.14</v>
      </c>
      <c r="M793" s="3" t="s">
        <v>58</v>
      </c>
      <c r="N793" s="3" t="str">
        <f t="shared" si="48"/>
        <v>2024-08</v>
      </c>
      <c r="O793" s="3" t="str">
        <f t="shared" si="49"/>
        <v>No discount</v>
      </c>
      <c r="P793" s="9">
        <f t="shared" si="50"/>
        <v>0.35103563245249064</v>
      </c>
      <c r="Q793" s="3" t="str">
        <f t="shared" si="51"/>
        <v>No</v>
      </c>
    </row>
    <row r="794" spans="1:17" ht="21" customHeight="1">
      <c r="A794" s="3" t="s">
        <v>1374</v>
      </c>
      <c r="B794" s="5">
        <v>45519</v>
      </c>
      <c r="C794" s="3" t="s">
        <v>387</v>
      </c>
      <c r="D794" s="3" t="s">
        <v>47</v>
      </c>
      <c r="E794" s="3" t="s">
        <v>42</v>
      </c>
      <c r="F794" s="3" t="s">
        <v>90</v>
      </c>
      <c r="G794" s="3" t="s">
        <v>106</v>
      </c>
      <c r="H794" s="3">
        <v>1</v>
      </c>
      <c r="I794" s="7">
        <v>922.2</v>
      </c>
      <c r="J794" s="9">
        <v>0</v>
      </c>
      <c r="K794" s="7">
        <v>922.2</v>
      </c>
      <c r="L794" s="7">
        <v>483.62</v>
      </c>
      <c r="M794" s="3" t="s">
        <v>56</v>
      </c>
      <c r="N794" s="3" t="str">
        <f t="shared" si="48"/>
        <v>2024-08</v>
      </c>
      <c r="O794" s="3" t="str">
        <f t="shared" si="49"/>
        <v>No discount</v>
      </c>
      <c r="P794" s="9">
        <f t="shared" si="50"/>
        <v>0.52441986553892861</v>
      </c>
      <c r="Q794" s="3" t="str">
        <f t="shared" si="51"/>
        <v>No</v>
      </c>
    </row>
    <row r="795" spans="1:17" ht="21" customHeight="1">
      <c r="A795" s="3" t="s">
        <v>1375</v>
      </c>
      <c r="B795" s="5">
        <v>45519</v>
      </c>
      <c r="C795" s="3" t="s">
        <v>1376</v>
      </c>
      <c r="D795" s="3" t="s">
        <v>44</v>
      </c>
      <c r="E795" s="3" t="s">
        <v>42</v>
      </c>
      <c r="F795" s="3" t="s">
        <v>90</v>
      </c>
      <c r="G795" s="3" t="s">
        <v>106</v>
      </c>
      <c r="H795" s="3">
        <v>1</v>
      </c>
      <c r="I795" s="7">
        <v>909.71</v>
      </c>
      <c r="J795" s="9">
        <v>0</v>
      </c>
      <c r="K795" s="7">
        <v>909.71</v>
      </c>
      <c r="L795" s="7">
        <v>473.74</v>
      </c>
      <c r="M795" s="3" t="s">
        <v>57</v>
      </c>
      <c r="N795" s="3" t="str">
        <f t="shared" si="48"/>
        <v>2024-08</v>
      </c>
      <c r="O795" s="3" t="str">
        <f t="shared" si="49"/>
        <v>No discount</v>
      </c>
      <c r="P795" s="9">
        <f t="shared" si="50"/>
        <v>0.52075936287388291</v>
      </c>
      <c r="Q795" s="3" t="str">
        <f t="shared" si="51"/>
        <v>No</v>
      </c>
    </row>
    <row r="796" spans="1:17" ht="21" customHeight="1">
      <c r="A796" s="3" t="s">
        <v>1377</v>
      </c>
      <c r="B796" s="5">
        <v>45519</v>
      </c>
      <c r="C796" s="3" t="s">
        <v>533</v>
      </c>
      <c r="D796" s="3" t="s">
        <v>46</v>
      </c>
      <c r="E796" s="3" t="s">
        <v>40</v>
      </c>
      <c r="F796" s="3" t="s">
        <v>221</v>
      </c>
      <c r="G796" s="3" t="s">
        <v>279</v>
      </c>
      <c r="H796" s="3">
        <v>1</v>
      </c>
      <c r="I796" s="7">
        <v>1436.49</v>
      </c>
      <c r="J796" s="9">
        <v>0.1</v>
      </c>
      <c r="K796" s="7">
        <v>1292.8399999999999</v>
      </c>
      <c r="L796" s="7">
        <v>315.08999999999997</v>
      </c>
      <c r="M796" s="3" t="s">
        <v>56</v>
      </c>
      <c r="N796" s="3" t="str">
        <f t="shared" si="48"/>
        <v>2024-08</v>
      </c>
      <c r="O796" s="3" t="str">
        <f t="shared" si="49"/>
        <v>1-10%</v>
      </c>
      <c r="P796" s="9">
        <f t="shared" si="50"/>
        <v>0.24371925373596112</v>
      </c>
      <c r="Q796" s="3" t="str">
        <f t="shared" si="51"/>
        <v>No</v>
      </c>
    </row>
    <row r="797" spans="1:17" ht="21" customHeight="1">
      <c r="A797" s="3" t="s">
        <v>1378</v>
      </c>
      <c r="B797" s="5">
        <v>45519</v>
      </c>
      <c r="C797" s="3" t="s">
        <v>1232</v>
      </c>
      <c r="D797" s="3" t="s">
        <v>46</v>
      </c>
      <c r="E797" s="3" t="s">
        <v>40</v>
      </c>
      <c r="F797" s="3" t="s">
        <v>160</v>
      </c>
      <c r="G797" s="3" t="s">
        <v>161</v>
      </c>
      <c r="H797" s="3">
        <v>4</v>
      </c>
      <c r="I797" s="7">
        <v>12971.69</v>
      </c>
      <c r="J797" s="9">
        <v>0.05</v>
      </c>
      <c r="K797" s="7">
        <v>49292.42</v>
      </c>
      <c r="L797" s="7">
        <v>12975.73</v>
      </c>
      <c r="M797" s="3" t="s">
        <v>58</v>
      </c>
      <c r="N797" s="3" t="str">
        <f t="shared" si="48"/>
        <v>2024-08</v>
      </c>
      <c r="O797" s="3" t="str">
        <f t="shared" si="49"/>
        <v>1-10%</v>
      </c>
      <c r="P797" s="9">
        <f t="shared" si="50"/>
        <v>0.26323986527746052</v>
      </c>
      <c r="Q797" s="3" t="str">
        <f t="shared" si="51"/>
        <v>No</v>
      </c>
    </row>
    <row r="798" spans="1:17" ht="21" customHeight="1">
      <c r="A798" s="3" t="s">
        <v>1379</v>
      </c>
      <c r="B798" s="5">
        <v>45520</v>
      </c>
      <c r="C798" s="3" t="s">
        <v>533</v>
      </c>
      <c r="D798" s="3" t="s">
        <v>47</v>
      </c>
      <c r="E798" s="3" t="s">
        <v>42</v>
      </c>
      <c r="F798" s="3" t="s">
        <v>126</v>
      </c>
      <c r="G798" s="3" t="s">
        <v>151</v>
      </c>
      <c r="H798" s="3">
        <v>3</v>
      </c>
      <c r="I798" s="7">
        <v>1497.75</v>
      </c>
      <c r="J798" s="9">
        <v>0</v>
      </c>
      <c r="K798" s="7">
        <v>4493.25</v>
      </c>
      <c r="L798" s="7">
        <v>2378.15</v>
      </c>
      <c r="M798" s="3" t="s">
        <v>56</v>
      </c>
      <c r="N798" s="3" t="str">
        <f t="shared" si="48"/>
        <v>2024-08</v>
      </c>
      <c r="O798" s="3" t="str">
        <f t="shared" si="49"/>
        <v>No discount</v>
      </c>
      <c r="P798" s="9">
        <f t="shared" si="50"/>
        <v>0.52927168530573643</v>
      </c>
      <c r="Q798" s="3" t="str">
        <f t="shared" si="51"/>
        <v>No</v>
      </c>
    </row>
    <row r="799" spans="1:17" ht="21" customHeight="1">
      <c r="A799" s="3" t="s">
        <v>1380</v>
      </c>
      <c r="B799" s="5">
        <v>45520</v>
      </c>
      <c r="C799" s="3" t="s">
        <v>1381</v>
      </c>
      <c r="D799" s="3" t="s">
        <v>45</v>
      </c>
      <c r="E799" s="3" t="s">
        <v>39</v>
      </c>
      <c r="F799" s="3" t="s">
        <v>109</v>
      </c>
      <c r="G799" s="3" t="s">
        <v>110</v>
      </c>
      <c r="H799" s="3">
        <v>2</v>
      </c>
      <c r="I799" s="7">
        <v>3064.21</v>
      </c>
      <c r="J799" s="9">
        <v>0.05</v>
      </c>
      <c r="K799" s="7">
        <v>5822</v>
      </c>
      <c r="L799" s="7">
        <v>2220.4</v>
      </c>
      <c r="M799" s="3" t="s">
        <v>57</v>
      </c>
      <c r="N799" s="3" t="str">
        <f t="shared" si="48"/>
        <v>2024-08</v>
      </c>
      <c r="O799" s="3" t="str">
        <f t="shared" si="49"/>
        <v>1-10%</v>
      </c>
      <c r="P799" s="9">
        <f t="shared" si="50"/>
        <v>0.38138096873926486</v>
      </c>
      <c r="Q799" s="3" t="str">
        <f t="shared" si="51"/>
        <v>No</v>
      </c>
    </row>
    <row r="800" spans="1:17" ht="21" customHeight="1">
      <c r="A800" s="3" t="s">
        <v>1382</v>
      </c>
      <c r="B800" s="5">
        <v>45520</v>
      </c>
      <c r="C800" s="3" t="s">
        <v>163</v>
      </c>
      <c r="D800" s="3" t="s">
        <v>46</v>
      </c>
      <c r="E800" s="3" t="s">
        <v>41</v>
      </c>
      <c r="F800" s="3" t="s">
        <v>119</v>
      </c>
      <c r="G800" s="3" t="s">
        <v>168</v>
      </c>
      <c r="H800" s="3">
        <v>1</v>
      </c>
      <c r="I800" s="7">
        <v>9887.81</v>
      </c>
      <c r="J800" s="9">
        <v>0.05</v>
      </c>
      <c r="K800" s="7">
        <v>9393.42</v>
      </c>
      <c r="L800" s="7">
        <v>3060.33</v>
      </c>
      <c r="M800" s="3" t="s">
        <v>56</v>
      </c>
      <c r="N800" s="3" t="str">
        <f t="shared" si="48"/>
        <v>2024-08</v>
      </c>
      <c r="O800" s="3" t="str">
        <f t="shared" si="49"/>
        <v>1-10%</v>
      </c>
      <c r="P800" s="9">
        <f t="shared" si="50"/>
        <v>0.32579507783107747</v>
      </c>
      <c r="Q800" s="3" t="str">
        <f t="shared" si="51"/>
        <v>No</v>
      </c>
    </row>
    <row r="801" spans="1:17" ht="21" customHeight="1">
      <c r="A801" s="3" t="s">
        <v>1383</v>
      </c>
      <c r="B801" s="5">
        <v>45520</v>
      </c>
      <c r="C801" s="3" t="s">
        <v>1384</v>
      </c>
      <c r="D801" s="3" t="s">
        <v>44</v>
      </c>
      <c r="E801" s="3" t="s">
        <v>39</v>
      </c>
      <c r="F801" s="3" t="s">
        <v>130</v>
      </c>
      <c r="G801" s="3" t="s">
        <v>193</v>
      </c>
      <c r="H801" s="3">
        <v>2</v>
      </c>
      <c r="I801" s="7">
        <v>1782.42</v>
      </c>
      <c r="J801" s="9">
        <v>0.05</v>
      </c>
      <c r="K801" s="7">
        <v>3386.6</v>
      </c>
      <c r="L801" s="7">
        <v>1097.21</v>
      </c>
      <c r="M801" s="3" t="s">
        <v>59</v>
      </c>
      <c r="N801" s="3" t="str">
        <f t="shared" si="48"/>
        <v>2024-08</v>
      </c>
      <c r="O801" s="3" t="str">
        <f t="shared" si="49"/>
        <v>1-10%</v>
      </c>
      <c r="P801" s="9">
        <f t="shared" si="50"/>
        <v>0.32398570838008622</v>
      </c>
      <c r="Q801" s="3" t="str">
        <f t="shared" si="51"/>
        <v>No</v>
      </c>
    </row>
    <row r="802" spans="1:17" ht="21" customHeight="1">
      <c r="A802" s="3" t="s">
        <v>1385</v>
      </c>
      <c r="B802" s="5">
        <v>45521</v>
      </c>
      <c r="C802" s="3" t="s">
        <v>456</v>
      </c>
      <c r="D802" s="3" t="s">
        <v>46</v>
      </c>
      <c r="E802" s="3" t="s">
        <v>40</v>
      </c>
      <c r="F802" s="3" t="s">
        <v>221</v>
      </c>
      <c r="G802" s="3" t="s">
        <v>279</v>
      </c>
      <c r="H802" s="3">
        <v>1</v>
      </c>
      <c r="I802" s="7">
        <v>1429.35</v>
      </c>
      <c r="J802" s="9">
        <v>0.3</v>
      </c>
      <c r="K802" s="7">
        <v>1000.54</v>
      </c>
      <c r="L802" s="7">
        <v>9.25</v>
      </c>
      <c r="M802" s="3" t="s">
        <v>57</v>
      </c>
      <c r="N802" s="3" t="str">
        <f t="shared" si="48"/>
        <v>2024-08</v>
      </c>
      <c r="O802" s="3" t="str">
        <f t="shared" si="49"/>
        <v>21%+</v>
      </c>
      <c r="P802" s="9">
        <f t="shared" si="50"/>
        <v>9.2450076958442446E-3</v>
      </c>
      <c r="Q802" s="3" t="str">
        <f t="shared" si="51"/>
        <v>No</v>
      </c>
    </row>
    <row r="803" spans="1:17" ht="21" customHeight="1">
      <c r="A803" s="3" t="s">
        <v>1386</v>
      </c>
      <c r="B803" s="5">
        <v>45521</v>
      </c>
      <c r="C803" s="3" t="s">
        <v>1387</v>
      </c>
      <c r="D803" s="3" t="s">
        <v>47</v>
      </c>
      <c r="E803" s="3" t="s">
        <v>40</v>
      </c>
      <c r="F803" s="3" t="s">
        <v>160</v>
      </c>
      <c r="G803" s="3" t="s">
        <v>173</v>
      </c>
      <c r="H803" s="3">
        <v>3</v>
      </c>
      <c r="I803" s="7">
        <v>8922.06</v>
      </c>
      <c r="J803" s="9">
        <v>0</v>
      </c>
      <c r="K803" s="7">
        <v>26766.18</v>
      </c>
      <c r="L803" s="7">
        <v>8151.67</v>
      </c>
      <c r="M803" s="3" t="s">
        <v>60</v>
      </c>
      <c r="N803" s="3" t="str">
        <f t="shared" si="48"/>
        <v>2024-08</v>
      </c>
      <c r="O803" s="3" t="str">
        <f t="shared" si="49"/>
        <v>No discount</v>
      </c>
      <c r="P803" s="9">
        <f t="shared" si="50"/>
        <v>0.30455111637148075</v>
      </c>
      <c r="Q803" s="3" t="str">
        <f t="shared" si="51"/>
        <v>No</v>
      </c>
    </row>
    <row r="804" spans="1:17" ht="21" customHeight="1">
      <c r="A804" s="3" t="s">
        <v>1388</v>
      </c>
      <c r="B804" s="5">
        <v>45521</v>
      </c>
      <c r="C804" s="3" t="s">
        <v>1301</v>
      </c>
      <c r="D804" s="3" t="s">
        <v>45</v>
      </c>
      <c r="E804" s="3" t="s">
        <v>38</v>
      </c>
      <c r="F804" s="3" t="s">
        <v>94</v>
      </c>
      <c r="G804" s="3" t="s">
        <v>95</v>
      </c>
      <c r="H804" s="3">
        <v>3</v>
      </c>
      <c r="I804" s="7">
        <v>76010.61</v>
      </c>
      <c r="J804" s="9">
        <v>0.05</v>
      </c>
      <c r="K804" s="7">
        <v>216630.24</v>
      </c>
      <c r="L804" s="7">
        <v>26854.27</v>
      </c>
      <c r="M804" s="3" t="s">
        <v>57</v>
      </c>
      <c r="N804" s="3" t="str">
        <f t="shared" si="48"/>
        <v>2024-08</v>
      </c>
      <c r="O804" s="3" t="str">
        <f t="shared" si="49"/>
        <v>1-10%</v>
      </c>
      <c r="P804" s="9">
        <f t="shared" si="50"/>
        <v>0.1239636257615742</v>
      </c>
      <c r="Q804" s="3" t="str">
        <f t="shared" si="51"/>
        <v>No</v>
      </c>
    </row>
    <row r="805" spans="1:17" ht="21" customHeight="1">
      <c r="A805" s="3" t="s">
        <v>1389</v>
      </c>
      <c r="B805" s="5">
        <v>45521</v>
      </c>
      <c r="C805" s="3" t="s">
        <v>186</v>
      </c>
      <c r="D805" s="3" t="s">
        <v>47</v>
      </c>
      <c r="E805" s="3" t="s">
        <v>42</v>
      </c>
      <c r="F805" s="3" t="s">
        <v>90</v>
      </c>
      <c r="G805" s="3" t="s">
        <v>106</v>
      </c>
      <c r="H805" s="3">
        <v>3</v>
      </c>
      <c r="I805" s="7">
        <v>880.73</v>
      </c>
      <c r="J805" s="9">
        <v>0</v>
      </c>
      <c r="K805" s="7">
        <v>2642.19</v>
      </c>
      <c r="L805" s="7">
        <v>1455.64</v>
      </c>
      <c r="M805" s="3" t="s">
        <v>56</v>
      </c>
      <c r="N805" s="3" t="str">
        <f t="shared" si="48"/>
        <v>2024-08</v>
      </c>
      <c r="O805" s="3" t="str">
        <f t="shared" si="49"/>
        <v>No discount</v>
      </c>
      <c r="P805" s="9">
        <f t="shared" si="50"/>
        <v>0.55092177322599811</v>
      </c>
      <c r="Q805" s="3" t="str">
        <f t="shared" si="51"/>
        <v>No</v>
      </c>
    </row>
    <row r="806" spans="1:17" ht="21" customHeight="1">
      <c r="A806" s="3" t="s">
        <v>1390</v>
      </c>
      <c r="B806" s="5">
        <v>45521</v>
      </c>
      <c r="C806" s="3" t="s">
        <v>1391</v>
      </c>
      <c r="D806" s="3" t="s">
        <v>46</v>
      </c>
      <c r="E806" s="3" t="s">
        <v>42</v>
      </c>
      <c r="F806" s="3" t="s">
        <v>126</v>
      </c>
      <c r="G806" s="3" t="s">
        <v>127</v>
      </c>
      <c r="H806" s="3">
        <v>1</v>
      </c>
      <c r="I806" s="7">
        <v>1014.69</v>
      </c>
      <c r="J806" s="9">
        <v>0.1</v>
      </c>
      <c r="K806" s="7">
        <v>913.22</v>
      </c>
      <c r="L806" s="7">
        <v>371.69</v>
      </c>
      <c r="M806" s="3" t="s">
        <v>57</v>
      </c>
      <c r="N806" s="3" t="str">
        <f t="shared" si="48"/>
        <v>2024-08</v>
      </c>
      <c r="O806" s="3" t="str">
        <f t="shared" si="49"/>
        <v>1-10%</v>
      </c>
      <c r="P806" s="9">
        <f t="shared" si="50"/>
        <v>0.40701035894965065</v>
      </c>
      <c r="Q806" s="3" t="str">
        <f t="shared" si="51"/>
        <v>No</v>
      </c>
    </row>
    <row r="807" spans="1:17" ht="21" customHeight="1">
      <c r="A807" s="3" t="s">
        <v>1392</v>
      </c>
      <c r="B807" s="5">
        <v>45521</v>
      </c>
      <c r="C807" s="3" t="s">
        <v>1088</v>
      </c>
      <c r="D807" s="3" t="s">
        <v>44</v>
      </c>
      <c r="E807" s="3" t="s">
        <v>39</v>
      </c>
      <c r="F807" s="3" t="s">
        <v>109</v>
      </c>
      <c r="G807" s="3" t="s">
        <v>110</v>
      </c>
      <c r="H807" s="3">
        <v>1</v>
      </c>
      <c r="I807" s="7">
        <v>2925.68</v>
      </c>
      <c r="J807" s="9">
        <v>0</v>
      </c>
      <c r="K807" s="7">
        <v>2925.68</v>
      </c>
      <c r="L807" s="7">
        <v>1254.26</v>
      </c>
      <c r="M807" s="3" t="s">
        <v>57</v>
      </c>
      <c r="N807" s="3" t="str">
        <f t="shared" si="48"/>
        <v>2024-08</v>
      </c>
      <c r="O807" s="3" t="str">
        <f t="shared" si="49"/>
        <v>No discount</v>
      </c>
      <c r="P807" s="9">
        <f t="shared" si="50"/>
        <v>0.42870717234967598</v>
      </c>
      <c r="Q807" s="3" t="str">
        <f t="shared" si="51"/>
        <v>No</v>
      </c>
    </row>
    <row r="808" spans="1:17" ht="21" customHeight="1">
      <c r="A808" s="3" t="s">
        <v>1393</v>
      </c>
      <c r="B808" s="5">
        <v>45521</v>
      </c>
      <c r="C808" s="3" t="s">
        <v>1394</v>
      </c>
      <c r="D808" s="3" t="s">
        <v>44</v>
      </c>
      <c r="E808" s="3" t="s">
        <v>41</v>
      </c>
      <c r="F808" s="3" t="s">
        <v>119</v>
      </c>
      <c r="G808" s="3" t="s">
        <v>120</v>
      </c>
      <c r="H808" s="3">
        <v>2</v>
      </c>
      <c r="I808" s="7">
        <v>1324.7</v>
      </c>
      <c r="J808" s="9">
        <v>0.2</v>
      </c>
      <c r="K808" s="7">
        <v>2119.52</v>
      </c>
      <c r="L808" s="7">
        <v>304.08</v>
      </c>
      <c r="M808" s="3" t="s">
        <v>57</v>
      </c>
      <c r="N808" s="3" t="str">
        <f t="shared" si="48"/>
        <v>2024-08</v>
      </c>
      <c r="O808" s="3" t="str">
        <f t="shared" si="49"/>
        <v>16-20%</v>
      </c>
      <c r="P808" s="9">
        <f t="shared" si="50"/>
        <v>0.14346644523288291</v>
      </c>
      <c r="Q808" s="3" t="str">
        <f t="shared" si="51"/>
        <v>No</v>
      </c>
    </row>
    <row r="809" spans="1:17" ht="21" customHeight="1">
      <c r="A809" s="3" t="s">
        <v>1395</v>
      </c>
      <c r="B809" s="5">
        <v>45522</v>
      </c>
      <c r="C809" s="3" t="s">
        <v>432</v>
      </c>
      <c r="D809" s="3" t="s">
        <v>47</v>
      </c>
      <c r="E809" s="3" t="s">
        <v>39</v>
      </c>
      <c r="F809" s="3" t="s">
        <v>130</v>
      </c>
      <c r="G809" s="3" t="s">
        <v>193</v>
      </c>
      <c r="H809" s="3">
        <v>1</v>
      </c>
      <c r="I809" s="7">
        <v>1841.7</v>
      </c>
      <c r="J809" s="9">
        <v>0.1</v>
      </c>
      <c r="K809" s="7">
        <v>1657.53</v>
      </c>
      <c r="L809" s="7">
        <v>539</v>
      </c>
      <c r="M809" s="3" t="s">
        <v>58</v>
      </c>
      <c r="N809" s="3" t="str">
        <f t="shared" si="48"/>
        <v>2024-08</v>
      </c>
      <c r="O809" s="3" t="str">
        <f t="shared" si="49"/>
        <v>1-10%</v>
      </c>
      <c r="P809" s="9">
        <f t="shared" si="50"/>
        <v>0.32518265129439589</v>
      </c>
      <c r="Q809" s="3" t="str">
        <f t="shared" si="51"/>
        <v>No</v>
      </c>
    </row>
    <row r="810" spans="1:17" ht="21" customHeight="1">
      <c r="A810" s="3" t="s">
        <v>1396</v>
      </c>
      <c r="B810" s="5">
        <v>45522</v>
      </c>
      <c r="C810" s="3" t="s">
        <v>805</v>
      </c>
      <c r="D810" s="3" t="s">
        <v>47</v>
      </c>
      <c r="E810" s="3" t="s">
        <v>41</v>
      </c>
      <c r="F810" s="3" t="s">
        <v>119</v>
      </c>
      <c r="G810" s="3" t="s">
        <v>120</v>
      </c>
      <c r="H810" s="3">
        <v>4</v>
      </c>
      <c r="I810" s="7">
        <v>1256.69</v>
      </c>
      <c r="J810" s="9">
        <v>0.1</v>
      </c>
      <c r="K810" s="7">
        <v>4524.08</v>
      </c>
      <c r="L810" s="7">
        <v>1121.9100000000001</v>
      </c>
      <c r="M810" s="3" t="s">
        <v>57</v>
      </c>
      <c r="N810" s="3" t="str">
        <f t="shared" si="48"/>
        <v>2024-08</v>
      </c>
      <c r="O810" s="3" t="str">
        <f t="shared" si="49"/>
        <v>1-10%</v>
      </c>
      <c r="P810" s="9">
        <f t="shared" si="50"/>
        <v>0.24798633092253014</v>
      </c>
      <c r="Q810" s="3" t="str">
        <f t="shared" si="51"/>
        <v>No</v>
      </c>
    </row>
    <row r="811" spans="1:17" ht="21" customHeight="1">
      <c r="A811" s="3" t="s">
        <v>1397</v>
      </c>
      <c r="B811" s="5">
        <v>45522</v>
      </c>
      <c r="C811" s="3" t="s">
        <v>700</v>
      </c>
      <c r="D811" s="3" t="s">
        <v>46</v>
      </c>
      <c r="E811" s="3" t="s">
        <v>42</v>
      </c>
      <c r="F811" s="3" t="s">
        <v>126</v>
      </c>
      <c r="G811" s="3" t="s">
        <v>151</v>
      </c>
      <c r="H811" s="3">
        <v>2</v>
      </c>
      <c r="I811" s="7">
        <v>1448.86</v>
      </c>
      <c r="J811" s="9">
        <v>0.4</v>
      </c>
      <c r="K811" s="7">
        <v>1738.63</v>
      </c>
      <c r="L811" s="7">
        <v>208.52</v>
      </c>
      <c r="M811" s="3" t="s">
        <v>56</v>
      </c>
      <c r="N811" s="3" t="str">
        <f t="shared" si="48"/>
        <v>2024-08</v>
      </c>
      <c r="O811" s="3" t="str">
        <f t="shared" si="49"/>
        <v>21%+</v>
      </c>
      <c r="P811" s="9">
        <f t="shared" si="50"/>
        <v>0.1199335108677522</v>
      </c>
      <c r="Q811" s="3" t="str">
        <f t="shared" si="51"/>
        <v>No</v>
      </c>
    </row>
    <row r="812" spans="1:17" ht="21" customHeight="1">
      <c r="A812" s="3" t="s">
        <v>1398</v>
      </c>
      <c r="B812" s="5">
        <v>45523</v>
      </c>
      <c r="C812" s="3" t="s">
        <v>105</v>
      </c>
      <c r="D812" s="3" t="s">
        <v>47</v>
      </c>
      <c r="E812" s="3" t="s">
        <v>39</v>
      </c>
      <c r="F812" s="3" t="s">
        <v>130</v>
      </c>
      <c r="G812" s="3" t="s">
        <v>193</v>
      </c>
      <c r="H812" s="3">
        <v>3</v>
      </c>
      <c r="I812" s="7">
        <v>1760.75</v>
      </c>
      <c r="J812" s="9">
        <v>0.1</v>
      </c>
      <c r="K812" s="7">
        <v>4754.03</v>
      </c>
      <c r="L812" s="7">
        <v>1277.9000000000001</v>
      </c>
      <c r="M812" s="3" t="s">
        <v>56</v>
      </c>
      <c r="N812" s="3" t="str">
        <f t="shared" si="48"/>
        <v>2024-08</v>
      </c>
      <c r="O812" s="3" t="str">
        <f t="shared" si="49"/>
        <v>1-10%</v>
      </c>
      <c r="P812" s="9">
        <f t="shared" si="50"/>
        <v>0.26880352038165517</v>
      </c>
      <c r="Q812" s="3" t="str">
        <f t="shared" si="51"/>
        <v>No</v>
      </c>
    </row>
    <row r="813" spans="1:17" ht="21" customHeight="1">
      <c r="A813" s="3" t="s">
        <v>1399</v>
      </c>
      <c r="B813" s="5">
        <v>45523</v>
      </c>
      <c r="C813" s="3" t="s">
        <v>268</v>
      </c>
      <c r="D813" s="3" t="s">
        <v>45</v>
      </c>
      <c r="E813" s="3" t="s">
        <v>39</v>
      </c>
      <c r="F813" s="3" t="s">
        <v>109</v>
      </c>
      <c r="G813" s="3" t="s">
        <v>110</v>
      </c>
      <c r="H813" s="3">
        <v>2</v>
      </c>
      <c r="I813" s="7">
        <v>2911.75</v>
      </c>
      <c r="J813" s="9">
        <v>0</v>
      </c>
      <c r="K813" s="7">
        <v>5823.5</v>
      </c>
      <c r="L813" s="7">
        <v>2274.7199999999998</v>
      </c>
      <c r="M813" s="3" t="s">
        <v>57</v>
      </c>
      <c r="N813" s="3" t="str">
        <f t="shared" si="48"/>
        <v>2024-08</v>
      </c>
      <c r="O813" s="3" t="str">
        <f t="shared" si="49"/>
        <v>No discount</v>
      </c>
      <c r="P813" s="9">
        <f t="shared" si="50"/>
        <v>0.39061045762857383</v>
      </c>
      <c r="Q813" s="3" t="str">
        <f t="shared" si="51"/>
        <v>No</v>
      </c>
    </row>
    <row r="814" spans="1:17" ht="21" customHeight="1">
      <c r="A814" s="3" t="s">
        <v>1400</v>
      </c>
      <c r="B814" s="5">
        <v>45523</v>
      </c>
      <c r="C814" s="3" t="s">
        <v>647</v>
      </c>
      <c r="D814" s="3" t="s">
        <v>44</v>
      </c>
      <c r="E814" s="3" t="s">
        <v>42</v>
      </c>
      <c r="F814" s="3" t="s">
        <v>90</v>
      </c>
      <c r="G814" s="3" t="s">
        <v>106</v>
      </c>
      <c r="H814" s="3">
        <v>1</v>
      </c>
      <c r="I814" s="7">
        <v>915.07</v>
      </c>
      <c r="J814" s="9">
        <v>0</v>
      </c>
      <c r="K814" s="7">
        <v>915.07</v>
      </c>
      <c r="L814" s="7">
        <v>502.75</v>
      </c>
      <c r="M814" s="3" t="s">
        <v>57</v>
      </c>
      <c r="N814" s="3" t="str">
        <f t="shared" si="48"/>
        <v>2024-08</v>
      </c>
      <c r="O814" s="3" t="str">
        <f t="shared" si="49"/>
        <v>No discount</v>
      </c>
      <c r="P814" s="9">
        <f t="shared" si="50"/>
        <v>0.54941152043013097</v>
      </c>
      <c r="Q814" s="3" t="str">
        <f t="shared" si="51"/>
        <v>No</v>
      </c>
    </row>
    <row r="815" spans="1:17" ht="21" customHeight="1">
      <c r="A815" s="3" t="s">
        <v>1401</v>
      </c>
      <c r="B815" s="5">
        <v>45523</v>
      </c>
      <c r="C815" s="3" t="s">
        <v>962</v>
      </c>
      <c r="D815" s="3" t="s">
        <v>44</v>
      </c>
      <c r="E815" s="3" t="s">
        <v>38</v>
      </c>
      <c r="F815" s="3" t="s">
        <v>142</v>
      </c>
      <c r="G815" s="3" t="s">
        <v>143</v>
      </c>
      <c r="H815" s="3">
        <v>1</v>
      </c>
      <c r="I815" s="7">
        <v>9267.82</v>
      </c>
      <c r="J815" s="9">
        <v>0.4</v>
      </c>
      <c r="K815" s="7">
        <v>5560.69</v>
      </c>
      <c r="L815" s="7">
        <v>-1480.37</v>
      </c>
      <c r="M815" s="3" t="s">
        <v>56</v>
      </c>
      <c r="N815" s="3" t="str">
        <f t="shared" si="48"/>
        <v>2024-08</v>
      </c>
      <c r="O815" s="3" t="str">
        <f t="shared" si="49"/>
        <v>21%+</v>
      </c>
      <c r="P815" s="9">
        <f t="shared" si="50"/>
        <v>-0.26622055895940971</v>
      </c>
      <c r="Q815" s="3" t="str">
        <f t="shared" si="51"/>
        <v>Yes</v>
      </c>
    </row>
    <row r="816" spans="1:17" ht="21" customHeight="1">
      <c r="A816" s="3" t="s">
        <v>1402</v>
      </c>
      <c r="B816" s="5">
        <v>45524</v>
      </c>
      <c r="C816" s="3" t="s">
        <v>1134</v>
      </c>
      <c r="D816" s="3" t="s">
        <v>44</v>
      </c>
      <c r="E816" s="3" t="s">
        <v>38</v>
      </c>
      <c r="F816" s="3" t="s">
        <v>94</v>
      </c>
      <c r="G816" s="3" t="s">
        <v>95</v>
      </c>
      <c r="H816" s="3">
        <v>4</v>
      </c>
      <c r="I816" s="7">
        <v>77087.28</v>
      </c>
      <c r="J816" s="9">
        <v>0.05</v>
      </c>
      <c r="K816" s="7">
        <v>292931.65999999997</v>
      </c>
      <c r="L816" s="7">
        <v>42603.65</v>
      </c>
      <c r="M816" s="3" t="s">
        <v>57</v>
      </c>
      <c r="N816" s="3" t="str">
        <f t="shared" si="48"/>
        <v>2024-08</v>
      </c>
      <c r="O816" s="3" t="str">
        <f t="shared" si="49"/>
        <v>1-10%</v>
      </c>
      <c r="P816" s="9">
        <f t="shared" si="50"/>
        <v>0.14543887130534133</v>
      </c>
      <c r="Q816" s="3" t="str">
        <f t="shared" si="51"/>
        <v>No</v>
      </c>
    </row>
    <row r="817" spans="1:17" ht="21" customHeight="1">
      <c r="A817" s="3" t="s">
        <v>1403</v>
      </c>
      <c r="B817" s="5">
        <v>45524</v>
      </c>
      <c r="C817" s="3" t="s">
        <v>1404</v>
      </c>
      <c r="D817" s="3" t="s">
        <v>46</v>
      </c>
      <c r="E817" s="3" t="s">
        <v>42</v>
      </c>
      <c r="F817" s="3" t="s">
        <v>90</v>
      </c>
      <c r="G817" s="3" t="s">
        <v>106</v>
      </c>
      <c r="H817" s="3">
        <v>1</v>
      </c>
      <c r="I817" s="7">
        <v>892.9</v>
      </c>
      <c r="J817" s="9">
        <v>0.1</v>
      </c>
      <c r="K817" s="7">
        <v>803.61</v>
      </c>
      <c r="L817" s="7">
        <v>370.31</v>
      </c>
      <c r="M817" s="3" t="s">
        <v>60</v>
      </c>
      <c r="N817" s="3" t="str">
        <f t="shared" si="48"/>
        <v>2024-08</v>
      </c>
      <c r="O817" s="3" t="str">
        <f t="shared" si="49"/>
        <v>1-10%</v>
      </c>
      <c r="P817" s="9">
        <f t="shared" si="50"/>
        <v>0.4608081034332574</v>
      </c>
      <c r="Q817" s="3" t="str">
        <f t="shared" si="51"/>
        <v>No</v>
      </c>
    </row>
    <row r="818" spans="1:17" ht="21" customHeight="1">
      <c r="A818" s="3" t="s">
        <v>1405</v>
      </c>
      <c r="B818" s="5">
        <v>45524</v>
      </c>
      <c r="C818" s="3" t="s">
        <v>573</v>
      </c>
      <c r="D818" s="3" t="s">
        <v>44</v>
      </c>
      <c r="E818" s="3" t="s">
        <v>41</v>
      </c>
      <c r="F818" s="3" t="s">
        <v>119</v>
      </c>
      <c r="G818" s="3" t="s">
        <v>168</v>
      </c>
      <c r="H818" s="3">
        <v>2</v>
      </c>
      <c r="I818" s="7">
        <v>10014.719999999999</v>
      </c>
      <c r="J818" s="9">
        <v>0</v>
      </c>
      <c r="K818" s="7">
        <v>20029.439999999999</v>
      </c>
      <c r="L818" s="7">
        <v>7986.05</v>
      </c>
      <c r="M818" s="3" t="s">
        <v>57</v>
      </c>
      <c r="N818" s="3" t="str">
        <f t="shared" si="48"/>
        <v>2024-08</v>
      </c>
      <c r="O818" s="3" t="str">
        <f t="shared" si="49"/>
        <v>No discount</v>
      </c>
      <c r="P818" s="9">
        <f t="shared" si="50"/>
        <v>0.39871559065056239</v>
      </c>
      <c r="Q818" s="3" t="str">
        <f t="shared" si="51"/>
        <v>No</v>
      </c>
    </row>
    <row r="819" spans="1:17" ht="21" customHeight="1">
      <c r="A819" s="3" t="s">
        <v>1406</v>
      </c>
      <c r="B819" s="5">
        <v>45524</v>
      </c>
      <c r="C819" s="3" t="s">
        <v>293</v>
      </c>
      <c r="D819" s="3" t="s">
        <v>47</v>
      </c>
      <c r="E819" s="3" t="s">
        <v>42</v>
      </c>
      <c r="F819" s="3" t="s">
        <v>90</v>
      </c>
      <c r="G819" s="3" t="s">
        <v>91</v>
      </c>
      <c r="H819" s="3">
        <v>1</v>
      </c>
      <c r="I819" s="7">
        <v>1243.48</v>
      </c>
      <c r="J819" s="9">
        <v>0.1</v>
      </c>
      <c r="K819" s="7">
        <v>1119.1300000000001</v>
      </c>
      <c r="L819" s="7">
        <v>484.01</v>
      </c>
      <c r="M819" s="3" t="s">
        <v>56</v>
      </c>
      <c r="N819" s="3" t="str">
        <f t="shared" si="48"/>
        <v>2024-08</v>
      </c>
      <c r="O819" s="3" t="str">
        <f t="shared" si="49"/>
        <v>1-10%</v>
      </c>
      <c r="P819" s="9">
        <f t="shared" si="50"/>
        <v>0.43248773600922141</v>
      </c>
      <c r="Q819" s="3" t="str">
        <f t="shared" si="51"/>
        <v>No</v>
      </c>
    </row>
    <row r="820" spans="1:17" ht="21" customHeight="1">
      <c r="A820" s="3" t="s">
        <v>1407</v>
      </c>
      <c r="B820" s="5">
        <v>45524</v>
      </c>
      <c r="C820" s="3" t="s">
        <v>657</v>
      </c>
      <c r="D820" s="3" t="s">
        <v>46</v>
      </c>
      <c r="E820" s="3" t="s">
        <v>42</v>
      </c>
      <c r="F820" s="3" t="s">
        <v>90</v>
      </c>
      <c r="G820" s="3" t="s">
        <v>106</v>
      </c>
      <c r="H820" s="3">
        <v>1</v>
      </c>
      <c r="I820" s="7">
        <v>883.85</v>
      </c>
      <c r="J820" s="9">
        <v>0.2</v>
      </c>
      <c r="K820" s="7">
        <v>707.08</v>
      </c>
      <c r="L820" s="7">
        <v>218.82</v>
      </c>
      <c r="M820" s="3" t="s">
        <v>56</v>
      </c>
      <c r="N820" s="3" t="str">
        <f t="shared" si="48"/>
        <v>2024-08</v>
      </c>
      <c r="O820" s="3" t="str">
        <f t="shared" si="49"/>
        <v>16-20%</v>
      </c>
      <c r="P820" s="9">
        <f t="shared" si="50"/>
        <v>0.30946993268088474</v>
      </c>
      <c r="Q820" s="3" t="str">
        <f t="shared" si="51"/>
        <v>No</v>
      </c>
    </row>
    <row r="821" spans="1:17" ht="21" customHeight="1">
      <c r="A821" s="3" t="s">
        <v>1408</v>
      </c>
      <c r="B821" s="5">
        <v>45524</v>
      </c>
      <c r="C821" s="3" t="s">
        <v>270</v>
      </c>
      <c r="D821" s="3" t="s">
        <v>46</v>
      </c>
      <c r="E821" s="3" t="s">
        <v>42</v>
      </c>
      <c r="F821" s="3" t="s">
        <v>126</v>
      </c>
      <c r="G821" s="3" t="s">
        <v>151</v>
      </c>
      <c r="H821" s="3">
        <v>5</v>
      </c>
      <c r="I821" s="7">
        <v>1533.04</v>
      </c>
      <c r="J821" s="9">
        <v>0.05</v>
      </c>
      <c r="K821" s="7">
        <v>7281.94</v>
      </c>
      <c r="L821" s="7">
        <v>3632.59</v>
      </c>
      <c r="M821" s="3" t="s">
        <v>59</v>
      </c>
      <c r="N821" s="3" t="str">
        <f t="shared" si="48"/>
        <v>2024-08</v>
      </c>
      <c r="O821" s="3" t="str">
        <f t="shared" si="49"/>
        <v>1-10%</v>
      </c>
      <c r="P821" s="9">
        <f t="shared" si="50"/>
        <v>0.4988492077660624</v>
      </c>
      <c r="Q821" s="3" t="str">
        <f t="shared" si="51"/>
        <v>No</v>
      </c>
    </row>
    <row r="822" spans="1:17" ht="21" customHeight="1">
      <c r="A822" s="3" t="s">
        <v>1409</v>
      </c>
      <c r="B822" s="5">
        <v>45525</v>
      </c>
      <c r="C822" s="3" t="s">
        <v>1316</v>
      </c>
      <c r="D822" s="3" t="s">
        <v>46</v>
      </c>
      <c r="E822" s="3" t="s">
        <v>42</v>
      </c>
      <c r="F822" s="3" t="s">
        <v>90</v>
      </c>
      <c r="G822" s="3" t="s">
        <v>106</v>
      </c>
      <c r="H822" s="3">
        <v>1</v>
      </c>
      <c r="I822" s="7">
        <v>915.58</v>
      </c>
      <c r="J822" s="9">
        <v>0</v>
      </c>
      <c r="K822" s="7">
        <v>915.58</v>
      </c>
      <c r="L822" s="7">
        <v>529.98</v>
      </c>
      <c r="M822" s="3" t="s">
        <v>56</v>
      </c>
      <c r="N822" s="3" t="str">
        <f t="shared" si="48"/>
        <v>2024-08</v>
      </c>
      <c r="O822" s="3" t="str">
        <f t="shared" si="49"/>
        <v>No discount</v>
      </c>
      <c r="P822" s="9">
        <f t="shared" si="50"/>
        <v>0.57884619585399422</v>
      </c>
      <c r="Q822" s="3" t="str">
        <f t="shared" si="51"/>
        <v>No</v>
      </c>
    </row>
    <row r="823" spans="1:17" ht="21" customHeight="1">
      <c r="A823" s="3" t="s">
        <v>1410</v>
      </c>
      <c r="B823" s="5">
        <v>45525</v>
      </c>
      <c r="C823" s="3" t="s">
        <v>1230</v>
      </c>
      <c r="D823" s="3" t="s">
        <v>45</v>
      </c>
      <c r="E823" s="3" t="s">
        <v>42</v>
      </c>
      <c r="F823" s="3" t="s">
        <v>126</v>
      </c>
      <c r="G823" s="3" t="s">
        <v>127</v>
      </c>
      <c r="H823" s="3">
        <v>1</v>
      </c>
      <c r="I823" s="7">
        <v>1021.61</v>
      </c>
      <c r="J823" s="9">
        <v>0</v>
      </c>
      <c r="K823" s="7">
        <v>1021.61</v>
      </c>
      <c r="L823" s="7">
        <v>566.32000000000005</v>
      </c>
      <c r="M823" s="3" t="s">
        <v>58</v>
      </c>
      <c r="N823" s="3" t="str">
        <f t="shared" si="48"/>
        <v>2024-08</v>
      </c>
      <c r="O823" s="3" t="str">
        <f t="shared" si="49"/>
        <v>No discount</v>
      </c>
      <c r="P823" s="9">
        <f t="shared" si="50"/>
        <v>0.55434069752645343</v>
      </c>
      <c r="Q823" s="3" t="str">
        <f t="shared" si="51"/>
        <v>No</v>
      </c>
    </row>
    <row r="824" spans="1:17" ht="21" customHeight="1">
      <c r="A824" s="3" t="s">
        <v>1411</v>
      </c>
      <c r="B824" s="5">
        <v>45526</v>
      </c>
      <c r="C824" s="3" t="s">
        <v>1109</v>
      </c>
      <c r="D824" s="3" t="s">
        <v>46</v>
      </c>
      <c r="E824" s="3" t="s">
        <v>39</v>
      </c>
      <c r="F824" s="3" t="s">
        <v>130</v>
      </c>
      <c r="G824" s="3" t="s">
        <v>193</v>
      </c>
      <c r="H824" s="3">
        <v>2</v>
      </c>
      <c r="I824" s="7">
        <v>1741.65</v>
      </c>
      <c r="J824" s="9">
        <v>0.05</v>
      </c>
      <c r="K824" s="7">
        <v>3309.14</v>
      </c>
      <c r="L824" s="7">
        <v>1329.96</v>
      </c>
      <c r="M824" s="3" t="s">
        <v>57</v>
      </c>
      <c r="N824" s="3" t="str">
        <f t="shared" si="48"/>
        <v>2024-08</v>
      </c>
      <c r="O824" s="3" t="str">
        <f t="shared" si="49"/>
        <v>1-10%</v>
      </c>
      <c r="P824" s="9">
        <f t="shared" si="50"/>
        <v>0.40190502668367012</v>
      </c>
      <c r="Q824" s="3" t="str">
        <f t="shared" si="51"/>
        <v>No</v>
      </c>
    </row>
    <row r="825" spans="1:17" ht="21" customHeight="1">
      <c r="A825" s="3" t="s">
        <v>1412</v>
      </c>
      <c r="B825" s="5">
        <v>45526</v>
      </c>
      <c r="C825" s="3" t="s">
        <v>997</v>
      </c>
      <c r="D825" s="3" t="s">
        <v>44</v>
      </c>
      <c r="E825" s="3" t="s">
        <v>40</v>
      </c>
      <c r="F825" s="3" t="s">
        <v>102</v>
      </c>
      <c r="G825" s="3" t="s">
        <v>146</v>
      </c>
      <c r="H825" s="3">
        <v>2</v>
      </c>
      <c r="I825" s="7">
        <v>7888.69</v>
      </c>
      <c r="J825" s="9">
        <v>0.05</v>
      </c>
      <c r="K825" s="7">
        <v>14988.51</v>
      </c>
      <c r="L825" s="7">
        <v>3722.77</v>
      </c>
      <c r="M825" s="3" t="s">
        <v>57</v>
      </c>
      <c r="N825" s="3" t="str">
        <f t="shared" si="48"/>
        <v>2024-08</v>
      </c>
      <c r="O825" s="3" t="str">
        <f t="shared" si="49"/>
        <v>1-10%</v>
      </c>
      <c r="P825" s="9">
        <f t="shared" si="50"/>
        <v>0.24837492185680898</v>
      </c>
      <c r="Q825" s="3" t="str">
        <f t="shared" si="51"/>
        <v>No</v>
      </c>
    </row>
    <row r="826" spans="1:17" ht="21" customHeight="1">
      <c r="A826" s="3" t="s">
        <v>1413</v>
      </c>
      <c r="B826" s="5">
        <v>45526</v>
      </c>
      <c r="C826" s="3" t="s">
        <v>387</v>
      </c>
      <c r="D826" s="3" t="s">
        <v>44</v>
      </c>
      <c r="E826" s="3" t="s">
        <v>38</v>
      </c>
      <c r="F826" s="3" t="s">
        <v>94</v>
      </c>
      <c r="G826" s="3" t="s">
        <v>213</v>
      </c>
      <c r="H826" s="3">
        <v>1</v>
      </c>
      <c r="I826" s="7">
        <v>52482.52</v>
      </c>
      <c r="J826" s="9">
        <v>0</v>
      </c>
      <c r="K826" s="7">
        <v>52482.52</v>
      </c>
      <c r="L826" s="7">
        <v>9249.36</v>
      </c>
      <c r="M826" s="3" t="s">
        <v>57</v>
      </c>
      <c r="N826" s="3" t="str">
        <f t="shared" si="48"/>
        <v>2024-08</v>
      </c>
      <c r="O826" s="3" t="str">
        <f t="shared" si="49"/>
        <v>No discount</v>
      </c>
      <c r="P826" s="9">
        <f t="shared" si="50"/>
        <v>0.17623696423113833</v>
      </c>
      <c r="Q826" s="3" t="str">
        <f t="shared" si="51"/>
        <v>No</v>
      </c>
    </row>
    <row r="827" spans="1:17" ht="21" customHeight="1">
      <c r="A827" s="3" t="s">
        <v>1414</v>
      </c>
      <c r="B827" s="5">
        <v>45526</v>
      </c>
      <c r="C827" s="3" t="s">
        <v>1415</v>
      </c>
      <c r="D827" s="3" t="s">
        <v>44</v>
      </c>
      <c r="E827" s="3" t="s">
        <v>38</v>
      </c>
      <c r="F827" s="3" t="s">
        <v>142</v>
      </c>
      <c r="G827" s="3" t="s">
        <v>143</v>
      </c>
      <c r="H827" s="3">
        <v>5</v>
      </c>
      <c r="I827" s="7">
        <v>8734.5499999999993</v>
      </c>
      <c r="J827" s="9">
        <v>0</v>
      </c>
      <c r="K827" s="7">
        <v>43672.75</v>
      </c>
      <c r="L827" s="7">
        <v>6408.74</v>
      </c>
      <c r="M827" s="3" t="s">
        <v>56</v>
      </c>
      <c r="N827" s="3" t="str">
        <f t="shared" si="48"/>
        <v>2024-08</v>
      </c>
      <c r="O827" s="3" t="str">
        <f t="shared" si="49"/>
        <v>No discount</v>
      </c>
      <c r="P827" s="9">
        <f t="shared" si="50"/>
        <v>0.14674459474157225</v>
      </c>
      <c r="Q827" s="3" t="str">
        <f t="shared" si="51"/>
        <v>No</v>
      </c>
    </row>
    <row r="828" spans="1:17" ht="21" customHeight="1">
      <c r="A828" s="3" t="s">
        <v>1416</v>
      </c>
      <c r="B828" s="5">
        <v>45527</v>
      </c>
      <c r="C828" s="3" t="s">
        <v>1417</v>
      </c>
      <c r="D828" s="3" t="s">
        <v>44</v>
      </c>
      <c r="E828" s="3" t="s">
        <v>40</v>
      </c>
      <c r="F828" s="3" t="s">
        <v>160</v>
      </c>
      <c r="G828" s="3" t="s">
        <v>173</v>
      </c>
      <c r="H828" s="3">
        <v>2</v>
      </c>
      <c r="I828" s="7">
        <v>8875.08</v>
      </c>
      <c r="J828" s="9">
        <v>0</v>
      </c>
      <c r="K828" s="7">
        <v>17750.16</v>
      </c>
      <c r="L828" s="7">
        <v>5835.05</v>
      </c>
      <c r="M828" s="3" t="s">
        <v>58</v>
      </c>
      <c r="N828" s="3" t="str">
        <f t="shared" si="48"/>
        <v>2024-08</v>
      </c>
      <c r="O828" s="3" t="str">
        <f t="shared" si="49"/>
        <v>No discount</v>
      </c>
      <c r="P828" s="9">
        <f t="shared" si="50"/>
        <v>0.32873224804734158</v>
      </c>
      <c r="Q828" s="3" t="str">
        <f t="shared" si="51"/>
        <v>No</v>
      </c>
    </row>
    <row r="829" spans="1:17" ht="21" customHeight="1">
      <c r="A829" s="3" t="s">
        <v>1418</v>
      </c>
      <c r="B829" s="5">
        <v>45527</v>
      </c>
      <c r="C829" s="3" t="s">
        <v>412</v>
      </c>
      <c r="D829" s="3" t="s">
        <v>45</v>
      </c>
      <c r="E829" s="3" t="s">
        <v>39</v>
      </c>
      <c r="F829" s="3" t="s">
        <v>164</v>
      </c>
      <c r="G829" s="3" t="s">
        <v>200</v>
      </c>
      <c r="H829" s="3">
        <v>3</v>
      </c>
      <c r="I829" s="7">
        <v>1349.23</v>
      </c>
      <c r="J829" s="9">
        <v>0.1</v>
      </c>
      <c r="K829" s="7">
        <v>3642.92</v>
      </c>
      <c r="L829" s="7">
        <v>1203.73</v>
      </c>
      <c r="M829" s="3" t="s">
        <v>56</v>
      </c>
      <c r="N829" s="3" t="str">
        <f t="shared" si="48"/>
        <v>2024-08</v>
      </c>
      <c r="O829" s="3" t="str">
        <f t="shared" si="49"/>
        <v>1-10%</v>
      </c>
      <c r="P829" s="9">
        <f t="shared" si="50"/>
        <v>0.33042998473751828</v>
      </c>
      <c r="Q829" s="3" t="str">
        <f t="shared" si="51"/>
        <v>No</v>
      </c>
    </row>
    <row r="830" spans="1:17" ht="21" customHeight="1">
      <c r="A830" s="3" t="s">
        <v>1419</v>
      </c>
      <c r="B830" s="5">
        <v>45527</v>
      </c>
      <c r="C830" s="3" t="s">
        <v>327</v>
      </c>
      <c r="D830" s="3" t="s">
        <v>47</v>
      </c>
      <c r="E830" s="3" t="s">
        <v>41</v>
      </c>
      <c r="F830" s="3" t="s">
        <v>119</v>
      </c>
      <c r="G830" s="3" t="s">
        <v>168</v>
      </c>
      <c r="H830" s="3">
        <v>1</v>
      </c>
      <c r="I830" s="7">
        <v>10040.85</v>
      </c>
      <c r="J830" s="9">
        <v>0.1</v>
      </c>
      <c r="K830" s="7">
        <v>9036.77</v>
      </c>
      <c r="L830" s="7">
        <v>2599.59</v>
      </c>
      <c r="M830" s="3" t="s">
        <v>60</v>
      </c>
      <c r="N830" s="3" t="str">
        <f t="shared" si="48"/>
        <v>2024-08</v>
      </c>
      <c r="O830" s="3" t="str">
        <f t="shared" si="49"/>
        <v>1-10%</v>
      </c>
      <c r="P830" s="9">
        <f t="shared" si="50"/>
        <v>0.28766804953539815</v>
      </c>
      <c r="Q830" s="3" t="str">
        <f t="shared" si="51"/>
        <v>No</v>
      </c>
    </row>
    <row r="831" spans="1:17" ht="21" customHeight="1">
      <c r="A831" s="3" t="s">
        <v>1420</v>
      </c>
      <c r="B831" s="5">
        <v>45528</v>
      </c>
      <c r="C831" s="3" t="s">
        <v>1421</v>
      </c>
      <c r="D831" s="3" t="s">
        <v>44</v>
      </c>
      <c r="E831" s="3" t="s">
        <v>40</v>
      </c>
      <c r="F831" s="3" t="s">
        <v>221</v>
      </c>
      <c r="G831" s="3" t="s">
        <v>222</v>
      </c>
      <c r="H831" s="3">
        <v>5</v>
      </c>
      <c r="I831" s="7">
        <v>963.77</v>
      </c>
      <c r="J831" s="9">
        <v>0.05</v>
      </c>
      <c r="K831" s="7">
        <v>4577.91</v>
      </c>
      <c r="L831" s="7">
        <v>1230.8699999999999</v>
      </c>
      <c r="M831" s="3" t="s">
        <v>57</v>
      </c>
      <c r="N831" s="3" t="str">
        <f t="shared" si="48"/>
        <v>2024-08</v>
      </c>
      <c r="O831" s="3" t="str">
        <f t="shared" si="49"/>
        <v>1-10%</v>
      </c>
      <c r="P831" s="9">
        <f t="shared" si="50"/>
        <v>0.26887160298039936</v>
      </c>
      <c r="Q831" s="3" t="str">
        <f t="shared" si="51"/>
        <v>No</v>
      </c>
    </row>
    <row r="832" spans="1:17" ht="21" customHeight="1">
      <c r="A832" s="3" t="s">
        <v>1422</v>
      </c>
      <c r="B832" s="5">
        <v>45528</v>
      </c>
      <c r="C832" s="3" t="s">
        <v>347</v>
      </c>
      <c r="D832" s="3" t="s">
        <v>45</v>
      </c>
      <c r="E832" s="3" t="s">
        <v>40</v>
      </c>
      <c r="F832" s="3" t="s">
        <v>160</v>
      </c>
      <c r="G832" s="3" t="s">
        <v>161</v>
      </c>
      <c r="H832" s="3">
        <v>1</v>
      </c>
      <c r="I832" s="7">
        <v>13558.2</v>
      </c>
      <c r="J832" s="9">
        <v>0.4</v>
      </c>
      <c r="K832" s="7">
        <v>8134.92</v>
      </c>
      <c r="L832" s="7">
        <v>-1108</v>
      </c>
      <c r="M832" s="3" t="s">
        <v>56</v>
      </c>
      <c r="N832" s="3" t="str">
        <f t="shared" si="48"/>
        <v>2024-08</v>
      </c>
      <c r="O832" s="3" t="str">
        <f t="shared" si="49"/>
        <v>21%+</v>
      </c>
      <c r="P832" s="9">
        <f t="shared" si="50"/>
        <v>-0.13620293745974146</v>
      </c>
      <c r="Q832" s="3" t="str">
        <f t="shared" si="51"/>
        <v>Yes</v>
      </c>
    </row>
    <row r="833" spans="1:17" ht="21" customHeight="1">
      <c r="A833" s="3" t="s">
        <v>1423</v>
      </c>
      <c r="B833" s="5">
        <v>45528</v>
      </c>
      <c r="C833" s="3" t="s">
        <v>1424</v>
      </c>
      <c r="D833" s="3" t="s">
        <v>45</v>
      </c>
      <c r="E833" s="3" t="s">
        <v>39</v>
      </c>
      <c r="F833" s="3" t="s">
        <v>130</v>
      </c>
      <c r="G833" s="3" t="s">
        <v>131</v>
      </c>
      <c r="H833" s="3">
        <v>5</v>
      </c>
      <c r="I833" s="7">
        <v>2199.04</v>
      </c>
      <c r="J833" s="9">
        <v>0.25</v>
      </c>
      <c r="K833" s="7">
        <v>8246.4</v>
      </c>
      <c r="L833" s="7">
        <v>940.41</v>
      </c>
      <c r="M833" s="3" t="s">
        <v>56</v>
      </c>
      <c r="N833" s="3" t="str">
        <f t="shared" si="48"/>
        <v>2024-08</v>
      </c>
      <c r="O833" s="3" t="str">
        <f t="shared" si="49"/>
        <v>21%+</v>
      </c>
      <c r="P833" s="9">
        <f t="shared" si="50"/>
        <v>0.11403885331781141</v>
      </c>
      <c r="Q833" s="3" t="str">
        <f t="shared" si="51"/>
        <v>No</v>
      </c>
    </row>
    <row r="834" spans="1:17" ht="21" customHeight="1">
      <c r="A834" s="3" t="s">
        <v>1425</v>
      </c>
      <c r="B834" s="5">
        <v>45528</v>
      </c>
      <c r="C834" s="3" t="s">
        <v>89</v>
      </c>
      <c r="D834" s="3" t="s">
        <v>45</v>
      </c>
      <c r="E834" s="3" t="s">
        <v>40</v>
      </c>
      <c r="F834" s="3" t="s">
        <v>102</v>
      </c>
      <c r="G834" s="3" t="s">
        <v>103</v>
      </c>
      <c r="H834" s="3">
        <v>5</v>
      </c>
      <c r="I834" s="7">
        <v>6414.15</v>
      </c>
      <c r="J834" s="9">
        <v>0</v>
      </c>
      <c r="K834" s="7">
        <v>32070.75</v>
      </c>
      <c r="L834" s="7">
        <v>11709.85</v>
      </c>
      <c r="M834" s="3" t="s">
        <v>56</v>
      </c>
      <c r="N834" s="3" t="str">
        <f t="shared" ref="N834:N897" si="52">TEXT(B834,"yyyy-mm")</f>
        <v>2024-08</v>
      </c>
      <c r="O834" s="3" t="str">
        <f t="shared" ref="O834:O897" si="53">IF(J834=0,"No discount",IF(J834&lt;=0.1,"1-10%",IF(J834&lt;=0.15,"11-15%",IF(J834&lt;=0.2,"16-20%","21%+"))))</f>
        <v>No discount</v>
      </c>
      <c r="P834" s="9">
        <f t="shared" ref="P834:P897" si="54">IF(K834=0,0,L834/K834)</f>
        <v>0.36512554274533648</v>
      </c>
      <c r="Q834" s="3" t="str">
        <f t="shared" ref="Q834:Q897" si="55">IF(L834&lt;0,"Yes","No")</f>
        <v>No</v>
      </c>
    </row>
    <row r="835" spans="1:17" ht="21" customHeight="1">
      <c r="A835" s="3" t="s">
        <v>1426</v>
      </c>
      <c r="B835" s="5">
        <v>45528</v>
      </c>
      <c r="C835" s="3" t="s">
        <v>1427</v>
      </c>
      <c r="D835" s="3" t="s">
        <v>46</v>
      </c>
      <c r="E835" s="3" t="s">
        <v>41</v>
      </c>
      <c r="F835" s="3" t="s">
        <v>119</v>
      </c>
      <c r="G835" s="3" t="s">
        <v>120</v>
      </c>
      <c r="H835" s="3">
        <v>1</v>
      </c>
      <c r="I835" s="7">
        <v>1262.56</v>
      </c>
      <c r="J835" s="9">
        <v>0.1</v>
      </c>
      <c r="K835" s="7">
        <v>1136.3</v>
      </c>
      <c r="L835" s="7">
        <v>326.51</v>
      </c>
      <c r="M835" s="3" t="s">
        <v>56</v>
      </c>
      <c r="N835" s="3" t="str">
        <f t="shared" si="52"/>
        <v>2024-08</v>
      </c>
      <c r="O835" s="3" t="str">
        <f t="shared" si="53"/>
        <v>1-10%</v>
      </c>
      <c r="P835" s="9">
        <f t="shared" si="54"/>
        <v>0.28734489131391361</v>
      </c>
      <c r="Q835" s="3" t="str">
        <f t="shared" si="55"/>
        <v>No</v>
      </c>
    </row>
    <row r="836" spans="1:17" ht="21" customHeight="1">
      <c r="A836" s="3" t="s">
        <v>1428</v>
      </c>
      <c r="B836" s="5">
        <v>45528</v>
      </c>
      <c r="C836" s="3" t="s">
        <v>750</v>
      </c>
      <c r="D836" s="3" t="s">
        <v>44</v>
      </c>
      <c r="E836" s="3" t="s">
        <v>42</v>
      </c>
      <c r="F836" s="3" t="s">
        <v>90</v>
      </c>
      <c r="G836" s="3" t="s">
        <v>106</v>
      </c>
      <c r="H836" s="3">
        <v>3</v>
      </c>
      <c r="I836" s="7">
        <v>928.12</v>
      </c>
      <c r="J836" s="9">
        <v>0.05</v>
      </c>
      <c r="K836" s="7">
        <v>2645.14</v>
      </c>
      <c r="L836" s="7">
        <v>1401.59</v>
      </c>
      <c r="M836" s="3" t="s">
        <v>57</v>
      </c>
      <c r="N836" s="3" t="str">
        <f t="shared" si="52"/>
        <v>2024-08</v>
      </c>
      <c r="O836" s="3" t="str">
        <f t="shared" si="53"/>
        <v>1-10%</v>
      </c>
      <c r="P836" s="9">
        <f t="shared" si="54"/>
        <v>0.52987365508063844</v>
      </c>
      <c r="Q836" s="3" t="str">
        <f t="shared" si="55"/>
        <v>No</v>
      </c>
    </row>
    <row r="837" spans="1:17" ht="21" customHeight="1">
      <c r="A837" s="3" t="s">
        <v>1429</v>
      </c>
      <c r="B837" s="5">
        <v>45529</v>
      </c>
      <c r="C837" s="3" t="s">
        <v>673</v>
      </c>
      <c r="D837" s="3" t="s">
        <v>45</v>
      </c>
      <c r="E837" s="3" t="s">
        <v>42</v>
      </c>
      <c r="F837" s="3" t="s">
        <v>90</v>
      </c>
      <c r="G837" s="3" t="s">
        <v>106</v>
      </c>
      <c r="H837" s="3">
        <v>1</v>
      </c>
      <c r="I837" s="7">
        <v>888.44</v>
      </c>
      <c r="J837" s="9">
        <v>0.1</v>
      </c>
      <c r="K837" s="7">
        <v>799.6</v>
      </c>
      <c r="L837" s="7">
        <v>359.54</v>
      </c>
      <c r="M837" s="3" t="s">
        <v>57</v>
      </c>
      <c r="N837" s="3" t="str">
        <f t="shared" si="52"/>
        <v>2024-08</v>
      </c>
      <c r="O837" s="3" t="str">
        <f t="shared" si="53"/>
        <v>1-10%</v>
      </c>
      <c r="P837" s="9">
        <f t="shared" si="54"/>
        <v>0.44964982491245625</v>
      </c>
      <c r="Q837" s="3" t="str">
        <f t="shared" si="55"/>
        <v>No</v>
      </c>
    </row>
    <row r="838" spans="1:17" ht="21" customHeight="1">
      <c r="A838" s="3" t="s">
        <v>1430</v>
      </c>
      <c r="B838" s="5">
        <v>45530</v>
      </c>
      <c r="C838" s="3" t="s">
        <v>1431</v>
      </c>
      <c r="D838" s="3" t="s">
        <v>44</v>
      </c>
      <c r="E838" s="3" t="s">
        <v>39</v>
      </c>
      <c r="F838" s="3" t="s">
        <v>130</v>
      </c>
      <c r="G838" s="3" t="s">
        <v>193</v>
      </c>
      <c r="H838" s="3">
        <v>1</v>
      </c>
      <c r="I838" s="7">
        <v>1713.03</v>
      </c>
      <c r="J838" s="9">
        <v>0.3</v>
      </c>
      <c r="K838" s="7">
        <v>1199.1199999999999</v>
      </c>
      <c r="L838" s="7">
        <v>135.24</v>
      </c>
      <c r="M838" s="3" t="s">
        <v>56</v>
      </c>
      <c r="N838" s="3" t="str">
        <f t="shared" si="52"/>
        <v>2024-08</v>
      </c>
      <c r="O838" s="3" t="str">
        <f t="shared" si="53"/>
        <v>21%+</v>
      </c>
      <c r="P838" s="9">
        <f t="shared" si="54"/>
        <v>0.1127827073187004</v>
      </c>
      <c r="Q838" s="3" t="str">
        <f t="shared" si="55"/>
        <v>No</v>
      </c>
    </row>
    <row r="839" spans="1:17" ht="21" customHeight="1">
      <c r="A839" s="3" t="s">
        <v>1432</v>
      </c>
      <c r="B839" s="5">
        <v>45530</v>
      </c>
      <c r="C839" s="3" t="s">
        <v>1433</v>
      </c>
      <c r="D839" s="3" t="s">
        <v>45</v>
      </c>
      <c r="E839" s="3" t="s">
        <v>39</v>
      </c>
      <c r="F839" s="3" t="s">
        <v>130</v>
      </c>
      <c r="G839" s="3" t="s">
        <v>193</v>
      </c>
      <c r="H839" s="3">
        <v>1</v>
      </c>
      <c r="I839" s="7">
        <v>1838</v>
      </c>
      <c r="J839" s="9">
        <v>0.1</v>
      </c>
      <c r="K839" s="7">
        <v>1654.2</v>
      </c>
      <c r="L839" s="7">
        <v>466.65</v>
      </c>
      <c r="M839" s="3" t="s">
        <v>56</v>
      </c>
      <c r="N839" s="3" t="str">
        <f t="shared" si="52"/>
        <v>2024-08</v>
      </c>
      <c r="O839" s="3" t="str">
        <f t="shared" si="53"/>
        <v>1-10%</v>
      </c>
      <c r="P839" s="9">
        <f t="shared" si="54"/>
        <v>0.28210010881392816</v>
      </c>
      <c r="Q839" s="3" t="str">
        <f t="shared" si="55"/>
        <v>No</v>
      </c>
    </row>
    <row r="840" spans="1:17" ht="21" customHeight="1">
      <c r="A840" s="3" t="s">
        <v>1434</v>
      </c>
      <c r="B840" s="5">
        <v>45530</v>
      </c>
      <c r="C840" s="3" t="s">
        <v>816</v>
      </c>
      <c r="D840" s="3" t="s">
        <v>45</v>
      </c>
      <c r="E840" s="3" t="s">
        <v>38</v>
      </c>
      <c r="F840" s="3" t="s">
        <v>94</v>
      </c>
      <c r="G840" s="3" t="s">
        <v>213</v>
      </c>
      <c r="H840" s="3">
        <v>2</v>
      </c>
      <c r="I840" s="7">
        <v>52876.15</v>
      </c>
      <c r="J840" s="9">
        <v>0.1</v>
      </c>
      <c r="K840" s="7">
        <v>95177.07</v>
      </c>
      <c r="L840" s="7">
        <v>4421.58</v>
      </c>
      <c r="M840" s="3" t="s">
        <v>57</v>
      </c>
      <c r="N840" s="3" t="str">
        <f t="shared" si="52"/>
        <v>2024-08</v>
      </c>
      <c r="O840" s="3" t="str">
        <f t="shared" si="53"/>
        <v>1-10%</v>
      </c>
      <c r="P840" s="9">
        <f t="shared" si="54"/>
        <v>4.6456357607982675E-2</v>
      </c>
      <c r="Q840" s="3" t="str">
        <f t="shared" si="55"/>
        <v>No</v>
      </c>
    </row>
    <row r="841" spans="1:17" ht="21" customHeight="1">
      <c r="A841" s="3" t="s">
        <v>1435</v>
      </c>
      <c r="B841" s="5">
        <v>45530</v>
      </c>
      <c r="C841" s="3" t="s">
        <v>825</v>
      </c>
      <c r="D841" s="3" t="s">
        <v>44</v>
      </c>
      <c r="E841" s="3" t="s">
        <v>42</v>
      </c>
      <c r="F841" s="3" t="s">
        <v>90</v>
      </c>
      <c r="G841" s="3" t="s">
        <v>106</v>
      </c>
      <c r="H841" s="3">
        <v>2</v>
      </c>
      <c r="I841" s="7">
        <v>902.28</v>
      </c>
      <c r="J841" s="9">
        <v>0.1</v>
      </c>
      <c r="K841" s="7">
        <v>1624.1</v>
      </c>
      <c r="L841" s="7">
        <v>662.27</v>
      </c>
      <c r="M841" s="3" t="s">
        <v>56</v>
      </c>
      <c r="N841" s="3" t="str">
        <f t="shared" si="52"/>
        <v>2024-08</v>
      </c>
      <c r="O841" s="3" t="str">
        <f t="shared" si="53"/>
        <v>1-10%</v>
      </c>
      <c r="P841" s="9">
        <f t="shared" si="54"/>
        <v>0.40777661474047167</v>
      </c>
      <c r="Q841" s="3" t="str">
        <f t="shared" si="55"/>
        <v>No</v>
      </c>
    </row>
    <row r="842" spans="1:17" ht="21" customHeight="1">
      <c r="A842" s="3" t="s">
        <v>1436</v>
      </c>
      <c r="B842" s="5">
        <v>45531</v>
      </c>
      <c r="C842" s="3" t="s">
        <v>893</v>
      </c>
      <c r="D842" s="3" t="s">
        <v>45</v>
      </c>
      <c r="E842" s="3" t="s">
        <v>38</v>
      </c>
      <c r="F842" s="3" t="s">
        <v>142</v>
      </c>
      <c r="G842" s="3" t="s">
        <v>143</v>
      </c>
      <c r="H842" s="3">
        <v>1</v>
      </c>
      <c r="I842" s="7">
        <v>9362.3799999999992</v>
      </c>
      <c r="J842" s="9">
        <v>0.05</v>
      </c>
      <c r="K842" s="7">
        <v>8894.26</v>
      </c>
      <c r="L842" s="7">
        <v>851.55</v>
      </c>
      <c r="M842" s="3" t="s">
        <v>56</v>
      </c>
      <c r="N842" s="3" t="str">
        <f t="shared" si="52"/>
        <v>2024-08</v>
      </c>
      <c r="O842" s="3" t="str">
        <f t="shared" si="53"/>
        <v>1-10%</v>
      </c>
      <c r="P842" s="9">
        <f t="shared" si="54"/>
        <v>9.5741523184615693E-2</v>
      </c>
      <c r="Q842" s="3" t="str">
        <f t="shared" si="55"/>
        <v>No</v>
      </c>
    </row>
    <row r="843" spans="1:17" ht="21" customHeight="1">
      <c r="A843" s="3" t="s">
        <v>1437</v>
      </c>
      <c r="B843" s="5">
        <v>45531</v>
      </c>
      <c r="C843" s="3" t="s">
        <v>1241</v>
      </c>
      <c r="D843" s="3" t="s">
        <v>46</v>
      </c>
      <c r="E843" s="3" t="s">
        <v>41</v>
      </c>
      <c r="F843" s="3" t="s">
        <v>113</v>
      </c>
      <c r="G843" s="3" t="s">
        <v>123</v>
      </c>
      <c r="H843" s="3">
        <v>3</v>
      </c>
      <c r="I843" s="7">
        <v>3521.95</v>
      </c>
      <c r="J843" s="9">
        <v>0.4</v>
      </c>
      <c r="K843" s="7">
        <v>6339.51</v>
      </c>
      <c r="L843" s="7">
        <v>-307.17</v>
      </c>
      <c r="M843" s="3" t="s">
        <v>57</v>
      </c>
      <c r="N843" s="3" t="str">
        <f t="shared" si="52"/>
        <v>2024-08</v>
      </c>
      <c r="O843" s="3" t="str">
        <f t="shared" si="53"/>
        <v>21%+</v>
      </c>
      <c r="P843" s="9">
        <f t="shared" si="54"/>
        <v>-4.8453271625094052E-2</v>
      </c>
      <c r="Q843" s="3" t="str">
        <f t="shared" si="55"/>
        <v>Yes</v>
      </c>
    </row>
    <row r="844" spans="1:17" ht="21" customHeight="1">
      <c r="A844" s="3" t="s">
        <v>1438</v>
      </c>
      <c r="B844" s="5">
        <v>45531</v>
      </c>
      <c r="C844" s="3" t="s">
        <v>339</v>
      </c>
      <c r="D844" s="3" t="s">
        <v>46</v>
      </c>
      <c r="E844" s="3" t="s">
        <v>38</v>
      </c>
      <c r="F844" s="3" t="s">
        <v>94</v>
      </c>
      <c r="G844" s="3" t="s">
        <v>95</v>
      </c>
      <c r="H844" s="3">
        <v>1</v>
      </c>
      <c r="I844" s="7">
        <v>76314.350000000006</v>
      </c>
      <c r="J844" s="9">
        <v>0.15</v>
      </c>
      <c r="K844" s="7">
        <v>64867.199999999997</v>
      </c>
      <c r="L844" s="7">
        <v>2614.21</v>
      </c>
      <c r="M844" s="3" t="s">
        <v>57</v>
      </c>
      <c r="N844" s="3" t="str">
        <f t="shared" si="52"/>
        <v>2024-08</v>
      </c>
      <c r="O844" s="3" t="str">
        <f t="shared" si="53"/>
        <v>11-15%</v>
      </c>
      <c r="P844" s="9">
        <f t="shared" si="54"/>
        <v>4.0300953332346706E-2</v>
      </c>
      <c r="Q844" s="3" t="str">
        <f t="shared" si="55"/>
        <v>No</v>
      </c>
    </row>
    <row r="845" spans="1:17" ht="21" customHeight="1">
      <c r="A845" s="3" t="s">
        <v>1439</v>
      </c>
      <c r="B845" s="5">
        <v>45532</v>
      </c>
      <c r="C845" s="3" t="s">
        <v>1232</v>
      </c>
      <c r="D845" s="3" t="s">
        <v>45</v>
      </c>
      <c r="E845" s="3" t="s">
        <v>40</v>
      </c>
      <c r="F845" s="3" t="s">
        <v>102</v>
      </c>
      <c r="G845" s="3" t="s">
        <v>146</v>
      </c>
      <c r="H845" s="3">
        <v>1</v>
      </c>
      <c r="I845" s="7">
        <v>8063.47</v>
      </c>
      <c r="J845" s="9">
        <v>0</v>
      </c>
      <c r="K845" s="7">
        <v>8063.47</v>
      </c>
      <c r="L845" s="7">
        <v>2952.22</v>
      </c>
      <c r="M845" s="3" t="s">
        <v>57</v>
      </c>
      <c r="N845" s="3" t="str">
        <f t="shared" si="52"/>
        <v>2024-08</v>
      </c>
      <c r="O845" s="3" t="str">
        <f t="shared" si="53"/>
        <v>No discount</v>
      </c>
      <c r="P845" s="9">
        <f t="shared" si="54"/>
        <v>0.36612277344617139</v>
      </c>
      <c r="Q845" s="3" t="str">
        <f t="shared" si="55"/>
        <v>No</v>
      </c>
    </row>
    <row r="846" spans="1:17" ht="21" customHeight="1">
      <c r="A846" s="3" t="s">
        <v>1440</v>
      </c>
      <c r="B846" s="5">
        <v>45532</v>
      </c>
      <c r="C846" s="3" t="s">
        <v>1441</v>
      </c>
      <c r="D846" s="3" t="s">
        <v>44</v>
      </c>
      <c r="E846" s="3" t="s">
        <v>42</v>
      </c>
      <c r="F846" s="3" t="s">
        <v>126</v>
      </c>
      <c r="G846" s="3" t="s">
        <v>151</v>
      </c>
      <c r="H846" s="3">
        <v>2</v>
      </c>
      <c r="I846" s="7">
        <v>1571.24</v>
      </c>
      <c r="J846" s="9">
        <v>0.15</v>
      </c>
      <c r="K846" s="7">
        <v>2671.11</v>
      </c>
      <c r="L846" s="7">
        <v>1073.18</v>
      </c>
      <c r="M846" s="3" t="s">
        <v>56</v>
      </c>
      <c r="N846" s="3" t="str">
        <f t="shared" si="52"/>
        <v>2024-08</v>
      </c>
      <c r="O846" s="3" t="str">
        <f t="shared" si="53"/>
        <v>11-15%</v>
      </c>
      <c r="P846" s="9">
        <f t="shared" si="54"/>
        <v>0.40177304566266459</v>
      </c>
      <c r="Q846" s="3" t="str">
        <f t="shared" si="55"/>
        <v>No</v>
      </c>
    </row>
    <row r="847" spans="1:17" ht="21" customHeight="1">
      <c r="A847" s="3" t="s">
        <v>1442</v>
      </c>
      <c r="B847" s="5">
        <v>45532</v>
      </c>
      <c r="C847" s="3" t="s">
        <v>188</v>
      </c>
      <c r="D847" s="3" t="s">
        <v>44</v>
      </c>
      <c r="E847" s="3" t="s">
        <v>38</v>
      </c>
      <c r="F847" s="3" t="s">
        <v>142</v>
      </c>
      <c r="G847" s="3" t="s">
        <v>245</v>
      </c>
      <c r="H847" s="3">
        <v>2</v>
      </c>
      <c r="I847" s="7">
        <v>4997.34</v>
      </c>
      <c r="J847" s="9">
        <v>0.15</v>
      </c>
      <c r="K847" s="7">
        <v>8495.48</v>
      </c>
      <c r="L847" s="7">
        <v>353.89</v>
      </c>
      <c r="M847" s="3" t="s">
        <v>56</v>
      </c>
      <c r="N847" s="3" t="str">
        <f t="shared" si="52"/>
        <v>2024-08</v>
      </c>
      <c r="O847" s="3" t="str">
        <f t="shared" si="53"/>
        <v>11-15%</v>
      </c>
      <c r="P847" s="9">
        <f t="shared" si="54"/>
        <v>4.1656268980681491E-2</v>
      </c>
      <c r="Q847" s="3" t="str">
        <f t="shared" si="55"/>
        <v>No</v>
      </c>
    </row>
    <row r="848" spans="1:17" ht="21" customHeight="1">
      <c r="A848" s="3" t="s">
        <v>1443</v>
      </c>
      <c r="B848" s="5">
        <v>45532</v>
      </c>
      <c r="C848" s="3" t="s">
        <v>739</v>
      </c>
      <c r="D848" s="3" t="s">
        <v>46</v>
      </c>
      <c r="E848" s="3" t="s">
        <v>39</v>
      </c>
      <c r="F848" s="3" t="s">
        <v>130</v>
      </c>
      <c r="G848" s="3" t="s">
        <v>193</v>
      </c>
      <c r="H848" s="3">
        <v>2</v>
      </c>
      <c r="I848" s="7">
        <v>1772.42</v>
      </c>
      <c r="J848" s="9">
        <v>0.3</v>
      </c>
      <c r="K848" s="7">
        <v>2481.39</v>
      </c>
      <c r="L848" s="7">
        <v>264.17</v>
      </c>
      <c r="M848" s="3" t="s">
        <v>56</v>
      </c>
      <c r="N848" s="3" t="str">
        <f t="shared" si="52"/>
        <v>2024-08</v>
      </c>
      <c r="O848" s="3" t="str">
        <f t="shared" si="53"/>
        <v>21%+</v>
      </c>
      <c r="P848" s="9">
        <f t="shared" si="54"/>
        <v>0.10646049190171639</v>
      </c>
      <c r="Q848" s="3" t="str">
        <f t="shared" si="55"/>
        <v>No</v>
      </c>
    </row>
    <row r="849" spans="1:17" ht="21" customHeight="1">
      <c r="A849" s="3" t="s">
        <v>1444</v>
      </c>
      <c r="B849" s="5">
        <v>45532</v>
      </c>
      <c r="C849" s="3" t="s">
        <v>607</v>
      </c>
      <c r="D849" s="3" t="s">
        <v>45</v>
      </c>
      <c r="E849" s="3" t="s">
        <v>41</v>
      </c>
      <c r="F849" s="3" t="s">
        <v>119</v>
      </c>
      <c r="G849" s="3" t="s">
        <v>120</v>
      </c>
      <c r="H849" s="3">
        <v>1</v>
      </c>
      <c r="I849" s="7">
        <v>1327.89</v>
      </c>
      <c r="J849" s="9">
        <v>0</v>
      </c>
      <c r="K849" s="7">
        <v>1327.89</v>
      </c>
      <c r="L849" s="7">
        <v>514.09</v>
      </c>
      <c r="M849" s="3" t="s">
        <v>57</v>
      </c>
      <c r="N849" s="3" t="str">
        <f t="shared" si="52"/>
        <v>2024-08</v>
      </c>
      <c r="O849" s="3" t="str">
        <f t="shared" si="53"/>
        <v>No discount</v>
      </c>
      <c r="P849" s="9">
        <f t="shared" si="54"/>
        <v>0.38714803183998675</v>
      </c>
      <c r="Q849" s="3" t="str">
        <f t="shared" si="55"/>
        <v>No</v>
      </c>
    </row>
    <row r="850" spans="1:17" ht="21" customHeight="1">
      <c r="A850" s="3" t="s">
        <v>1445</v>
      </c>
      <c r="B850" s="5">
        <v>45533</v>
      </c>
      <c r="C850" s="3" t="s">
        <v>762</v>
      </c>
      <c r="D850" s="3" t="s">
        <v>46</v>
      </c>
      <c r="E850" s="3" t="s">
        <v>42</v>
      </c>
      <c r="F850" s="3" t="s">
        <v>90</v>
      </c>
      <c r="G850" s="3" t="s">
        <v>91</v>
      </c>
      <c r="H850" s="3">
        <v>1</v>
      </c>
      <c r="I850" s="7">
        <v>1182.27</v>
      </c>
      <c r="J850" s="9">
        <v>0</v>
      </c>
      <c r="K850" s="7">
        <v>1182.27</v>
      </c>
      <c r="L850" s="7">
        <v>607.88</v>
      </c>
      <c r="M850" s="3" t="s">
        <v>60</v>
      </c>
      <c r="N850" s="3" t="str">
        <f t="shared" si="52"/>
        <v>2024-08</v>
      </c>
      <c r="O850" s="3" t="str">
        <f t="shared" si="53"/>
        <v>No discount</v>
      </c>
      <c r="P850" s="9">
        <f t="shared" si="54"/>
        <v>0.5141634313650858</v>
      </c>
      <c r="Q850" s="3" t="str">
        <f t="shared" si="55"/>
        <v>No</v>
      </c>
    </row>
    <row r="851" spans="1:17" ht="21" customHeight="1">
      <c r="A851" s="3" t="s">
        <v>1446</v>
      </c>
      <c r="B851" s="5">
        <v>45533</v>
      </c>
      <c r="C851" s="3" t="s">
        <v>1447</v>
      </c>
      <c r="D851" s="3" t="s">
        <v>47</v>
      </c>
      <c r="E851" s="3" t="s">
        <v>38</v>
      </c>
      <c r="F851" s="3" t="s">
        <v>142</v>
      </c>
      <c r="G851" s="3" t="s">
        <v>245</v>
      </c>
      <c r="H851" s="3">
        <v>3</v>
      </c>
      <c r="I851" s="7">
        <v>5203.8500000000004</v>
      </c>
      <c r="J851" s="9">
        <v>0.05</v>
      </c>
      <c r="K851" s="7">
        <v>14830.97</v>
      </c>
      <c r="L851" s="7">
        <v>1689.81</v>
      </c>
      <c r="M851" s="3" t="s">
        <v>56</v>
      </c>
      <c r="N851" s="3" t="str">
        <f t="shared" si="52"/>
        <v>2024-08</v>
      </c>
      <c r="O851" s="3" t="str">
        <f t="shared" si="53"/>
        <v>1-10%</v>
      </c>
      <c r="P851" s="9">
        <f t="shared" si="54"/>
        <v>0.11393792853737821</v>
      </c>
      <c r="Q851" s="3" t="str">
        <f t="shared" si="55"/>
        <v>No</v>
      </c>
    </row>
    <row r="852" spans="1:17" ht="21" customHeight="1">
      <c r="A852" s="3" t="s">
        <v>1448</v>
      </c>
      <c r="B852" s="5">
        <v>45533</v>
      </c>
      <c r="C852" s="3" t="s">
        <v>803</v>
      </c>
      <c r="D852" s="3" t="s">
        <v>47</v>
      </c>
      <c r="E852" s="3" t="s">
        <v>42</v>
      </c>
      <c r="F852" s="3" t="s">
        <v>90</v>
      </c>
      <c r="G852" s="3" t="s">
        <v>106</v>
      </c>
      <c r="H852" s="3">
        <v>4</v>
      </c>
      <c r="I852" s="7">
        <v>868.87</v>
      </c>
      <c r="J852" s="9">
        <v>0.1</v>
      </c>
      <c r="K852" s="7">
        <v>3127.93</v>
      </c>
      <c r="L852" s="7">
        <v>1285.3699999999999</v>
      </c>
      <c r="M852" s="3" t="s">
        <v>56</v>
      </c>
      <c r="N852" s="3" t="str">
        <f t="shared" si="52"/>
        <v>2024-08</v>
      </c>
      <c r="O852" s="3" t="str">
        <f t="shared" si="53"/>
        <v>1-10%</v>
      </c>
      <c r="P852" s="9">
        <f t="shared" si="54"/>
        <v>0.41093310911689201</v>
      </c>
      <c r="Q852" s="3" t="str">
        <f t="shared" si="55"/>
        <v>No</v>
      </c>
    </row>
    <row r="853" spans="1:17" ht="21" customHeight="1">
      <c r="A853" s="3" t="s">
        <v>1449</v>
      </c>
      <c r="B853" s="5">
        <v>45533</v>
      </c>
      <c r="C853" s="3" t="s">
        <v>916</v>
      </c>
      <c r="D853" s="3" t="s">
        <v>46</v>
      </c>
      <c r="E853" s="3" t="s">
        <v>39</v>
      </c>
      <c r="F853" s="3" t="s">
        <v>109</v>
      </c>
      <c r="G853" s="3" t="s">
        <v>110</v>
      </c>
      <c r="H853" s="3">
        <v>2</v>
      </c>
      <c r="I853" s="7">
        <v>3135.56</v>
      </c>
      <c r="J853" s="9">
        <v>0.2</v>
      </c>
      <c r="K853" s="7">
        <v>5016.8999999999996</v>
      </c>
      <c r="L853" s="7">
        <v>1046.6500000000001</v>
      </c>
      <c r="M853" s="3" t="s">
        <v>57</v>
      </c>
      <c r="N853" s="3" t="str">
        <f t="shared" si="52"/>
        <v>2024-08</v>
      </c>
      <c r="O853" s="3" t="str">
        <f t="shared" si="53"/>
        <v>16-20%</v>
      </c>
      <c r="P853" s="9">
        <f t="shared" si="54"/>
        <v>0.20862484801371367</v>
      </c>
      <c r="Q853" s="3" t="str">
        <f t="shared" si="55"/>
        <v>No</v>
      </c>
    </row>
    <row r="854" spans="1:17" ht="21" customHeight="1">
      <c r="A854" s="3" t="s">
        <v>1450</v>
      </c>
      <c r="B854" s="5">
        <v>45533</v>
      </c>
      <c r="C854" s="3" t="s">
        <v>1451</v>
      </c>
      <c r="D854" s="3" t="s">
        <v>44</v>
      </c>
      <c r="E854" s="3" t="s">
        <v>41</v>
      </c>
      <c r="F854" s="3" t="s">
        <v>119</v>
      </c>
      <c r="G854" s="3" t="s">
        <v>168</v>
      </c>
      <c r="H854" s="3">
        <v>4</v>
      </c>
      <c r="I854" s="7">
        <v>9683.27</v>
      </c>
      <c r="J854" s="9">
        <v>0.15</v>
      </c>
      <c r="K854" s="7">
        <v>32923.120000000003</v>
      </c>
      <c r="L854" s="7">
        <v>7766.85</v>
      </c>
      <c r="M854" s="3" t="s">
        <v>56</v>
      </c>
      <c r="N854" s="3" t="str">
        <f t="shared" si="52"/>
        <v>2024-08</v>
      </c>
      <c r="O854" s="3" t="str">
        <f t="shared" si="53"/>
        <v>11-15%</v>
      </c>
      <c r="P854" s="9">
        <f t="shared" si="54"/>
        <v>0.23590868666153147</v>
      </c>
      <c r="Q854" s="3" t="str">
        <f t="shared" si="55"/>
        <v>No</v>
      </c>
    </row>
    <row r="855" spans="1:17" ht="21" customHeight="1">
      <c r="A855" s="3" t="s">
        <v>1452</v>
      </c>
      <c r="B855" s="5">
        <v>45534</v>
      </c>
      <c r="C855" s="3" t="s">
        <v>314</v>
      </c>
      <c r="D855" s="3" t="s">
        <v>47</v>
      </c>
      <c r="E855" s="3" t="s">
        <v>38</v>
      </c>
      <c r="F855" s="3" t="s">
        <v>142</v>
      </c>
      <c r="G855" s="3" t="s">
        <v>245</v>
      </c>
      <c r="H855" s="3">
        <v>1</v>
      </c>
      <c r="I855" s="7">
        <v>4973.87</v>
      </c>
      <c r="J855" s="9">
        <v>0.4</v>
      </c>
      <c r="K855" s="7">
        <v>2984.32</v>
      </c>
      <c r="L855" s="7">
        <v>-871.76</v>
      </c>
      <c r="M855" s="3" t="s">
        <v>57</v>
      </c>
      <c r="N855" s="3" t="str">
        <f t="shared" si="52"/>
        <v>2024-08</v>
      </c>
      <c r="O855" s="3" t="str">
        <f t="shared" si="53"/>
        <v>21%+</v>
      </c>
      <c r="P855" s="9">
        <f t="shared" si="54"/>
        <v>-0.29211344627921937</v>
      </c>
      <c r="Q855" s="3" t="str">
        <f t="shared" si="55"/>
        <v>Yes</v>
      </c>
    </row>
    <row r="856" spans="1:17" ht="21" customHeight="1">
      <c r="A856" s="3" t="s">
        <v>1453</v>
      </c>
      <c r="B856" s="5">
        <v>45534</v>
      </c>
      <c r="C856" s="3" t="s">
        <v>1454</v>
      </c>
      <c r="D856" s="3" t="s">
        <v>44</v>
      </c>
      <c r="E856" s="3" t="s">
        <v>40</v>
      </c>
      <c r="F856" s="3" t="s">
        <v>160</v>
      </c>
      <c r="G856" s="3" t="s">
        <v>173</v>
      </c>
      <c r="H856" s="3">
        <v>1</v>
      </c>
      <c r="I856" s="7">
        <v>9078.75</v>
      </c>
      <c r="J856" s="9">
        <v>0</v>
      </c>
      <c r="K856" s="7">
        <v>9078.75</v>
      </c>
      <c r="L856" s="7">
        <v>2959.55</v>
      </c>
      <c r="M856" s="3" t="s">
        <v>56</v>
      </c>
      <c r="N856" s="3" t="str">
        <f t="shared" si="52"/>
        <v>2024-08</v>
      </c>
      <c r="O856" s="3" t="str">
        <f t="shared" si="53"/>
        <v>No discount</v>
      </c>
      <c r="P856" s="9">
        <f t="shared" si="54"/>
        <v>0.3259865069530497</v>
      </c>
      <c r="Q856" s="3" t="str">
        <f t="shared" si="55"/>
        <v>No</v>
      </c>
    </row>
    <row r="857" spans="1:17" ht="21" customHeight="1">
      <c r="A857" s="3" t="s">
        <v>1455</v>
      </c>
      <c r="B857" s="5">
        <v>45535</v>
      </c>
      <c r="C857" s="3" t="s">
        <v>349</v>
      </c>
      <c r="D857" s="3" t="s">
        <v>47</v>
      </c>
      <c r="E857" s="3" t="s">
        <v>41</v>
      </c>
      <c r="F857" s="3" t="s">
        <v>113</v>
      </c>
      <c r="G857" s="3" t="s">
        <v>123</v>
      </c>
      <c r="H857" s="3">
        <v>1</v>
      </c>
      <c r="I857" s="7">
        <v>3493.72</v>
      </c>
      <c r="J857" s="9">
        <v>0.15</v>
      </c>
      <c r="K857" s="7">
        <v>2969.66</v>
      </c>
      <c r="L857" s="7">
        <v>687.33</v>
      </c>
      <c r="M857" s="3" t="s">
        <v>56</v>
      </c>
      <c r="N857" s="3" t="str">
        <f t="shared" si="52"/>
        <v>2024-08</v>
      </c>
      <c r="O857" s="3" t="str">
        <f t="shared" si="53"/>
        <v>11-15%</v>
      </c>
      <c r="P857" s="9">
        <f t="shared" si="54"/>
        <v>0.23145073846837688</v>
      </c>
      <c r="Q857" s="3" t="str">
        <f t="shared" si="55"/>
        <v>No</v>
      </c>
    </row>
    <row r="858" spans="1:17" ht="21" customHeight="1">
      <c r="A858" s="3" t="s">
        <v>1456</v>
      </c>
      <c r="B858" s="5">
        <v>45535</v>
      </c>
      <c r="C858" s="3" t="s">
        <v>626</v>
      </c>
      <c r="D858" s="3" t="s">
        <v>44</v>
      </c>
      <c r="E858" s="3" t="s">
        <v>39</v>
      </c>
      <c r="F858" s="3" t="s">
        <v>164</v>
      </c>
      <c r="G858" s="3" t="s">
        <v>165</v>
      </c>
      <c r="H858" s="3">
        <v>1</v>
      </c>
      <c r="I858" s="7">
        <v>2088.89</v>
      </c>
      <c r="J858" s="9">
        <v>0.2</v>
      </c>
      <c r="K858" s="7">
        <v>1671.11</v>
      </c>
      <c r="L858" s="7">
        <v>375.21</v>
      </c>
      <c r="M858" s="3" t="s">
        <v>59</v>
      </c>
      <c r="N858" s="3" t="str">
        <f t="shared" si="52"/>
        <v>2024-08</v>
      </c>
      <c r="O858" s="3" t="str">
        <f t="shared" si="53"/>
        <v>16-20%</v>
      </c>
      <c r="P858" s="9">
        <f t="shared" si="54"/>
        <v>0.22452740992513959</v>
      </c>
      <c r="Q858" s="3" t="str">
        <f t="shared" si="55"/>
        <v>No</v>
      </c>
    </row>
    <row r="859" spans="1:17" ht="21" customHeight="1">
      <c r="A859" s="3" t="s">
        <v>1457</v>
      </c>
      <c r="B859" s="5">
        <v>45535</v>
      </c>
      <c r="C859" s="3" t="s">
        <v>891</v>
      </c>
      <c r="D859" s="3" t="s">
        <v>47</v>
      </c>
      <c r="E859" s="3" t="s">
        <v>39</v>
      </c>
      <c r="F859" s="3" t="s">
        <v>109</v>
      </c>
      <c r="G859" s="3" t="s">
        <v>110</v>
      </c>
      <c r="H859" s="3">
        <v>2</v>
      </c>
      <c r="I859" s="7">
        <v>3038.55</v>
      </c>
      <c r="J859" s="9">
        <v>0.15</v>
      </c>
      <c r="K859" s="7">
        <v>5165.53</v>
      </c>
      <c r="L859" s="7">
        <v>1400.04</v>
      </c>
      <c r="M859" s="3" t="s">
        <v>56</v>
      </c>
      <c r="N859" s="3" t="str">
        <f t="shared" si="52"/>
        <v>2024-08</v>
      </c>
      <c r="O859" s="3" t="str">
        <f t="shared" si="53"/>
        <v>11-15%</v>
      </c>
      <c r="P859" s="9">
        <f t="shared" si="54"/>
        <v>0.27103511159551874</v>
      </c>
      <c r="Q859" s="3" t="str">
        <f t="shared" si="55"/>
        <v>No</v>
      </c>
    </row>
    <row r="860" spans="1:17" ht="21" customHeight="1">
      <c r="A860" s="3" t="s">
        <v>1458</v>
      </c>
      <c r="B860" s="5">
        <v>45536</v>
      </c>
      <c r="C860" s="3" t="s">
        <v>1459</v>
      </c>
      <c r="D860" s="3" t="s">
        <v>47</v>
      </c>
      <c r="E860" s="3" t="s">
        <v>38</v>
      </c>
      <c r="F860" s="3" t="s">
        <v>94</v>
      </c>
      <c r="G860" s="3" t="s">
        <v>213</v>
      </c>
      <c r="H860" s="3">
        <v>2</v>
      </c>
      <c r="I860" s="7">
        <v>55833.64</v>
      </c>
      <c r="J860" s="9">
        <v>0.15</v>
      </c>
      <c r="K860" s="7">
        <v>94917.19</v>
      </c>
      <c r="L860" s="7">
        <v>2642.37</v>
      </c>
      <c r="M860" s="3" t="s">
        <v>56</v>
      </c>
      <c r="N860" s="3" t="str">
        <f t="shared" si="52"/>
        <v>2024-09</v>
      </c>
      <c r="O860" s="3" t="str">
        <f t="shared" si="53"/>
        <v>11-15%</v>
      </c>
      <c r="P860" s="9">
        <f t="shared" si="54"/>
        <v>2.7838687597051701E-2</v>
      </c>
      <c r="Q860" s="3" t="str">
        <f t="shared" si="55"/>
        <v>No</v>
      </c>
    </row>
    <row r="861" spans="1:17" ht="21" customHeight="1">
      <c r="A861" s="3" t="s">
        <v>1460</v>
      </c>
      <c r="B861" s="5">
        <v>45536</v>
      </c>
      <c r="C861" s="3" t="s">
        <v>1197</v>
      </c>
      <c r="D861" s="3" t="s">
        <v>46</v>
      </c>
      <c r="E861" s="3" t="s">
        <v>41</v>
      </c>
      <c r="F861" s="3" t="s">
        <v>113</v>
      </c>
      <c r="G861" s="3" t="s">
        <v>114</v>
      </c>
      <c r="H861" s="3">
        <v>1</v>
      </c>
      <c r="I861" s="7">
        <v>12330.07</v>
      </c>
      <c r="J861" s="9">
        <v>0.05</v>
      </c>
      <c r="K861" s="7">
        <v>11713.57</v>
      </c>
      <c r="L861" s="7">
        <v>3783.21</v>
      </c>
      <c r="M861" s="3" t="s">
        <v>59</v>
      </c>
      <c r="N861" s="3" t="str">
        <f t="shared" si="52"/>
        <v>2024-09</v>
      </c>
      <c r="O861" s="3" t="str">
        <f t="shared" si="53"/>
        <v>1-10%</v>
      </c>
      <c r="P861" s="9">
        <f t="shared" si="54"/>
        <v>0.32297668430717535</v>
      </c>
      <c r="Q861" s="3" t="str">
        <f t="shared" si="55"/>
        <v>No</v>
      </c>
    </row>
    <row r="862" spans="1:17" ht="21" customHeight="1">
      <c r="A862" s="3" t="s">
        <v>1461</v>
      </c>
      <c r="B862" s="5">
        <v>45536</v>
      </c>
      <c r="C862" s="3" t="s">
        <v>1016</v>
      </c>
      <c r="D862" s="3" t="s">
        <v>46</v>
      </c>
      <c r="E862" s="3" t="s">
        <v>40</v>
      </c>
      <c r="F862" s="3" t="s">
        <v>160</v>
      </c>
      <c r="G862" s="3" t="s">
        <v>161</v>
      </c>
      <c r="H862" s="3">
        <v>3</v>
      </c>
      <c r="I862" s="7">
        <v>12722.18</v>
      </c>
      <c r="J862" s="9">
        <v>0</v>
      </c>
      <c r="K862" s="7">
        <v>38166.54</v>
      </c>
      <c r="L862" s="7">
        <v>11558.61</v>
      </c>
      <c r="M862" s="3" t="s">
        <v>56</v>
      </c>
      <c r="N862" s="3" t="str">
        <f t="shared" si="52"/>
        <v>2024-09</v>
      </c>
      <c r="O862" s="3" t="str">
        <f t="shared" si="53"/>
        <v>No discount</v>
      </c>
      <c r="P862" s="9">
        <f t="shared" si="54"/>
        <v>0.30284668193658637</v>
      </c>
      <c r="Q862" s="3" t="str">
        <f t="shared" si="55"/>
        <v>No</v>
      </c>
    </row>
    <row r="863" spans="1:17" ht="21" customHeight="1">
      <c r="A863" s="3" t="s">
        <v>1462</v>
      </c>
      <c r="B863" s="5">
        <v>45536</v>
      </c>
      <c r="C863" s="3" t="s">
        <v>539</v>
      </c>
      <c r="D863" s="3" t="s">
        <v>46</v>
      </c>
      <c r="E863" s="3" t="s">
        <v>41</v>
      </c>
      <c r="F863" s="3" t="s">
        <v>113</v>
      </c>
      <c r="G863" s="3" t="s">
        <v>123</v>
      </c>
      <c r="H863" s="3">
        <v>2</v>
      </c>
      <c r="I863" s="7">
        <v>3601.73</v>
      </c>
      <c r="J863" s="9">
        <v>0.1</v>
      </c>
      <c r="K863" s="7">
        <v>6483.11</v>
      </c>
      <c r="L863" s="7">
        <v>1953.53</v>
      </c>
      <c r="M863" s="3" t="s">
        <v>56</v>
      </c>
      <c r="N863" s="3" t="str">
        <f t="shared" si="52"/>
        <v>2024-09</v>
      </c>
      <c r="O863" s="3" t="str">
        <f t="shared" si="53"/>
        <v>1-10%</v>
      </c>
      <c r="P863" s="9">
        <f t="shared" si="54"/>
        <v>0.30132606110339022</v>
      </c>
      <c r="Q863" s="3" t="str">
        <f t="shared" si="55"/>
        <v>No</v>
      </c>
    </row>
    <row r="864" spans="1:17" ht="21" customHeight="1">
      <c r="A864" s="3" t="s">
        <v>1463</v>
      </c>
      <c r="B864" s="5">
        <v>45536</v>
      </c>
      <c r="C864" s="3" t="s">
        <v>711</v>
      </c>
      <c r="D864" s="3" t="s">
        <v>47</v>
      </c>
      <c r="E864" s="3" t="s">
        <v>39</v>
      </c>
      <c r="F864" s="3" t="s">
        <v>130</v>
      </c>
      <c r="G864" s="3" t="s">
        <v>193</v>
      </c>
      <c r="H864" s="3">
        <v>4</v>
      </c>
      <c r="I864" s="7">
        <v>1785.23</v>
      </c>
      <c r="J864" s="9">
        <v>0.1</v>
      </c>
      <c r="K864" s="7">
        <v>6426.83</v>
      </c>
      <c r="L864" s="7">
        <v>1836.56</v>
      </c>
      <c r="M864" s="3" t="s">
        <v>57</v>
      </c>
      <c r="N864" s="3" t="str">
        <f t="shared" si="52"/>
        <v>2024-09</v>
      </c>
      <c r="O864" s="3" t="str">
        <f t="shared" si="53"/>
        <v>1-10%</v>
      </c>
      <c r="P864" s="9">
        <f t="shared" si="54"/>
        <v>0.28576452154483623</v>
      </c>
      <c r="Q864" s="3" t="str">
        <f t="shared" si="55"/>
        <v>No</v>
      </c>
    </row>
    <row r="865" spans="1:17" ht="21" customHeight="1">
      <c r="A865" s="3" t="s">
        <v>1464</v>
      </c>
      <c r="B865" s="5">
        <v>45537</v>
      </c>
      <c r="C865" s="3" t="s">
        <v>1278</v>
      </c>
      <c r="D865" s="3" t="s">
        <v>47</v>
      </c>
      <c r="E865" s="3" t="s">
        <v>40</v>
      </c>
      <c r="F865" s="3" t="s">
        <v>160</v>
      </c>
      <c r="G865" s="3" t="s">
        <v>161</v>
      </c>
      <c r="H865" s="3">
        <v>2</v>
      </c>
      <c r="I865" s="7">
        <v>12494.47</v>
      </c>
      <c r="J865" s="9">
        <v>0.05</v>
      </c>
      <c r="K865" s="7">
        <v>23739.49</v>
      </c>
      <c r="L865" s="7">
        <v>6208.79</v>
      </c>
      <c r="M865" s="3" t="s">
        <v>58</v>
      </c>
      <c r="N865" s="3" t="str">
        <f t="shared" si="52"/>
        <v>2024-09</v>
      </c>
      <c r="O865" s="3" t="str">
        <f t="shared" si="53"/>
        <v>1-10%</v>
      </c>
      <c r="P865" s="9">
        <f t="shared" si="54"/>
        <v>0.26153847449966278</v>
      </c>
      <c r="Q865" s="3" t="str">
        <f t="shared" si="55"/>
        <v>No</v>
      </c>
    </row>
    <row r="866" spans="1:17" ht="21" customHeight="1">
      <c r="A866" s="3" t="s">
        <v>1465</v>
      </c>
      <c r="B866" s="5">
        <v>45537</v>
      </c>
      <c r="C866" s="3" t="s">
        <v>1466</v>
      </c>
      <c r="D866" s="3" t="s">
        <v>44</v>
      </c>
      <c r="E866" s="3" t="s">
        <v>41</v>
      </c>
      <c r="F866" s="3" t="s">
        <v>113</v>
      </c>
      <c r="G866" s="3" t="s">
        <v>114</v>
      </c>
      <c r="H866" s="3">
        <v>1</v>
      </c>
      <c r="I866" s="7">
        <v>12174.17</v>
      </c>
      <c r="J866" s="9">
        <v>0.15</v>
      </c>
      <c r="K866" s="7">
        <v>10348.040000000001</v>
      </c>
      <c r="L866" s="7">
        <v>2419.1</v>
      </c>
      <c r="M866" s="3" t="s">
        <v>56</v>
      </c>
      <c r="N866" s="3" t="str">
        <f t="shared" si="52"/>
        <v>2024-09</v>
      </c>
      <c r="O866" s="3" t="str">
        <f t="shared" si="53"/>
        <v>11-15%</v>
      </c>
      <c r="P866" s="9">
        <f t="shared" si="54"/>
        <v>0.23377373879497951</v>
      </c>
      <c r="Q866" s="3" t="str">
        <f t="shared" si="55"/>
        <v>No</v>
      </c>
    </row>
    <row r="867" spans="1:17" ht="21" customHeight="1">
      <c r="A867" s="3" t="s">
        <v>1467</v>
      </c>
      <c r="B867" s="5">
        <v>45538</v>
      </c>
      <c r="C867" s="3" t="s">
        <v>1468</v>
      </c>
      <c r="D867" s="3" t="s">
        <v>44</v>
      </c>
      <c r="E867" s="3" t="s">
        <v>39</v>
      </c>
      <c r="F867" s="3" t="s">
        <v>164</v>
      </c>
      <c r="G867" s="3" t="s">
        <v>200</v>
      </c>
      <c r="H867" s="3">
        <v>1</v>
      </c>
      <c r="I867" s="7">
        <v>1357.65</v>
      </c>
      <c r="J867" s="9">
        <v>0.1</v>
      </c>
      <c r="K867" s="7">
        <v>1221.8900000000001</v>
      </c>
      <c r="L867" s="7">
        <v>380.23</v>
      </c>
      <c r="M867" s="3" t="s">
        <v>57</v>
      </c>
      <c r="N867" s="3" t="str">
        <f t="shared" si="52"/>
        <v>2024-09</v>
      </c>
      <c r="O867" s="3" t="str">
        <f t="shared" si="53"/>
        <v>1-10%</v>
      </c>
      <c r="P867" s="9">
        <f t="shared" si="54"/>
        <v>0.31118185761402417</v>
      </c>
      <c r="Q867" s="3" t="str">
        <f t="shared" si="55"/>
        <v>No</v>
      </c>
    </row>
    <row r="868" spans="1:17" ht="21" customHeight="1">
      <c r="A868" s="3" t="s">
        <v>1469</v>
      </c>
      <c r="B868" s="5">
        <v>45538</v>
      </c>
      <c r="C868" s="3" t="s">
        <v>1243</v>
      </c>
      <c r="D868" s="3" t="s">
        <v>46</v>
      </c>
      <c r="E868" s="3" t="s">
        <v>40</v>
      </c>
      <c r="F868" s="3" t="s">
        <v>160</v>
      </c>
      <c r="G868" s="3" t="s">
        <v>173</v>
      </c>
      <c r="H868" s="3">
        <v>1</v>
      </c>
      <c r="I868" s="7">
        <v>8874.7800000000007</v>
      </c>
      <c r="J868" s="9">
        <v>0.15</v>
      </c>
      <c r="K868" s="7">
        <v>7543.56</v>
      </c>
      <c r="L868" s="7">
        <v>1161.45</v>
      </c>
      <c r="M868" s="3" t="s">
        <v>56</v>
      </c>
      <c r="N868" s="3" t="str">
        <f t="shared" si="52"/>
        <v>2024-09</v>
      </c>
      <c r="O868" s="3" t="str">
        <f t="shared" si="53"/>
        <v>11-15%</v>
      </c>
      <c r="P868" s="9">
        <f t="shared" si="54"/>
        <v>0.153965766826273</v>
      </c>
      <c r="Q868" s="3" t="str">
        <f t="shared" si="55"/>
        <v>No</v>
      </c>
    </row>
    <row r="869" spans="1:17" ht="21" customHeight="1">
      <c r="A869" s="3" t="s">
        <v>1470</v>
      </c>
      <c r="B869" s="5">
        <v>45538</v>
      </c>
      <c r="C869" s="3" t="s">
        <v>1140</v>
      </c>
      <c r="D869" s="3" t="s">
        <v>45</v>
      </c>
      <c r="E869" s="3" t="s">
        <v>40</v>
      </c>
      <c r="F869" s="3" t="s">
        <v>160</v>
      </c>
      <c r="G869" s="3" t="s">
        <v>161</v>
      </c>
      <c r="H869" s="3">
        <v>1</v>
      </c>
      <c r="I869" s="7">
        <v>12902.03</v>
      </c>
      <c r="J869" s="9">
        <v>0.15</v>
      </c>
      <c r="K869" s="7">
        <v>10966.73</v>
      </c>
      <c r="L869" s="7">
        <v>1702.42</v>
      </c>
      <c r="M869" s="3" t="s">
        <v>58</v>
      </c>
      <c r="N869" s="3" t="str">
        <f t="shared" si="52"/>
        <v>2024-09</v>
      </c>
      <c r="O869" s="3" t="str">
        <f t="shared" si="53"/>
        <v>11-15%</v>
      </c>
      <c r="P869" s="9">
        <f t="shared" si="54"/>
        <v>0.1552349697676518</v>
      </c>
      <c r="Q869" s="3" t="str">
        <f t="shared" si="55"/>
        <v>No</v>
      </c>
    </row>
    <row r="870" spans="1:17" ht="21" customHeight="1">
      <c r="A870" s="3" t="s">
        <v>1471</v>
      </c>
      <c r="B870" s="5">
        <v>45538</v>
      </c>
      <c r="C870" s="3" t="s">
        <v>577</v>
      </c>
      <c r="D870" s="3" t="s">
        <v>44</v>
      </c>
      <c r="E870" s="3" t="s">
        <v>39</v>
      </c>
      <c r="F870" s="3" t="s">
        <v>164</v>
      </c>
      <c r="G870" s="3" t="s">
        <v>165</v>
      </c>
      <c r="H870" s="3">
        <v>2</v>
      </c>
      <c r="I870" s="7">
        <v>1983.71</v>
      </c>
      <c r="J870" s="9">
        <v>0.1</v>
      </c>
      <c r="K870" s="7">
        <v>3570.68</v>
      </c>
      <c r="L870" s="7">
        <v>994.07</v>
      </c>
      <c r="M870" s="3" t="s">
        <v>60</v>
      </c>
      <c r="N870" s="3" t="str">
        <f t="shared" si="52"/>
        <v>2024-09</v>
      </c>
      <c r="O870" s="3" t="str">
        <f t="shared" si="53"/>
        <v>1-10%</v>
      </c>
      <c r="P870" s="9">
        <f t="shared" si="54"/>
        <v>0.27839795221078339</v>
      </c>
      <c r="Q870" s="3" t="str">
        <f t="shared" si="55"/>
        <v>No</v>
      </c>
    </row>
    <row r="871" spans="1:17" ht="21" customHeight="1">
      <c r="A871" s="3" t="s">
        <v>1472</v>
      </c>
      <c r="B871" s="5">
        <v>45538</v>
      </c>
      <c r="C871" s="3" t="s">
        <v>899</v>
      </c>
      <c r="D871" s="3" t="s">
        <v>45</v>
      </c>
      <c r="E871" s="3" t="s">
        <v>41</v>
      </c>
      <c r="F871" s="3" t="s">
        <v>113</v>
      </c>
      <c r="G871" s="3" t="s">
        <v>123</v>
      </c>
      <c r="H871" s="3">
        <v>1</v>
      </c>
      <c r="I871" s="7">
        <v>3517.74</v>
      </c>
      <c r="J871" s="9">
        <v>0.1</v>
      </c>
      <c r="K871" s="7">
        <v>3165.97</v>
      </c>
      <c r="L871" s="7">
        <v>854.4</v>
      </c>
      <c r="M871" s="3" t="s">
        <v>58</v>
      </c>
      <c r="N871" s="3" t="str">
        <f t="shared" si="52"/>
        <v>2024-09</v>
      </c>
      <c r="O871" s="3" t="str">
        <f t="shared" si="53"/>
        <v>1-10%</v>
      </c>
      <c r="P871" s="9">
        <f t="shared" si="54"/>
        <v>0.26986989769328201</v>
      </c>
      <c r="Q871" s="3" t="str">
        <f t="shared" si="55"/>
        <v>No</v>
      </c>
    </row>
    <row r="872" spans="1:17" ht="21" customHeight="1">
      <c r="A872" s="3" t="s">
        <v>1473</v>
      </c>
      <c r="B872" s="5">
        <v>45539</v>
      </c>
      <c r="C872" s="3" t="s">
        <v>999</v>
      </c>
      <c r="D872" s="3" t="s">
        <v>44</v>
      </c>
      <c r="E872" s="3" t="s">
        <v>39</v>
      </c>
      <c r="F872" s="3" t="s">
        <v>130</v>
      </c>
      <c r="G872" s="3" t="s">
        <v>193</v>
      </c>
      <c r="H872" s="3">
        <v>1</v>
      </c>
      <c r="I872" s="7">
        <v>1851.87</v>
      </c>
      <c r="J872" s="9">
        <v>0.05</v>
      </c>
      <c r="K872" s="7">
        <v>1759.28</v>
      </c>
      <c r="L872" s="7">
        <v>631.70000000000005</v>
      </c>
      <c r="M872" s="3" t="s">
        <v>59</v>
      </c>
      <c r="N872" s="3" t="str">
        <f t="shared" si="52"/>
        <v>2024-09</v>
      </c>
      <c r="O872" s="3" t="str">
        <f t="shared" si="53"/>
        <v>1-10%</v>
      </c>
      <c r="P872" s="9">
        <f t="shared" si="54"/>
        <v>0.35906734573234506</v>
      </c>
      <c r="Q872" s="3" t="str">
        <f t="shared" si="55"/>
        <v>No</v>
      </c>
    </row>
    <row r="873" spans="1:17" ht="21" customHeight="1">
      <c r="A873" s="3" t="s">
        <v>1474</v>
      </c>
      <c r="B873" s="5">
        <v>45539</v>
      </c>
      <c r="C873" s="3" t="s">
        <v>148</v>
      </c>
      <c r="D873" s="3" t="s">
        <v>46</v>
      </c>
      <c r="E873" s="3" t="s">
        <v>38</v>
      </c>
      <c r="F873" s="3" t="s">
        <v>94</v>
      </c>
      <c r="G873" s="3" t="s">
        <v>95</v>
      </c>
      <c r="H873" s="3">
        <v>1</v>
      </c>
      <c r="I873" s="7">
        <v>81630.42</v>
      </c>
      <c r="J873" s="9">
        <v>0</v>
      </c>
      <c r="K873" s="7">
        <v>81630.42</v>
      </c>
      <c r="L873" s="7">
        <v>12632.98</v>
      </c>
      <c r="M873" s="3" t="s">
        <v>58</v>
      </c>
      <c r="N873" s="3" t="str">
        <f t="shared" si="52"/>
        <v>2024-09</v>
      </c>
      <c r="O873" s="3" t="str">
        <f t="shared" si="53"/>
        <v>No discount</v>
      </c>
      <c r="P873" s="9">
        <f t="shared" si="54"/>
        <v>0.15475823841161174</v>
      </c>
      <c r="Q873" s="3" t="str">
        <f t="shared" si="55"/>
        <v>No</v>
      </c>
    </row>
    <row r="874" spans="1:17" ht="21" customHeight="1">
      <c r="A874" s="3" t="s">
        <v>1475</v>
      </c>
      <c r="B874" s="5">
        <v>45539</v>
      </c>
      <c r="C874" s="3" t="s">
        <v>1476</v>
      </c>
      <c r="D874" s="3" t="s">
        <v>44</v>
      </c>
      <c r="E874" s="3" t="s">
        <v>38</v>
      </c>
      <c r="F874" s="3" t="s">
        <v>94</v>
      </c>
      <c r="G874" s="3" t="s">
        <v>95</v>
      </c>
      <c r="H874" s="3">
        <v>1</v>
      </c>
      <c r="I874" s="7">
        <v>81295.25</v>
      </c>
      <c r="J874" s="9">
        <v>0.2</v>
      </c>
      <c r="K874" s="7">
        <v>65036.2</v>
      </c>
      <c r="L874" s="7">
        <v>-3980.51</v>
      </c>
      <c r="M874" s="3" t="s">
        <v>58</v>
      </c>
      <c r="N874" s="3" t="str">
        <f t="shared" si="52"/>
        <v>2024-09</v>
      </c>
      <c r="O874" s="3" t="str">
        <f t="shared" si="53"/>
        <v>16-20%</v>
      </c>
      <c r="P874" s="9">
        <f t="shared" si="54"/>
        <v>-6.1204529169908456E-2</v>
      </c>
      <c r="Q874" s="3" t="str">
        <f t="shared" si="55"/>
        <v>Yes</v>
      </c>
    </row>
    <row r="875" spans="1:17" ht="21" customHeight="1">
      <c r="A875" s="3" t="s">
        <v>1477</v>
      </c>
      <c r="B875" s="5">
        <v>45540</v>
      </c>
      <c r="C875" s="3" t="s">
        <v>1289</v>
      </c>
      <c r="D875" s="3" t="s">
        <v>46</v>
      </c>
      <c r="E875" s="3" t="s">
        <v>41</v>
      </c>
      <c r="F875" s="3" t="s">
        <v>113</v>
      </c>
      <c r="G875" s="3" t="s">
        <v>114</v>
      </c>
      <c r="H875" s="3">
        <v>3</v>
      </c>
      <c r="I875" s="7">
        <v>11509.2</v>
      </c>
      <c r="J875" s="9">
        <v>0.05</v>
      </c>
      <c r="K875" s="7">
        <v>32801.22</v>
      </c>
      <c r="L875" s="7">
        <v>11276.93</v>
      </c>
      <c r="M875" s="3" t="s">
        <v>56</v>
      </c>
      <c r="N875" s="3" t="str">
        <f t="shared" si="52"/>
        <v>2024-09</v>
      </c>
      <c r="O875" s="3" t="str">
        <f t="shared" si="53"/>
        <v>1-10%</v>
      </c>
      <c r="P875" s="9">
        <f t="shared" si="54"/>
        <v>0.34379605392726248</v>
      </c>
      <c r="Q875" s="3" t="str">
        <f t="shared" si="55"/>
        <v>No</v>
      </c>
    </row>
    <row r="876" spans="1:17" ht="21" customHeight="1">
      <c r="A876" s="3" t="s">
        <v>1478</v>
      </c>
      <c r="B876" s="5">
        <v>45540</v>
      </c>
      <c r="C876" s="3" t="s">
        <v>1479</v>
      </c>
      <c r="D876" s="3" t="s">
        <v>44</v>
      </c>
      <c r="E876" s="3" t="s">
        <v>38</v>
      </c>
      <c r="F876" s="3" t="s">
        <v>98</v>
      </c>
      <c r="G876" s="3" t="s">
        <v>99</v>
      </c>
      <c r="H876" s="3">
        <v>1</v>
      </c>
      <c r="I876" s="7">
        <v>23887.5</v>
      </c>
      <c r="J876" s="9">
        <v>0</v>
      </c>
      <c r="K876" s="7">
        <v>23887.5</v>
      </c>
      <c r="L876" s="7">
        <v>4159.24</v>
      </c>
      <c r="M876" s="3" t="s">
        <v>56</v>
      </c>
      <c r="N876" s="3" t="str">
        <f t="shared" si="52"/>
        <v>2024-09</v>
      </c>
      <c r="O876" s="3" t="str">
        <f t="shared" si="53"/>
        <v>No discount</v>
      </c>
      <c r="P876" s="9">
        <f t="shared" si="54"/>
        <v>0.17411784406070119</v>
      </c>
      <c r="Q876" s="3" t="str">
        <f t="shared" si="55"/>
        <v>No</v>
      </c>
    </row>
    <row r="877" spans="1:17" ht="21" customHeight="1">
      <c r="A877" s="3" t="s">
        <v>1480</v>
      </c>
      <c r="B877" s="5">
        <v>45540</v>
      </c>
      <c r="C877" s="3" t="s">
        <v>276</v>
      </c>
      <c r="D877" s="3" t="s">
        <v>44</v>
      </c>
      <c r="E877" s="3" t="s">
        <v>42</v>
      </c>
      <c r="F877" s="3" t="s">
        <v>90</v>
      </c>
      <c r="G877" s="3" t="s">
        <v>91</v>
      </c>
      <c r="H877" s="3">
        <v>1</v>
      </c>
      <c r="I877" s="7">
        <v>1149.9000000000001</v>
      </c>
      <c r="J877" s="9">
        <v>0.2</v>
      </c>
      <c r="K877" s="7">
        <v>919.92</v>
      </c>
      <c r="L877" s="7">
        <v>279.05</v>
      </c>
      <c r="M877" s="3" t="s">
        <v>56</v>
      </c>
      <c r="N877" s="3" t="str">
        <f t="shared" si="52"/>
        <v>2024-09</v>
      </c>
      <c r="O877" s="3" t="str">
        <f t="shared" si="53"/>
        <v>16-20%</v>
      </c>
      <c r="P877" s="9">
        <f t="shared" si="54"/>
        <v>0.30334159492129753</v>
      </c>
      <c r="Q877" s="3" t="str">
        <f t="shared" si="55"/>
        <v>No</v>
      </c>
    </row>
    <row r="878" spans="1:17" ht="21" customHeight="1">
      <c r="A878" s="3" t="s">
        <v>1481</v>
      </c>
      <c r="B878" s="5">
        <v>45541</v>
      </c>
      <c r="C878" s="3" t="s">
        <v>324</v>
      </c>
      <c r="D878" s="3" t="s">
        <v>45</v>
      </c>
      <c r="E878" s="3" t="s">
        <v>42</v>
      </c>
      <c r="F878" s="3" t="s">
        <v>126</v>
      </c>
      <c r="G878" s="3" t="s">
        <v>151</v>
      </c>
      <c r="H878" s="3">
        <v>1</v>
      </c>
      <c r="I878" s="7">
        <v>1546.64</v>
      </c>
      <c r="J878" s="9">
        <v>0.1</v>
      </c>
      <c r="K878" s="7">
        <v>1391.98</v>
      </c>
      <c r="L878" s="7">
        <v>570.91999999999996</v>
      </c>
      <c r="M878" s="3" t="s">
        <v>56</v>
      </c>
      <c r="N878" s="3" t="str">
        <f t="shared" si="52"/>
        <v>2024-09</v>
      </c>
      <c r="O878" s="3" t="str">
        <f t="shared" si="53"/>
        <v>1-10%</v>
      </c>
      <c r="P878" s="9">
        <f t="shared" si="54"/>
        <v>0.41014957111452749</v>
      </c>
      <c r="Q878" s="3" t="str">
        <f t="shared" si="55"/>
        <v>No</v>
      </c>
    </row>
    <row r="879" spans="1:17" ht="21" customHeight="1">
      <c r="A879" s="3" t="s">
        <v>1482</v>
      </c>
      <c r="B879" s="5">
        <v>45542</v>
      </c>
      <c r="C879" s="3" t="s">
        <v>432</v>
      </c>
      <c r="D879" s="3" t="s">
        <v>44</v>
      </c>
      <c r="E879" s="3" t="s">
        <v>40</v>
      </c>
      <c r="F879" s="3" t="s">
        <v>102</v>
      </c>
      <c r="G879" s="3" t="s">
        <v>146</v>
      </c>
      <c r="H879" s="3">
        <v>1</v>
      </c>
      <c r="I879" s="7">
        <v>7884.58</v>
      </c>
      <c r="J879" s="9">
        <v>0.15</v>
      </c>
      <c r="K879" s="7">
        <v>6701.89</v>
      </c>
      <c r="L879" s="7">
        <v>1278.0999999999999</v>
      </c>
      <c r="M879" s="3" t="s">
        <v>58</v>
      </c>
      <c r="N879" s="3" t="str">
        <f t="shared" si="52"/>
        <v>2024-09</v>
      </c>
      <c r="O879" s="3" t="str">
        <f t="shared" si="53"/>
        <v>11-15%</v>
      </c>
      <c r="P879" s="9">
        <f t="shared" si="54"/>
        <v>0.19070739746549106</v>
      </c>
      <c r="Q879" s="3" t="str">
        <f t="shared" si="55"/>
        <v>No</v>
      </c>
    </row>
    <row r="880" spans="1:17" ht="21" customHeight="1">
      <c r="A880" s="3" t="s">
        <v>1483</v>
      </c>
      <c r="B880" s="5">
        <v>45542</v>
      </c>
      <c r="C880" s="3" t="s">
        <v>442</v>
      </c>
      <c r="D880" s="3" t="s">
        <v>44</v>
      </c>
      <c r="E880" s="3" t="s">
        <v>42</v>
      </c>
      <c r="F880" s="3" t="s">
        <v>90</v>
      </c>
      <c r="G880" s="3" t="s">
        <v>106</v>
      </c>
      <c r="H880" s="3">
        <v>1</v>
      </c>
      <c r="I880" s="7">
        <v>876.05</v>
      </c>
      <c r="J880" s="9">
        <v>0.1</v>
      </c>
      <c r="K880" s="7">
        <v>788.44</v>
      </c>
      <c r="L880" s="7">
        <v>361.72</v>
      </c>
      <c r="M880" s="3" t="s">
        <v>60</v>
      </c>
      <c r="N880" s="3" t="str">
        <f t="shared" si="52"/>
        <v>2024-09</v>
      </c>
      <c r="O880" s="3" t="str">
        <f t="shared" si="53"/>
        <v>1-10%</v>
      </c>
      <c r="P880" s="9">
        <f t="shared" si="54"/>
        <v>0.45877936177768758</v>
      </c>
      <c r="Q880" s="3" t="str">
        <f t="shared" si="55"/>
        <v>No</v>
      </c>
    </row>
    <row r="881" spans="1:17" ht="21" customHeight="1">
      <c r="A881" s="3" t="s">
        <v>1484</v>
      </c>
      <c r="B881" s="5">
        <v>45542</v>
      </c>
      <c r="C881" s="3" t="s">
        <v>671</v>
      </c>
      <c r="D881" s="3" t="s">
        <v>47</v>
      </c>
      <c r="E881" s="3" t="s">
        <v>38</v>
      </c>
      <c r="F881" s="3" t="s">
        <v>98</v>
      </c>
      <c r="G881" s="3" t="s">
        <v>182</v>
      </c>
      <c r="H881" s="3">
        <v>3</v>
      </c>
      <c r="I881" s="7">
        <v>71001.039999999994</v>
      </c>
      <c r="J881" s="9">
        <v>0.1</v>
      </c>
      <c r="K881" s="7">
        <v>191702.81</v>
      </c>
      <c r="L881" s="7">
        <v>18477.8</v>
      </c>
      <c r="M881" s="3" t="s">
        <v>56</v>
      </c>
      <c r="N881" s="3" t="str">
        <f t="shared" si="52"/>
        <v>2024-09</v>
      </c>
      <c r="O881" s="3" t="str">
        <f t="shared" si="53"/>
        <v>1-10%</v>
      </c>
      <c r="P881" s="9">
        <f t="shared" si="54"/>
        <v>9.6387736830774673E-2</v>
      </c>
      <c r="Q881" s="3" t="str">
        <f t="shared" si="55"/>
        <v>No</v>
      </c>
    </row>
    <row r="882" spans="1:17" ht="21" customHeight="1">
      <c r="A882" s="3" t="s">
        <v>1485</v>
      </c>
      <c r="B882" s="5">
        <v>45542</v>
      </c>
      <c r="C882" s="3" t="s">
        <v>1459</v>
      </c>
      <c r="D882" s="3" t="s">
        <v>47</v>
      </c>
      <c r="E882" s="3" t="s">
        <v>39</v>
      </c>
      <c r="F882" s="3" t="s">
        <v>109</v>
      </c>
      <c r="G882" s="3" t="s">
        <v>355</v>
      </c>
      <c r="H882" s="3">
        <v>1</v>
      </c>
      <c r="I882" s="7">
        <v>3611.34</v>
      </c>
      <c r="J882" s="9">
        <v>0.05</v>
      </c>
      <c r="K882" s="7">
        <v>3430.77</v>
      </c>
      <c r="L882" s="7">
        <v>1276.02</v>
      </c>
      <c r="M882" s="3" t="s">
        <v>56</v>
      </c>
      <c r="N882" s="3" t="str">
        <f t="shared" si="52"/>
        <v>2024-09</v>
      </c>
      <c r="O882" s="3" t="str">
        <f t="shared" si="53"/>
        <v>1-10%</v>
      </c>
      <c r="P882" s="9">
        <f t="shared" si="54"/>
        <v>0.37193399732421584</v>
      </c>
      <c r="Q882" s="3" t="str">
        <f t="shared" si="55"/>
        <v>No</v>
      </c>
    </row>
    <row r="883" spans="1:17" ht="21" customHeight="1">
      <c r="A883" s="3" t="s">
        <v>1486</v>
      </c>
      <c r="B883" s="5">
        <v>45542</v>
      </c>
      <c r="C883" s="3" t="s">
        <v>112</v>
      </c>
      <c r="D883" s="3" t="s">
        <v>44</v>
      </c>
      <c r="E883" s="3" t="s">
        <v>42</v>
      </c>
      <c r="F883" s="3" t="s">
        <v>90</v>
      </c>
      <c r="G883" s="3" t="s">
        <v>106</v>
      </c>
      <c r="H883" s="3">
        <v>1</v>
      </c>
      <c r="I883" s="7">
        <v>940.09</v>
      </c>
      <c r="J883" s="9">
        <v>0</v>
      </c>
      <c r="K883" s="7">
        <v>940.09</v>
      </c>
      <c r="L883" s="7">
        <v>498.04</v>
      </c>
      <c r="M883" s="3" t="s">
        <v>60</v>
      </c>
      <c r="N883" s="3" t="str">
        <f t="shared" si="52"/>
        <v>2024-09</v>
      </c>
      <c r="O883" s="3" t="str">
        <f t="shared" si="53"/>
        <v>No discount</v>
      </c>
      <c r="P883" s="9">
        <f t="shared" si="54"/>
        <v>0.52977906370666639</v>
      </c>
      <c r="Q883" s="3" t="str">
        <f t="shared" si="55"/>
        <v>No</v>
      </c>
    </row>
    <row r="884" spans="1:17" ht="21" customHeight="1">
      <c r="A884" s="3" t="s">
        <v>1487</v>
      </c>
      <c r="B884" s="5">
        <v>45542</v>
      </c>
      <c r="C884" s="3" t="s">
        <v>1488</v>
      </c>
      <c r="D884" s="3" t="s">
        <v>47</v>
      </c>
      <c r="E884" s="3" t="s">
        <v>42</v>
      </c>
      <c r="F884" s="3" t="s">
        <v>90</v>
      </c>
      <c r="G884" s="3" t="s">
        <v>91</v>
      </c>
      <c r="H884" s="3">
        <v>1</v>
      </c>
      <c r="I884" s="7">
        <v>1207.29</v>
      </c>
      <c r="J884" s="9">
        <v>0</v>
      </c>
      <c r="K884" s="7">
        <v>1207.29</v>
      </c>
      <c r="L884" s="7">
        <v>615.95000000000005</v>
      </c>
      <c r="M884" s="3" t="s">
        <v>58</v>
      </c>
      <c r="N884" s="3" t="str">
        <f t="shared" si="52"/>
        <v>2024-09</v>
      </c>
      <c r="O884" s="3" t="str">
        <f t="shared" si="53"/>
        <v>No discount</v>
      </c>
      <c r="P884" s="9">
        <f t="shared" si="54"/>
        <v>0.5101922487554772</v>
      </c>
      <c r="Q884" s="3" t="str">
        <f t="shared" si="55"/>
        <v>No</v>
      </c>
    </row>
    <row r="885" spans="1:17" ht="21" customHeight="1">
      <c r="A885" s="3" t="s">
        <v>1489</v>
      </c>
      <c r="B885" s="5">
        <v>45543</v>
      </c>
      <c r="C885" s="3" t="s">
        <v>1243</v>
      </c>
      <c r="D885" s="3" t="s">
        <v>46</v>
      </c>
      <c r="E885" s="3" t="s">
        <v>40</v>
      </c>
      <c r="F885" s="3" t="s">
        <v>160</v>
      </c>
      <c r="G885" s="3" t="s">
        <v>173</v>
      </c>
      <c r="H885" s="3">
        <v>1</v>
      </c>
      <c r="I885" s="7">
        <v>9056.42</v>
      </c>
      <c r="J885" s="9">
        <v>0</v>
      </c>
      <c r="K885" s="7">
        <v>9056.42</v>
      </c>
      <c r="L885" s="7">
        <v>2846.55</v>
      </c>
      <c r="M885" s="3" t="s">
        <v>57</v>
      </c>
      <c r="N885" s="3" t="str">
        <f t="shared" si="52"/>
        <v>2024-09</v>
      </c>
      <c r="O885" s="3" t="str">
        <f t="shared" si="53"/>
        <v>No discount</v>
      </c>
      <c r="P885" s="9">
        <f t="shared" si="54"/>
        <v>0.31431294043341629</v>
      </c>
      <c r="Q885" s="3" t="str">
        <f t="shared" si="55"/>
        <v>No</v>
      </c>
    </row>
    <row r="886" spans="1:17" ht="21" customHeight="1">
      <c r="A886" s="3" t="s">
        <v>1490</v>
      </c>
      <c r="B886" s="5">
        <v>45543</v>
      </c>
      <c r="C886" s="3" t="s">
        <v>210</v>
      </c>
      <c r="D886" s="3" t="s">
        <v>45</v>
      </c>
      <c r="E886" s="3" t="s">
        <v>39</v>
      </c>
      <c r="F886" s="3" t="s">
        <v>164</v>
      </c>
      <c r="G886" s="3" t="s">
        <v>200</v>
      </c>
      <c r="H886" s="3">
        <v>1</v>
      </c>
      <c r="I886" s="7">
        <v>1274.8499999999999</v>
      </c>
      <c r="J886" s="9">
        <v>0.15</v>
      </c>
      <c r="K886" s="7">
        <v>1083.6199999999999</v>
      </c>
      <c r="L886" s="7">
        <v>265.5</v>
      </c>
      <c r="M886" s="3" t="s">
        <v>57</v>
      </c>
      <c r="N886" s="3" t="str">
        <f t="shared" si="52"/>
        <v>2024-09</v>
      </c>
      <c r="O886" s="3" t="str">
        <f t="shared" si="53"/>
        <v>11-15%</v>
      </c>
      <c r="P886" s="9">
        <f t="shared" si="54"/>
        <v>0.24501208910872818</v>
      </c>
      <c r="Q886" s="3" t="str">
        <f t="shared" si="55"/>
        <v>No</v>
      </c>
    </row>
    <row r="887" spans="1:17" ht="21" customHeight="1">
      <c r="A887" s="3" t="s">
        <v>1491</v>
      </c>
      <c r="B887" s="5">
        <v>45543</v>
      </c>
      <c r="C887" s="3" t="s">
        <v>1142</v>
      </c>
      <c r="D887" s="3" t="s">
        <v>44</v>
      </c>
      <c r="E887" s="3" t="s">
        <v>39</v>
      </c>
      <c r="F887" s="3" t="s">
        <v>109</v>
      </c>
      <c r="G887" s="3" t="s">
        <v>110</v>
      </c>
      <c r="H887" s="3">
        <v>1</v>
      </c>
      <c r="I887" s="7">
        <v>3074.57</v>
      </c>
      <c r="J887" s="9">
        <v>0.05</v>
      </c>
      <c r="K887" s="7">
        <v>2920.84</v>
      </c>
      <c r="L887" s="7">
        <v>1140.3399999999999</v>
      </c>
      <c r="M887" s="3" t="s">
        <v>56</v>
      </c>
      <c r="N887" s="3" t="str">
        <f t="shared" si="52"/>
        <v>2024-09</v>
      </c>
      <c r="O887" s="3" t="str">
        <f t="shared" si="53"/>
        <v>1-10%</v>
      </c>
      <c r="P887" s="9">
        <f t="shared" si="54"/>
        <v>0.39041508607113018</v>
      </c>
      <c r="Q887" s="3" t="str">
        <f t="shared" si="55"/>
        <v>No</v>
      </c>
    </row>
    <row r="888" spans="1:17" ht="21" customHeight="1">
      <c r="A888" s="3" t="s">
        <v>1492</v>
      </c>
      <c r="B888" s="5">
        <v>45543</v>
      </c>
      <c r="C888" s="3" t="s">
        <v>137</v>
      </c>
      <c r="D888" s="3" t="s">
        <v>44</v>
      </c>
      <c r="E888" s="3" t="s">
        <v>40</v>
      </c>
      <c r="F888" s="3" t="s">
        <v>221</v>
      </c>
      <c r="G888" s="3" t="s">
        <v>279</v>
      </c>
      <c r="H888" s="3">
        <v>1</v>
      </c>
      <c r="I888" s="7">
        <v>1433.32</v>
      </c>
      <c r="J888" s="9">
        <v>0.05</v>
      </c>
      <c r="K888" s="7">
        <v>1361.65</v>
      </c>
      <c r="L888" s="7">
        <v>330.63</v>
      </c>
      <c r="M888" s="3" t="s">
        <v>56</v>
      </c>
      <c r="N888" s="3" t="str">
        <f t="shared" si="52"/>
        <v>2024-09</v>
      </c>
      <c r="O888" s="3" t="str">
        <f t="shared" si="53"/>
        <v>1-10%</v>
      </c>
      <c r="P888" s="9">
        <f t="shared" si="54"/>
        <v>0.24281570153857451</v>
      </c>
      <c r="Q888" s="3" t="str">
        <f t="shared" si="55"/>
        <v>No</v>
      </c>
    </row>
    <row r="889" spans="1:17" ht="21" customHeight="1">
      <c r="A889" s="3" t="s">
        <v>1493</v>
      </c>
      <c r="B889" s="5">
        <v>45544</v>
      </c>
      <c r="C889" s="3" t="s">
        <v>844</v>
      </c>
      <c r="D889" s="3" t="s">
        <v>46</v>
      </c>
      <c r="E889" s="3" t="s">
        <v>42</v>
      </c>
      <c r="F889" s="3" t="s">
        <v>90</v>
      </c>
      <c r="G889" s="3" t="s">
        <v>106</v>
      </c>
      <c r="H889" s="3">
        <v>5</v>
      </c>
      <c r="I889" s="7">
        <v>870.76</v>
      </c>
      <c r="J889" s="9">
        <v>0</v>
      </c>
      <c r="K889" s="7">
        <v>4353.8</v>
      </c>
      <c r="L889" s="7">
        <v>2427.69</v>
      </c>
      <c r="M889" s="3" t="s">
        <v>56</v>
      </c>
      <c r="N889" s="3" t="str">
        <f t="shared" si="52"/>
        <v>2024-09</v>
      </c>
      <c r="O889" s="3" t="str">
        <f t="shared" si="53"/>
        <v>No discount</v>
      </c>
      <c r="P889" s="9">
        <f t="shared" si="54"/>
        <v>0.55760255409067938</v>
      </c>
      <c r="Q889" s="3" t="str">
        <f t="shared" si="55"/>
        <v>No</v>
      </c>
    </row>
    <row r="890" spans="1:17" ht="21" customHeight="1">
      <c r="A890" s="3" t="s">
        <v>1494</v>
      </c>
      <c r="B890" s="5">
        <v>45544</v>
      </c>
      <c r="C890" s="3" t="s">
        <v>179</v>
      </c>
      <c r="D890" s="3" t="s">
        <v>47</v>
      </c>
      <c r="E890" s="3" t="s">
        <v>39</v>
      </c>
      <c r="F890" s="3" t="s">
        <v>164</v>
      </c>
      <c r="G890" s="3" t="s">
        <v>200</v>
      </c>
      <c r="H890" s="3">
        <v>3</v>
      </c>
      <c r="I890" s="7">
        <v>1363.39</v>
      </c>
      <c r="J890" s="9">
        <v>0.05</v>
      </c>
      <c r="K890" s="7">
        <v>3885.66</v>
      </c>
      <c r="L890" s="7">
        <v>1437.02</v>
      </c>
      <c r="M890" s="3" t="s">
        <v>56</v>
      </c>
      <c r="N890" s="3" t="str">
        <f t="shared" si="52"/>
        <v>2024-09</v>
      </c>
      <c r="O890" s="3" t="str">
        <f t="shared" si="53"/>
        <v>1-10%</v>
      </c>
      <c r="P890" s="9">
        <f t="shared" si="54"/>
        <v>0.36982649022302516</v>
      </c>
      <c r="Q890" s="3" t="str">
        <f t="shared" si="55"/>
        <v>No</v>
      </c>
    </row>
    <row r="891" spans="1:17" ht="21" customHeight="1">
      <c r="A891" s="3" t="s">
        <v>1495</v>
      </c>
      <c r="B891" s="5">
        <v>45544</v>
      </c>
      <c r="C891" s="3" t="s">
        <v>1283</v>
      </c>
      <c r="D891" s="3" t="s">
        <v>46</v>
      </c>
      <c r="E891" s="3" t="s">
        <v>40</v>
      </c>
      <c r="F891" s="3" t="s">
        <v>102</v>
      </c>
      <c r="G891" s="3" t="s">
        <v>103</v>
      </c>
      <c r="H891" s="3">
        <v>1</v>
      </c>
      <c r="I891" s="7">
        <v>6621.5</v>
      </c>
      <c r="J891" s="9">
        <v>0.05</v>
      </c>
      <c r="K891" s="7">
        <v>6290.42</v>
      </c>
      <c r="L891" s="7">
        <v>1813</v>
      </c>
      <c r="M891" s="3" t="s">
        <v>59</v>
      </c>
      <c r="N891" s="3" t="str">
        <f t="shared" si="52"/>
        <v>2024-09</v>
      </c>
      <c r="O891" s="3" t="str">
        <f t="shared" si="53"/>
        <v>1-10%</v>
      </c>
      <c r="P891" s="9">
        <f t="shared" si="54"/>
        <v>0.2882160491668283</v>
      </c>
      <c r="Q891" s="3" t="str">
        <f t="shared" si="55"/>
        <v>No</v>
      </c>
    </row>
    <row r="892" spans="1:17" ht="21" customHeight="1">
      <c r="A892" s="3" t="s">
        <v>1496</v>
      </c>
      <c r="B892" s="5">
        <v>45544</v>
      </c>
      <c r="C892" s="3" t="s">
        <v>623</v>
      </c>
      <c r="D892" s="3" t="s">
        <v>44</v>
      </c>
      <c r="E892" s="3" t="s">
        <v>39</v>
      </c>
      <c r="F892" s="3" t="s">
        <v>130</v>
      </c>
      <c r="G892" s="3" t="s">
        <v>131</v>
      </c>
      <c r="H892" s="3">
        <v>2</v>
      </c>
      <c r="I892" s="7">
        <v>2131.63</v>
      </c>
      <c r="J892" s="9">
        <v>0</v>
      </c>
      <c r="K892" s="7">
        <v>4263.26</v>
      </c>
      <c r="L892" s="7">
        <v>1884.62</v>
      </c>
      <c r="M892" s="3" t="s">
        <v>56</v>
      </c>
      <c r="N892" s="3" t="str">
        <f t="shared" si="52"/>
        <v>2024-09</v>
      </c>
      <c r="O892" s="3" t="str">
        <f t="shared" si="53"/>
        <v>No discount</v>
      </c>
      <c r="P892" s="9">
        <f t="shared" si="54"/>
        <v>0.44206077039636332</v>
      </c>
      <c r="Q892" s="3" t="str">
        <f t="shared" si="55"/>
        <v>No</v>
      </c>
    </row>
    <row r="893" spans="1:17" ht="21" customHeight="1">
      <c r="A893" s="3" t="s">
        <v>1497</v>
      </c>
      <c r="B893" s="5">
        <v>45544</v>
      </c>
      <c r="C893" s="3" t="s">
        <v>1208</v>
      </c>
      <c r="D893" s="3" t="s">
        <v>47</v>
      </c>
      <c r="E893" s="3" t="s">
        <v>40</v>
      </c>
      <c r="F893" s="3" t="s">
        <v>221</v>
      </c>
      <c r="G893" s="3" t="s">
        <v>279</v>
      </c>
      <c r="H893" s="3">
        <v>1</v>
      </c>
      <c r="I893" s="7">
        <v>1502.78</v>
      </c>
      <c r="J893" s="9">
        <v>0</v>
      </c>
      <c r="K893" s="7">
        <v>1502.78</v>
      </c>
      <c r="L893" s="7">
        <v>441.68</v>
      </c>
      <c r="M893" s="3" t="s">
        <v>58</v>
      </c>
      <c r="N893" s="3" t="str">
        <f t="shared" si="52"/>
        <v>2024-09</v>
      </c>
      <c r="O893" s="3" t="str">
        <f t="shared" si="53"/>
        <v>No discount</v>
      </c>
      <c r="P893" s="9">
        <f t="shared" si="54"/>
        <v>0.29390862268595536</v>
      </c>
      <c r="Q893" s="3" t="str">
        <f t="shared" si="55"/>
        <v>No</v>
      </c>
    </row>
    <row r="894" spans="1:17" ht="21" customHeight="1">
      <c r="A894" s="3" t="s">
        <v>1498</v>
      </c>
      <c r="B894" s="5">
        <v>45545</v>
      </c>
      <c r="C894" s="3" t="s">
        <v>715</v>
      </c>
      <c r="D894" s="3" t="s">
        <v>47</v>
      </c>
      <c r="E894" s="3" t="s">
        <v>39</v>
      </c>
      <c r="F894" s="3" t="s">
        <v>109</v>
      </c>
      <c r="G894" s="3" t="s">
        <v>110</v>
      </c>
      <c r="H894" s="3">
        <v>2</v>
      </c>
      <c r="I894" s="7">
        <v>3050.49</v>
      </c>
      <c r="J894" s="9">
        <v>0.05</v>
      </c>
      <c r="K894" s="7">
        <v>5795.93</v>
      </c>
      <c r="L894" s="7">
        <v>2042.33</v>
      </c>
      <c r="M894" s="3" t="s">
        <v>57</v>
      </c>
      <c r="N894" s="3" t="str">
        <f t="shared" si="52"/>
        <v>2024-09</v>
      </c>
      <c r="O894" s="3" t="str">
        <f t="shared" si="53"/>
        <v>1-10%</v>
      </c>
      <c r="P894" s="9">
        <f t="shared" si="54"/>
        <v>0.35237313080040644</v>
      </c>
      <c r="Q894" s="3" t="str">
        <f t="shared" si="55"/>
        <v>No</v>
      </c>
    </row>
    <row r="895" spans="1:17" ht="21" customHeight="1">
      <c r="A895" s="3" t="s">
        <v>1499</v>
      </c>
      <c r="B895" s="5">
        <v>45545</v>
      </c>
      <c r="C895" s="3" t="s">
        <v>357</v>
      </c>
      <c r="D895" s="3" t="s">
        <v>47</v>
      </c>
      <c r="E895" s="3" t="s">
        <v>40</v>
      </c>
      <c r="F895" s="3" t="s">
        <v>160</v>
      </c>
      <c r="G895" s="3" t="s">
        <v>161</v>
      </c>
      <c r="H895" s="3">
        <v>1</v>
      </c>
      <c r="I895" s="7">
        <v>12380.28</v>
      </c>
      <c r="J895" s="9">
        <v>0.05</v>
      </c>
      <c r="K895" s="7">
        <v>11761.27</v>
      </c>
      <c r="L895" s="7">
        <v>3484.6</v>
      </c>
      <c r="M895" s="3" t="s">
        <v>58</v>
      </c>
      <c r="N895" s="3" t="str">
        <f t="shared" si="52"/>
        <v>2024-09</v>
      </c>
      <c r="O895" s="3" t="str">
        <f t="shared" si="53"/>
        <v>1-10%</v>
      </c>
      <c r="P895" s="9">
        <f t="shared" si="54"/>
        <v>0.29627752785200917</v>
      </c>
      <c r="Q895" s="3" t="str">
        <f t="shared" si="55"/>
        <v>No</v>
      </c>
    </row>
    <row r="896" spans="1:17" ht="21" customHeight="1">
      <c r="A896" s="3" t="s">
        <v>1500</v>
      </c>
      <c r="B896" s="5">
        <v>45545</v>
      </c>
      <c r="C896" s="3" t="s">
        <v>1501</v>
      </c>
      <c r="D896" s="3" t="s">
        <v>44</v>
      </c>
      <c r="E896" s="3" t="s">
        <v>40</v>
      </c>
      <c r="F896" s="3" t="s">
        <v>221</v>
      </c>
      <c r="G896" s="3" t="s">
        <v>279</v>
      </c>
      <c r="H896" s="3">
        <v>2</v>
      </c>
      <c r="I896" s="7">
        <v>1446.91</v>
      </c>
      <c r="J896" s="9">
        <v>0</v>
      </c>
      <c r="K896" s="7">
        <v>2893.82</v>
      </c>
      <c r="L896" s="7">
        <v>957.56</v>
      </c>
      <c r="M896" s="3" t="s">
        <v>58</v>
      </c>
      <c r="N896" s="3" t="str">
        <f t="shared" si="52"/>
        <v>2024-09</v>
      </c>
      <c r="O896" s="3" t="str">
        <f t="shared" si="53"/>
        <v>No discount</v>
      </c>
      <c r="P896" s="9">
        <f t="shared" si="54"/>
        <v>0.33089825904859316</v>
      </c>
      <c r="Q896" s="3" t="str">
        <f t="shared" si="55"/>
        <v>No</v>
      </c>
    </row>
    <row r="897" spans="1:17" ht="21" customHeight="1">
      <c r="A897" s="3" t="s">
        <v>1502</v>
      </c>
      <c r="B897" s="5">
        <v>45546</v>
      </c>
      <c r="C897" s="3" t="s">
        <v>1261</v>
      </c>
      <c r="D897" s="3" t="s">
        <v>44</v>
      </c>
      <c r="E897" s="3" t="s">
        <v>38</v>
      </c>
      <c r="F897" s="3" t="s">
        <v>142</v>
      </c>
      <c r="G897" s="3" t="s">
        <v>143</v>
      </c>
      <c r="H897" s="3">
        <v>1</v>
      </c>
      <c r="I897" s="7">
        <v>8774.1</v>
      </c>
      <c r="J897" s="9">
        <v>0.2</v>
      </c>
      <c r="K897" s="7">
        <v>7019.28</v>
      </c>
      <c r="L897" s="7">
        <v>-417.46</v>
      </c>
      <c r="M897" s="3" t="s">
        <v>60</v>
      </c>
      <c r="N897" s="3" t="str">
        <f t="shared" si="52"/>
        <v>2024-09</v>
      </c>
      <c r="O897" s="3" t="str">
        <f t="shared" si="53"/>
        <v>16-20%</v>
      </c>
      <c r="P897" s="9">
        <f t="shared" si="54"/>
        <v>-5.9473336296600218E-2</v>
      </c>
      <c r="Q897" s="3" t="str">
        <f t="shared" si="55"/>
        <v>Yes</v>
      </c>
    </row>
    <row r="898" spans="1:17" ht="21" customHeight="1">
      <c r="A898" s="3" t="s">
        <v>1503</v>
      </c>
      <c r="B898" s="5">
        <v>45546</v>
      </c>
      <c r="C898" s="3" t="s">
        <v>1264</v>
      </c>
      <c r="D898" s="3" t="s">
        <v>47</v>
      </c>
      <c r="E898" s="3" t="s">
        <v>38</v>
      </c>
      <c r="F898" s="3" t="s">
        <v>142</v>
      </c>
      <c r="G898" s="3" t="s">
        <v>143</v>
      </c>
      <c r="H898" s="3">
        <v>3</v>
      </c>
      <c r="I898" s="7">
        <v>9290.6299999999992</v>
      </c>
      <c r="J898" s="9">
        <v>0</v>
      </c>
      <c r="K898" s="7">
        <v>27871.89</v>
      </c>
      <c r="L898" s="7">
        <v>5139.6099999999997</v>
      </c>
      <c r="M898" s="3" t="s">
        <v>56</v>
      </c>
      <c r="N898" s="3" t="str">
        <f t="shared" ref="N898:N961" si="56">TEXT(B898,"yyyy-mm")</f>
        <v>2024-09</v>
      </c>
      <c r="O898" s="3" t="str">
        <f t="shared" ref="O898:O961" si="57">IF(J898=0,"No discount",IF(J898&lt;=0.1,"1-10%",IF(J898&lt;=0.15,"11-15%",IF(J898&lt;=0.2,"16-20%","21%+"))))</f>
        <v>No discount</v>
      </c>
      <c r="P898" s="9">
        <f t="shared" ref="P898:P961" si="58">IF(K898=0,0,L898/K898)</f>
        <v>0.18440120135376539</v>
      </c>
      <c r="Q898" s="3" t="str">
        <f t="shared" ref="Q898:Q961" si="59">IF(L898&lt;0,"Yes","No")</f>
        <v>No</v>
      </c>
    </row>
    <row r="899" spans="1:17" ht="21" customHeight="1">
      <c r="A899" s="3" t="s">
        <v>1504</v>
      </c>
      <c r="B899" s="5">
        <v>45546</v>
      </c>
      <c r="C899" s="3" t="s">
        <v>112</v>
      </c>
      <c r="D899" s="3" t="s">
        <v>46</v>
      </c>
      <c r="E899" s="3" t="s">
        <v>41</v>
      </c>
      <c r="F899" s="3" t="s">
        <v>113</v>
      </c>
      <c r="G899" s="3" t="s">
        <v>114</v>
      </c>
      <c r="H899" s="3">
        <v>1</v>
      </c>
      <c r="I899" s="7">
        <v>12107.88</v>
      </c>
      <c r="J899" s="9">
        <v>0</v>
      </c>
      <c r="K899" s="7">
        <v>12107.88</v>
      </c>
      <c r="L899" s="7">
        <v>4840.04</v>
      </c>
      <c r="M899" s="3" t="s">
        <v>57</v>
      </c>
      <c r="N899" s="3" t="str">
        <f t="shared" si="56"/>
        <v>2024-09</v>
      </c>
      <c r="O899" s="3" t="str">
        <f t="shared" si="57"/>
        <v>No discount</v>
      </c>
      <c r="P899" s="9">
        <f t="shared" si="58"/>
        <v>0.3997429773007331</v>
      </c>
      <c r="Q899" s="3" t="str">
        <f t="shared" si="59"/>
        <v>No</v>
      </c>
    </row>
    <row r="900" spans="1:17" ht="21" customHeight="1">
      <c r="A900" s="3" t="s">
        <v>1505</v>
      </c>
      <c r="B900" s="5">
        <v>45546</v>
      </c>
      <c r="C900" s="3" t="s">
        <v>1165</v>
      </c>
      <c r="D900" s="3" t="s">
        <v>45</v>
      </c>
      <c r="E900" s="3" t="s">
        <v>39</v>
      </c>
      <c r="F900" s="3" t="s">
        <v>109</v>
      </c>
      <c r="G900" s="3" t="s">
        <v>110</v>
      </c>
      <c r="H900" s="3">
        <v>1</v>
      </c>
      <c r="I900" s="7">
        <v>3086.01</v>
      </c>
      <c r="J900" s="9">
        <v>0.15</v>
      </c>
      <c r="K900" s="7">
        <v>2623.11</v>
      </c>
      <c r="L900" s="7">
        <v>633.16999999999996</v>
      </c>
      <c r="M900" s="3" t="s">
        <v>56</v>
      </c>
      <c r="N900" s="3" t="str">
        <f t="shared" si="56"/>
        <v>2024-09</v>
      </c>
      <c r="O900" s="3" t="str">
        <f t="shared" si="57"/>
        <v>11-15%</v>
      </c>
      <c r="P900" s="9">
        <f t="shared" si="58"/>
        <v>0.24138141366545815</v>
      </c>
      <c r="Q900" s="3" t="str">
        <f t="shared" si="59"/>
        <v>No</v>
      </c>
    </row>
    <row r="901" spans="1:17" ht="21" customHeight="1">
      <c r="A901" s="3" t="s">
        <v>1506</v>
      </c>
      <c r="B901" s="5">
        <v>45546</v>
      </c>
      <c r="C901" s="3" t="s">
        <v>623</v>
      </c>
      <c r="D901" s="3" t="s">
        <v>44</v>
      </c>
      <c r="E901" s="3" t="s">
        <v>42</v>
      </c>
      <c r="F901" s="3" t="s">
        <v>126</v>
      </c>
      <c r="G901" s="3" t="s">
        <v>127</v>
      </c>
      <c r="H901" s="3">
        <v>1</v>
      </c>
      <c r="I901" s="7">
        <v>955.38</v>
      </c>
      <c r="J901" s="9">
        <v>0.1</v>
      </c>
      <c r="K901" s="7">
        <v>859.84</v>
      </c>
      <c r="L901" s="7">
        <v>360.27</v>
      </c>
      <c r="M901" s="3" t="s">
        <v>58</v>
      </c>
      <c r="N901" s="3" t="str">
        <f t="shared" si="56"/>
        <v>2024-09</v>
      </c>
      <c r="O901" s="3" t="str">
        <f t="shared" si="57"/>
        <v>1-10%</v>
      </c>
      <c r="P901" s="9">
        <f t="shared" si="58"/>
        <v>0.41899655749906956</v>
      </c>
      <c r="Q901" s="3" t="str">
        <f t="shared" si="59"/>
        <v>No</v>
      </c>
    </row>
    <row r="902" spans="1:17" ht="21" customHeight="1">
      <c r="A902" s="3" t="s">
        <v>1507</v>
      </c>
      <c r="B902" s="5">
        <v>45546</v>
      </c>
      <c r="C902" s="3" t="s">
        <v>616</v>
      </c>
      <c r="D902" s="3" t="s">
        <v>45</v>
      </c>
      <c r="E902" s="3" t="s">
        <v>38</v>
      </c>
      <c r="F902" s="3" t="s">
        <v>142</v>
      </c>
      <c r="G902" s="3" t="s">
        <v>245</v>
      </c>
      <c r="H902" s="3">
        <v>4</v>
      </c>
      <c r="I902" s="7">
        <v>5107.3900000000003</v>
      </c>
      <c r="J902" s="9">
        <v>0.15</v>
      </c>
      <c r="K902" s="7">
        <v>17365.13</v>
      </c>
      <c r="L902" s="7">
        <v>-121.3</v>
      </c>
      <c r="M902" s="3" t="s">
        <v>57</v>
      </c>
      <c r="N902" s="3" t="str">
        <f t="shared" si="56"/>
        <v>2024-09</v>
      </c>
      <c r="O902" s="3" t="str">
        <f t="shared" si="57"/>
        <v>11-15%</v>
      </c>
      <c r="P902" s="9">
        <f t="shared" si="58"/>
        <v>-6.9852629954397115E-3</v>
      </c>
      <c r="Q902" s="3" t="str">
        <f t="shared" si="59"/>
        <v>Yes</v>
      </c>
    </row>
    <row r="903" spans="1:17" ht="21" customHeight="1">
      <c r="A903" s="3" t="s">
        <v>1508</v>
      </c>
      <c r="B903" s="5">
        <v>45547</v>
      </c>
      <c r="C903" s="3" t="s">
        <v>1276</v>
      </c>
      <c r="D903" s="3" t="s">
        <v>44</v>
      </c>
      <c r="E903" s="3" t="s">
        <v>42</v>
      </c>
      <c r="F903" s="3" t="s">
        <v>126</v>
      </c>
      <c r="G903" s="3" t="s">
        <v>151</v>
      </c>
      <c r="H903" s="3">
        <v>1</v>
      </c>
      <c r="I903" s="7">
        <v>1436.31</v>
      </c>
      <c r="J903" s="9">
        <v>0</v>
      </c>
      <c r="K903" s="7">
        <v>1436.31</v>
      </c>
      <c r="L903" s="7">
        <v>798.22</v>
      </c>
      <c r="M903" s="3" t="s">
        <v>58</v>
      </c>
      <c r="N903" s="3" t="str">
        <f t="shared" si="56"/>
        <v>2024-09</v>
      </c>
      <c r="O903" s="3" t="str">
        <f t="shared" si="57"/>
        <v>No discount</v>
      </c>
      <c r="P903" s="9">
        <f t="shared" si="58"/>
        <v>0.55574353725866987</v>
      </c>
      <c r="Q903" s="3" t="str">
        <f t="shared" si="59"/>
        <v>No</v>
      </c>
    </row>
    <row r="904" spans="1:17" ht="21" customHeight="1">
      <c r="A904" s="3" t="s">
        <v>1509</v>
      </c>
      <c r="B904" s="5">
        <v>45547</v>
      </c>
      <c r="C904" s="3" t="s">
        <v>962</v>
      </c>
      <c r="D904" s="3" t="s">
        <v>46</v>
      </c>
      <c r="E904" s="3" t="s">
        <v>39</v>
      </c>
      <c r="F904" s="3" t="s">
        <v>164</v>
      </c>
      <c r="G904" s="3" t="s">
        <v>200</v>
      </c>
      <c r="H904" s="3">
        <v>3</v>
      </c>
      <c r="I904" s="7">
        <v>1352.44</v>
      </c>
      <c r="J904" s="9">
        <v>0.1</v>
      </c>
      <c r="K904" s="7">
        <v>3651.59</v>
      </c>
      <c r="L904" s="7">
        <v>1174.53</v>
      </c>
      <c r="M904" s="3" t="s">
        <v>58</v>
      </c>
      <c r="N904" s="3" t="str">
        <f t="shared" si="56"/>
        <v>2024-09</v>
      </c>
      <c r="O904" s="3" t="str">
        <f t="shared" si="57"/>
        <v>1-10%</v>
      </c>
      <c r="P904" s="9">
        <f t="shared" si="58"/>
        <v>0.32164892553654706</v>
      </c>
      <c r="Q904" s="3" t="str">
        <f t="shared" si="59"/>
        <v>No</v>
      </c>
    </row>
    <row r="905" spans="1:17" ht="21" customHeight="1">
      <c r="A905" s="3" t="s">
        <v>1510</v>
      </c>
      <c r="B905" s="5">
        <v>45548</v>
      </c>
      <c r="C905" s="3" t="s">
        <v>541</v>
      </c>
      <c r="D905" s="3" t="s">
        <v>47</v>
      </c>
      <c r="E905" s="3" t="s">
        <v>38</v>
      </c>
      <c r="F905" s="3" t="s">
        <v>142</v>
      </c>
      <c r="G905" s="3" t="s">
        <v>245</v>
      </c>
      <c r="H905" s="3">
        <v>1</v>
      </c>
      <c r="I905" s="7">
        <v>5216.33</v>
      </c>
      <c r="J905" s="9">
        <v>0</v>
      </c>
      <c r="K905" s="7">
        <v>5216.33</v>
      </c>
      <c r="L905" s="7">
        <v>824.38</v>
      </c>
      <c r="M905" s="3" t="s">
        <v>57</v>
      </c>
      <c r="N905" s="3" t="str">
        <f t="shared" si="56"/>
        <v>2024-09</v>
      </c>
      <c r="O905" s="3" t="str">
        <f t="shared" si="57"/>
        <v>No discount</v>
      </c>
      <c r="P905" s="9">
        <f t="shared" si="58"/>
        <v>0.15803831429376591</v>
      </c>
      <c r="Q905" s="3" t="str">
        <f t="shared" si="59"/>
        <v>No</v>
      </c>
    </row>
    <row r="906" spans="1:17" ht="21" customHeight="1">
      <c r="A906" s="3" t="s">
        <v>1511</v>
      </c>
      <c r="B906" s="5">
        <v>45548</v>
      </c>
      <c r="C906" s="3" t="s">
        <v>1140</v>
      </c>
      <c r="D906" s="3" t="s">
        <v>45</v>
      </c>
      <c r="E906" s="3" t="s">
        <v>42</v>
      </c>
      <c r="F906" s="3" t="s">
        <v>90</v>
      </c>
      <c r="G906" s="3" t="s">
        <v>91</v>
      </c>
      <c r="H906" s="3">
        <v>1</v>
      </c>
      <c r="I906" s="7">
        <v>1206.03</v>
      </c>
      <c r="J906" s="9">
        <v>0.05</v>
      </c>
      <c r="K906" s="7">
        <v>1145.73</v>
      </c>
      <c r="L906" s="7">
        <v>564.55999999999995</v>
      </c>
      <c r="M906" s="3" t="s">
        <v>56</v>
      </c>
      <c r="N906" s="3" t="str">
        <f t="shared" si="56"/>
        <v>2024-09</v>
      </c>
      <c r="O906" s="3" t="str">
        <f t="shared" si="57"/>
        <v>1-10%</v>
      </c>
      <c r="P906" s="9">
        <f t="shared" si="58"/>
        <v>0.4927513463032302</v>
      </c>
      <c r="Q906" s="3" t="str">
        <f t="shared" si="59"/>
        <v>No</v>
      </c>
    </row>
    <row r="907" spans="1:17" ht="21" customHeight="1">
      <c r="A907" s="3" t="s">
        <v>1512</v>
      </c>
      <c r="B907" s="5">
        <v>45548</v>
      </c>
      <c r="C907" s="3" t="s">
        <v>1129</v>
      </c>
      <c r="D907" s="3" t="s">
        <v>45</v>
      </c>
      <c r="E907" s="3" t="s">
        <v>39</v>
      </c>
      <c r="F907" s="3" t="s">
        <v>130</v>
      </c>
      <c r="G907" s="3" t="s">
        <v>131</v>
      </c>
      <c r="H907" s="3">
        <v>1</v>
      </c>
      <c r="I907" s="7">
        <v>2227.73</v>
      </c>
      <c r="J907" s="9">
        <v>0.2</v>
      </c>
      <c r="K907" s="7">
        <v>1782.18</v>
      </c>
      <c r="L907" s="7">
        <v>343.46</v>
      </c>
      <c r="M907" s="3" t="s">
        <v>57</v>
      </c>
      <c r="N907" s="3" t="str">
        <f t="shared" si="56"/>
        <v>2024-09</v>
      </c>
      <c r="O907" s="3" t="str">
        <f t="shared" si="57"/>
        <v>16-20%</v>
      </c>
      <c r="P907" s="9">
        <f t="shared" si="58"/>
        <v>0.1927190295031927</v>
      </c>
      <c r="Q907" s="3" t="str">
        <f t="shared" si="59"/>
        <v>No</v>
      </c>
    </row>
    <row r="908" spans="1:17" ht="21" customHeight="1">
      <c r="A908" s="3" t="s">
        <v>1513</v>
      </c>
      <c r="B908" s="5">
        <v>45548</v>
      </c>
      <c r="C908" s="3" t="s">
        <v>1160</v>
      </c>
      <c r="D908" s="3" t="s">
        <v>45</v>
      </c>
      <c r="E908" s="3" t="s">
        <v>38</v>
      </c>
      <c r="F908" s="3" t="s">
        <v>98</v>
      </c>
      <c r="G908" s="3" t="s">
        <v>362</v>
      </c>
      <c r="H908" s="3">
        <v>1</v>
      </c>
      <c r="I908" s="7">
        <v>32265.54</v>
      </c>
      <c r="J908" s="9">
        <v>0.15</v>
      </c>
      <c r="K908" s="7">
        <v>27425.71</v>
      </c>
      <c r="L908" s="7">
        <v>10.68</v>
      </c>
      <c r="M908" s="3" t="s">
        <v>56</v>
      </c>
      <c r="N908" s="3" t="str">
        <f t="shared" si="56"/>
        <v>2024-09</v>
      </c>
      <c r="O908" s="3" t="str">
        <f t="shared" si="57"/>
        <v>11-15%</v>
      </c>
      <c r="P908" s="9">
        <f t="shared" si="58"/>
        <v>3.8941562497379282E-4</v>
      </c>
      <c r="Q908" s="3" t="str">
        <f t="shared" si="59"/>
        <v>No</v>
      </c>
    </row>
    <row r="909" spans="1:17" ht="21" customHeight="1">
      <c r="A909" s="3" t="s">
        <v>1514</v>
      </c>
      <c r="B909" s="5">
        <v>45548</v>
      </c>
      <c r="C909" s="3" t="s">
        <v>1140</v>
      </c>
      <c r="D909" s="3" t="s">
        <v>44</v>
      </c>
      <c r="E909" s="3" t="s">
        <v>39</v>
      </c>
      <c r="F909" s="3" t="s">
        <v>164</v>
      </c>
      <c r="G909" s="3" t="s">
        <v>200</v>
      </c>
      <c r="H909" s="3">
        <v>5</v>
      </c>
      <c r="I909" s="7">
        <v>1260.97</v>
      </c>
      <c r="J909" s="9">
        <v>0.15</v>
      </c>
      <c r="K909" s="7">
        <v>5359.12</v>
      </c>
      <c r="L909" s="7">
        <v>1507.77</v>
      </c>
      <c r="M909" s="3" t="s">
        <v>56</v>
      </c>
      <c r="N909" s="3" t="str">
        <f t="shared" si="56"/>
        <v>2024-09</v>
      </c>
      <c r="O909" s="3" t="str">
        <f t="shared" si="57"/>
        <v>11-15%</v>
      </c>
      <c r="P909" s="9">
        <f t="shared" si="58"/>
        <v>0.28134656436131306</v>
      </c>
      <c r="Q909" s="3" t="str">
        <f t="shared" si="59"/>
        <v>No</v>
      </c>
    </row>
    <row r="910" spans="1:17" ht="21" customHeight="1">
      <c r="A910" s="3" t="s">
        <v>1515</v>
      </c>
      <c r="B910" s="5">
        <v>45549</v>
      </c>
      <c r="C910" s="3" t="s">
        <v>283</v>
      </c>
      <c r="D910" s="3" t="s">
        <v>44</v>
      </c>
      <c r="E910" s="3" t="s">
        <v>42</v>
      </c>
      <c r="F910" s="3" t="s">
        <v>126</v>
      </c>
      <c r="G910" s="3" t="s">
        <v>127</v>
      </c>
      <c r="H910" s="3">
        <v>1</v>
      </c>
      <c r="I910" s="7">
        <v>1009.14</v>
      </c>
      <c r="J910" s="9">
        <v>0</v>
      </c>
      <c r="K910" s="7">
        <v>1009.14</v>
      </c>
      <c r="L910" s="7">
        <v>541.38</v>
      </c>
      <c r="M910" s="3" t="s">
        <v>60</v>
      </c>
      <c r="N910" s="3" t="str">
        <f t="shared" si="56"/>
        <v>2024-09</v>
      </c>
      <c r="O910" s="3" t="str">
        <f t="shared" si="57"/>
        <v>No discount</v>
      </c>
      <c r="P910" s="9">
        <f t="shared" si="58"/>
        <v>0.53647660384089424</v>
      </c>
      <c r="Q910" s="3" t="str">
        <f t="shared" si="59"/>
        <v>No</v>
      </c>
    </row>
    <row r="911" spans="1:17" ht="21" customHeight="1">
      <c r="A911" s="3" t="s">
        <v>1516</v>
      </c>
      <c r="B911" s="5">
        <v>45549</v>
      </c>
      <c r="C911" s="3" t="s">
        <v>475</v>
      </c>
      <c r="D911" s="3" t="s">
        <v>46</v>
      </c>
      <c r="E911" s="3" t="s">
        <v>41</v>
      </c>
      <c r="F911" s="3" t="s">
        <v>113</v>
      </c>
      <c r="G911" s="3" t="s">
        <v>114</v>
      </c>
      <c r="H911" s="3">
        <v>5</v>
      </c>
      <c r="I911" s="7">
        <v>11823.74</v>
      </c>
      <c r="J911" s="9">
        <v>0.25</v>
      </c>
      <c r="K911" s="7">
        <v>44339.02</v>
      </c>
      <c r="L911" s="7">
        <v>4475.6400000000003</v>
      </c>
      <c r="M911" s="3" t="s">
        <v>58</v>
      </c>
      <c r="N911" s="3" t="str">
        <f t="shared" si="56"/>
        <v>2024-09</v>
      </c>
      <c r="O911" s="3" t="str">
        <f t="shared" si="57"/>
        <v>21%+</v>
      </c>
      <c r="P911" s="9">
        <f t="shared" si="58"/>
        <v>0.10094133790056706</v>
      </c>
      <c r="Q911" s="3" t="str">
        <f t="shared" si="59"/>
        <v>No</v>
      </c>
    </row>
    <row r="912" spans="1:17" ht="21" customHeight="1">
      <c r="A912" s="3" t="s">
        <v>1517</v>
      </c>
      <c r="B912" s="5">
        <v>45549</v>
      </c>
      <c r="C912" s="3" t="s">
        <v>112</v>
      </c>
      <c r="D912" s="3" t="s">
        <v>45</v>
      </c>
      <c r="E912" s="3" t="s">
        <v>38</v>
      </c>
      <c r="F912" s="3" t="s">
        <v>98</v>
      </c>
      <c r="G912" s="3" t="s">
        <v>362</v>
      </c>
      <c r="H912" s="3">
        <v>2</v>
      </c>
      <c r="I912" s="7">
        <v>33732.400000000001</v>
      </c>
      <c r="J912" s="9">
        <v>0</v>
      </c>
      <c r="K912" s="7">
        <v>67464.800000000003</v>
      </c>
      <c r="L912" s="7">
        <v>14005.91</v>
      </c>
      <c r="M912" s="3" t="s">
        <v>56</v>
      </c>
      <c r="N912" s="3" t="str">
        <f t="shared" si="56"/>
        <v>2024-09</v>
      </c>
      <c r="O912" s="3" t="str">
        <f t="shared" si="57"/>
        <v>No discount</v>
      </c>
      <c r="P912" s="9">
        <f t="shared" si="58"/>
        <v>0.20760322419987903</v>
      </c>
      <c r="Q912" s="3" t="str">
        <f t="shared" si="59"/>
        <v>No</v>
      </c>
    </row>
    <row r="913" spans="1:17" ht="21" customHeight="1">
      <c r="A913" s="3" t="s">
        <v>1518</v>
      </c>
      <c r="B913" s="5">
        <v>45549</v>
      </c>
      <c r="C913" s="3" t="s">
        <v>218</v>
      </c>
      <c r="D913" s="3" t="s">
        <v>47</v>
      </c>
      <c r="E913" s="3" t="s">
        <v>41</v>
      </c>
      <c r="F913" s="3" t="s">
        <v>113</v>
      </c>
      <c r="G913" s="3" t="s">
        <v>114</v>
      </c>
      <c r="H913" s="3">
        <v>1</v>
      </c>
      <c r="I913" s="7">
        <v>12533.88</v>
      </c>
      <c r="J913" s="9">
        <v>0.2</v>
      </c>
      <c r="K913" s="7">
        <v>10027.1</v>
      </c>
      <c r="L913" s="7">
        <v>1304.55</v>
      </c>
      <c r="M913" s="3" t="s">
        <v>56</v>
      </c>
      <c r="N913" s="3" t="str">
        <f t="shared" si="56"/>
        <v>2024-09</v>
      </c>
      <c r="O913" s="3" t="str">
        <f t="shared" si="57"/>
        <v>16-20%</v>
      </c>
      <c r="P913" s="9">
        <f t="shared" si="58"/>
        <v>0.13010242243520059</v>
      </c>
      <c r="Q913" s="3" t="str">
        <f t="shared" si="59"/>
        <v>No</v>
      </c>
    </row>
    <row r="914" spans="1:17" ht="21" customHeight="1">
      <c r="A914" s="3" t="s">
        <v>1519</v>
      </c>
      <c r="B914" s="5">
        <v>45549</v>
      </c>
      <c r="C914" s="3" t="s">
        <v>613</v>
      </c>
      <c r="D914" s="3" t="s">
        <v>44</v>
      </c>
      <c r="E914" s="3" t="s">
        <v>40</v>
      </c>
      <c r="F914" s="3" t="s">
        <v>102</v>
      </c>
      <c r="G914" s="3" t="s">
        <v>146</v>
      </c>
      <c r="H914" s="3">
        <v>1</v>
      </c>
      <c r="I914" s="7">
        <v>7740.53</v>
      </c>
      <c r="J914" s="9">
        <v>0</v>
      </c>
      <c r="K914" s="7">
        <v>7740.53</v>
      </c>
      <c r="L914" s="7">
        <v>2683.88</v>
      </c>
      <c r="M914" s="3" t="s">
        <v>56</v>
      </c>
      <c r="N914" s="3" t="str">
        <f t="shared" si="56"/>
        <v>2024-09</v>
      </c>
      <c r="O914" s="3" t="str">
        <f t="shared" si="57"/>
        <v>No discount</v>
      </c>
      <c r="P914" s="9">
        <f t="shared" si="58"/>
        <v>0.34673077941691333</v>
      </c>
      <c r="Q914" s="3" t="str">
        <f t="shared" si="59"/>
        <v>No</v>
      </c>
    </row>
    <row r="915" spans="1:17" ht="21" customHeight="1">
      <c r="A915" s="3" t="s">
        <v>1520</v>
      </c>
      <c r="B915" s="5">
        <v>45549</v>
      </c>
      <c r="C915" s="3" t="s">
        <v>992</v>
      </c>
      <c r="D915" s="3" t="s">
        <v>46</v>
      </c>
      <c r="E915" s="3" t="s">
        <v>41</v>
      </c>
      <c r="F915" s="3" t="s">
        <v>113</v>
      </c>
      <c r="G915" s="3" t="s">
        <v>123</v>
      </c>
      <c r="H915" s="3">
        <v>3</v>
      </c>
      <c r="I915" s="7">
        <v>3533.38</v>
      </c>
      <c r="J915" s="9">
        <v>0.25</v>
      </c>
      <c r="K915" s="7">
        <v>7950.1</v>
      </c>
      <c r="L915" s="7">
        <v>641.59</v>
      </c>
      <c r="M915" s="3" t="s">
        <v>57</v>
      </c>
      <c r="N915" s="3" t="str">
        <f t="shared" si="56"/>
        <v>2024-09</v>
      </c>
      <c r="O915" s="3" t="str">
        <f t="shared" si="57"/>
        <v>21%+</v>
      </c>
      <c r="P915" s="9">
        <f t="shared" si="58"/>
        <v>8.0702129532961853E-2</v>
      </c>
      <c r="Q915" s="3" t="str">
        <f t="shared" si="59"/>
        <v>No</v>
      </c>
    </row>
    <row r="916" spans="1:17" ht="21" customHeight="1">
      <c r="A916" s="3" t="s">
        <v>1521</v>
      </c>
      <c r="B916" s="5">
        <v>45549</v>
      </c>
      <c r="C916" s="3" t="s">
        <v>1522</v>
      </c>
      <c r="D916" s="3" t="s">
        <v>45</v>
      </c>
      <c r="E916" s="3" t="s">
        <v>41</v>
      </c>
      <c r="F916" s="3" t="s">
        <v>119</v>
      </c>
      <c r="G916" s="3" t="s">
        <v>168</v>
      </c>
      <c r="H916" s="3">
        <v>3</v>
      </c>
      <c r="I916" s="7">
        <v>9817.52</v>
      </c>
      <c r="J916" s="9">
        <v>0</v>
      </c>
      <c r="K916" s="7">
        <v>29452.560000000001</v>
      </c>
      <c r="L916" s="7">
        <v>11587.3</v>
      </c>
      <c r="M916" s="3" t="s">
        <v>59</v>
      </c>
      <c r="N916" s="3" t="str">
        <f t="shared" si="56"/>
        <v>2024-09</v>
      </c>
      <c r="O916" s="3" t="str">
        <f t="shared" si="57"/>
        <v>No discount</v>
      </c>
      <c r="P916" s="9">
        <f t="shared" si="58"/>
        <v>0.39342250724555011</v>
      </c>
      <c r="Q916" s="3" t="str">
        <f t="shared" si="59"/>
        <v>No</v>
      </c>
    </row>
    <row r="917" spans="1:17" ht="21" customHeight="1">
      <c r="A917" s="3" t="s">
        <v>1523</v>
      </c>
      <c r="B917" s="5">
        <v>45550</v>
      </c>
      <c r="C917" s="3" t="s">
        <v>896</v>
      </c>
      <c r="D917" s="3" t="s">
        <v>46</v>
      </c>
      <c r="E917" s="3" t="s">
        <v>42</v>
      </c>
      <c r="F917" s="3" t="s">
        <v>90</v>
      </c>
      <c r="G917" s="3" t="s">
        <v>106</v>
      </c>
      <c r="H917" s="3">
        <v>1</v>
      </c>
      <c r="I917" s="7">
        <v>888</v>
      </c>
      <c r="J917" s="9">
        <v>0.1</v>
      </c>
      <c r="K917" s="7">
        <v>799.2</v>
      </c>
      <c r="L917" s="7">
        <v>378.91</v>
      </c>
      <c r="M917" s="3" t="s">
        <v>56</v>
      </c>
      <c r="N917" s="3" t="str">
        <f t="shared" si="56"/>
        <v>2024-09</v>
      </c>
      <c r="O917" s="3" t="str">
        <f t="shared" si="57"/>
        <v>1-10%</v>
      </c>
      <c r="P917" s="9">
        <f t="shared" si="58"/>
        <v>0.47411161161161164</v>
      </c>
      <c r="Q917" s="3" t="str">
        <f t="shared" si="59"/>
        <v>No</v>
      </c>
    </row>
    <row r="918" spans="1:17" ht="21" customHeight="1">
      <c r="A918" s="3" t="s">
        <v>1524</v>
      </c>
      <c r="B918" s="5">
        <v>45550</v>
      </c>
      <c r="C918" s="3" t="s">
        <v>573</v>
      </c>
      <c r="D918" s="3" t="s">
        <v>47</v>
      </c>
      <c r="E918" s="3" t="s">
        <v>39</v>
      </c>
      <c r="F918" s="3" t="s">
        <v>130</v>
      </c>
      <c r="G918" s="3" t="s">
        <v>193</v>
      </c>
      <c r="H918" s="3">
        <v>1</v>
      </c>
      <c r="I918" s="7">
        <v>1859.82</v>
      </c>
      <c r="J918" s="9">
        <v>0.05</v>
      </c>
      <c r="K918" s="7">
        <v>1766.83</v>
      </c>
      <c r="L918" s="7">
        <v>643.78</v>
      </c>
      <c r="M918" s="3" t="s">
        <v>58</v>
      </c>
      <c r="N918" s="3" t="str">
        <f t="shared" si="56"/>
        <v>2024-09</v>
      </c>
      <c r="O918" s="3" t="str">
        <f t="shared" si="57"/>
        <v>1-10%</v>
      </c>
      <c r="P918" s="9">
        <f t="shared" si="58"/>
        <v>0.36437008653916902</v>
      </c>
      <c r="Q918" s="3" t="str">
        <f t="shared" si="59"/>
        <v>No</v>
      </c>
    </row>
    <row r="919" spans="1:17" ht="21" customHeight="1">
      <c r="A919" s="3" t="s">
        <v>1525</v>
      </c>
      <c r="B919" s="5">
        <v>45550</v>
      </c>
      <c r="C919" s="3" t="s">
        <v>487</v>
      </c>
      <c r="D919" s="3" t="s">
        <v>45</v>
      </c>
      <c r="E919" s="3" t="s">
        <v>41</v>
      </c>
      <c r="F919" s="3" t="s">
        <v>119</v>
      </c>
      <c r="G919" s="3" t="s">
        <v>168</v>
      </c>
      <c r="H919" s="3">
        <v>1</v>
      </c>
      <c r="I919" s="7">
        <v>10400.69</v>
      </c>
      <c r="J919" s="9">
        <v>0.1</v>
      </c>
      <c r="K919" s="7">
        <v>9360.6200000000008</v>
      </c>
      <c r="L919" s="7">
        <v>2119.6799999999998</v>
      </c>
      <c r="M919" s="3" t="s">
        <v>56</v>
      </c>
      <c r="N919" s="3" t="str">
        <f t="shared" si="56"/>
        <v>2024-09</v>
      </c>
      <c r="O919" s="3" t="str">
        <f t="shared" si="57"/>
        <v>1-10%</v>
      </c>
      <c r="P919" s="9">
        <f t="shared" si="58"/>
        <v>0.2264465387976437</v>
      </c>
      <c r="Q919" s="3" t="str">
        <f t="shared" si="59"/>
        <v>No</v>
      </c>
    </row>
    <row r="920" spans="1:17" ht="21" customHeight="1">
      <c r="A920" s="3" t="s">
        <v>1526</v>
      </c>
      <c r="B920" s="5">
        <v>45551</v>
      </c>
      <c r="C920" s="3" t="s">
        <v>645</v>
      </c>
      <c r="D920" s="3" t="s">
        <v>44</v>
      </c>
      <c r="E920" s="3" t="s">
        <v>40</v>
      </c>
      <c r="F920" s="3" t="s">
        <v>102</v>
      </c>
      <c r="G920" s="3" t="s">
        <v>146</v>
      </c>
      <c r="H920" s="3">
        <v>2</v>
      </c>
      <c r="I920" s="7">
        <v>7818.98</v>
      </c>
      <c r="J920" s="9">
        <v>0</v>
      </c>
      <c r="K920" s="7">
        <v>15637.96</v>
      </c>
      <c r="L920" s="7">
        <v>5133.92</v>
      </c>
      <c r="M920" s="3" t="s">
        <v>57</v>
      </c>
      <c r="N920" s="3" t="str">
        <f t="shared" si="56"/>
        <v>2024-09</v>
      </c>
      <c r="O920" s="3" t="str">
        <f t="shared" si="57"/>
        <v>No discount</v>
      </c>
      <c r="P920" s="9">
        <f t="shared" si="58"/>
        <v>0.32829857602909845</v>
      </c>
      <c r="Q920" s="3" t="str">
        <f t="shared" si="59"/>
        <v>No</v>
      </c>
    </row>
    <row r="921" spans="1:17" ht="21" customHeight="1">
      <c r="A921" s="3" t="s">
        <v>1527</v>
      </c>
      <c r="B921" s="5">
        <v>45551</v>
      </c>
      <c r="C921" s="3" t="s">
        <v>1205</v>
      </c>
      <c r="D921" s="3" t="s">
        <v>46</v>
      </c>
      <c r="E921" s="3" t="s">
        <v>41</v>
      </c>
      <c r="F921" s="3" t="s">
        <v>113</v>
      </c>
      <c r="G921" s="3" t="s">
        <v>114</v>
      </c>
      <c r="H921" s="3">
        <v>1</v>
      </c>
      <c r="I921" s="7">
        <v>11746.83</v>
      </c>
      <c r="J921" s="9">
        <v>0.15</v>
      </c>
      <c r="K921" s="7">
        <v>9984.81</v>
      </c>
      <c r="L921" s="7">
        <v>2424.83</v>
      </c>
      <c r="M921" s="3" t="s">
        <v>56</v>
      </c>
      <c r="N921" s="3" t="str">
        <f t="shared" si="56"/>
        <v>2024-09</v>
      </c>
      <c r="O921" s="3" t="str">
        <f t="shared" si="57"/>
        <v>11-15%</v>
      </c>
      <c r="P921" s="9">
        <f t="shared" si="58"/>
        <v>0.24285189202398444</v>
      </c>
      <c r="Q921" s="3" t="str">
        <f t="shared" si="59"/>
        <v>No</v>
      </c>
    </row>
    <row r="922" spans="1:17" ht="21" customHeight="1">
      <c r="A922" s="3" t="s">
        <v>1528</v>
      </c>
      <c r="B922" s="5">
        <v>45551</v>
      </c>
      <c r="C922" s="3" t="s">
        <v>1350</v>
      </c>
      <c r="D922" s="3" t="s">
        <v>45</v>
      </c>
      <c r="E922" s="3" t="s">
        <v>42</v>
      </c>
      <c r="F922" s="3" t="s">
        <v>90</v>
      </c>
      <c r="G922" s="3" t="s">
        <v>91</v>
      </c>
      <c r="H922" s="3">
        <v>5</v>
      </c>
      <c r="I922" s="7">
        <v>1208.45</v>
      </c>
      <c r="J922" s="9">
        <v>0.05</v>
      </c>
      <c r="K922" s="7">
        <v>5740.14</v>
      </c>
      <c r="L922" s="7">
        <v>2658.42</v>
      </c>
      <c r="M922" s="3" t="s">
        <v>56</v>
      </c>
      <c r="N922" s="3" t="str">
        <f t="shared" si="56"/>
        <v>2024-09</v>
      </c>
      <c r="O922" s="3" t="str">
        <f t="shared" si="57"/>
        <v>1-10%</v>
      </c>
      <c r="P922" s="9">
        <f t="shared" si="58"/>
        <v>0.46312807701554315</v>
      </c>
      <c r="Q922" s="3" t="str">
        <f t="shared" si="59"/>
        <v>No</v>
      </c>
    </row>
    <row r="923" spans="1:17" ht="21" customHeight="1">
      <c r="A923" s="3" t="s">
        <v>1529</v>
      </c>
      <c r="B923" s="5">
        <v>45551</v>
      </c>
      <c r="C923" s="3" t="s">
        <v>896</v>
      </c>
      <c r="D923" s="3" t="s">
        <v>44</v>
      </c>
      <c r="E923" s="3" t="s">
        <v>39</v>
      </c>
      <c r="F923" s="3" t="s">
        <v>109</v>
      </c>
      <c r="G923" s="3" t="s">
        <v>355</v>
      </c>
      <c r="H923" s="3">
        <v>1</v>
      </c>
      <c r="I923" s="7">
        <v>3354.07</v>
      </c>
      <c r="J923" s="9">
        <v>0.15</v>
      </c>
      <c r="K923" s="7">
        <v>2850.96</v>
      </c>
      <c r="L923" s="7">
        <v>638.75</v>
      </c>
      <c r="M923" s="3" t="s">
        <v>56</v>
      </c>
      <c r="N923" s="3" t="str">
        <f t="shared" si="56"/>
        <v>2024-09</v>
      </c>
      <c r="O923" s="3" t="str">
        <f t="shared" si="57"/>
        <v>11-15%</v>
      </c>
      <c r="P923" s="9">
        <f t="shared" si="58"/>
        <v>0.22404733844038499</v>
      </c>
      <c r="Q923" s="3" t="str">
        <f t="shared" si="59"/>
        <v>No</v>
      </c>
    </row>
    <row r="924" spans="1:17" ht="21" customHeight="1">
      <c r="A924" s="3" t="s">
        <v>1530</v>
      </c>
      <c r="B924" s="5">
        <v>45552</v>
      </c>
      <c r="C924" s="3" t="s">
        <v>412</v>
      </c>
      <c r="D924" s="3" t="s">
        <v>45</v>
      </c>
      <c r="E924" s="3" t="s">
        <v>39</v>
      </c>
      <c r="F924" s="3" t="s">
        <v>109</v>
      </c>
      <c r="G924" s="3" t="s">
        <v>355</v>
      </c>
      <c r="H924" s="3">
        <v>1</v>
      </c>
      <c r="I924" s="7">
        <v>3574.94</v>
      </c>
      <c r="J924" s="9">
        <v>0.05</v>
      </c>
      <c r="K924" s="7">
        <v>3396.19</v>
      </c>
      <c r="L924" s="7">
        <v>1348.62</v>
      </c>
      <c r="M924" s="3" t="s">
        <v>56</v>
      </c>
      <c r="N924" s="3" t="str">
        <f t="shared" si="56"/>
        <v>2024-09</v>
      </c>
      <c r="O924" s="3" t="str">
        <f t="shared" si="57"/>
        <v>1-10%</v>
      </c>
      <c r="P924" s="9">
        <f t="shared" si="58"/>
        <v>0.39709792443885644</v>
      </c>
      <c r="Q924" s="3" t="str">
        <f t="shared" si="59"/>
        <v>No</v>
      </c>
    </row>
    <row r="925" spans="1:17" ht="21" customHeight="1">
      <c r="A925" s="3" t="s">
        <v>1531</v>
      </c>
      <c r="B925" s="5">
        <v>45553</v>
      </c>
      <c r="C925" s="3" t="s">
        <v>899</v>
      </c>
      <c r="D925" s="3" t="s">
        <v>47</v>
      </c>
      <c r="E925" s="3" t="s">
        <v>42</v>
      </c>
      <c r="F925" s="3" t="s">
        <v>126</v>
      </c>
      <c r="G925" s="3" t="s">
        <v>127</v>
      </c>
      <c r="H925" s="3">
        <v>1</v>
      </c>
      <c r="I925" s="7">
        <v>954.52</v>
      </c>
      <c r="J925" s="9">
        <v>0.4</v>
      </c>
      <c r="K925" s="7">
        <v>572.71</v>
      </c>
      <c r="L925" s="7">
        <v>38</v>
      </c>
      <c r="M925" s="3" t="s">
        <v>58</v>
      </c>
      <c r="N925" s="3" t="str">
        <f t="shared" si="56"/>
        <v>2024-09</v>
      </c>
      <c r="O925" s="3" t="str">
        <f t="shared" si="57"/>
        <v>21%+</v>
      </c>
      <c r="P925" s="9">
        <f t="shared" si="58"/>
        <v>6.6351207417366553E-2</v>
      </c>
      <c r="Q925" s="3" t="str">
        <f t="shared" si="59"/>
        <v>No</v>
      </c>
    </row>
    <row r="926" spans="1:17" ht="21" customHeight="1">
      <c r="A926" s="3" t="s">
        <v>1532</v>
      </c>
      <c r="B926" s="5">
        <v>45553</v>
      </c>
      <c r="C926" s="3" t="s">
        <v>937</v>
      </c>
      <c r="D926" s="3" t="s">
        <v>47</v>
      </c>
      <c r="E926" s="3" t="s">
        <v>42</v>
      </c>
      <c r="F926" s="3" t="s">
        <v>126</v>
      </c>
      <c r="G926" s="3" t="s">
        <v>127</v>
      </c>
      <c r="H926" s="3">
        <v>1</v>
      </c>
      <c r="I926" s="7">
        <v>965.93</v>
      </c>
      <c r="J926" s="9">
        <v>0</v>
      </c>
      <c r="K926" s="7">
        <v>965.93</v>
      </c>
      <c r="L926" s="7">
        <v>503.03</v>
      </c>
      <c r="M926" s="3" t="s">
        <v>56</v>
      </c>
      <c r="N926" s="3" t="str">
        <f t="shared" si="56"/>
        <v>2024-09</v>
      </c>
      <c r="O926" s="3" t="str">
        <f t="shared" si="57"/>
        <v>No discount</v>
      </c>
      <c r="P926" s="9">
        <f t="shared" si="58"/>
        <v>0.52077272680214926</v>
      </c>
      <c r="Q926" s="3" t="str">
        <f t="shared" si="59"/>
        <v>No</v>
      </c>
    </row>
    <row r="927" spans="1:17" ht="21" customHeight="1">
      <c r="A927" s="3" t="s">
        <v>1533</v>
      </c>
      <c r="B927" s="5">
        <v>45553</v>
      </c>
      <c r="C927" s="3" t="s">
        <v>663</v>
      </c>
      <c r="D927" s="3" t="s">
        <v>45</v>
      </c>
      <c r="E927" s="3" t="s">
        <v>38</v>
      </c>
      <c r="F927" s="3" t="s">
        <v>94</v>
      </c>
      <c r="G927" s="3" t="s">
        <v>95</v>
      </c>
      <c r="H927" s="3">
        <v>1</v>
      </c>
      <c r="I927" s="7">
        <v>79419.64</v>
      </c>
      <c r="J927" s="9">
        <v>0.1</v>
      </c>
      <c r="K927" s="7">
        <v>71477.679999999993</v>
      </c>
      <c r="L927" s="7">
        <v>5190.93</v>
      </c>
      <c r="M927" s="3" t="s">
        <v>57</v>
      </c>
      <c r="N927" s="3" t="str">
        <f t="shared" si="56"/>
        <v>2024-09</v>
      </c>
      <c r="O927" s="3" t="str">
        <f t="shared" si="57"/>
        <v>1-10%</v>
      </c>
      <c r="P927" s="9">
        <f t="shared" si="58"/>
        <v>7.2623090173044233E-2</v>
      </c>
      <c r="Q927" s="3" t="str">
        <f t="shared" si="59"/>
        <v>No</v>
      </c>
    </row>
    <row r="928" spans="1:17" ht="21" customHeight="1">
      <c r="A928" s="3" t="s">
        <v>1534</v>
      </c>
      <c r="B928" s="5">
        <v>45554</v>
      </c>
      <c r="C928" s="3" t="s">
        <v>1424</v>
      </c>
      <c r="D928" s="3" t="s">
        <v>44</v>
      </c>
      <c r="E928" s="3" t="s">
        <v>39</v>
      </c>
      <c r="F928" s="3" t="s">
        <v>109</v>
      </c>
      <c r="G928" s="3" t="s">
        <v>355</v>
      </c>
      <c r="H928" s="3">
        <v>4</v>
      </c>
      <c r="I928" s="7">
        <v>3563.48</v>
      </c>
      <c r="J928" s="9">
        <v>0.05</v>
      </c>
      <c r="K928" s="7">
        <v>13541.22</v>
      </c>
      <c r="L928" s="7">
        <v>4863.37</v>
      </c>
      <c r="M928" s="3" t="s">
        <v>56</v>
      </c>
      <c r="N928" s="3" t="str">
        <f t="shared" si="56"/>
        <v>2024-09</v>
      </c>
      <c r="O928" s="3" t="str">
        <f t="shared" si="57"/>
        <v>1-10%</v>
      </c>
      <c r="P928" s="9">
        <f t="shared" si="58"/>
        <v>0.35915301575485814</v>
      </c>
      <c r="Q928" s="3" t="str">
        <f t="shared" si="59"/>
        <v>No</v>
      </c>
    </row>
    <row r="929" spans="1:17" ht="21" customHeight="1">
      <c r="A929" s="3" t="s">
        <v>1535</v>
      </c>
      <c r="B929" s="5">
        <v>45554</v>
      </c>
      <c r="C929" s="3" t="s">
        <v>932</v>
      </c>
      <c r="D929" s="3" t="s">
        <v>46</v>
      </c>
      <c r="E929" s="3" t="s">
        <v>38</v>
      </c>
      <c r="F929" s="3" t="s">
        <v>94</v>
      </c>
      <c r="G929" s="3" t="s">
        <v>95</v>
      </c>
      <c r="H929" s="3">
        <v>1</v>
      </c>
      <c r="I929" s="7">
        <v>82639.91</v>
      </c>
      <c r="J929" s="9">
        <v>0</v>
      </c>
      <c r="K929" s="7">
        <v>82639.91</v>
      </c>
      <c r="L929" s="7">
        <v>16456.32</v>
      </c>
      <c r="M929" s="3" t="s">
        <v>59</v>
      </c>
      <c r="N929" s="3" t="str">
        <f t="shared" si="56"/>
        <v>2024-09</v>
      </c>
      <c r="O929" s="3" t="str">
        <f t="shared" si="57"/>
        <v>No discount</v>
      </c>
      <c r="P929" s="9">
        <f t="shared" si="58"/>
        <v>0.19913284029471956</v>
      </c>
      <c r="Q929" s="3" t="str">
        <f t="shared" si="59"/>
        <v>No</v>
      </c>
    </row>
    <row r="930" spans="1:17" ht="21" customHeight="1">
      <c r="A930" s="3" t="s">
        <v>1536</v>
      </c>
      <c r="B930" s="5">
        <v>45555</v>
      </c>
      <c r="C930" s="3" t="s">
        <v>232</v>
      </c>
      <c r="D930" s="3" t="s">
        <v>44</v>
      </c>
      <c r="E930" s="3" t="s">
        <v>42</v>
      </c>
      <c r="F930" s="3" t="s">
        <v>126</v>
      </c>
      <c r="G930" s="3" t="s">
        <v>127</v>
      </c>
      <c r="H930" s="3">
        <v>3</v>
      </c>
      <c r="I930" s="7">
        <v>968.31</v>
      </c>
      <c r="J930" s="9">
        <v>0.05</v>
      </c>
      <c r="K930" s="7">
        <v>2759.68</v>
      </c>
      <c r="L930" s="7">
        <v>1273.6199999999999</v>
      </c>
      <c r="M930" s="3" t="s">
        <v>57</v>
      </c>
      <c r="N930" s="3" t="str">
        <f t="shared" si="56"/>
        <v>2024-09</v>
      </c>
      <c r="O930" s="3" t="str">
        <f t="shared" si="57"/>
        <v>1-10%</v>
      </c>
      <c r="P930" s="9">
        <f t="shared" si="58"/>
        <v>0.46151003014842301</v>
      </c>
      <c r="Q930" s="3" t="str">
        <f t="shared" si="59"/>
        <v>No</v>
      </c>
    </row>
    <row r="931" spans="1:17" ht="21" customHeight="1">
      <c r="A931" s="3" t="s">
        <v>1537</v>
      </c>
      <c r="B931" s="5">
        <v>45556</v>
      </c>
      <c r="C931" s="3" t="s">
        <v>224</v>
      </c>
      <c r="D931" s="3" t="s">
        <v>45</v>
      </c>
      <c r="E931" s="3" t="s">
        <v>39</v>
      </c>
      <c r="F931" s="3" t="s">
        <v>164</v>
      </c>
      <c r="G931" s="3" t="s">
        <v>165</v>
      </c>
      <c r="H931" s="3">
        <v>3</v>
      </c>
      <c r="I931" s="7">
        <v>1983.68</v>
      </c>
      <c r="J931" s="9">
        <v>0</v>
      </c>
      <c r="K931" s="7">
        <v>5951.04</v>
      </c>
      <c r="L931" s="7">
        <v>2731.9</v>
      </c>
      <c r="M931" s="3" t="s">
        <v>60</v>
      </c>
      <c r="N931" s="3" t="str">
        <f t="shared" si="56"/>
        <v>2024-09</v>
      </c>
      <c r="O931" s="3" t="str">
        <f t="shared" si="57"/>
        <v>No discount</v>
      </c>
      <c r="P931" s="9">
        <f t="shared" si="58"/>
        <v>0.45906261762649891</v>
      </c>
      <c r="Q931" s="3" t="str">
        <f t="shared" si="59"/>
        <v>No</v>
      </c>
    </row>
    <row r="932" spans="1:17" ht="21" customHeight="1">
      <c r="A932" s="3" t="s">
        <v>1538</v>
      </c>
      <c r="B932" s="5">
        <v>45556</v>
      </c>
      <c r="C932" s="3" t="s">
        <v>620</v>
      </c>
      <c r="D932" s="3" t="s">
        <v>44</v>
      </c>
      <c r="E932" s="3" t="s">
        <v>42</v>
      </c>
      <c r="F932" s="3" t="s">
        <v>126</v>
      </c>
      <c r="G932" s="3" t="s">
        <v>127</v>
      </c>
      <c r="H932" s="3">
        <v>1</v>
      </c>
      <c r="I932" s="7">
        <v>1001.13</v>
      </c>
      <c r="J932" s="9">
        <v>0.1</v>
      </c>
      <c r="K932" s="7">
        <v>901.02</v>
      </c>
      <c r="L932" s="7">
        <v>410.47</v>
      </c>
      <c r="M932" s="3" t="s">
        <v>56</v>
      </c>
      <c r="N932" s="3" t="str">
        <f t="shared" si="56"/>
        <v>2024-09</v>
      </c>
      <c r="O932" s="3" t="str">
        <f t="shared" si="57"/>
        <v>1-10%</v>
      </c>
      <c r="P932" s="9">
        <f t="shared" si="58"/>
        <v>0.45556147477303505</v>
      </c>
      <c r="Q932" s="3" t="str">
        <f t="shared" si="59"/>
        <v>No</v>
      </c>
    </row>
    <row r="933" spans="1:17" ht="21" customHeight="1">
      <c r="A933" s="3" t="s">
        <v>1539</v>
      </c>
      <c r="B933" s="5">
        <v>45556</v>
      </c>
      <c r="C933" s="3" t="s">
        <v>1082</v>
      </c>
      <c r="D933" s="3" t="s">
        <v>44</v>
      </c>
      <c r="E933" s="3" t="s">
        <v>38</v>
      </c>
      <c r="F933" s="3" t="s">
        <v>142</v>
      </c>
      <c r="G933" s="3" t="s">
        <v>143</v>
      </c>
      <c r="H933" s="3">
        <v>1</v>
      </c>
      <c r="I933" s="7">
        <v>9400.8799999999992</v>
      </c>
      <c r="J933" s="9">
        <v>0.1</v>
      </c>
      <c r="K933" s="7">
        <v>8460.7900000000009</v>
      </c>
      <c r="L933" s="7">
        <v>225.52</v>
      </c>
      <c r="M933" s="3" t="s">
        <v>58</v>
      </c>
      <c r="N933" s="3" t="str">
        <f t="shared" si="56"/>
        <v>2024-09</v>
      </c>
      <c r="O933" s="3" t="str">
        <f t="shared" si="57"/>
        <v>1-10%</v>
      </c>
      <c r="P933" s="9">
        <f t="shared" si="58"/>
        <v>2.6654721367626425E-2</v>
      </c>
      <c r="Q933" s="3" t="str">
        <f t="shared" si="59"/>
        <v>No</v>
      </c>
    </row>
    <row r="934" spans="1:17" ht="21" customHeight="1">
      <c r="A934" s="3" t="s">
        <v>1540</v>
      </c>
      <c r="B934" s="5">
        <v>45556</v>
      </c>
      <c r="C934" s="3" t="s">
        <v>739</v>
      </c>
      <c r="D934" s="3" t="s">
        <v>44</v>
      </c>
      <c r="E934" s="3" t="s">
        <v>39</v>
      </c>
      <c r="F934" s="3" t="s">
        <v>164</v>
      </c>
      <c r="G934" s="3" t="s">
        <v>165</v>
      </c>
      <c r="H934" s="3">
        <v>1</v>
      </c>
      <c r="I934" s="7">
        <v>2038.32</v>
      </c>
      <c r="J934" s="9">
        <v>0.05</v>
      </c>
      <c r="K934" s="7">
        <v>1936.4</v>
      </c>
      <c r="L934" s="7">
        <v>659.8</v>
      </c>
      <c r="M934" s="3" t="s">
        <v>57</v>
      </c>
      <c r="N934" s="3" t="str">
        <f t="shared" si="56"/>
        <v>2024-09</v>
      </c>
      <c r="O934" s="3" t="str">
        <f t="shared" si="57"/>
        <v>1-10%</v>
      </c>
      <c r="P934" s="9">
        <f t="shared" si="58"/>
        <v>0.34073538525098118</v>
      </c>
      <c r="Q934" s="3" t="str">
        <f t="shared" si="59"/>
        <v>No</v>
      </c>
    </row>
    <row r="935" spans="1:17" ht="21" customHeight="1">
      <c r="A935" s="3" t="s">
        <v>1541</v>
      </c>
      <c r="B935" s="5">
        <v>45556</v>
      </c>
      <c r="C935" s="3" t="s">
        <v>773</v>
      </c>
      <c r="D935" s="3" t="s">
        <v>44</v>
      </c>
      <c r="E935" s="3" t="s">
        <v>38</v>
      </c>
      <c r="F935" s="3" t="s">
        <v>94</v>
      </c>
      <c r="G935" s="3" t="s">
        <v>213</v>
      </c>
      <c r="H935" s="3">
        <v>1</v>
      </c>
      <c r="I935" s="7">
        <v>55488.98</v>
      </c>
      <c r="J935" s="9">
        <v>0.25</v>
      </c>
      <c r="K935" s="7">
        <v>41616.74</v>
      </c>
      <c r="L935" s="7">
        <v>-3631.54</v>
      </c>
      <c r="M935" s="3" t="s">
        <v>58</v>
      </c>
      <c r="N935" s="3" t="str">
        <f t="shared" si="56"/>
        <v>2024-09</v>
      </c>
      <c r="O935" s="3" t="str">
        <f t="shared" si="57"/>
        <v>21%+</v>
      </c>
      <c r="P935" s="9">
        <f t="shared" si="58"/>
        <v>-8.7261520244017191E-2</v>
      </c>
      <c r="Q935" s="3" t="str">
        <f t="shared" si="59"/>
        <v>Yes</v>
      </c>
    </row>
    <row r="936" spans="1:17" ht="21" customHeight="1">
      <c r="A936" s="3" t="s">
        <v>1542</v>
      </c>
      <c r="B936" s="5">
        <v>45556</v>
      </c>
      <c r="C936" s="3" t="s">
        <v>108</v>
      </c>
      <c r="D936" s="3" t="s">
        <v>45</v>
      </c>
      <c r="E936" s="3" t="s">
        <v>39</v>
      </c>
      <c r="F936" s="3" t="s">
        <v>164</v>
      </c>
      <c r="G936" s="3" t="s">
        <v>200</v>
      </c>
      <c r="H936" s="3">
        <v>4</v>
      </c>
      <c r="I936" s="7">
        <v>1235.55</v>
      </c>
      <c r="J936" s="9">
        <v>0.15</v>
      </c>
      <c r="K936" s="7">
        <v>4200.87</v>
      </c>
      <c r="L936" s="7">
        <v>1118.8399999999999</v>
      </c>
      <c r="M936" s="3" t="s">
        <v>56</v>
      </c>
      <c r="N936" s="3" t="str">
        <f t="shared" si="56"/>
        <v>2024-09</v>
      </c>
      <c r="O936" s="3" t="str">
        <f t="shared" si="57"/>
        <v>11-15%</v>
      </c>
      <c r="P936" s="9">
        <f t="shared" si="58"/>
        <v>0.26633530673408123</v>
      </c>
      <c r="Q936" s="3" t="str">
        <f t="shared" si="59"/>
        <v>No</v>
      </c>
    </row>
    <row r="937" spans="1:17" ht="21" customHeight="1">
      <c r="A937" s="3" t="s">
        <v>1543</v>
      </c>
      <c r="B937" s="5">
        <v>45557</v>
      </c>
      <c r="C937" s="3" t="s">
        <v>1331</v>
      </c>
      <c r="D937" s="3" t="s">
        <v>44</v>
      </c>
      <c r="E937" s="3" t="s">
        <v>41</v>
      </c>
      <c r="F937" s="3" t="s">
        <v>119</v>
      </c>
      <c r="G937" s="3" t="s">
        <v>168</v>
      </c>
      <c r="H937" s="3">
        <v>1</v>
      </c>
      <c r="I937" s="7">
        <v>10173.09</v>
      </c>
      <c r="J937" s="9">
        <v>0</v>
      </c>
      <c r="K937" s="7">
        <v>10173.09</v>
      </c>
      <c r="L937" s="7">
        <v>3767.65</v>
      </c>
      <c r="M937" s="3" t="s">
        <v>56</v>
      </c>
      <c r="N937" s="3" t="str">
        <f t="shared" si="56"/>
        <v>2024-09</v>
      </c>
      <c r="O937" s="3" t="str">
        <f t="shared" si="57"/>
        <v>No discount</v>
      </c>
      <c r="P937" s="9">
        <f t="shared" si="58"/>
        <v>0.37035453338169622</v>
      </c>
      <c r="Q937" s="3" t="str">
        <f t="shared" si="59"/>
        <v>No</v>
      </c>
    </row>
    <row r="938" spans="1:17" ht="21" customHeight="1">
      <c r="A938" s="3" t="s">
        <v>1544</v>
      </c>
      <c r="B938" s="5">
        <v>45557</v>
      </c>
      <c r="C938" s="3" t="s">
        <v>611</v>
      </c>
      <c r="D938" s="3" t="s">
        <v>45</v>
      </c>
      <c r="E938" s="3" t="s">
        <v>42</v>
      </c>
      <c r="F938" s="3" t="s">
        <v>90</v>
      </c>
      <c r="G938" s="3" t="s">
        <v>91</v>
      </c>
      <c r="H938" s="3">
        <v>2</v>
      </c>
      <c r="I938" s="7">
        <v>1233.55</v>
      </c>
      <c r="J938" s="9">
        <v>0.1</v>
      </c>
      <c r="K938" s="7">
        <v>2220.39</v>
      </c>
      <c r="L938" s="7">
        <v>1002.6</v>
      </c>
      <c r="M938" s="3" t="s">
        <v>58</v>
      </c>
      <c r="N938" s="3" t="str">
        <f t="shared" si="56"/>
        <v>2024-09</v>
      </c>
      <c r="O938" s="3" t="str">
        <f t="shared" si="57"/>
        <v>1-10%</v>
      </c>
      <c r="P938" s="9">
        <f t="shared" si="58"/>
        <v>0.45154229662356615</v>
      </c>
      <c r="Q938" s="3" t="str">
        <f t="shared" si="59"/>
        <v>No</v>
      </c>
    </row>
    <row r="939" spans="1:17" ht="21" customHeight="1">
      <c r="A939" s="3" t="s">
        <v>1545</v>
      </c>
      <c r="B939" s="5">
        <v>45557</v>
      </c>
      <c r="C939" s="3" t="s">
        <v>396</v>
      </c>
      <c r="D939" s="3" t="s">
        <v>45</v>
      </c>
      <c r="E939" s="3" t="s">
        <v>38</v>
      </c>
      <c r="F939" s="3" t="s">
        <v>98</v>
      </c>
      <c r="G939" s="3" t="s">
        <v>99</v>
      </c>
      <c r="H939" s="3">
        <v>1</v>
      </c>
      <c r="I939" s="7">
        <v>25933.4</v>
      </c>
      <c r="J939" s="9">
        <v>0</v>
      </c>
      <c r="K939" s="7">
        <v>25933.4</v>
      </c>
      <c r="L939" s="7">
        <v>4567.2299999999996</v>
      </c>
      <c r="M939" s="3" t="s">
        <v>56</v>
      </c>
      <c r="N939" s="3" t="str">
        <f t="shared" si="56"/>
        <v>2024-09</v>
      </c>
      <c r="O939" s="3" t="str">
        <f t="shared" si="57"/>
        <v>No discount</v>
      </c>
      <c r="P939" s="9">
        <f t="shared" si="58"/>
        <v>0.1761138146174431</v>
      </c>
      <c r="Q939" s="3" t="str">
        <f t="shared" si="59"/>
        <v>No</v>
      </c>
    </row>
    <row r="940" spans="1:17" ht="21" customHeight="1">
      <c r="A940" s="3" t="s">
        <v>1546</v>
      </c>
      <c r="B940" s="5">
        <v>45557</v>
      </c>
      <c r="C940" s="3" t="s">
        <v>1387</v>
      </c>
      <c r="D940" s="3" t="s">
        <v>45</v>
      </c>
      <c r="E940" s="3" t="s">
        <v>40</v>
      </c>
      <c r="F940" s="3" t="s">
        <v>221</v>
      </c>
      <c r="G940" s="3" t="s">
        <v>222</v>
      </c>
      <c r="H940" s="3">
        <v>2</v>
      </c>
      <c r="I940" s="7">
        <v>981.14</v>
      </c>
      <c r="J940" s="9">
        <v>0</v>
      </c>
      <c r="K940" s="7">
        <v>1962.28</v>
      </c>
      <c r="L940" s="7">
        <v>604.79999999999995</v>
      </c>
      <c r="M940" s="3" t="s">
        <v>56</v>
      </c>
      <c r="N940" s="3" t="str">
        <f t="shared" si="56"/>
        <v>2024-09</v>
      </c>
      <c r="O940" s="3" t="str">
        <f t="shared" si="57"/>
        <v>No discount</v>
      </c>
      <c r="P940" s="9">
        <f t="shared" si="58"/>
        <v>0.30821289520353873</v>
      </c>
      <c r="Q940" s="3" t="str">
        <f t="shared" si="59"/>
        <v>No</v>
      </c>
    </row>
    <row r="941" spans="1:17" ht="21" customHeight="1">
      <c r="A941" s="3" t="s">
        <v>1547</v>
      </c>
      <c r="B941" s="5">
        <v>45557</v>
      </c>
      <c r="C941" s="3" t="s">
        <v>309</v>
      </c>
      <c r="D941" s="3" t="s">
        <v>44</v>
      </c>
      <c r="E941" s="3" t="s">
        <v>38</v>
      </c>
      <c r="F941" s="3" t="s">
        <v>142</v>
      </c>
      <c r="G941" s="3" t="s">
        <v>143</v>
      </c>
      <c r="H941" s="3">
        <v>3</v>
      </c>
      <c r="I941" s="7">
        <v>8703.41</v>
      </c>
      <c r="J941" s="9">
        <v>0.1</v>
      </c>
      <c r="K941" s="7">
        <v>23499.21</v>
      </c>
      <c r="L941" s="7">
        <v>754.84</v>
      </c>
      <c r="M941" s="3" t="s">
        <v>56</v>
      </c>
      <c r="N941" s="3" t="str">
        <f t="shared" si="56"/>
        <v>2024-09</v>
      </c>
      <c r="O941" s="3" t="str">
        <f t="shared" si="57"/>
        <v>1-10%</v>
      </c>
      <c r="P941" s="9">
        <f t="shared" si="58"/>
        <v>3.2121930907464555E-2</v>
      </c>
      <c r="Q941" s="3" t="str">
        <f t="shared" si="59"/>
        <v>No</v>
      </c>
    </row>
    <row r="942" spans="1:17" ht="21" customHeight="1">
      <c r="A942" s="3" t="s">
        <v>1548</v>
      </c>
      <c r="B942" s="5">
        <v>45557</v>
      </c>
      <c r="C942" s="3" t="s">
        <v>668</v>
      </c>
      <c r="D942" s="3" t="s">
        <v>47</v>
      </c>
      <c r="E942" s="3" t="s">
        <v>38</v>
      </c>
      <c r="F942" s="3" t="s">
        <v>94</v>
      </c>
      <c r="G942" s="3" t="s">
        <v>213</v>
      </c>
      <c r="H942" s="3">
        <v>1</v>
      </c>
      <c r="I942" s="7">
        <v>52987.8</v>
      </c>
      <c r="J942" s="9">
        <v>0</v>
      </c>
      <c r="K942" s="7">
        <v>52987.8</v>
      </c>
      <c r="L942" s="7">
        <v>11052.05</v>
      </c>
      <c r="M942" s="3" t="s">
        <v>56</v>
      </c>
      <c r="N942" s="3" t="str">
        <f t="shared" si="56"/>
        <v>2024-09</v>
      </c>
      <c r="O942" s="3" t="str">
        <f t="shared" si="57"/>
        <v>No discount</v>
      </c>
      <c r="P942" s="9">
        <f t="shared" si="58"/>
        <v>0.20857725740642183</v>
      </c>
      <c r="Q942" s="3" t="str">
        <f t="shared" si="59"/>
        <v>No</v>
      </c>
    </row>
    <row r="943" spans="1:17" ht="21" customHeight="1">
      <c r="A943" s="3" t="s">
        <v>1549</v>
      </c>
      <c r="B943" s="5">
        <v>45557</v>
      </c>
      <c r="C943" s="3" t="s">
        <v>865</v>
      </c>
      <c r="D943" s="3" t="s">
        <v>44</v>
      </c>
      <c r="E943" s="3" t="s">
        <v>42</v>
      </c>
      <c r="F943" s="3" t="s">
        <v>126</v>
      </c>
      <c r="G943" s="3" t="s">
        <v>151</v>
      </c>
      <c r="H943" s="3">
        <v>1</v>
      </c>
      <c r="I943" s="7">
        <v>1531.22</v>
      </c>
      <c r="J943" s="9">
        <v>0</v>
      </c>
      <c r="K943" s="7">
        <v>1531.22</v>
      </c>
      <c r="L943" s="7">
        <v>823.81</v>
      </c>
      <c r="M943" s="3" t="s">
        <v>60</v>
      </c>
      <c r="N943" s="3" t="str">
        <f t="shared" si="56"/>
        <v>2024-09</v>
      </c>
      <c r="O943" s="3" t="str">
        <f t="shared" si="57"/>
        <v>No discount</v>
      </c>
      <c r="P943" s="9">
        <f t="shared" si="58"/>
        <v>0.53800890792962475</v>
      </c>
      <c r="Q943" s="3" t="str">
        <f t="shared" si="59"/>
        <v>No</v>
      </c>
    </row>
    <row r="944" spans="1:17" ht="21" customHeight="1">
      <c r="A944" s="3" t="s">
        <v>1550</v>
      </c>
      <c r="B944" s="5">
        <v>45558</v>
      </c>
      <c r="C944" s="3" t="s">
        <v>585</v>
      </c>
      <c r="D944" s="3" t="s">
        <v>44</v>
      </c>
      <c r="E944" s="3" t="s">
        <v>39</v>
      </c>
      <c r="F944" s="3" t="s">
        <v>109</v>
      </c>
      <c r="G944" s="3" t="s">
        <v>110</v>
      </c>
      <c r="H944" s="3">
        <v>3</v>
      </c>
      <c r="I944" s="7">
        <v>2891.04</v>
      </c>
      <c r="J944" s="9">
        <v>0.2</v>
      </c>
      <c r="K944" s="7">
        <v>6938.5</v>
      </c>
      <c r="L944" s="7">
        <v>1339.75</v>
      </c>
      <c r="M944" s="3" t="s">
        <v>59</v>
      </c>
      <c r="N944" s="3" t="str">
        <f t="shared" si="56"/>
        <v>2024-09</v>
      </c>
      <c r="O944" s="3" t="str">
        <f t="shared" si="57"/>
        <v>16-20%</v>
      </c>
      <c r="P944" s="9">
        <f t="shared" si="58"/>
        <v>0.19308928442746992</v>
      </c>
      <c r="Q944" s="3" t="str">
        <f t="shared" si="59"/>
        <v>No</v>
      </c>
    </row>
    <row r="945" spans="1:17" ht="21" customHeight="1">
      <c r="A945" s="3" t="s">
        <v>1551</v>
      </c>
      <c r="B945" s="5">
        <v>45558</v>
      </c>
      <c r="C945" s="3" t="s">
        <v>940</v>
      </c>
      <c r="D945" s="3" t="s">
        <v>45</v>
      </c>
      <c r="E945" s="3" t="s">
        <v>42</v>
      </c>
      <c r="F945" s="3" t="s">
        <v>90</v>
      </c>
      <c r="G945" s="3" t="s">
        <v>106</v>
      </c>
      <c r="H945" s="3">
        <v>5</v>
      </c>
      <c r="I945" s="7">
        <v>917.09</v>
      </c>
      <c r="J945" s="9">
        <v>0</v>
      </c>
      <c r="K945" s="7">
        <v>4585.45</v>
      </c>
      <c r="L945" s="7">
        <v>2400.4899999999998</v>
      </c>
      <c r="M945" s="3" t="s">
        <v>57</v>
      </c>
      <c r="N945" s="3" t="str">
        <f t="shared" si="56"/>
        <v>2024-09</v>
      </c>
      <c r="O945" s="3" t="str">
        <f t="shared" si="57"/>
        <v>No discount</v>
      </c>
      <c r="P945" s="9">
        <f t="shared" si="58"/>
        <v>0.5235015102116477</v>
      </c>
      <c r="Q945" s="3" t="str">
        <f t="shared" si="59"/>
        <v>No</v>
      </c>
    </row>
    <row r="946" spans="1:17" ht="21" customHeight="1">
      <c r="A946" s="3" t="s">
        <v>1552</v>
      </c>
      <c r="B946" s="5">
        <v>45558</v>
      </c>
      <c r="C946" s="3" t="s">
        <v>1553</v>
      </c>
      <c r="D946" s="3" t="s">
        <v>44</v>
      </c>
      <c r="E946" s="3" t="s">
        <v>40</v>
      </c>
      <c r="F946" s="3" t="s">
        <v>221</v>
      </c>
      <c r="G946" s="3" t="s">
        <v>279</v>
      </c>
      <c r="H946" s="3">
        <v>1</v>
      </c>
      <c r="I946" s="7">
        <v>1560.34</v>
      </c>
      <c r="J946" s="9">
        <v>0.15</v>
      </c>
      <c r="K946" s="7">
        <v>1326.29</v>
      </c>
      <c r="L946" s="7">
        <v>165.33</v>
      </c>
      <c r="M946" s="3" t="s">
        <v>56</v>
      </c>
      <c r="N946" s="3" t="str">
        <f t="shared" si="56"/>
        <v>2024-09</v>
      </c>
      <c r="O946" s="3" t="str">
        <f t="shared" si="57"/>
        <v>11-15%</v>
      </c>
      <c r="P946" s="9">
        <f t="shared" si="58"/>
        <v>0.12465599529514662</v>
      </c>
      <c r="Q946" s="3" t="str">
        <f t="shared" si="59"/>
        <v>No</v>
      </c>
    </row>
    <row r="947" spans="1:17" ht="21" customHeight="1">
      <c r="A947" s="3" t="s">
        <v>1554</v>
      </c>
      <c r="B947" s="5">
        <v>45558</v>
      </c>
      <c r="C947" s="3" t="s">
        <v>1555</v>
      </c>
      <c r="D947" s="3" t="s">
        <v>47</v>
      </c>
      <c r="E947" s="3" t="s">
        <v>38</v>
      </c>
      <c r="F947" s="3" t="s">
        <v>142</v>
      </c>
      <c r="G947" s="3" t="s">
        <v>143</v>
      </c>
      <c r="H947" s="3">
        <v>4</v>
      </c>
      <c r="I947" s="7">
        <v>9282.76</v>
      </c>
      <c r="J947" s="9">
        <v>0.05</v>
      </c>
      <c r="K947" s="7">
        <v>35274.49</v>
      </c>
      <c r="L947" s="7">
        <v>5312.76</v>
      </c>
      <c r="M947" s="3" t="s">
        <v>59</v>
      </c>
      <c r="N947" s="3" t="str">
        <f t="shared" si="56"/>
        <v>2024-09</v>
      </c>
      <c r="O947" s="3" t="str">
        <f t="shared" si="57"/>
        <v>1-10%</v>
      </c>
      <c r="P947" s="9">
        <f t="shared" si="58"/>
        <v>0.15061195781994299</v>
      </c>
      <c r="Q947" s="3" t="str">
        <f t="shared" si="59"/>
        <v>No</v>
      </c>
    </row>
    <row r="948" spans="1:17" ht="21" customHeight="1">
      <c r="A948" s="3" t="s">
        <v>1556</v>
      </c>
      <c r="B948" s="5">
        <v>45558</v>
      </c>
      <c r="C948" s="3" t="s">
        <v>985</v>
      </c>
      <c r="D948" s="3" t="s">
        <v>46</v>
      </c>
      <c r="E948" s="3" t="s">
        <v>40</v>
      </c>
      <c r="F948" s="3" t="s">
        <v>102</v>
      </c>
      <c r="G948" s="3" t="s">
        <v>103</v>
      </c>
      <c r="H948" s="3">
        <v>2</v>
      </c>
      <c r="I948" s="7">
        <v>6714.57</v>
      </c>
      <c r="J948" s="9">
        <v>0.3</v>
      </c>
      <c r="K948" s="7">
        <v>9400.4</v>
      </c>
      <c r="L948" s="7">
        <v>-158.84</v>
      </c>
      <c r="M948" s="3" t="s">
        <v>57</v>
      </c>
      <c r="N948" s="3" t="str">
        <f t="shared" si="56"/>
        <v>2024-09</v>
      </c>
      <c r="O948" s="3" t="str">
        <f t="shared" si="57"/>
        <v>21%+</v>
      </c>
      <c r="P948" s="9">
        <f t="shared" si="58"/>
        <v>-1.6897153312624997E-2</v>
      </c>
      <c r="Q948" s="3" t="str">
        <f t="shared" si="59"/>
        <v>Yes</v>
      </c>
    </row>
    <row r="949" spans="1:17" ht="21" customHeight="1">
      <c r="A949" s="3" t="s">
        <v>1557</v>
      </c>
      <c r="B949" s="5">
        <v>45558</v>
      </c>
      <c r="C949" s="3" t="s">
        <v>272</v>
      </c>
      <c r="D949" s="3" t="s">
        <v>46</v>
      </c>
      <c r="E949" s="3" t="s">
        <v>39</v>
      </c>
      <c r="F949" s="3" t="s">
        <v>164</v>
      </c>
      <c r="G949" s="3" t="s">
        <v>200</v>
      </c>
      <c r="H949" s="3">
        <v>3</v>
      </c>
      <c r="I949" s="7">
        <v>1248.73</v>
      </c>
      <c r="J949" s="9">
        <v>0</v>
      </c>
      <c r="K949" s="7">
        <v>3746.19</v>
      </c>
      <c r="L949" s="7">
        <v>1476.34</v>
      </c>
      <c r="M949" s="3" t="s">
        <v>57</v>
      </c>
      <c r="N949" s="3" t="str">
        <f t="shared" si="56"/>
        <v>2024-09</v>
      </c>
      <c r="O949" s="3" t="str">
        <f t="shared" si="57"/>
        <v>No discount</v>
      </c>
      <c r="P949" s="9">
        <f t="shared" si="58"/>
        <v>0.39409106318686449</v>
      </c>
      <c r="Q949" s="3" t="str">
        <f t="shared" si="59"/>
        <v>No</v>
      </c>
    </row>
    <row r="950" spans="1:17" ht="21" customHeight="1">
      <c r="A950" s="3" t="s">
        <v>1558</v>
      </c>
      <c r="B950" s="5">
        <v>45559</v>
      </c>
      <c r="C950" s="3" t="s">
        <v>1559</v>
      </c>
      <c r="D950" s="3" t="s">
        <v>45</v>
      </c>
      <c r="E950" s="3" t="s">
        <v>42</v>
      </c>
      <c r="F950" s="3" t="s">
        <v>90</v>
      </c>
      <c r="G950" s="3" t="s">
        <v>106</v>
      </c>
      <c r="H950" s="3">
        <v>1</v>
      </c>
      <c r="I950" s="7">
        <v>858.27</v>
      </c>
      <c r="J950" s="9">
        <v>0</v>
      </c>
      <c r="K950" s="7">
        <v>858.27</v>
      </c>
      <c r="L950" s="7">
        <v>446.12</v>
      </c>
      <c r="M950" s="3" t="s">
        <v>58</v>
      </c>
      <c r="N950" s="3" t="str">
        <f t="shared" si="56"/>
        <v>2024-09</v>
      </c>
      <c r="O950" s="3" t="str">
        <f t="shared" si="57"/>
        <v>No discount</v>
      </c>
      <c r="P950" s="9">
        <f t="shared" si="58"/>
        <v>0.51978980973353373</v>
      </c>
      <c r="Q950" s="3" t="str">
        <f t="shared" si="59"/>
        <v>No</v>
      </c>
    </row>
    <row r="951" spans="1:17" ht="21" customHeight="1">
      <c r="A951" s="3" t="s">
        <v>1560</v>
      </c>
      <c r="B951" s="5">
        <v>45559</v>
      </c>
      <c r="C951" s="3" t="s">
        <v>384</v>
      </c>
      <c r="D951" s="3" t="s">
        <v>47</v>
      </c>
      <c r="E951" s="3" t="s">
        <v>40</v>
      </c>
      <c r="F951" s="3" t="s">
        <v>102</v>
      </c>
      <c r="G951" s="3" t="s">
        <v>146</v>
      </c>
      <c r="H951" s="3">
        <v>3</v>
      </c>
      <c r="I951" s="7">
        <v>7736.83</v>
      </c>
      <c r="J951" s="9">
        <v>0.05</v>
      </c>
      <c r="K951" s="7">
        <v>22049.97</v>
      </c>
      <c r="L951" s="7">
        <v>5574.85</v>
      </c>
      <c r="M951" s="3" t="s">
        <v>60</v>
      </c>
      <c r="N951" s="3" t="str">
        <f t="shared" si="56"/>
        <v>2024-09</v>
      </c>
      <c r="O951" s="3" t="str">
        <f t="shared" si="57"/>
        <v>1-10%</v>
      </c>
      <c r="P951" s="9">
        <f t="shared" si="58"/>
        <v>0.25282800838277786</v>
      </c>
      <c r="Q951" s="3" t="str">
        <f t="shared" si="59"/>
        <v>No</v>
      </c>
    </row>
    <row r="952" spans="1:17" ht="21" customHeight="1">
      <c r="A952" s="3" t="s">
        <v>1561</v>
      </c>
      <c r="B952" s="5">
        <v>45559</v>
      </c>
      <c r="C952" s="3" t="s">
        <v>1109</v>
      </c>
      <c r="D952" s="3" t="s">
        <v>47</v>
      </c>
      <c r="E952" s="3" t="s">
        <v>39</v>
      </c>
      <c r="F952" s="3" t="s">
        <v>130</v>
      </c>
      <c r="G952" s="3" t="s">
        <v>193</v>
      </c>
      <c r="H952" s="3">
        <v>1</v>
      </c>
      <c r="I952" s="7">
        <v>1887.75</v>
      </c>
      <c r="J952" s="9">
        <v>0.25</v>
      </c>
      <c r="K952" s="7">
        <v>1415.81</v>
      </c>
      <c r="L952" s="7">
        <v>179.45</v>
      </c>
      <c r="M952" s="3" t="s">
        <v>56</v>
      </c>
      <c r="N952" s="3" t="str">
        <f t="shared" si="56"/>
        <v>2024-09</v>
      </c>
      <c r="O952" s="3" t="str">
        <f t="shared" si="57"/>
        <v>21%+</v>
      </c>
      <c r="P952" s="9">
        <f t="shared" si="58"/>
        <v>0.12674723303268093</v>
      </c>
      <c r="Q952" s="3" t="str">
        <f t="shared" si="59"/>
        <v>No</v>
      </c>
    </row>
    <row r="953" spans="1:17" ht="21" customHeight="1">
      <c r="A953" s="3" t="s">
        <v>1562</v>
      </c>
      <c r="B953" s="5">
        <v>45560</v>
      </c>
      <c r="C953" s="3" t="s">
        <v>680</v>
      </c>
      <c r="D953" s="3" t="s">
        <v>47</v>
      </c>
      <c r="E953" s="3" t="s">
        <v>42</v>
      </c>
      <c r="F953" s="3" t="s">
        <v>126</v>
      </c>
      <c r="G953" s="3" t="s">
        <v>151</v>
      </c>
      <c r="H953" s="3">
        <v>1</v>
      </c>
      <c r="I953" s="7">
        <v>1502.02</v>
      </c>
      <c r="J953" s="9">
        <v>0</v>
      </c>
      <c r="K953" s="7">
        <v>1502.02</v>
      </c>
      <c r="L953" s="7">
        <v>879.62</v>
      </c>
      <c r="M953" s="3" t="s">
        <v>56</v>
      </c>
      <c r="N953" s="3" t="str">
        <f t="shared" si="56"/>
        <v>2024-09</v>
      </c>
      <c r="O953" s="3" t="str">
        <f t="shared" si="57"/>
        <v>No discount</v>
      </c>
      <c r="P953" s="9">
        <f t="shared" si="58"/>
        <v>0.5856246920813305</v>
      </c>
      <c r="Q953" s="3" t="str">
        <f t="shared" si="59"/>
        <v>No</v>
      </c>
    </row>
    <row r="954" spans="1:17" ht="21" customHeight="1">
      <c r="A954" s="3" t="s">
        <v>1563</v>
      </c>
      <c r="B954" s="5">
        <v>45560</v>
      </c>
      <c r="C954" s="3" t="s">
        <v>1559</v>
      </c>
      <c r="D954" s="3" t="s">
        <v>46</v>
      </c>
      <c r="E954" s="3" t="s">
        <v>39</v>
      </c>
      <c r="F954" s="3" t="s">
        <v>109</v>
      </c>
      <c r="G954" s="3" t="s">
        <v>110</v>
      </c>
      <c r="H954" s="3">
        <v>2</v>
      </c>
      <c r="I954" s="7">
        <v>2996.9</v>
      </c>
      <c r="J954" s="9">
        <v>0.3</v>
      </c>
      <c r="K954" s="7">
        <v>4195.66</v>
      </c>
      <c r="L954" s="7">
        <v>413.27</v>
      </c>
      <c r="M954" s="3" t="s">
        <v>59</v>
      </c>
      <c r="N954" s="3" t="str">
        <f t="shared" si="56"/>
        <v>2024-09</v>
      </c>
      <c r="O954" s="3" t="str">
        <f t="shared" si="57"/>
        <v>21%+</v>
      </c>
      <c r="P954" s="9">
        <f t="shared" si="58"/>
        <v>9.8499401762773914E-2</v>
      </c>
      <c r="Q954" s="3" t="str">
        <f t="shared" si="59"/>
        <v>No</v>
      </c>
    </row>
    <row r="955" spans="1:17" ht="21" customHeight="1">
      <c r="A955" s="3" t="s">
        <v>1564</v>
      </c>
      <c r="B955" s="5">
        <v>45560</v>
      </c>
      <c r="C955" s="3" t="s">
        <v>1208</v>
      </c>
      <c r="D955" s="3" t="s">
        <v>44</v>
      </c>
      <c r="E955" s="3" t="s">
        <v>42</v>
      </c>
      <c r="F955" s="3" t="s">
        <v>90</v>
      </c>
      <c r="G955" s="3" t="s">
        <v>106</v>
      </c>
      <c r="H955" s="3">
        <v>5</v>
      </c>
      <c r="I955" s="7">
        <v>920.65</v>
      </c>
      <c r="J955" s="9">
        <v>0</v>
      </c>
      <c r="K955" s="7">
        <v>4603.25</v>
      </c>
      <c r="L955" s="7">
        <v>2583.0100000000002</v>
      </c>
      <c r="M955" s="3" t="s">
        <v>56</v>
      </c>
      <c r="N955" s="3" t="str">
        <f t="shared" si="56"/>
        <v>2024-09</v>
      </c>
      <c r="O955" s="3" t="str">
        <f t="shared" si="57"/>
        <v>No discount</v>
      </c>
      <c r="P955" s="9">
        <f t="shared" si="58"/>
        <v>0.56112746429153315</v>
      </c>
      <c r="Q955" s="3" t="str">
        <f t="shared" si="59"/>
        <v>No</v>
      </c>
    </row>
    <row r="956" spans="1:17" ht="21" customHeight="1">
      <c r="A956" s="3" t="s">
        <v>1565</v>
      </c>
      <c r="B956" s="5">
        <v>45561</v>
      </c>
      <c r="C956" s="3" t="s">
        <v>830</v>
      </c>
      <c r="D956" s="3" t="s">
        <v>47</v>
      </c>
      <c r="E956" s="3" t="s">
        <v>41</v>
      </c>
      <c r="F956" s="3" t="s">
        <v>113</v>
      </c>
      <c r="G956" s="3" t="s">
        <v>114</v>
      </c>
      <c r="H956" s="3">
        <v>3</v>
      </c>
      <c r="I956" s="7">
        <v>12177.21</v>
      </c>
      <c r="J956" s="9">
        <v>0</v>
      </c>
      <c r="K956" s="7">
        <v>36531.629999999997</v>
      </c>
      <c r="L956" s="7">
        <v>12722.43</v>
      </c>
      <c r="M956" s="3" t="s">
        <v>57</v>
      </c>
      <c r="N956" s="3" t="str">
        <f t="shared" si="56"/>
        <v>2024-09</v>
      </c>
      <c r="O956" s="3" t="str">
        <f t="shared" si="57"/>
        <v>No discount</v>
      </c>
      <c r="P956" s="9">
        <f t="shared" si="58"/>
        <v>0.34825793428872465</v>
      </c>
      <c r="Q956" s="3" t="str">
        <f t="shared" si="59"/>
        <v>No</v>
      </c>
    </row>
    <row r="957" spans="1:17" ht="21" customHeight="1">
      <c r="A957" s="3" t="s">
        <v>1566</v>
      </c>
      <c r="B957" s="5">
        <v>45561</v>
      </c>
      <c r="C957" s="3" t="s">
        <v>1567</v>
      </c>
      <c r="D957" s="3" t="s">
        <v>47</v>
      </c>
      <c r="E957" s="3" t="s">
        <v>38</v>
      </c>
      <c r="F957" s="3" t="s">
        <v>142</v>
      </c>
      <c r="G957" s="3" t="s">
        <v>143</v>
      </c>
      <c r="H957" s="3">
        <v>2</v>
      </c>
      <c r="I957" s="7">
        <v>9379.5</v>
      </c>
      <c r="J957" s="9">
        <v>0.2</v>
      </c>
      <c r="K957" s="7">
        <v>15007.2</v>
      </c>
      <c r="L957" s="7">
        <v>-242.41</v>
      </c>
      <c r="M957" s="3" t="s">
        <v>57</v>
      </c>
      <c r="N957" s="3" t="str">
        <f t="shared" si="56"/>
        <v>2024-09</v>
      </c>
      <c r="O957" s="3" t="str">
        <f t="shared" si="57"/>
        <v>16-20%</v>
      </c>
      <c r="P957" s="9">
        <f t="shared" si="58"/>
        <v>-1.6152913268297882E-2</v>
      </c>
      <c r="Q957" s="3" t="str">
        <f t="shared" si="59"/>
        <v>Yes</v>
      </c>
    </row>
    <row r="958" spans="1:17" ht="21" customHeight="1">
      <c r="A958" s="3" t="s">
        <v>1568</v>
      </c>
      <c r="B958" s="5">
        <v>45562</v>
      </c>
      <c r="C958" s="3" t="s">
        <v>642</v>
      </c>
      <c r="D958" s="3" t="s">
        <v>44</v>
      </c>
      <c r="E958" s="3" t="s">
        <v>41</v>
      </c>
      <c r="F958" s="3" t="s">
        <v>119</v>
      </c>
      <c r="G958" s="3" t="s">
        <v>120</v>
      </c>
      <c r="H958" s="3">
        <v>3</v>
      </c>
      <c r="I958" s="7">
        <v>1337.27</v>
      </c>
      <c r="J958" s="9">
        <v>0.1</v>
      </c>
      <c r="K958" s="7">
        <v>3610.63</v>
      </c>
      <c r="L958" s="7">
        <v>1049.3800000000001</v>
      </c>
      <c r="M958" s="3" t="s">
        <v>57</v>
      </c>
      <c r="N958" s="3" t="str">
        <f t="shared" si="56"/>
        <v>2024-09</v>
      </c>
      <c r="O958" s="3" t="str">
        <f t="shared" si="57"/>
        <v>1-10%</v>
      </c>
      <c r="P958" s="9">
        <f t="shared" si="58"/>
        <v>0.29063626015404515</v>
      </c>
      <c r="Q958" s="3" t="str">
        <f t="shared" si="59"/>
        <v>No</v>
      </c>
    </row>
    <row r="959" spans="1:17" ht="21" customHeight="1">
      <c r="A959" s="3" t="s">
        <v>1569</v>
      </c>
      <c r="B959" s="5">
        <v>45562</v>
      </c>
      <c r="C959" s="3" t="s">
        <v>805</v>
      </c>
      <c r="D959" s="3" t="s">
        <v>45</v>
      </c>
      <c r="E959" s="3" t="s">
        <v>41</v>
      </c>
      <c r="F959" s="3" t="s">
        <v>119</v>
      </c>
      <c r="G959" s="3" t="s">
        <v>120</v>
      </c>
      <c r="H959" s="3">
        <v>1</v>
      </c>
      <c r="I959" s="7">
        <v>1295.92</v>
      </c>
      <c r="J959" s="9">
        <v>0.2</v>
      </c>
      <c r="K959" s="7">
        <v>1036.74</v>
      </c>
      <c r="L959" s="7">
        <v>151.05000000000001</v>
      </c>
      <c r="M959" s="3" t="s">
        <v>57</v>
      </c>
      <c r="N959" s="3" t="str">
        <f t="shared" si="56"/>
        <v>2024-09</v>
      </c>
      <c r="O959" s="3" t="str">
        <f t="shared" si="57"/>
        <v>16-20%</v>
      </c>
      <c r="P959" s="9">
        <f t="shared" si="58"/>
        <v>0.14569708895190694</v>
      </c>
      <c r="Q959" s="3" t="str">
        <f t="shared" si="59"/>
        <v>No</v>
      </c>
    </row>
    <row r="960" spans="1:17" ht="21" customHeight="1">
      <c r="A960" s="3" t="s">
        <v>1570</v>
      </c>
      <c r="B960" s="5">
        <v>45562</v>
      </c>
      <c r="C960" s="3" t="s">
        <v>1060</v>
      </c>
      <c r="D960" s="3" t="s">
        <v>45</v>
      </c>
      <c r="E960" s="3" t="s">
        <v>42</v>
      </c>
      <c r="F960" s="3" t="s">
        <v>90</v>
      </c>
      <c r="G960" s="3" t="s">
        <v>91</v>
      </c>
      <c r="H960" s="3">
        <v>1</v>
      </c>
      <c r="I960" s="7">
        <v>1205.44</v>
      </c>
      <c r="J960" s="9">
        <v>0.2</v>
      </c>
      <c r="K960" s="7">
        <v>964.35</v>
      </c>
      <c r="L960" s="7">
        <v>285.05</v>
      </c>
      <c r="M960" s="3" t="s">
        <v>57</v>
      </c>
      <c r="N960" s="3" t="str">
        <f t="shared" si="56"/>
        <v>2024-09</v>
      </c>
      <c r="O960" s="3" t="str">
        <f t="shared" si="57"/>
        <v>16-20%</v>
      </c>
      <c r="P960" s="9">
        <f t="shared" si="58"/>
        <v>0.29558770156063668</v>
      </c>
      <c r="Q960" s="3" t="str">
        <f t="shared" si="59"/>
        <v>No</v>
      </c>
    </row>
    <row r="961" spans="1:17" ht="21" customHeight="1">
      <c r="A961" s="3" t="s">
        <v>1571</v>
      </c>
      <c r="B961" s="5">
        <v>45563</v>
      </c>
      <c r="C961" s="3" t="s">
        <v>657</v>
      </c>
      <c r="D961" s="3" t="s">
        <v>46</v>
      </c>
      <c r="E961" s="3" t="s">
        <v>42</v>
      </c>
      <c r="F961" s="3" t="s">
        <v>90</v>
      </c>
      <c r="G961" s="3" t="s">
        <v>91</v>
      </c>
      <c r="H961" s="3">
        <v>2</v>
      </c>
      <c r="I961" s="7">
        <v>1176.98</v>
      </c>
      <c r="J961" s="9">
        <v>0.1</v>
      </c>
      <c r="K961" s="7">
        <v>2118.56</v>
      </c>
      <c r="L961" s="7">
        <v>881.03</v>
      </c>
      <c r="M961" s="3" t="s">
        <v>56</v>
      </c>
      <c r="N961" s="3" t="str">
        <f t="shared" si="56"/>
        <v>2024-09</v>
      </c>
      <c r="O961" s="3" t="str">
        <f t="shared" si="57"/>
        <v>1-10%</v>
      </c>
      <c r="P961" s="9">
        <f t="shared" si="58"/>
        <v>0.41586266143040557</v>
      </c>
      <c r="Q961" s="3" t="str">
        <f t="shared" si="59"/>
        <v>No</v>
      </c>
    </row>
    <row r="962" spans="1:17" ht="21" customHeight="1">
      <c r="A962" s="3" t="s">
        <v>1572</v>
      </c>
      <c r="B962" s="5">
        <v>45563</v>
      </c>
      <c r="C962" s="3" t="s">
        <v>1237</v>
      </c>
      <c r="D962" s="3" t="s">
        <v>45</v>
      </c>
      <c r="E962" s="3" t="s">
        <v>42</v>
      </c>
      <c r="F962" s="3" t="s">
        <v>126</v>
      </c>
      <c r="G962" s="3" t="s">
        <v>127</v>
      </c>
      <c r="H962" s="3">
        <v>1</v>
      </c>
      <c r="I962" s="7">
        <v>1046.3900000000001</v>
      </c>
      <c r="J962" s="9">
        <v>0.05</v>
      </c>
      <c r="K962" s="7">
        <v>994.07</v>
      </c>
      <c r="L962" s="7">
        <v>482.36</v>
      </c>
      <c r="M962" s="3" t="s">
        <v>59</v>
      </c>
      <c r="N962" s="3" t="str">
        <f t="shared" ref="N962:N1025" si="60">TEXT(B962,"yyyy-mm")</f>
        <v>2024-09</v>
      </c>
      <c r="O962" s="3" t="str">
        <f t="shared" ref="O962:O1025" si="61">IF(J962=0,"No discount",IF(J962&lt;=0.1,"1-10%",IF(J962&lt;=0.15,"11-15%",IF(J962&lt;=0.2,"16-20%","21%+"))))</f>
        <v>1-10%</v>
      </c>
      <c r="P962" s="9">
        <f t="shared" ref="P962:P1025" si="62">IF(K962=0,0,L962/K962)</f>
        <v>0.48523745812669128</v>
      </c>
      <c r="Q962" s="3" t="str">
        <f t="shared" ref="Q962:Q1025" si="63">IF(L962&lt;0,"Yes","No")</f>
        <v>No</v>
      </c>
    </row>
    <row r="963" spans="1:17" ht="21" customHeight="1">
      <c r="A963" s="3" t="s">
        <v>1573</v>
      </c>
      <c r="B963" s="5">
        <v>45563</v>
      </c>
      <c r="C963" s="3" t="s">
        <v>461</v>
      </c>
      <c r="D963" s="3" t="s">
        <v>45</v>
      </c>
      <c r="E963" s="3" t="s">
        <v>39</v>
      </c>
      <c r="F963" s="3" t="s">
        <v>164</v>
      </c>
      <c r="G963" s="3" t="s">
        <v>200</v>
      </c>
      <c r="H963" s="3">
        <v>5</v>
      </c>
      <c r="I963" s="7">
        <v>1249.05</v>
      </c>
      <c r="J963" s="9">
        <v>0.05</v>
      </c>
      <c r="K963" s="7">
        <v>5932.99</v>
      </c>
      <c r="L963" s="7">
        <v>2285.92</v>
      </c>
      <c r="M963" s="3" t="s">
        <v>59</v>
      </c>
      <c r="N963" s="3" t="str">
        <f t="shared" si="60"/>
        <v>2024-09</v>
      </c>
      <c r="O963" s="3" t="str">
        <f t="shared" si="61"/>
        <v>1-10%</v>
      </c>
      <c r="P963" s="9">
        <f t="shared" si="62"/>
        <v>0.38528971058437655</v>
      </c>
      <c r="Q963" s="3" t="str">
        <f t="shared" si="63"/>
        <v>No</v>
      </c>
    </row>
    <row r="964" spans="1:17" ht="21" customHeight="1">
      <c r="A964" s="3" t="s">
        <v>1574</v>
      </c>
      <c r="B964" s="5">
        <v>45564</v>
      </c>
      <c r="C964" s="3" t="s">
        <v>1575</v>
      </c>
      <c r="D964" s="3" t="s">
        <v>47</v>
      </c>
      <c r="E964" s="3" t="s">
        <v>39</v>
      </c>
      <c r="F964" s="3" t="s">
        <v>109</v>
      </c>
      <c r="G964" s="3" t="s">
        <v>110</v>
      </c>
      <c r="H964" s="3">
        <v>1</v>
      </c>
      <c r="I964" s="7">
        <v>3080.98</v>
      </c>
      <c r="J964" s="9">
        <v>0.1</v>
      </c>
      <c r="K964" s="7">
        <v>2772.88</v>
      </c>
      <c r="L964" s="7">
        <v>940.74</v>
      </c>
      <c r="M964" s="3" t="s">
        <v>57</v>
      </c>
      <c r="N964" s="3" t="str">
        <f t="shared" si="60"/>
        <v>2024-09</v>
      </c>
      <c r="O964" s="3" t="str">
        <f t="shared" si="61"/>
        <v>1-10%</v>
      </c>
      <c r="P964" s="9">
        <f t="shared" si="62"/>
        <v>0.33926459132742853</v>
      </c>
      <c r="Q964" s="3" t="str">
        <f t="shared" si="63"/>
        <v>No</v>
      </c>
    </row>
    <row r="965" spans="1:17" ht="21" customHeight="1">
      <c r="A965" s="3" t="s">
        <v>1576</v>
      </c>
      <c r="B965" s="5">
        <v>45564</v>
      </c>
      <c r="C965" s="3" t="s">
        <v>333</v>
      </c>
      <c r="D965" s="3" t="s">
        <v>47</v>
      </c>
      <c r="E965" s="3" t="s">
        <v>38</v>
      </c>
      <c r="F965" s="3" t="s">
        <v>98</v>
      </c>
      <c r="G965" s="3" t="s">
        <v>362</v>
      </c>
      <c r="H965" s="3">
        <v>1</v>
      </c>
      <c r="I965" s="7">
        <v>31453.35</v>
      </c>
      <c r="J965" s="9">
        <v>0.05</v>
      </c>
      <c r="K965" s="7">
        <v>29880.68</v>
      </c>
      <c r="L965" s="7">
        <v>4057.69</v>
      </c>
      <c r="M965" s="3" t="s">
        <v>60</v>
      </c>
      <c r="N965" s="3" t="str">
        <f t="shared" si="60"/>
        <v>2024-09</v>
      </c>
      <c r="O965" s="3" t="str">
        <f t="shared" si="61"/>
        <v>1-10%</v>
      </c>
      <c r="P965" s="9">
        <f t="shared" si="62"/>
        <v>0.13579644104484906</v>
      </c>
      <c r="Q965" s="3" t="str">
        <f t="shared" si="63"/>
        <v>No</v>
      </c>
    </row>
    <row r="966" spans="1:17" ht="21" customHeight="1">
      <c r="A966" s="3" t="s">
        <v>1577</v>
      </c>
      <c r="B966" s="5">
        <v>45564</v>
      </c>
      <c r="C966" s="3" t="s">
        <v>1578</v>
      </c>
      <c r="D966" s="3" t="s">
        <v>44</v>
      </c>
      <c r="E966" s="3" t="s">
        <v>42</v>
      </c>
      <c r="F966" s="3" t="s">
        <v>126</v>
      </c>
      <c r="G966" s="3" t="s">
        <v>151</v>
      </c>
      <c r="H966" s="3">
        <v>1</v>
      </c>
      <c r="I966" s="7">
        <v>1461.37</v>
      </c>
      <c r="J966" s="9">
        <v>0</v>
      </c>
      <c r="K966" s="7">
        <v>1461.37</v>
      </c>
      <c r="L966" s="7">
        <v>758.29</v>
      </c>
      <c r="M966" s="3" t="s">
        <v>59</v>
      </c>
      <c r="N966" s="3" t="str">
        <f t="shared" si="60"/>
        <v>2024-09</v>
      </c>
      <c r="O966" s="3" t="str">
        <f t="shared" si="61"/>
        <v>No discount</v>
      </c>
      <c r="P966" s="9">
        <f t="shared" si="62"/>
        <v>0.51888980887797065</v>
      </c>
      <c r="Q966" s="3" t="str">
        <f t="shared" si="63"/>
        <v>No</v>
      </c>
    </row>
    <row r="967" spans="1:17" ht="21" customHeight="1">
      <c r="A967" s="3" t="s">
        <v>1579</v>
      </c>
      <c r="B967" s="5">
        <v>45564</v>
      </c>
      <c r="C967" s="3" t="s">
        <v>1099</v>
      </c>
      <c r="D967" s="3" t="s">
        <v>45</v>
      </c>
      <c r="E967" s="3" t="s">
        <v>38</v>
      </c>
      <c r="F967" s="3" t="s">
        <v>94</v>
      </c>
      <c r="G967" s="3" t="s">
        <v>213</v>
      </c>
      <c r="H967" s="3">
        <v>1</v>
      </c>
      <c r="I967" s="7">
        <v>54018.12</v>
      </c>
      <c r="J967" s="9">
        <v>0</v>
      </c>
      <c r="K967" s="7">
        <v>54018.12</v>
      </c>
      <c r="L967" s="7">
        <v>9849.6</v>
      </c>
      <c r="M967" s="3" t="s">
        <v>59</v>
      </c>
      <c r="N967" s="3" t="str">
        <f t="shared" si="60"/>
        <v>2024-09</v>
      </c>
      <c r="O967" s="3" t="str">
        <f t="shared" si="61"/>
        <v>No discount</v>
      </c>
      <c r="P967" s="9">
        <f t="shared" si="62"/>
        <v>0.18233881519756703</v>
      </c>
      <c r="Q967" s="3" t="str">
        <f t="shared" si="63"/>
        <v>No</v>
      </c>
    </row>
    <row r="968" spans="1:17" ht="21" customHeight="1">
      <c r="A968" s="3" t="s">
        <v>1580</v>
      </c>
      <c r="B968" s="5">
        <v>45564</v>
      </c>
      <c r="C968" s="3" t="s">
        <v>726</v>
      </c>
      <c r="D968" s="3" t="s">
        <v>47</v>
      </c>
      <c r="E968" s="3" t="s">
        <v>42</v>
      </c>
      <c r="F968" s="3" t="s">
        <v>126</v>
      </c>
      <c r="G968" s="3" t="s">
        <v>151</v>
      </c>
      <c r="H968" s="3">
        <v>3</v>
      </c>
      <c r="I968" s="7">
        <v>1506.02</v>
      </c>
      <c r="J968" s="9">
        <v>0.05</v>
      </c>
      <c r="K968" s="7">
        <v>4292.16</v>
      </c>
      <c r="L968" s="7">
        <v>2189.5500000000002</v>
      </c>
      <c r="M968" s="3" t="s">
        <v>57</v>
      </c>
      <c r="N968" s="3" t="str">
        <f t="shared" si="60"/>
        <v>2024-09</v>
      </c>
      <c r="O968" s="3" t="str">
        <f t="shared" si="61"/>
        <v>1-10%</v>
      </c>
      <c r="P968" s="9">
        <f t="shared" si="62"/>
        <v>0.51012776783717295</v>
      </c>
      <c r="Q968" s="3" t="str">
        <f t="shared" si="63"/>
        <v>No</v>
      </c>
    </row>
    <row r="969" spans="1:17" ht="21" customHeight="1">
      <c r="A969" s="3" t="s">
        <v>1581</v>
      </c>
      <c r="B969" s="5">
        <v>45564</v>
      </c>
      <c r="C969" s="3" t="s">
        <v>914</v>
      </c>
      <c r="D969" s="3" t="s">
        <v>46</v>
      </c>
      <c r="E969" s="3" t="s">
        <v>38</v>
      </c>
      <c r="F969" s="3" t="s">
        <v>98</v>
      </c>
      <c r="G969" s="3" t="s">
        <v>99</v>
      </c>
      <c r="H969" s="3">
        <v>1</v>
      </c>
      <c r="I969" s="7">
        <v>24090.81</v>
      </c>
      <c r="J969" s="9">
        <v>0.4</v>
      </c>
      <c r="K969" s="7">
        <v>14454.49</v>
      </c>
      <c r="L969" s="7">
        <v>-4199.96</v>
      </c>
      <c r="M969" s="3" t="s">
        <v>60</v>
      </c>
      <c r="N969" s="3" t="str">
        <f t="shared" si="60"/>
        <v>2024-09</v>
      </c>
      <c r="O969" s="3" t="str">
        <f t="shared" si="61"/>
        <v>21%+</v>
      </c>
      <c r="P969" s="9">
        <f t="shared" si="62"/>
        <v>-0.29056438518411926</v>
      </c>
      <c r="Q969" s="3" t="str">
        <f t="shared" si="63"/>
        <v>Yes</v>
      </c>
    </row>
    <row r="970" spans="1:17" ht="21" customHeight="1">
      <c r="A970" s="3" t="s">
        <v>1582</v>
      </c>
      <c r="B970" s="5">
        <v>45564</v>
      </c>
      <c r="C970" s="3" t="s">
        <v>1417</v>
      </c>
      <c r="D970" s="3" t="s">
        <v>44</v>
      </c>
      <c r="E970" s="3" t="s">
        <v>42</v>
      </c>
      <c r="F970" s="3" t="s">
        <v>90</v>
      </c>
      <c r="G970" s="3" t="s">
        <v>106</v>
      </c>
      <c r="H970" s="3">
        <v>5</v>
      </c>
      <c r="I970" s="7">
        <v>893.36</v>
      </c>
      <c r="J970" s="9">
        <v>0.05</v>
      </c>
      <c r="K970" s="7">
        <v>4243.46</v>
      </c>
      <c r="L970" s="7">
        <v>2189.62</v>
      </c>
      <c r="M970" s="3" t="s">
        <v>58</v>
      </c>
      <c r="N970" s="3" t="str">
        <f t="shared" si="60"/>
        <v>2024-09</v>
      </c>
      <c r="O970" s="3" t="str">
        <f t="shared" si="61"/>
        <v>1-10%</v>
      </c>
      <c r="P970" s="9">
        <f t="shared" si="62"/>
        <v>0.51599873687981035</v>
      </c>
      <c r="Q970" s="3" t="str">
        <f t="shared" si="63"/>
        <v>No</v>
      </c>
    </row>
    <row r="971" spans="1:17" ht="21" customHeight="1">
      <c r="A971" s="3" t="s">
        <v>1583</v>
      </c>
      <c r="B971" s="5">
        <v>45565</v>
      </c>
      <c r="C971" s="3" t="s">
        <v>1160</v>
      </c>
      <c r="D971" s="3" t="s">
        <v>46</v>
      </c>
      <c r="E971" s="3" t="s">
        <v>42</v>
      </c>
      <c r="F971" s="3" t="s">
        <v>90</v>
      </c>
      <c r="G971" s="3" t="s">
        <v>91</v>
      </c>
      <c r="H971" s="3">
        <v>3</v>
      </c>
      <c r="I971" s="7">
        <v>1237.18</v>
      </c>
      <c r="J971" s="9">
        <v>0.3</v>
      </c>
      <c r="K971" s="7">
        <v>2598.08</v>
      </c>
      <c r="L971" s="7">
        <v>556.21</v>
      </c>
      <c r="M971" s="3" t="s">
        <v>56</v>
      </c>
      <c r="N971" s="3" t="str">
        <f t="shared" si="60"/>
        <v>2024-09</v>
      </c>
      <c r="O971" s="3" t="str">
        <f t="shared" si="61"/>
        <v>21%+</v>
      </c>
      <c r="P971" s="9">
        <f t="shared" si="62"/>
        <v>0.21408501662766352</v>
      </c>
      <c r="Q971" s="3" t="str">
        <f t="shared" si="63"/>
        <v>No</v>
      </c>
    </row>
    <row r="972" spans="1:17" ht="21" customHeight="1">
      <c r="A972" s="3" t="s">
        <v>1584</v>
      </c>
      <c r="B972" s="5">
        <v>45565</v>
      </c>
      <c r="C972" s="3" t="s">
        <v>1341</v>
      </c>
      <c r="D972" s="3" t="s">
        <v>46</v>
      </c>
      <c r="E972" s="3" t="s">
        <v>39</v>
      </c>
      <c r="F972" s="3" t="s">
        <v>164</v>
      </c>
      <c r="G972" s="3" t="s">
        <v>200</v>
      </c>
      <c r="H972" s="3">
        <v>1</v>
      </c>
      <c r="I972" s="7">
        <v>1238.3599999999999</v>
      </c>
      <c r="J972" s="9">
        <v>0.1</v>
      </c>
      <c r="K972" s="7">
        <v>1114.52</v>
      </c>
      <c r="L972" s="7">
        <v>349.64</v>
      </c>
      <c r="M972" s="3" t="s">
        <v>56</v>
      </c>
      <c r="N972" s="3" t="str">
        <f t="shared" si="60"/>
        <v>2024-09</v>
      </c>
      <c r="O972" s="3" t="str">
        <f t="shared" si="61"/>
        <v>1-10%</v>
      </c>
      <c r="P972" s="9">
        <f t="shared" si="62"/>
        <v>0.31371352689947241</v>
      </c>
      <c r="Q972" s="3" t="str">
        <f t="shared" si="63"/>
        <v>No</v>
      </c>
    </row>
    <row r="973" spans="1:17" ht="21" customHeight="1">
      <c r="A973" s="3" t="s">
        <v>1585</v>
      </c>
      <c r="B973" s="5">
        <v>45566</v>
      </c>
      <c r="C973" s="3" t="s">
        <v>844</v>
      </c>
      <c r="D973" s="3" t="s">
        <v>46</v>
      </c>
      <c r="E973" s="3" t="s">
        <v>40</v>
      </c>
      <c r="F973" s="3" t="s">
        <v>160</v>
      </c>
      <c r="G973" s="3" t="s">
        <v>173</v>
      </c>
      <c r="H973" s="3">
        <v>2</v>
      </c>
      <c r="I973" s="7">
        <v>9311.39</v>
      </c>
      <c r="J973" s="9">
        <v>0.25</v>
      </c>
      <c r="K973" s="7">
        <v>13967.08</v>
      </c>
      <c r="L973" s="7">
        <v>138.22999999999999</v>
      </c>
      <c r="M973" s="3" t="s">
        <v>56</v>
      </c>
      <c r="N973" s="3" t="str">
        <f t="shared" si="60"/>
        <v>2024-10</v>
      </c>
      <c r="O973" s="3" t="str">
        <f t="shared" si="61"/>
        <v>21%+</v>
      </c>
      <c r="P973" s="9">
        <f t="shared" si="62"/>
        <v>9.8968431483173278E-3</v>
      </c>
      <c r="Q973" s="3" t="str">
        <f t="shared" si="63"/>
        <v>No</v>
      </c>
    </row>
    <row r="974" spans="1:17" ht="21" customHeight="1">
      <c r="A974" s="3" t="s">
        <v>1586</v>
      </c>
      <c r="B974" s="5">
        <v>45566</v>
      </c>
      <c r="C974" s="3" t="s">
        <v>702</v>
      </c>
      <c r="D974" s="3" t="s">
        <v>44</v>
      </c>
      <c r="E974" s="3" t="s">
        <v>38</v>
      </c>
      <c r="F974" s="3" t="s">
        <v>94</v>
      </c>
      <c r="G974" s="3" t="s">
        <v>213</v>
      </c>
      <c r="H974" s="3">
        <v>3</v>
      </c>
      <c r="I974" s="7">
        <v>54474.09</v>
      </c>
      <c r="J974" s="9">
        <v>0.1</v>
      </c>
      <c r="K974" s="7">
        <v>147080.04</v>
      </c>
      <c r="L974" s="7">
        <v>8299.85</v>
      </c>
      <c r="M974" s="3" t="s">
        <v>58</v>
      </c>
      <c r="N974" s="3" t="str">
        <f t="shared" si="60"/>
        <v>2024-10</v>
      </c>
      <c r="O974" s="3" t="str">
        <f t="shared" si="61"/>
        <v>1-10%</v>
      </c>
      <c r="P974" s="9">
        <f t="shared" si="62"/>
        <v>5.6430838610052048E-2</v>
      </c>
      <c r="Q974" s="3" t="str">
        <f t="shared" si="63"/>
        <v>No</v>
      </c>
    </row>
    <row r="975" spans="1:17" ht="21" customHeight="1">
      <c r="A975" s="3" t="s">
        <v>1587</v>
      </c>
      <c r="B975" s="5">
        <v>45566</v>
      </c>
      <c r="C975" s="3" t="s">
        <v>1567</v>
      </c>
      <c r="D975" s="3" t="s">
        <v>46</v>
      </c>
      <c r="E975" s="3" t="s">
        <v>41</v>
      </c>
      <c r="F975" s="3" t="s">
        <v>119</v>
      </c>
      <c r="G975" s="3" t="s">
        <v>120</v>
      </c>
      <c r="H975" s="3">
        <v>2</v>
      </c>
      <c r="I975" s="7">
        <v>1350.93</v>
      </c>
      <c r="J975" s="9">
        <v>0</v>
      </c>
      <c r="K975" s="7">
        <v>2701.86</v>
      </c>
      <c r="L975" s="7">
        <v>956.65</v>
      </c>
      <c r="M975" s="3" t="s">
        <v>59</v>
      </c>
      <c r="N975" s="3" t="str">
        <f t="shared" si="60"/>
        <v>2024-10</v>
      </c>
      <c r="O975" s="3" t="str">
        <f t="shared" si="61"/>
        <v>No discount</v>
      </c>
      <c r="P975" s="9">
        <f t="shared" si="62"/>
        <v>0.35407089930640373</v>
      </c>
      <c r="Q975" s="3" t="str">
        <f t="shared" si="63"/>
        <v>No</v>
      </c>
    </row>
    <row r="976" spans="1:17" ht="21" customHeight="1">
      <c r="A976" s="3" t="s">
        <v>1588</v>
      </c>
      <c r="B976" s="5">
        <v>45566</v>
      </c>
      <c r="C976" s="3" t="s">
        <v>1146</v>
      </c>
      <c r="D976" s="3" t="s">
        <v>47</v>
      </c>
      <c r="E976" s="3" t="s">
        <v>41</v>
      </c>
      <c r="F976" s="3" t="s">
        <v>119</v>
      </c>
      <c r="G976" s="3" t="s">
        <v>120</v>
      </c>
      <c r="H976" s="3">
        <v>1</v>
      </c>
      <c r="I976" s="7">
        <v>1282.33</v>
      </c>
      <c r="J976" s="9">
        <v>0.05</v>
      </c>
      <c r="K976" s="7">
        <v>1218.21</v>
      </c>
      <c r="L976" s="7">
        <v>359.74</v>
      </c>
      <c r="M976" s="3" t="s">
        <v>56</v>
      </c>
      <c r="N976" s="3" t="str">
        <f t="shared" si="60"/>
        <v>2024-10</v>
      </c>
      <c r="O976" s="3" t="str">
        <f t="shared" si="61"/>
        <v>1-10%</v>
      </c>
      <c r="P976" s="9">
        <f t="shared" si="62"/>
        <v>0.29530212360758817</v>
      </c>
      <c r="Q976" s="3" t="str">
        <f t="shared" si="63"/>
        <v>No</v>
      </c>
    </row>
    <row r="977" spans="1:17" ht="21" customHeight="1">
      <c r="A977" s="3" t="s">
        <v>1589</v>
      </c>
      <c r="B977" s="5">
        <v>45567</v>
      </c>
      <c r="C977" s="3" t="s">
        <v>341</v>
      </c>
      <c r="D977" s="3" t="s">
        <v>44</v>
      </c>
      <c r="E977" s="3" t="s">
        <v>38</v>
      </c>
      <c r="F977" s="3" t="s">
        <v>98</v>
      </c>
      <c r="G977" s="3" t="s">
        <v>362</v>
      </c>
      <c r="H977" s="3">
        <v>4</v>
      </c>
      <c r="I977" s="7">
        <v>33932.83</v>
      </c>
      <c r="J977" s="9">
        <v>0.1</v>
      </c>
      <c r="K977" s="7">
        <v>122158.19</v>
      </c>
      <c r="L977" s="7">
        <v>10097.75</v>
      </c>
      <c r="M977" s="3" t="s">
        <v>56</v>
      </c>
      <c r="N977" s="3" t="str">
        <f t="shared" si="60"/>
        <v>2024-10</v>
      </c>
      <c r="O977" s="3" t="str">
        <f t="shared" si="61"/>
        <v>1-10%</v>
      </c>
      <c r="P977" s="9">
        <f t="shared" si="62"/>
        <v>8.266126077997718E-2</v>
      </c>
      <c r="Q977" s="3" t="str">
        <f t="shared" si="63"/>
        <v>No</v>
      </c>
    </row>
    <row r="978" spans="1:17" ht="21" customHeight="1">
      <c r="A978" s="3" t="s">
        <v>1590</v>
      </c>
      <c r="B978" s="5">
        <v>45567</v>
      </c>
      <c r="C978" s="3" t="s">
        <v>739</v>
      </c>
      <c r="D978" s="3" t="s">
        <v>45</v>
      </c>
      <c r="E978" s="3" t="s">
        <v>41</v>
      </c>
      <c r="F978" s="3" t="s">
        <v>119</v>
      </c>
      <c r="G978" s="3" t="s">
        <v>168</v>
      </c>
      <c r="H978" s="3">
        <v>3</v>
      </c>
      <c r="I978" s="7">
        <v>9944.7800000000007</v>
      </c>
      <c r="J978" s="9">
        <v>0.05</v>
      </c>
      <c r="K978" s="7">
        <v>28342.62</v>
      </c>
      <c r="L978" s="7">
        <v>8603.7900000000009</v>
      </c>
      <c r="M978" s="3" t="s">
        <v>56</v>
      </c>
      <c r="N978" s="3" t="str">
        <f t="shared" si="60"/>
        <v>2024-10</v>
      </c>
      <c r="O978" s="3" t="str">
        <f t="shared" si="61"/>
        <v>1-10%</v>
      </c>
      <c r="P978" s="9">
        <f t="shared" si="62"/>
        <v>0.30356367901062081</v>
      </c>
      <c r="Q978" s="3" t="str">
        <f t="shared" si="63"/>
        <v>No</v>
      </c>
    </row>
    <row r="979" spans="1:17" ht="21" customHeight="1">
      <c r="A979" s="3" t="s">
        <v>1591</v>
      </c>
      <c r="B979" s="5">
        <v>45567</v>
      </c>
      <c r="C979" s="3" t="s">
        <v>1376</v>
      </c>
      <c r="D979" s="3" t="s">
        <v>46</v>
      </c>
      <c r="E979" s="3" t="s">
        <v>41</v>
      </c>
      <c r="F979" s="3" t="s">
        <v>113</v>
      </c>
      <c r="G979" s="3" t="s">
        <v>123</v>
      </c>
      <c r="H979" s="3">
        <v>3</v>
      </c>
      <c r="I979" s="7">
        <v>3352.41</v>
      </c>
      <c r="J979" s="9">
        <v>0</v>
      </c>
      <c r="K979" s="7">
        <v>10057.23</v>
      </c>
      <c r="L979" s="7">
        <v>4087.82</v>
      </c>
      <c r="M979" s="3" t="s">
        <v>57</v>
      </c>
      <c r="N979" s="3" t="str">
        <f t="shared" si="60"/>
        <v>2024-10</v>
      </c>
      <c r="O979" s="3" t="str">
        <f t="shared" si="61"/>
        <v>No discount</v>
      </c>
      <c r="P979" s="9">
        <f t="shared" si="62"/>
        <v>0.40645585315240879</v>
      </c>
      <c r="Q979" s="3" t="str">
        <f t="shared" si="63"/>
        <v>No</v>
      </c>
    </row>
    <row r="980" spans="1:17" ht="21" customHeight="1">
      <c r="A980" s="3" t="s">
        <v>1592</v>
      </c>
      <c r="B980" s="5">
        <v>45567</v>
      </c>
      <c r="C980" s="3" t="s">
        <v>792</v>
      </c>
      <c r="D980" s="3" t="s">
        <v>45</v>
      </c>
      <c r="E980" s="3" t="s">
        <v>42</v>
      </c>
      <c r="F980" s="3" t="s">
        <v>126</v>
      </c>
      <c r="G980" s="3" t="s">
        <v>127</v>
      </c>
      <c r="H980" s="3">
        <v>3</v>
      </c>
      <c r="I980" s="7">
        <v>954.19</v>
      </c>
      <c r="J980" s="9">
        <v>0.1</v>
      </c>
      <c r="K980" s="7">
        <v>2576.31</v>
      </c>
      <c r="L980" s="7">
        <v>1114.99</v>
      </c>
      <c r="M980" s="3" t="s">
        <v>57</v>
      </c>
      <c r="N980" s="3" t="str">
        <f t="shared" si="60"/>
        <v>2024-10</v>
      </c>
      <c r="O980" s="3" t="str">
        <f t="shared" si="61"/>
        <v>1-10%</v>
      </c>
      <c r="P980" s="9">
        <f t="shared" si="62"/>
        <v>0.43278565079512948</v>
      </c>
      <c r="Q980" s="3" t="str">
        <f t="shared" si="63"/>
        <v>No</v>
      </c>
    </row>
    <row r="981" spans="1:17" ht="21" customHeight="1">
      <c r="A981" s="3" t="s">
        <v>1593</v>
      </c>
      <c r="B981" s="5">
        <v>45567</v>
      </c>
      <c r="C981" s="3" t="s">
        <v>1331</v>
      </c>
      <c r="D981" s="3" t="s">
        <v>46</v>
      </c>
      <c r="E981" s="3" t="s">
        <v>41</v>
      </c>
      <c r="F981" s="3" t="s">
        <v>119</v>
      </c>
      <c r="G981" s="3" t="s">
        <v>120</v>
      </c>
      <c r="H981" s="3">
        <v>2</v>
      </c>
      <c r="I981" s="7">
        <v>1358.33</v>
      </c>
      <c r="J981" s="9">
        <v>0</v>
      </c>
      <c r="K981" s="7">
        <v>2716.66</v>
      </c>
      <c r="L981" s="7">
        <v>1136.9000000000001</v>
      </c>
      <c r="M981" s="3" t="s">
        <v>58</v>
      </c>
      <c r="N981" s="3" t="str">
        <f t="shared" si="60"/>
        <v>2024-10</v>
      </c>
      <c r="O981" s="3" t="str">
        <f t="shared" si="61"/>
        <v>No discount</v>
      </c>
      <c r="P981" s="9">
        <f t="shared" si="62"/>
        <v>0.41849182451981481</v>
      </c>
      <c r="Q981" s="3" t="str">
        <f t="shared" si="63"/>
        <v>No</v>
      </c>
    </row>
    <row r="982" spans="1:17" ht="21" customHeight="1">
      <c r="A982" s="3" t="s">
        <v>1594</v>
      </c>
      <c r="B982" s="5">
        <v>45567</v>
      </c>
      <c r="C982" s="3" t="s">
        <v>1205</v>
      </c>
      <c r="D982" s="3" t="s">
        <v>46</v>
      </c>
      <c r="E982" s="3" t="s">
        <v>38</v>
      </c>
      <c r="F982" s="3" t="s">
        <v>142</v>
      </c>
      <c r="G982" s="3" t="s">
        <v>143</v>
      </c>
      <c r="H982" s="3">
        <v>1</v>
      </c>
      <c r="I982" s="7">
        <v>9103.36</v>
      </c>
      <c r="J982" s="9">
        <v>0.15</v>
      </c>
      <c r="K982" s="7">
        <v>7737.86</v>
      </c>
      <c r="L982" s="7">
        <v>-151.97999999999999</v>
      </c>
      <c r="M982" s="3" t="s">
        <v>56</v>
      </c>
      <c r="N982" s="3" t="str">
        <f t="shared" si="60"/>
        <v>2024-10</v>
      </c>
      <c r="O982" s="3" t="str">
        <f t="shared" si="61"/>
        <v>11-15%</v>
      </c>
      <c r="P982" s="9">
        <f t="shared" si="62"/>
        <v>-1.9641089396809971E-2</v>
      </c>
      <c r="Q982" s="3" t="str">
        <f t="shared" si="63"/>
        <v>Yes</v>
      </c>
    </row>
    <row r="983" spans="1:17" ht="21" customHeight="1">
      <c r="A983" s="3" t="s">
        <v>1595</v>
      </c>
      <c r="B983" s="5">
        <v>45568</v>
      </c>
      <c r="C983" s="3" t="s">
        <v>788</v>
      </c>
      <c r="D983" s="3" t="s">
        <v>46</v>
      </c>
      <c r="E983" s="3" t="s">
        <v>41</v>
      </c>
      <c r="F983" s="3" t="s">
        <v>119</v>
      </c>
      <c r="G983" s="3" t="s">
        <v>168</v>
      </c>
      <c r="H983" s="3">
        <v>1</v>
      </c>
      <c r="I983" s="7">
        <v>9761.7199999999993</v>
      </c>
      <c r="J983" s="9">
        <v>0.15</v>
      </c>
      <c r="K983" s="7">
        <v>8297.4599999999991</v>
      </c>
      <c r="L983" s="7">
        <v>1546.45</v>
      </c>
      <c r="M983" s="3" t="s">
        <v>57</v>
      </c>
      <c r="N983" s="3" t="str">
        <f t="shared" si="60"/>
        <v>2024-10</v>
      </c>
      <c r="O983" s="3" t="str">
        <f t="shared" si="61"/>
        <v>11-15%</v>
      </c>
      <c r="P983" s="9">
        <f t="shared" si="62"/>
        <v>0.18637631275113109</v>
      </c>
      <c r="Q983" s="3" t="str">
        <f t="shared" si="63"/>
        <v>No</v>
      </c>
    </row>
    <row r="984" spans="1:17" ht="21" customHeight="1">
      <c r="A984" s="3" t="s">
        <v>1596</v>
      </c>
      <c r="B984" s="5">
        <v>45568</v>
      </c>
      <c r="C984" s="3" t="s">
        <v>805</v>
      </c>
      <c r="D984" s="3" t="s">
        <v>45</v>
      </c>
      <c r="E984" s="3" t="s">
        <v>42</v>
      </c>
      <c r="F984" s="3" t="s">
        <v>126</v>
      </c>
      <c r="G984" s="3" t="s">
        <v>127</v>
      </c>
      <c r="H984" s="3">
        <v>2</v>
      </c>
      <c r="I984" s="7">
        <v>1042.3699999999999</v>
      </c>
      <c r="J984" s="9">
        <v>0.1</v>
      </c>
      <c r="K984" s="7">
        <v>1876.27</v>
      </c>
      <c r="L984" s="7">
        <v>817.81</v>
      </c>
      <c r="M984" s="3" t="s">
        <v>58</v>
      </c>
      <c r="N984" s="3" t="str">
        <f t="shared" si="60"/>
        <v>2024-10</v>
      </c>
      <c r="O984" s="3" t="str">
        <f t="shared" si="61"/>
        <v>1-10%</v>
      </c>
      <c r="P984" s="9">
        <f t="shared" si="62"/>
        <v>0.43587010398290221</v>
      </c>
      <c r="Q984" s="3" t="str">
        <f t="shared" si="63"/>
        <v>No</v>
      </c>
    </row>
    <row r="985" spans="1:17" ht="21" customHeight="1">
      <c r="A985" s="3" t="s">
        <v>1597</v>
      </c>
      <c r="B985" s="5">
        <v>45568</v>
      </c>
      <c r="C985" s="3" t="s">
        <v>756</v>
      </c>
      <c r="D985" s="3" t="s">
        <v>47</v>
      </c>
      <c r="E985" s="3" t="s">
        <v>41</v>
      </c>
      <c r="F985" s="3" t="s">
        <v>119</v>
      </c>
      <c r="G985" s="3" t="s">
        <v>120</v>
      </c>
      <c r="H985" s="3">
        <v>1</v>
      </c>
      <c r="I985" s="7">
        <v>1348.47</v>
      </c>
      <c r="J985" s="9">
        <v>0.1</v>
      </c>
      <c r="K985" s="7">
        <v>1213.6199999999999</v>
      </c>
      <c r="L985" s="7">
        <v>340.39</v>
      </c>
      <c r="M985" s="3" t="s">
        <v>57</v>
      </c>
      <c r="N985" s="3" t="str">
        <f t="shared" si="60"/>
        <v>2024-10</v>
      </c>
      <c r="O985" s="3" t="str">
        <f t="shared" si="61"/>
        <v>1-10%</v>
      </c>
      <c r="P985" s="9">
        <f t="shared" si="62"/>
        <v>0.28047494273331025</v>
      </c>
      <c r="Q985" s="3" t="str">
        <f t="shared" si="63"/>
        <v>No</v>
      </c>
    </row>
    <row r="986" spans="1:17" ht="21" customHeight="1">
      <c r="A986" s="3" t="s">
        <v>1598</v>
      </c>
      <c r="B986" s="5">
        <v>45569</v>
      </c>
      <c r="C986" s="3" t="s">
        <v>1599</v>
      </c>
      <c r="D986" s="3" t="s">
        <v>46</v>
      </c>
      <c r="E986" s="3" t="s">
        <v>40</v>
      </c>
      <c r="F986" s="3" t="s">
        <v>102</v>
      </c>
      <c r="G986" s="3" t="s">
        <v>146</v>
      </c>
      <c r="H986" s="3">
        <v>4</v>
      </c>
      <c r="I986" s="7">
        <v>7782.84</v>
      </c>
      <c r="J986" s="9">
        <v>0.25</v>
      </c>
      <c r="K986" s="7">
        <v>23348.52</v>
      </c>
      <c r="L986" s="7">
        <v>1741.84</v>
      </c>
      <c r="M986" s="3" t="s">
        <v>57</v>
      </c>
      <c r="N986" s="3" t="str">
        <f t="shared" si="60"/>
        <v>2024-10</v>
      </c>
      <c r="O986" s="3" t="str">
        <f t="shared" si="61"/>
        <v>21%+</v>
      </c>
      <c r="P986" s="9">
        <f t="shared" si="62"/>
        <v>7.4601730645025885E-2</v>
      </c>
      <c r="Q986" s="3" t="str">
        <f t="shared" si="63"/>
        <v>No</v>
      </c>
    </row>
    <row r="987" spans="1:17" ht="21" customHeight="1">
      <c r="A987" s="3" t="s">
        <v>1600</v>
      </c>
      <c r="B987" s="5">
        <v>45569</v>
      </c>
      <c r="C987" s="3" t="s">
        <v>188</v>
      </c>
      <c r="D987" s="3" t="s">
        <v>44</v>
      </c>
      <c r="E987" s="3" t="s">
        <v>38</v>
      </c>
      <c r="F987" s="3" t="s">
        <v>94</v>
      </c>
      <c r="G987" s="3" t="s">
        <v>213</v>
      </c>
      <c r="H987" s="3">
        <v>3</v>
      </c>
      <c r="I987" s="7">
        <v>52541.01</v>
      </c>
      <c r="J987" s="9">
        <v>0.1</v>
      </c>
      <c r="K987" s="7">
        <v>141860.73000000001</v>
      </c>
      <c r="L987" s="7">
        <v>10977.27</v>
      </c>
      <c r="M987" s="3" t="s">
        <v>56</v>
      </c>
      <c r="N987" s="3" t="str">
        <f t="shared" si="60"/>
        <v>2024-10</v>
      </c>
      <c r="O987" s="3" t="str">
        <f t="shared" si="61"/>
        <v>1-10%</v>
      </c>
      <c r="P987" s="9">
        <f t="shared" si="62"/>
        <v>7.738061125161276E-2</v>
      </c>
      <c r="Q987" s="3" t="str">
        <f t="shared" si="63"/>
        <v>No</v>
      </c>
    </row>
    <row r="988" spans="1:17" ht="21" customHeight="1">
      <c r="A988" s="3" t="s">
        <v>1601</v>
      </c>
      <c r="B988" s="5">
        <v>45569</v>
      </c>
      <c r="C988" s="3" t="s">
        <v>172</v>
      </c>
      <c r="D988" s="3" t="s">
        <v>45</v>
      </c>
      <c r="E988" s="3" t="s">
        <v>40</v>
      </c>
      <c r="F988" s="3" t="s">
        <v>102</v>
      </c>
      <c r="G988" s="3" t="s">
        <v>146</v>
      </c>
      <c r="H988" s="3">
        <v>1</v>
      </c>
      <c r="I988" s="7">
        <v>8301.94</v>
      </c>
      <c r="J988" s="9">
        <v>0</v>
      </c>
      <c r="K988" s="7">
        <v>8301.94</v>
      </c>
      <c r="L988" s="7">
        <v>2929.1</v>
      </c>
      <c r="M988" s="3" t="s">
        <v>60</v>
      </c>
      <c r="N988" s="3" t="str">
        <f t="shared" si="60"/>
        <v>2024-10</v>
      </c>
      <c r="O988" s="3" t="str">
        <f t="shared" si="61"/>
        <v>No discount</v>
      </c>
      <c r="P988" s="9">
        <f t="shared" si="62"/>
        <v>0.35282114782809798</v>
      </c>
      <c r="Q988" s="3" t="str">
        <f t="shared" si="63"/>
        <v>No</v>
      </c>
    </row>
    <row r="989" spans="1:17" ht="21" customHeight="1">
      <c r="A989" s="3" t="s">
        <v>1602</v>
      </c>
      <c r="B989" s="5">
        <v>45569</v>
      </c>
      <c r="C989" s="3" t="s">
        <v>487</v>
      </c>
      <c r="D989" s="3" t="s">
        <v>46</v>
      </c>
      <c r="E989" s="3" t="s">
        <v>38</v>
      </c>
      <c r="F989" s="3" t="s">
        <v>98</v>
      </c>
      <c r="G989" s="3" t="s">
        <v>362</v>
      </c>
      <c r="H989" s="3">
        <v>1</v>
      </c>
      <c r="I989" s="7">
        <v>34333.230000000003</v>
      </c>
      <c r="J989" s="9">
        <v>0.25</v>
      </c>
      <c r="K989" s="7">
        <v>25749.919999999998</v>
      </c>
      <c r="L989" s="7">
        <v>-2349.75</v>
      </c>
      <c r="M989" s="3" t="s">
        <v>56</v>
      </c>
      <c r="N989" s="3" t="str">
        <f t="shared" si="60"/>
        <v>2024-10</v>
      </c>
      <c r="O989" s="3" t="str">
        <f t="shared" si="61"/>
        <v>21%+</v>
      </c>
      <c r="P989" s="9">
        <f t="shared" si="62"/>
        <v>-9.1252710688033215E-2</v>
      </c>
      <c r="Q989" s="3" t="str">
        <f t="shared" si="63"/>
        <v>Yes</v>
      </c>
    </row>
    <row r="990" spans="1:17" ht="21" customHeight="1">
      <c r="A990" s="3" t="s">
        <v>1603</v>
      </c>
      <c r="B990" s="5">
        <v>45569</v>
      </c>
      <c r="C990" s="3" t="s">
        <v>1415</v>
      </c>
      <c r="D990" s="3" t="s">
        <v>47</v>
      </c>
      <c r="E990" s="3" t="s">
        <v>42</v>
      </c>
      <c r="F990" s="3" t="s">
        <v>90</v>
      </c>
      <c r="G990" s="3" t="s">
        <v>106</v>
      </c>
      <c r="H990" s="3">
        <v>2</v>
      </c>
      <c r="I990" s="7">
        <v>857</v>
      </c>
      <c r="J990" s="9">
        <v>0.05</v>
      </c>
      <c r="K990" s="7">
        <v>1628.3</v>
      </c>
      <c r="L990" s="7">
        <v>818.4</v>
      </c>
      <c r="M990" s="3" t="s">
        <v>57</v>
      </c>
      <c r="N990" s="3" t="str">
        <f t="shared" si="60"/>
        <v>2024-10</v>
      </c>
      <c r="O990" s="3" t="str">
        <f t="shared" si="61"/>
        <v>1-10%</v>
      </c>
      <c r="P990" s="9">
        <f t="shared" si="62"/>
        <v>0.50261008413682984</v>
      </c>
      <c r="Q990" s="3" t="str">
        <f t="shared" si="63"/>
        <v>No</v>
      </c>
    </row>
    <row r="991" spans="1:17" ht="21" customHeight="1">
      <c r="A991" s="3" t="s">
        <v>1604</v>
      </c>
      <c r="B991" s="5">
        <v>45569</v>
      </c>
      <c r="C991" s="3" t="s">
        <v>1283</v>
      </c>
      <c r="D991" s="3" t="s">
        <v>46</v>
      </c>
      <c r="E991" s="3" t="s">
        <v>38</v>
      </c>
      <c r="F991" s="3" t="s">
        <v>142</v>
      </c>
      <c r="G991" s="3" t="s">
        <v>143</v>
      </c>
      <c r="H991" s="3">
        <v>3</v>
      </c>
      <c r="I991" s="7">
        <v>9435.56</v>
      </c>
      <c r="J991" s="9">
        <v>0.3</v>
      </c>
      <c r="K991" s="7">
        <v>19814.68</v>
      </c>
      <c r="L991" s="7">
        <v>-2811.57</v>
      </c>
      <c r="M991" s="3" t="s">
        <v>58</v>
      </c>
      <c r="N991" s="3" t="str">
        <f t="shared" si="60"/>
        <v>2024-10</v>
      </c>
      <c r="O991" s="3" t="str">
        <f t="shared" si="61"/>
        <v>21%+</v>
      </c>
      <c r="P991" s="9">
        <f t="shared" si="62"/>
        <v>-0.14189328316177705</v>
      </c>
      <c r="Q991" s="3" t="str">
        <f t="shared" si="63"/>
        <v>Yes</v>
      </c>
    </row>
    <row r="992" spans="1:17" ht="21" customHeight="1">
      <c r="A992" s="3" t="s">
        <v>1605</v>
      </c>
      <c r="B992" s="5">
        <v>45569</v>
      </c>
      <c r="C992" s="3" t="s">
        <v>316</v>
      </c>
      <c r="D992" s="3" t="s">
        <v>45</v>
      </c>
      <c r="E992" s="3" t="s">
        <v>38</v>
      </c>
      <c r="F992" s="3" t="s">
        <v>98</v>
      </c>
      <c r="G992" s="3" t="s">
        <v>99</v>
      </c>
      <c r="H992" s="3">
        <v>2</v>
      </c>
      <c r="I992" s="7">
        <v>25476.69</v>
      </c>
      <c r="J992" s="9">
        <v>0</v>
      </c>
      <c r="K992" s="7">
        <v>50953.38</v>
      </c>
      <c r="L992" s="7">
        <v>10639.31</v>
      </c>
      <c r="M992" s="3" t="s">
        <v>56</v>
      </c>
      <c r="N992" s="3" t="str">
        <f t="shared" si="60"/>
        <v>2024-10</v>
      </c>
      <c r="O992" s="3" t="str">
        <f t="shared" si="61"/>
        <v>No discount</v>
      </c>
      <c r="P992" s="9">
        <f t="shared" si="62"/>
        <v>0.20880479371535313</v>
      </c>
      <c r="Q992" s="3" t="str">
        <f t="shared" si="63"/>
        <v>No</v>
      </c>
    </row>
    <row r="993" spans="1:17" ht="21" customHeight="1">
      <c r="A993" s="3" t="s">
        <v>1606</v>
      </c>
      <c r="B993" s="5">
        <v>45570</v>
      </c>
      <c r="C993" s="3" t="s">
        <v>795</v>
      </c>
      <c r="D993" s="3" t="s">
        <v>44</v>
      </c>
      <c r="E993" s="3" t="s">
        <v>38</v>
      </c>
      <c r="F993" s="3" t="s">
        <v>94</v>
      </c>
      <c r="G993" s="3" t="s">
        <v>95</v>
      </c>
      <c r="H993" s="3">
        <v>2</v>
      </c>
      <c r="I993" s="7">
        <v>76739.520000000004</v>
      </c>
      <c r="J993" s="9">
        <v>0.15</v>
      </c>
      <c r="K993" s="7">
        <v>130457.18</v>
      </c>
      <c r="L993" s="7">
        <v>4401.12</v>
      </c>
      <c r="M993" s="3" t="s">
        <v>57</v>
      </c>
      <c r="N993" s="3" t="str">
        <f t="shared" si="60"/>
        <v>2024-10</v>
      </c>
      <c r="O993" s="3" t="str">
        <f t="shared" si="61"/>
        <v>11-15%</v>
      </c>
      <c r="P993" s="9">
        <f t="shared" si="62"/>
        <v>3.373612705716926E-2</v>
      </c>
      <c r="Q993" s="3" t="str">
        <f t="shared" si="63"/>
        <v>No</v>
      </c>
    </row>
    <row r="994" spans="1:17" ht="21" customHeight="1">
      <c r="A994" s="3" t="s">
        <v>1607</v>
      </c>
      <c r="B994" s="5">
        <v>45570</v>
      </c>
      <c r="C994" s="3" t="s">
        <v>775</v>
      </c>
      <c r="D994" s="3" t="s">
        <v>45</v>
      </c>
      <c r="E994" s="3" t="s">
        <v>39</v>
      </c>
      <c r="F994" s="3" t="s">
        <v>109</v>
      </c>
      <c r="G994" s="3" t="s">
        <v>110</v>
      </c>
      <c r="H994" s="3">
        <v>1</v>
      </c>
      <c r="I994" s="7">
        <v>3107.07</v>
      </c>
      <c r="J994" s="9">
        <v>0.1</v>
      </c>
      <c r="K994" s="7">
        <v>2796.36</v>
      </c>
      <c r="L994" s="7">
        <v>813.79</v>
      </c>
      <c r="M994" s="3" t="s">
        <v>60</v>
      </c>
      <c r="N994" s="3" t="str">
        <f t="shared" si="60"/>
        <v>2024-10</v>
      </c>
      <c r="O994" s="3" t="str">
        <f t="shared" si="61"/>
        <v>1-10%</v>
      </c>
      <c r="P994" s="9">
        <f t="shared" si="62"/>
        <v>0.29101760860547282</v>
      </c>
      <c r="Q994" s="3" t="str">
        <f t="shared" si="63"/>
        <v>No</v>
      </c>
    </row>
    <row r="995" spans="1:17" ht="21" customHeight="1">
      <c r="A995" s="3" t="s">
        <v>1608</v>
      </c>
      <c r="B995" s="5">
        <v>45570</v>
      </c>
      <c r="C995" s="3" t="s">
        <v>1142</v>
      </c>
      <c r="D995" s="3" t="s">
        <v>46</v>
      </c>
      <c r="E995" s="3" t="s">
        <v>40</v>
      </c>
      <c r="F995" s="3" t="s">
        <v>102</v>
      </c>
      <c r="G995" s="3" t="s">
        <v>103</v>
      </c>
      <c r="H995" s="3">
        <v>1</v>
      </c>
      <c r="I995" s="7">
        <v>6292.6</v>
      </c>
      <c r="J995" s="9">
        <v>0.2</v>
      </c>
      <c r="K995" s="7">
        <v>5034.08</v>
      </c>
      <c r="L995" s="7">
        <v>418.67</v>
      </c>
      <c r="M995" s="3" t="s">
        <v>57</v>
      </c>
      <c r="N995" s="3" t="str">
        <f t="shared" si="60"/>
        <v>2024-10</v>
      </c>
      <c r="O995" s="3" t="str">
        <f t="shared" si="61"/>
        <v>16-20%</v>
      </c>
      <c r="P995" s="9">
        <f t="shared" si="62"/>
        <v>8.3167132822680609E-2</v>
      </c>
      <c r="Q995" s="3" t="str">
        <f t="shared" si="63"/>
        <v>No</v>
      </c>
    </row>
    <row r="996" spans="1:17" ht="21" customHeight="1">
      <c r="A996" s="3" t="s">
        <v>1609</v>
      </c>
      <c r="B996" s="5">
        <v>45570</v>
      </c>
      <c r="C996" s="3" t="s">
        <v>781</v>
      </c>
      <c r="D996" s="3" t="s">
        <v>47</v>
      </c>
      <c r="E996" s="3" t="s">
        <v>42</v>
      </c>
      <c r="F996" s="3" t="s">
        <v>90</v>
      </c>
      <c r="G996" s="3" t="s">
        <v>91</v>
      </c>
      <c r="H996" s="3">
        <v>1</v>
      </c>
      <c r="I996" s="7">
        <v>1232.8499999999999</v>
      </c>
      <c r="J996" s="9">
        <v>0</v>
      </c>
      <c r="K996" s="7">
        <v>1232.8499999999999</v>
      </c>
      <c r="L996" s="7">
        <v>659.16</v>
      </c>
      <c r="M996" s="3" t="s">
        <v>58</v>
      </c>
      <c r="N996" s="3" t="str">
        <f t="shared" si="60"/>
        <v>2024-10</v>
      </c>
      <c r="O996" s="3" t="str">
        <f t="shared" si="61"/>
        <v>No discount</v>
      </c>
      <c r="P996" s="9">
        <f t="shared" si="62"/>
        <v>0.53466358437766148</v>
      </c>
      <c r="Q996" s="3" t="str">
        <f t="shared" si="63"/>
        <v>No</v>
      </c>
    </row>
    <row r="997" spans="1:17" ht="21" customHeight="1">
      <c r="A997" s="3" t="s">
        <v>1610</v>
      </c>
      <c r="B997" s="5">
        <v>45570</v>
      </c>
      <c r="C997" s="3" t="s">
        <v>398</v>
      </c>
      <c r="D997" s="3" t="s">
        <v>46</v>
      </c>
      <c r="E997" s="3" t="s">
        <v>39</v>
      </c>
      <c r="F997" s="3" t="s">
        <v>164</v>
      </c>
      <c r="G997" s="3" t="s">
        <v>200</v>
      </c>
      <c r="H997" s="3">
        <v>2</v>
      </c>
      <c r="I997" s="7">
        <v>1330.94</v>
      </c>
      <c r="J997" s="9">
        <v>0</v>
      </c>
      <c r="K997" s="7">
        <v>2661.88</v>
      </c>
      <c r="L997" s="7">
        <v>1186.75</v>
      </c>
      <c r="M997" s="3" t="s">
        <v>58</v>
      </c>
      <c r="N997" s="3" t="str">
        <f t="shared" si="60"/>
        <v>2024-10</v>
      </c>
      <c r="O997" s="3" t="str">
        <f t="shared" si="61"/>
        <v>No discount</v>
      </c>
      <c r="P997" s="9">
        <f t="shared" si="62"/>
        <v>0.44583151757404538</v>
      </c>
      <c r="Q997" s="3" t="str">
        <f t="shared" si="63"/>
        <v>No</v>
      </c>
    </row>
    <row r="998" spans="1:17" ht="21" customHeight="1">
      <c r="A998" s="3" t="s">
        <v>1611</v>
      </c>
      <c r="B998" s="5">
        <v>45571</v>
      </c>
      <c r="C998" s="3" t="s">
        <v>1612</v>
      </c>
      <c r="D998" s="3" t="s">
        <v>46</v>
      </c>
      <c r="E998" s="3" t="s">
        <v>40</v>
      </c>
      <c r="F998" s="3" t="s">
        <v>160</v>
      </c>
      <c r="G998" s="3" t="s">
        <v>173</v>
      </c>
      <c r="H998" s="3">
        <v>1</v>
      </c>
      <c r="I998" s="7">
        <v>9201.66</v>
      </c>
      <c r="J998" s="9">
        <v>0.2</v>
      </c>
      <c r="K998" s="7">
        <v>7361.33</v>
      </c>
      <c r="L998" s="7">
        <v>605.70000000000005</v>
      </c>
      <c r="M998" s="3" t="s">
        <v>57</v>
      </c>
      <c r="N998" s="3" t="str">
        <f t="shared" si="60"/>
        <v>2024-10</v>
      </c>
      <c r="O998" s="3" t="str">
        <f t="shared" si="61"/>
        <v>16-20%</v>
      </c>
      <c r="P998" s="9">
        <f t="shared" si="62"/>
        <v>8.2281326879789396E-2</v>
      </c>
      <c r="Q998" s="3" t="str">
        <f t="shared" si="63"/>
        <v>No</v>
      </c>
    </row>
    <row r="999" spans="1:17" ht="21" customHeight="1">
      <c r="A999" s="3" t="s">
        <v>1613</v>
      </c>
      <c r="B999" s="5">
        <v>45571</v>
      </c>
      <c r="C999" s="3" t="s">
        <v>1031</v>
      </c>
      <c r="D999" s="3" t="s">
        <v>44</v>
      </c>
      <c r="E999" s="3" t="s">
        <v>41</v>
      </c>
      <c r="F999" s="3" t="s">
        <v>113</v>
      </c>
      <c r="G999" s="3" t="s">
        <v>114</v>
      </c>
      <c r="H999" s="3">
        <v>1</v>
      </c>
      <c r="I999" s="7">
        <v>11576.7</v>
      </c>
      <c r="J999" s="9">
        <v>0.15</v>
      </c>
      <c r="K999" s="7">
        <v>9840.19</v>
      </c>
      <c r="L999" s="7">
        <v>1923.45</v>
      </c>
      <c r="M999" s="3" t="s">
        <v>56</v>
      </c>
      <c r="N999" s="3" t="str">
        <f t="shared" si="60"/>
        <v>2024-10</v>
      </c>
      <c r="O999" s="3" t="str">
        <f t="shared" si="61"/>
        <v>11-15%</v>
      </c>
      <c r="P999" s="9">
        <f t="shared" si="62"/>
        <v>0.19546878667993198</v>
      </c>
      <c r="Q999" s="3" t="str">
        <f t="shared" si="63"/>
        <v>No</v>
      </c>
    </row>
    <row r="1000" spans="1:17" ht="21" customHeight="1">
      <c r="A1000" s="3" t="s">
        <v>1614</v>
      </c>
      <c r="B1000" s="5">
        <v>45571</v>
      </c>
      <c r="C1000" s="3" t="s">
        <v>361</v>
      </c>
      <c r="D1000" s="3" t="s">
        <v>46</v>
      </c>
      <c r="E1000" s="3" t="s">
        <v>42</v>
      </c>
      <c r="F1000" s="3" t="s">
        <v>90</v>
      </c>
      <c r="G1000" s="3" t="s">
        <v>91</v>
      </c>
      <c r="H1000" s="3">
        <v>3</v>
      </c>
      <c r="I1000" s="7">
        <v>1207.46</v>
      </c>
      <c r="J1000" s="9">
        <v>0.05</v>
      </c>
      <c r="K1000" s="7">
        <v>3441.26</v>
      </c>
      <c r="L1000" s="7">
        <v>1794.96</v>
      </c>
      <c r="M1000" s="3" t="s">
        <v>56</v>
      </c>
      <c r="N1000" s="3" t="str">
        <f t="shared" si="60"/>
        <v>2024-10</v>
      </c>
      <c r="O1000" s="3" t="str">
        <f t="shared" si="61"/>
        <v>1-10%</v>
      </c>
      <c r="P1000" s="9">
        <f t="shared" si="62"/>
        <v>0.52159964664105585</v>
      </c>
      <c r="Q1000" s="3" t="str">
        <f t="shared" si="63"/>
        <v>No</v>
      </c>
    </row>
    <row r="1001" spans="1:17" ht="21" customHeight="1">
      <c r="A1001" s="3" t="s">
        <v>1615</v>
      </c>
      <c r="B1001" s="5">
        <v>45571</v>
      </c>
      <c r="C1001" s="3" t="s">
        <v>370</v>
      </c>
      <c r="D1001" s="3" t="s">
        <v>47</v>
      </c>
      <c r="E1001" s="3" t="s">
        <v>38</v>
      </c>
      <c r="F1001" s="3" t="s">
        <v>142</v>
      </c>
      <c r="G1001" s="3" t="s">
        <v>245</v>
      </c>
      <c r="H1001" s="3">
        <v>1</v>
      </c>
      <c r="I1001" s="7">
        <v>4812.37</v>
      </c>
      <c r="J1001" s="9">
        <v>0.15</v>
      </c>
      <c r="K1001" s="7">
        <v>4090.51</v>
      </c>
      <c r="L1001" s="7">
        <v>108.52</v>
      </c>
      <c r="M1001" s="3" t="s">
        <v>57</v>
      </c>
      <c r="N1001" s="3" t="str">
        <f t="shared" si="60"/>
        <v>2024-10</v>
      </c>
      <c r="O1001" s="3" t="str">
        <f t="shared" si="61"/>
        <v>11-15%</v>
      </c>
      <c r="P1001" s="9">
        <f t="shared" si="62"/>
        <v>2.6529699230658278E-2</v>
      </c>
      <c r="Q1001" s="3" t="str">
        <f t="shared" si="63"/>
        <v>No</v>
      </c>
    </row>
    <row r="1002" spans="1:17" ht="21" customHeight="1">
      <c r="A1002" s="3" t="s">
        <v>1616</v>
      </c>
      <c r="B1002" s="5">
        <v>45571</v>
      </c>
      <c r="C1002" s="3" t="s">
        <v>839</v>
      </c>
      <c r="D1002" s="3" t="s">
        <v>44</v>
      </c>
      <c r="E1002" s="3" t="s">
        <v>39</v>
      </c>
      <c r="F1002" s="3" t="s">
        <v>130</v>
      </c>
      <c r="G1002" s="3" t="s">
        <v>131</v>
      </c>
      <c r="H1002" s="3">
        <v>1</v>
      </c>
      <c r="I1002" s="7">
        <v>2219.4899999999998</v>
      </c>
      <c r="J1002" s="9">
        <v>0.1</v>
      </c>
      <c r="K1002" s="7">
        <v>1997.54</v>
      </c>
      <c r="L1002" s="7">
        <v>671.75</v>
      </c>
      <c r="M1002" s="3" t="s">
        <v>56</v>
      </c>
      <c r="N1002" s="3" t="str">
        <f t="shared" si="60"/>
        <v>2024-10</v>
      </c>
      <c r="O1002" s="3" t="str">
        <f t="shared" si="61"/>
        <v>1-10%</v>
      </c>
      <c r="P1002" s="9">
        <f t="shared" si="62"/>
        <v>0.33628863502107592</v>
      </c>
      <c r="Q1002" s="3" t="str">
        <f t="shared" si="63"/>
        <v>No</v>
      </c>
    </row>
    <row r="1003" spans="1:17" ht="21" customHeight="1">
      <c r="A1003" s="3" t="s">
        <v>1617</v>
      </c>
      <c r="B1003" s="5">
        <v>45571</v>
      </c>
      <c r="C1003" s="3" t="s">
        <v>408</v>
      </c>
      <c r="D1003" s="3" t="s">
        <v>44</v>
      </c>
      <c r="E1003" s="3" t="s">
        <v>42</v>
      </c>
      <c r="F1003" s="3" t="s">
        <v>126</v>
      </c>
      <c r="G1003" s="3" t="s">
        <v>127</v>
      </c>
      <c r="H1003" s="3">
        <v>1</v>
      </c>
      <c r="I1003" s="7">
        <v>987.86</v>
      </c>
      <c r="J1003" s="9">
        <v>0.15</v>
      </c>
      <c r="K1003" s="7">
        <v>839.68</v>
      </c>
      <c r="L1003" s="7">
        <v>311.63</v>
      </c>
      <c r="M1003" s="3" t="s">
        <v>57</v>
      </c>
      <c r="N1003" s="3" t="str">
        <f t="shared" si="60"/>
        <v>2024-10</v>
      </c>
      <c r="O1003" s="3" t="str">
        <f t="shared" si="61"/>
        <v>11-15%</v>
      </c>
      <c r="P1003" s="9">
        <f t="shared" si="62"/>
        <v>0.37112947789634149</v>
      </c>
      <c r="Q1003" s="3" t="str">
        <f t="shared" si="63"/>
        <v>No</v>
      </c>
    </row>
    <row r="1004" spans="1:17" ht="21" customHeight="1">
      <c r="A1004" s="3" t="s">
        <v>1618</v>
      </c>
      <c r="B1004" s="5">
        <v>45572</v>
      </c>
      <c r="C1004" s="3" t="s">
        <v>1619</v>
      </c>
      <c r="D1004" s="3" t="s">
        <v>47</v>
      </c>
      <c r="E1004" s="3" t="s">
        <v>42</v>
      </c>
      <c r="F1004" s="3" t="s">
        <v>126</v>
      </c>
      <c r="G1004" s="3" t="s">
        <v>127</v>
      </c>
      <c r="H1004" s="3">
        <v>5</v>
      </c>
      <c r="I1004" s="7">
        <v>1048.21</v>
      </c>
      <c r="J1004" s="9">
        <v>0.05</v>
      </c>
      <c r="K1004" s="7">
        <v>4979</v>
      </c>
      <c r="L1004" s="7">
        <v>2347.89</v>
      </c>
      <c r="M1004" s="3" t="s">
        <v>56</v>
      </c>
      <c r="N1004" s="3" t="str">
        <f t="shared" si="60"/>
        <v>2024-10</v>
      </c>
      <c r="O1004" s="3" t="str">
        <f t="shared" si="61"/>
        <v>1-10%</v>
      </c>
      <c r="P1004" s="9">
        <f t="shared" si="62"/>
        <v>0.47155854589274954</v>
      </c>
      <c r="Q1004" s="3" t="str">
        <f t="shared" si="63"/>
        <v>No</v>
      </c>
    </row>
    <row r="1005" spans="1:17" ht="21" customHeight="1">
      <c r="A1005" s="3" t="s">
        <v>1620</v>
      </c>
      <c r="B1005" s="5">
        <v>45572</v>
      </c>
      <c r="C1005" s="3" t="s">
        <v>412</v>
      </c>
      <c r="D1005" s="3" t="s">
        <v>46</v>
      </c>
      <c r="E1005" s="3" t="s">
        <v>39</v>
      </c>
      <c r="F1005" s="3" t="s">
        <v>109</v>
      </c>
      <c r="G1005" s="3" t="s">
        <v>110</v>
      </c>
      <c r="H1005" s="3">
        <v>1</v>
      </c>
      <c r="I1005" s="7">
        <v>3109.95</v>
      </c>
      <c r="J1005" s="9">
        <v>0.05</v>
      </c>
      <c r="K1005" s="7">
        <v>2954.45</v>
      </c>
      <c r="L1005" s="7">
        <v>1155.6300000000001</v>
      </c>
      <c r="M1005" s="3" t="s">
        <v>57</v>
      </c>
      <c r="N1005" s="3" t="str">
        <f t="shared" si="60"/>
        <v>2024-10</v>
      </c>
      <c r="O1005" s="3" t="str">
        <f t="shared" si="61"/>
        <v>1-10%</v>
      </c>
      <c r="P1005" s="9">
        <f t="shared" si="62"/>
        <v>0.39114894481206319</v>
      </c>
      <c r="Q1005" s="3" t="str">
        <f t="shared" si="63"/>
        <v>No</v>
      </c>
    </row>
    <row r="1006" spans="1:17" ht="21" customHeight="1">
      <c r="A1006" s="3" t="s">
        <v>1621</v>
      </c>
      <c r="B1006" s="5">
        <v>45572</v>
      </c>
      <c r="C1006" s="3" t="s">
        <v>830</v>
      </c>
      <c r="D1006" s="3" t="s">
        <v>46</v>
      </c>
      <c r="E1006" s="3" t="s">
        <v>41</v>
      </c>
      <c r="F1006" s="3" t="s">
        <v>119</v>
      </c>
      <c r="G1006" s="3" t="s">
        <v>168</v>
      </c>
      <c r="H1006" s="3">
        <v>3</v>
      </c>
      <c r="I1006" s="7">
        <v>9589.68</v>
      </c>
      <c r="J1006" s="9">
        <v>0.1</v>
      </c>
      <c r="K1006" s="7">
        <v>25892.14</v>
      </c>
      <c r="L1006" s="7">
        <v>7784.76</v>
      </c>
      <c r="M1006" s="3" t="s">
        <v>56</v>
      </c>
      <c r="N1006" s="3" t="str">
        <f t="shared" si="60"/>
        <v>2024-10</v>
      </c>
      <c r="O1006" s="3" t="str">
        <f t="shared" si="61"/>
        <v>1-10%</v>
      </c>
      <c r="P1006" s="9">
        <f t="shared" si="62"/>
        <v>0.30066112727646305</v>
      </c>
      <c r="Q1006" s="3" t="str">
        <f t="shared" si="63"/>
        <v>No</v>
      </c>
    </row>
    <row r="1007" spans="1:17" ht="21" customHeight="1">
      <c r="A1007" s="3" t="s">
        <v>1622</v>
      </c>
      <c r="B1007" s="5">
        <v>45572</v>
      </c>
      <c r="C1007" s="3" t="s">
        <v>805</v>
      </c>
      <c r="D1007" s="3" t="s">
        <v>45</v>
      </c>
      <c r="E1007" s="3" t="s">
        <v>38</v>
      </c>
      <c r="F1007" s="3" t="s">
        <v>98</v>
      </c>
      <c r="G1007" s="3" t="s">
        <v>99</v>
      </c>
      <c r="H1007" s="3">
        <v>1</v>
      </c>
      <c r="I1007" s="7">
        <v>24933.96</v>
      </c>
      <c r="J1007" s="9">
        <v>0.15</v>
      </c>
      <c r="K1007" s="7">
        <v>21193.87</v>
      </c>
      <c r="L1007" s="7">
        <v>-45.29</v>
      </c>
      <c r="M1007" s="3" t="s">
        <v>56</v>
      </c>
      <c r="N1007" s="3" t="str">
        <f t="shared" si="60"/>
        <v>2024-10</v>
      </c>
      <c r="O1007" s="3" t="str">
        <f t="shared" si="61"/>
        <v>11-15%</v>
      </c>
      <c r="P1007" s="9">
        <f t="shared" si="62"/>
        <v>-2.1369386525443442E-3</v>
      </c>
      <c r="Q1007" s="3" t="str">
        <f t="shared" si="63"/>
        <v>Yes</v>
      </c>
    </row>
    <row r="1008" spans="1:17" ht="21" customHeight="1">
      <c r="A1008" s="3" t="s">
        <v>1623</v>
      </c>
      <c r="B1008" s="5">
        <v>45573</v>
      </c>
      <c r="C1008" s="3" t="s">
        <v>1624</v>
      </c>
      <c r="D1008" s="3" t="s">
        <v>45</v>
      </c>
      <c r="E1008" s="3" t="s">
        <v>42</v>
      </c>
      <c r="F1008" s="3" t="s">
        <v>126</v>
      </c>
      <c r="G1008" s="3" t="s">
        <v>151</v>
      </c>
      <c r="H1008" s="3">
        <v>3</v>
      </c>
      <c r="I1008" s="7">
        <v>1446.68</v>
      </c>
      <c r="J1008" s="9">
        <v>0.1</v>
      </c>
      <c r="K1008" s="7">
        <v>3906.04</v>
      </c>
      <c r="L1008" s="7">
        <v>1564.22</v>
      </c>
      <c r="M1008" s="3" t="s">
        <v>56</v>
      </c>
      <c r="N1008" s="3" t="str">
        <f t="shared" si="60"/>
        <v>2024-10</v>
      </c>
      <c r="O1008" s="3" t="str">
        <f t="shared" si="61"/>
        <v>1-10%</v>
      </c>
      <c r="P1008" s="9">
        <f t="shared" si="62"/>
        <v>0.40046184882899305</v>
      </c>
      <c r="Q1008" s="3" t="str">
        <f t="shared" si="63"/>
        <v>No</v>
      </c>
    </row>
    <row r="1009" spans="1:17" ht="21" customHeight="1">
      <c r="A1009" s="3" t="s">
        <v>1625</v>
      </c>
      <c r="B1009" s="5">
        <v>45573</v>
      </c>
      <c r="C1009" s="3" t="s">
        <v>1427</v>
      </c>
      <c r="D1009" s="3" t="s">
        <v>47</v>
      </c>
      <c r="E1009" s="3" t="s">
        <v>41</v>
      </c>
      <c r="F1009" s="3" t="s">
        <v>119</v>
      </c>
      <c r="G1009" s="3" t="s">
        <v>120</v>
      </c>
      <c r="H1009" s="3">
        <v>3</v>
      </c>
      <c r="I1009" s="7">
        <v>1275.02</v>
      </c>
      <c r="J1009" s="9">
        <v>0.05</v>
      </c>
      <c r="K1009" s="7">
        <v>3633.81</v>
      </c>
      <c r="L1009" s="7">
        <v>1287.6400000000001</v>
      </c>
      <c r="M1009" s="3" t="s">
        <v>57</v>
      </c>
      <c r="N1009" s="3" t="str">
        <f t="shared" si="60"/>
        <v>2024-10</v>
      </c>
      <c r="O1009" s="3" t="str">
        <f t="shared" si="61"/>
        <v>1-10%</v>
      </c>
      <c r="P1009" s="9">
        <f t="shared" si="62"/>
        <v>0.35434984217666859</v>
      </c>
      <c r="Q1009" s="3" t="str">
        <f t="shared" si="63"/>
        <v>No</v>
      </c>
    </row>
    <row r="1010" spans="1:17" ht="21" customHeight="1">
      <c r="A1010" s="3" t="s">
        <v>1626</v>
      </c>
      <c r="B1010" s="5">
        <v>45573</v>
      </c>
      <c r="C1010" s="3" t="s">
        <v>673</v>
      </c>
      <c r="D1010" s="3" t="s">
        <v>44</v>
      </c>
      <c r="E1010" s="3" t="s">
        <v>40</v>
      </c>
      <c r="F1010" s="3" t="s">
        <v>102</v>
      </c>
      <c r="G1010" s="3" t="s">
        <v>103</v>
      </c>
      <c r="H1010" s="3">
        <v>3</v>
      </c>
      <c r="I1010" s="7">
        <v>6782.03</v>
      </c>
      <c r="J1010" s="9">
        <v>0.15</v>
      </c>
      <c r="K1010" s="7">
        <v>17294.18</v>
      </c>
      <c r="L1010" s="7">
        <v>2333.69</v>
      </c>
      <c r="M1010" s="3" t="s">
        <v>56</v>
      </c>
      <c r="N1010" s="3" t="str">
        <f t="shared" si="60"/>
        <v>2024-10</v>
      </c>
      <c r="O1010" s="3" t="str">
        <f t="shared" si="61"/>
        <v>11-15%</v>
      </c>
      <c r="P1010" s="9">
        <f t="shared" si="62"/>
        <v>0.13494077198225068</v>
      </c>
      <c r="Q1010" s="3" t="str">
        <f t="shared" si="63"/>
        <v>No</v>
      </c>
    </row>
    <row r="1011" spans="1:17" ht="21" customHeight="1">
      <c r="A1011" s="3" t="s">
        <v>1627</v>
      </c>
      <c r="B1011" s="5">
        <v>45573</v>
      </c>
      <c r="C1011" s="3" t="s">
        <v>1555</v>
      </c>
      <c r="D1011" s="3" t="s">
        <v>46</v>
      </c>
      <c r="E1011" s="3" t="s">
        <v>40</v>
      </c>
      <c r="F1011" s="3" t="s">
        <v>160</v>
      </c>
      <c r="G1011" s="3" t="s">
        <v>161</v>
      </c>
      <c r="H1011" s="3">
        <v>1</v>
      </c>
      <c r="I1011" s="7">
        <v>13058.83</v>
      </c>
      <c r="J1011" s="9">
        <v>0.05</v>
      </c>
      <c r="K1011" s="7">
        <v>12405.89</v>
      </c>
      <c r="L1011" s="7">
        <v>3215.61</v>
      </c>
      <c r="M1011" s="3" t="s">
        <v>56</v>
      </c>
      <c r="N1011" s="3" t="str">
        <f t="shared" si="60"/>
        <v>2024-10</v>
      </c>
      <c r="O1011" s="3" t="str">
        <f t="shared" si="61"/>
        <v>1-10%</v>
      </c>
      <c r="P1011" s="9">
        <f t="shared" si="62"/>
        <v>0.25920026696996351</v>
      </c>
      <c r="Q1011" s="3" t="str">
        <f t="shared" si="63"/>
        <v>No</v>
      </c>
    </row>
    <row r="1012" spans="1:17" ht="21" customHeight="1">
      <c r="A1012" s="3" t="s">
        <v>1628</v>
      </c>
      <c r="B1012" s="5">
        <v>45573</v>
      </c>
      <c r="C1012" s="3" t="s">
        <v>1629</v>
      </c>
      <c r="D1012" s="3" t="s">
        <v>47</v>
      </c>
      <c r="E1012" s="3" t="s">
        <v>38</v>
      </c>
      <c r="F1012" s="3" t="s">
        <v>94</v>
      </c>
      <c r="G1012" s="3" t="s">
        <v>95</v>
      </c>
      <c r="H1012" s="3">
        <v>1</v>
      </c>
      <c r="I1012" s="7">
        <v>80187.399999999994</v>
      </c>
      <c r="J1012" s="9">
        <v>0.15</v>
      </c>
      <c r="K1012" s="7">
        <v>68159.289999999994</v>
      </c>
      <c r="L1012" s="7">
        <v>2202.4699999999998</v>
      </c>
      <c r="M1012" s="3" t="s">
        <v>56</v>
      </c>
      <c r="N1012" s="3" t="str">
        <f t="shared" si="60"/>
        <v>2024-10</v>
      </c>
      <c r="O1012" s="3" t="str">
        <f t="shared" si="61"/>
        <v>11-15%</v>
      </c>
      <c r="P1012" s="9">
        <f t="shared" si="62"/>
        <v>3.2313570167764365E-2</v>
      </c>
      <c r="Q1012" s="3" t="str">
        <f t="shared" si="63"/>
        <v>No</v>
      </c>
    </row>
    <row r="1013" spans="1:17" ht="21" customHeight="1">
      <c r="A1013" s="3" t="s">
        <v>1630</v>
      </c>
      <c r="B1013" s="5">
        <v>45574</v>
      </c>
      <c r="C1013" s="3" t="s">
        <v>1631</v>
      </c>
      <c r="D1013" s="3" t="s">
        <v>45</v>
      </c>
      <c r="E1013" s="3" t="s">
        <v>42</v>
      </c>
      <c r="F1013" s="3" t="s">
        <v>126</v>
      </c>
      <c r="G1013" s="3" t="s">
        <v>151</v>
      </c>
      <c r="H1013" s="3">
        <v>3</v>
      </c>
      <c r="I1013" s="7">
        <v>1460.59</v>
      </c>
      <c r="J1013" s="9">
        <v>0.4</v>
      </c>
      <c r="K1013" s="7">
        <v>2629.06</v>
      </c>
      <c r="L1013" s="7">
        <v>247.4</v>
      </c>
      <c r="M1013" s="3" t="s">
        <v>59</v>
      </c>
      <c r="N1013" s="3" t="str">
        <f t="shared" si="60"/>
        <v>2024-10</v>
      </c>
      <c r="O1013" s="3" t="str">
        <f t="shared" si="61"/>
        <v>21%+</v>
      </c>
      <c r="P1013" s="9">
        <f t="shared" si="62"/>
        <v>9.4102074505716879E-2</v>
      </c>
      <c r="Q1013" s="3" t="str">
        <f t="shared" si="63"/>
        <v>No</v>
      </c>
    </row>
    <row r="1014" spans="1:17" ht="21" customHeight="1">
      <c r="A1014" s="3" t="s">
        <v>1632</v>
      </c>
      <c r="B1014" s="5">
        <v>45574</v>
      </c>
      <c r="C1014" s="3" t="s">
        <v>416</v>
      </c>
      <c r="D1014" s="3" t="s">
        <v>44</v>
      </c>
      <c r="E1014" s="3" t="s">
        <v>42</v>
      </c>
      <c r="F1014" s="3" t="s">
        <v>90</v>
      </c>
      <c r="G1014" s="3" t="s">
        <v>106</v>
      </c>
      <c r="H1014" s="3">
        <v>2</v>
      </c>
      <c r="I1014" s="7">
        <v>878.23</v>
      </c>
      <c r="J1014" s="9">
        <v>0</v>
      </c>
      <c r="K1014" s="7">
        <v>1756.46</v>
      </c>
      <c r="L1014" s="7">
        <v>933.51</v>
      </c>
      <c r="M1014" s="3" t="s">
        <v>56</v>
      </c>
      <c r="N1014" s="3" t="str">
        <f t="shared" si="60"/>
        <v>2024-10</v>
      </c>
      <c r="O1014" s="3" t="str">
        <f t="shared" si="61"/>
        <v>No discount</v>
      </c>
      <c r="P1014" s="9">
        <f t="shared" si="62"/>
        <v>0.53147239333659746</v>
      </c>
      <c r="Q1014" s="3" t="str">
        <f t="shared" si="63"/>
        <v>No</v>
      </c>
    </row>
    <row r="1015" spans="1:17" ht="21" customHeight="1">
      <c r="A1015" s="3" t="s">
        <v>1633</v>
      </c>
      <c r="B1015" s="5">
        <v>45574</v>
      </c>
      <c r="C1015" s="3" t="s">
        <v>481</v>
      </c>
      <c r="D1015" s="3" t="s">
        <v>47</v>
      </c>
      <c r="E1015" s="3" t="s">
        <v>39</v>
      </c>
      <c r="F1015" s="3" t="s">
        <v>164</v>
      </c>
      <c r="G1015" s="3" t="s">
        <v>200</v>
      </c>
      <c r="H1015" s="3">
        <v>3</v>
      </c>
      <c r="I1015" s="7">
        <v>1284.8399999999999</v>
      </c>
      <c r="J1015" s="9">
        <v>0.1</v>
      </c>
      <c r="K1015" s="7">
        <v>3469.07</v>
      </c>
      <c r="L1015" s="7">
        <v>972.97</v>
      </c>
      <c r="M1015" s="3" t="s">
        <v>56</v>
      </c>
      <c r="N1015" s="3" t="str">
        <f t="shared" si="60"/>
        <v>2024-10</v>
      </c>
      <c r="O1015" s="3" t="str">
        <f t="shared" si="61"/>
        <v>1-10%</v>
      </c>
      <c r="P1015" s="9">
        <f t="shared" si="62"/>
        <v>0.28046998186833932</v>
      </c>
      <c r="Q1015" s="3" t="str">
        <f t="shared" si="63"/>
        <v>No</v>
      </c>
    </row>
    <row r="1016" spans="1:17" ht="21" customHeight="1">
      <c r="A1016" s="3" t="s">
        <v>1634</v>
      </c>
      <c r="B1016" s="5">
        <v>45574</v>
      </c>
      <c r="C1016" s="3" t="s">
        <v>426</v>
      </c>
      <c r="D1016" s="3" t="s">
        <v>44</v>
      </c>
      <c r="E1016" s="3" t="s">
        <v>41</v>
      </c>
      <c r="F1016" s="3" t="s">
        <v>113</v>
      </c>
      <c r="G1016" s="3" t="s">
        <v>114</v>
      </c>
      <c r="H1016" s="3">
        <v>2</v>
      </c>
      <c r="I1016" s="7">
        <v>11571.78</v>
      </c>
      <c r="J1016" s="9">
        <v>0.1</v>
      </c>
      <c r="K1016" s="7">
        <v>20829.2</v>
      </c>
      <c r="L1016" s="7">
        <v>5956.5</v>
      </c>
      <c r="M1016" s="3" t="s">
        <v>57</v>
      </c>
      <c r="N1016" s="3" t="str">
        <f t="shared" si="60"/>
        <v>2024-10</v>
      </c>
      <c r="O1016" s="3" t="str">
        <f t="shared" si="61"/>
        <v>1-10%</v>
      </c>
      <c r="P1016" s="9">
        <f t="shared" si="62"/>
        <v>0.28596873619726154</v>
      </c>
      <c r="Q1016" s="3" t="str">
        <f t="shared" si="63"/>
        <v>No</v>
      </c>
    </row>
    <row r="1017" spans="1:17" ht="21" customHeight="1">
      <c r="A1017" s="3" t="s">
        <v>1635</v>
      </c>
      <c r="B1017" s="5">
        <v>45574</v>
      </c>
      <c r="C1017" s="3" t="s">
        <v>446</v>
      </c>
      <c r="D1017" s="3" t="s">
        <v>44</v>
      </c>
      <c r="E1017" s="3" t="s">
        <v>42</v>
      </c>
      <c r="F1017" s="3" t="s">
        <v>90</v>
      </c>
      <c r="G1017" s="3" t="s">
        <v>106</v>
      </c>
      <c r="H1017" s="3">
        <v>2</v>
      </c>
      <c r="I1017" s="7">
        <v>873.66</v>
      </c>
      <c r="J1017" s="9">
        <v>0.3</v>
      </c>
      <c r="K1017" s="7">
        <v>1223.1199999999999</v>
      </c>
      <c r="L1017" s="7">
        <v>294.2</v>
      </c>
      <c r="M1017" s="3" t="s">
        <v>56</v>
      </c>
      <c r="N1017" s="3" t="str">
        <f t="shared" si="60"/>
        <v>2024-10</v>
      </c>
      <c r="O1017" s="3" t="str">
        <f t="shared" si="61"/>
        <v>21%+</v>
      </c>
      <c r="P1017" s="9">
        <f t="shared" si="62"/>
        <v>0.24053240892144681</v>
      </c>
      <c r="Q1017" s="3" t="str">
        <f t="shared" si="63"/>
        <v>No</v>
      </c>
    </row>
    <row r="1018" spans="1:17" ht="21" customHeight="1">
      <c r="A1018" s="3" t="s">
        <v>1636</v>
      </c>
      <c r="B1018" s="5">
        <v>45574</v>
      </c>
      <c r="C1018" s="3" t="s">
        <v>1221</v>
      </c>
      <c r="D1018" s="3" t="s">
        <v>44</v>
      </c>
      <c r="E1018" s="3" t="s">
        <v>38</v>
      </c>
      <c r="F1018" s="3" t="s">
        <v>94</v>
      </c>
      <c r="G1018" s="3" t="s">
        <v>213</v>
      </c>
      <c r="H1018" s="3">
        <v>1</v>
      </c>
      <c r="I1018" s="7">
        <v>57561.63</v>
      </c>
      <c r="J1018" s="9">
        <v>0.1</v>
      </c>
      <c r="K1018" s="7">
        <v>51805.47</v>
      </c>
      <c r="L1018" s="7">
        <v>5238.1899999999996</v>
      </c>
      <c r="M1018" s="3" t="s">
        <v>57</v>
      </c>
      <c r="N1018" s="3" t="str">
        <f t="shared" si="60"/>
        <v>2024-10</v>
      </c>
      <c r="O1018" s="3" t="str">
        <f t="shared" si="61"/>
        <v>1-10%</v>
      </c>
      <c r="P1018" s="9">
        <f t="shared" si="62"/>
        <v>0.10111268173032692</v>
      </c>
      <c r="Q1018" s="3" t="str">
        <f t="shared" si="63"/>
        <v>No</v>
      </c>
    </row>
    <row r="1019" spans="1:17" ht="21" customHeight="1">
      <c r="A1019" s="3" t="s">
        <v>1637</v>
      </c>
      <c r="B1019" s="5">
        <v>45575</v>
      </c>
      <c r="C1019" s="3" t="s">
        <v>1629</v>
      </c>
      <c r="D1019" s="3" t="s">
        <v>46</v>
      </c>
      <c r="E1019" s="3" t="s">
        <v>41</v>
      </c>
      <c r="F1019" s="3" t="s">
        <v>119</v>
      </c>
      <c r="G1019" s="3" t="s">
        <v>120</v>
      </c>
      <c r="H1019" s="3">
        <v>2</v>
      </c>
      <c r="I1019" s="7">
        <v>1294.71</v>
      </c>
      <c r="J1019" s="9">
        <v>0</v>
      </c>
      <c r="K1019" s="7">
        <v>2589.42</v>
      </c>
      <c r="L1019" s="7">
        <v>1074.3399999999999</v>
      </c>
      <c r="M1019" s="3" t="s">
        <v>59</v>
      </c>
      <c r="N1019" s="3" t="str">
        <f t="shared" si="60"/>
        <v>2024-10</v>
      </c>
      <c r="O1019" s="3" t="str">
        <f t="shared" si="61"/>
        <v>No discount</v>
      </c>
      <c r="P1019" s="9">
        <f t="shared" si="62"/>
        <v>0.41489599987642017</v>
      </c>
      <c r="Q1019" s="3" t="str">
        <f t="shared" si="63"/>
        <v>No</v>
      </c>
    </row>
    <row r="1020" spans="1:17" ht="21" customHeight="1">
      <c r="A1020" s="3" t="s">
        <v>1638</v>
      </c>
      <c r="B1020" s="5">
        <v>45575</v>
      </c>
      <c r="C1020" s="3" t="s">
        <v>1301</v>
      </c>
      <c r="D1020" s="3" t="s">
        <v>45</v>
      </c>
      <c r="E1020" s="3" t="s">
        <v>38</v>
      </c>
      <c r="F1020" s="3" t="s">
        <v>94</v>
      </c>
      <c r="G1020" s="3" t="s">
        <v>95</v>
      </c>
      <c r="H1020" s="3">
        <v>1</v>
      </c>
      <c r="I1020" s="7">
        <v>82428.52</v>
      </c>
      <c r="J1020" s="9">
        <v>0</v>
      </c>
      <c r="K1020" s="7">
        <v>82428.52</v>
      </c>
      <c r="L1020" s="7">
        <v>17658.2</v>
      </c>
      <c r="M1020" s="3" t="s">
        <v>60</v>
      </c>
      <c r="N1020" s="3" t="str">
        <f t="shared" si="60"/>
        <v>2024-10</v>
      </c>
      <c r="O1020" s="3" t="str">
        <f t="shared" si="61"/>
        <v>No discount</v>
      </c>
      <c r="P1020" s="9">
        <f t="shared" si="62"/>
        <v>0.21422439708974514</v>
      </c>
      <c r="Q1020" s="3" t="str">
        <f t="shared" si="63"/>
        <v>No</v>
      </c>
    </row>
    <row r="1021" spans="1:17" ht="21" customHeight="1">
      <c r="A1021" s="3" t="s">
        <v>1639</v>
      </c>
      <c r="B1021" s="5">
        <v>45575</v>
      </c>
      <c r="C1021" s="3" t="s">
        <v>1640</v>
      </c>
      <c r="D1021" s="3" t="s">
        <v>46</v>
      </c>
      <c r="E1021" s="3" t="s">
        <v>39</v>
      </c>
      <c r="F1021" s="3" t="s">
        <v>109</v>
      </c>
      <c r="G1021" s="3" t="s">
        <v>110</v>
      </c>
      <c r="H1021" s="3">
        <v>1</v>
      </c>
      <c r="I1021" s="7">
        <v>3033.83</v>
      </c>
      <c r="J1021" s="9">
        <v>0.05</v>
      </c>
      <c r="K1021" s="7">
        <v>2882.14</v>
      </c>
      <c r="L1021" s="7">
        <v>952.27</v>
      </c>
      <c r="M1021" s="3" t="s">
        <v>56</v>
      </c>
      <c r="N1021" s="3" t="str">
        <f t="shared" si="60"/>
        <v>2024-10</v>
      </c>
      <c r="O1021" s="3" t="str">
        <f t="shared" si="61"/>
        <v>1-10%</v>
      </c>
      <c r="P1021" s="9">
        <f t="shared" si="62"/>
        <v>0.33040379717848545</v>
      </c>
      <c r="Q1021" s="3" t="str">
        <f t="shared" si="63"/>
        <v>No</v>
      </c>
    </row>
    <row r="1022" spans="1:17" ht="21" customHeight="1">
      <c r="A1022" s="3" t="s">
        <v>1641</v>
      </c>
      <c r="B1022" s="5">
        <v>45575</v>
      </c>
      <c r="C1022" s="3" t="s">
        <v>1301</v>
      </c>
      <c r="D1022" s="3" t="s">
        <v>46</v>
      </c>
      <c r="E1022" s="3" t="s">
        <v>38</v>
      </c>
      <c r="F1022" s="3" t="s">
        <v>142</v>
      </c>
      <c r="G1022" s="3" t="s">
        <v>245</v>
      </c>
      <c r="H1022" s="3">
        <v>3</v>
      </c>
      <c r="I1022" s="7">
        <v>5069.68</v>
      </c>
      <c r="J1022" s="9">
        <v>0.05</v>
      </c>
      <c r="K1022" s="7">
        <v>14448.59</v>
      </c>
      <c r="L1022" s="7">
        <v>2202.0100000000002</v>
      </c>
      <c r="M1022" s="3" t="s">
        <v>58</v>
      </c>
      <c r="N1022" s="3" t="str">
        <f t="shared" si="60"/>
        <v>2024-10</v>
      </c>
      <c r="O1022" s="3" t="str">
        <f t="shared" si="61"/>
        <v>1-10%</v>
      </c>
      <c r="P1022" s="9">
        <f t="shared" si="62"/>
        <v>0.15240310646229149</v>
      </c>
      <c r="Q1022" s="3" t="str">
        <f t="shared" si="63"/>
        <v>No</v>
      </c>
    </row>
    <row r="1023" spans="1:17" ht="21" customHeight="1">
      <c r="A1023" s="3" t="s">
        <v>1642</v>
      </c>
      <c r="B1023" s="5">
        <v>45576</v>
      </c>
      <c r="C1023" s="3" t="s">
        <v>1424</v>
      </c>
      <c r="D1023" s="3" t="s">
        <v>46</v>
      </c>
      <c r="E1023" s="3" t="s">
        <v>42</v>
      </c>
      <c r="F1023" s="3" t="s">
        <v>126</v>
      </c>
      <c r="G1023" s="3" t="s">
        <v>127</v>
      </c>
      <c r="H1023" s="3">
        <v>1</v>
      </c>
      <c r="I1023" s="7">
        <v>994.38</v>
      </c>
      <c r="J1023" s="9">
        <v>0.1</v>
      </c>
      <c r="K1023" s="7">
        <v>894.94</v>
      </c>
      <c r="L1023" s="7">
        <v>385.14</v>
      </c>
      <c r="M1023" s="3" t="s">
        <v>56</v>
      </c>
      <c r="N1023" s="3" t="str">
        <f t="shared" si="60"/>
        <v>2024-10</v>
      </c>
      <c r="O1023" s="3" t="str">
        <f t="shared" si="61"/>
        <v>1-10%</v>
      </c>
      <c r="P1023" s="9">
        <f t="shared" si="62"/>
        <v>0.43035287281828943</v>
      </c>
      <c r="Q1023" s="3" t="str">
        <f t="shared" si="63"/>
        <v>No</v>
      </c>
    </row>
    <row r="1024" spans="1:17" ht="21" customHeight="1">
      <c r="A1024" s="3" t="s">
        <v>1643</v>
      </c>
      <c r="B1024" s="5">
        <v>45576</v>
      </c>
      <c r="C1024" s="3" t="s">
        <v>471</v>
      </c>
      <c r="D1024" s="3" t="s">
        <v>47</v>
      </c>
      <c r="E1024" s="3" t="s">
        <v>41</v>
      </c>
      <c r="F1024" s="3" t="s">
        <v>113</v>
      </c>
      <c r="G1024" s="3" t="s">
        <v>114</v>
      </c>
      <c r="H1024" s="3">
        <v>1</v>
      </c>
      <c r="I1024" s="7">
        <v>12035.82</v>
      </c>
      <c r="J1024" s="9">
        <v>0.1</v>
      </c>
      <c r="K1024" s="7">
        <v>10832.24</v>
      </c>
      <c r="L1024" s="7">
        <v>3202.69</v>
      </c>
      <c r="M1024" s="3" t="s">
        <v>60</v>
      </c>
      <c r="N1024" s="3" t="str">
        <f t="shared" si="60"/>
        <v>2024-10</v>
      </c>
      <c r="O1024" s="3" t="str">
        <f t="shared" si="61"/>
        <v>1-10%</v>
      </c>
      <c r="P1024" s="9">
        <f t="shared" si="62"/>
        <v>0.29566276227262323</v>
      </c>
      <c r="Q1024" s="3" t="str">
        <f t="shared" si="63"/>
        <v>No</v>
      </c>
    </row>
    <row r="1025" spans="1:17" ht="21" customHeight="1">
      <c r="A1025" s="3" t="s">
        <v>1644</v>
      </c>
      <c r="B1025" s="5">
        <v>45576</v>
      </c>
      <c r="C1025" s="3" t="s">
        <v>1645</v>
      </c>
      <c r="D1025" s="3" t="s">
        <v>44</v>
      </c>
      <c r="E1025" s="3" t="s">
        <v>39</v>
      </c>
      <c r="F1025" s="3" t="s">
        <v>164</v>
      </c>
      <c r="G1025" s="3" t="s">
        <v>200</v>
      </c>
      <c r="H1025" s="3">
        <v>1</v>
      </c>
      <c r="I1025" s="7">
        <v>1255.1500000000001</v>
      </c>
      <c r="J1025" s="9">
        <v>0.1</v>
      </c>
      <c r="K1025" s="7">
        <v>1129.6400000000001</v>
      </c>
      <c r="L1025" s="7">
        <v>389.67</v>
      </c>
      <c r="M1025" s="3" t="s">
        <v>59</v>
      </c>
      <c r="N1025" s="3" t="str">
        <f t="shared" si="60"/>
        <v>2024-10</v>
      </c>
      <c r="O1025" s="3" t="str">
        <f t="shared" si="61"/>
        <v>1-10%</v>
      </c>
      <c r="P1025" s="9">
        <f t="shared" si="62"/>
        <v>0.34495060373216246</v>
      </c>
      <c r="Q1025" s="3" t="str">
        <f t="shared" si="63"/>
        <v>No</v>
      </c>
    </row>
    <row r="1026" spans="1:17" ht="21" customHeight="1">
      <c r="A1026" s="3" t="s">
        <v>1646</v>
      </c>
      <c r="B1026" s="5">
        <v>45576</v>
      </c>
      <c r="C1026" s="3" t="s">
        <v>1394</v>
      </c>
      <c r="D1026" s="3" t="s">
        <v>45</v>
      </c>
      <c r="E1026" s="3" t="s">
        <v>38</v>
      </c>
      <c r="F1026" s="3" t="s">
        <v>98</v>
      </c>
      <c r="G1026" s="3" t="s">
        <v>99</v>
      </c>
      <c r="H1026" s="3">
        <v>3</v>
      </c>
      <c r="I1026" s="7">
        <v>23870.32</v>
      </c>
      <c r="J1026" s="9">
        <v>0.05</v>
      </c>
      <c r="K1026" s="7">
        <v>68030.41</v>
      </c>
      <c r="L1026" s="7">
        <v>8940.36</v>
      </c>
      <c r="M1026" s="3" t="s">
        <v>56</v>
      </c>
      <c r="N1026" s="3" t="str">
        <f t="shared" ref="N1026:N1089" si="64">TEXT(B1026,"yyyy-mm")</f>
        <v>2024-10</v>
      </c>
      <c r="O1026" s="3" t="str">
        <f t="shared" ref="O1026:O1089" si="65">IF(J1026=0,"No discount",IF(J1026&lt;=0.1,"1-10%",IF(J1026&lt;=0.15,"11-15%",IF(J1026&lt;=0.2,"16-20%","21%+"))))</f>
        <v>1-10%</v>
      </c>
      <c r="P1026" s="9">
        <f t="shared" ref="P1026:P1089" si="66">IF(K1026=0,0,L1026/K1026)</f>
        <v>0.13141711184748114</v>
      </c>
      <c r="Q1026" s="3" t="str">
        <f t="shared" ref="Q1026:Q1089" si="67">IF(L1026&lt;0,"Yes","No")</f>
        <v>No</v>
      </c>
    </row>
    <row r="1027" spans="1:17" ht="21" customHeight="1">
      <c r="A1027" s="3" t="s">
        <v>1647</v>
      </c>
      <c r="B1027" s="5">
        <v>45577</v>
      </c>
      <c r="C1027" s="3" t="s">
        <v>295</v>
      </c>
      <c r="D1027" s="3" t="s">
        <v>46</v>
      </c>
      <c r="E1027" s="3" t="s">
        <v>41</v>
      </c>
      <c r="F1027" s="3" t="s">
        <v>119</v>
      </c>
      <c r="G1027" s="3" t="s">
        <v>120</v>
      </c>
      <c r="H1027" s="3">
        <v>2</v>
      </c>
      <c r="I1027" s="7">
        <v>1327.48</v>
      </c>
      <c r="J1027" s="9">
        <v>0.05</v>
      </c>
      <c r="K1027" s="7">
        <v>2522.21</v>
      </c>
      <c r="L1027" s="7">
        <v>780.99</v>
      </c>
      <c r="M1027" s="3" t="s">
        <v>58</v>
      </c>
      <c r="N1027" s="3" t="str">
        <f t="shared" si="64"/>
        <v>2024-10</v>
      </c>
      <c r="O1027" s="3" t="str">
        <f t="shared" si="65"/>
        <v>1-10%</v>
      </c>
      <c r="P1027" s="9">
        <f t="shared" si="66"/>
        <v>0.30964511281772733</v>
      </c>
      <c r="Q1027" s="3" t="str">
        <f t="shared" si="67"/>
        <v>No</v>
      </c>
    </row>
    <row r="1028" spans="1:17" ht="21" customHeight="1">
      <c r="A1028" s="3" t="s">
        <v>1648</v>
      </c>
      <c r="B1028" s="5">
        <v>45577</v>
      </c>
      <c r="C1028" s="3" t="s">
        <v>1649</v>
      </c>
      <c r="D1028" s="3" t="s">
        <v>47</v>
      </c>
      <c r="E1028" s="3" t="s">
        <v>39</v>
      </c>
      <c r="F1028" s="3" t="s">
        <v>164</v>
      </c>
      <c r="G1028" s="3" t="s">
        <v>200</v>
      </c>
      <c r="H1028" s="3">
        <v>1</v>
      </c>
      <c r="I1028" s="7">
        <v>1349.06</v>
      </c>
      <c r="J1028" s="9">
        <v>0.05</v>
      </c>
      <c r="K1028" s="7">
        <v>1281.6099999999999</v>
      </c>
      <c r="L1028" s="7">
        <v>442.9</v>
      </c>
      <c r="M1028" s="3" t="s">
        <v>60</v>
      </c>
      <c r="N1028" s="3" t="str">
        <f t="shared" si="64"/>
        <v>2024-10</v>
      </c>
      <c r="O1028" s="3" t="str">
        <f t="shared" si="65"/>
        <v>1-10%</v>
      </c>
      <c r="P1028" s="9">
        <f t="shared" si="66"/>
        <v>0.34558094896263297</v>
      </c>
      <c r="Q1028" s="3" t="str">
        <f t="shared" si="67"/>
        <v>No</v>
      </c>
    </row>
    <row r="1029" spans="1:17" ht="21" customHeight="1">
      <c r="A1029" s="3" t="s">
        <v>1650</v>
      </c>
      <c r="B1029" s="5">
        <v>45577</v>
      </c>
      <c r="C1029" s="3" t="s">
        <v>609</v>
      </c>
      <c r="D1029" s="3" t="s">
        <v>47</v>
      </c>
      <c r="E1029" s="3" t="s">
        <v>41</v>
      </c>
      <c r="F1029" s="3" t="s">
        <v>119</v>
      </c>
      <c r="G1029" s="3" t="s">
        <v>120</v>
      </c>
      <c r="H1029" s="3">
        <v>1</v>
      </c>
      <c r="I1029" s="7">
        <v>1251.23</v>
      </c>
      <c r="J1029" s="9">
        <v>0</v>
      </c>
      <c r="K1029" s="7">
        <v>1251.23</v>
      </c>
      <c r="L1029" s="7">
        <v>511.67</v>
      </c>
      <c r="M1029" s="3" t="s">
        <v>57</v>
      </c>
      <c r="N1029" s="3" t="str">
        <f t="shared" si="64"/>
        <v>2024-10</v>
      </c>
      <c r="O1029" s="3" t="str">
        <f t="shared" si="65"/>
        <v>No discount</v>
      </c>
      <c r="P1029" s="9">
        <f t="shared" si="66"/>
        <v>0.40893360932842082</v>
      </c>
      <c r="Q1029" s="3" t="str">
        <f t="shared" si="67"/>
        <v>No</v>
      </c>
    </row>
    <row r="1030" spans="1:17" ht="21" customHeight="1">
      <c r="A1030" s="3" t="s">
        <v>1651</v>
      </c>
      <c r="B1030" s="5">
        <v>45578</v>
      </c>
      <c r="C1030" s="3" t="s">
        <v>1193</v>
      </c>
      <c r="D1030" s="3" t="s">
        <v>44</v>
      </c>
      <c r="E1030" s="3" t="s">
        <v>40</v>
      </c>
      <c r="F1030" s="3" t="s">
        <v>221</v>
      </c>
      <c r="G1030" s="3" t="s">
        <v>222</v>
      </c>
      <c r="H1030" s="3">
        <v>1</v>
      </c>
      <c r="I1030" s="7">
        <v>1005.18</v>
      </c>
      <c r="J1030" s="9">
        <v>0</v>
      </c>
      <c r="K1030" s="7">
        <v>1005.18</v>
      </c>
      <c r="L1030" s="7">
        <v>320.64999999999998</v>
      </c>
      <c r="M1030" s="3" t="s">
        <v>56</v>
      </c>
      <c r="N1030" s="3" t="str">
        <f t="shared" si="64"/>
        <v>2024-10</v>
      </c>
      <c r="O1030" s="3" t="str">
        <f t="shared" si="65"/>
        <v>No discount</v>
      </c>
      <c r="P1030" s="9">
        <f t="shared" si="66"/>
        <v>0.31899759247100024</v>
      </c>
      <c r="Q1030" s="3" t="str">
        <f t="shared" si="67"/>
        <v>No</v>
      </c>
    </row>
    <row r="1031" spans="1:17" ht="21" customHeight="1">
      <c r="A1031" s="3" t="s">
        <v>1652</v>
      </c>
      <c r="B1031" s="5">
        <v>45578</v>
      </c>
      <c r="C1031" s="3" t="s">
        <v>391</v>
      </c>
      <c r="D1031" s="3" t="s">
        <v>45</v>
      </c>
      <c r="E1031" s="3" t="s">
        <v>39</v>
      </c>
      <c r="F1031" s="3" t="s">
        <v>130</v>
      </c>
      <c r="G1031" s="3" t="s">
        <v>131</v>
      </c>
      <c r="H1031" s="3">
        <v>4</v>
      </c>
      <c r="I1031" s="7">
        <v>2129.4899999999998</v>
      </c>
      <c r="J1031" s="9">
        <v>0.05</v>
      </c>
      <c r="K1031" s="7">
        <v>8092.06</v>
      </c>
      <c r="L1031" s="7">
        <v>2884.14</v>
      </c>
      <c r="M1031" s="3" t="s">
        <v>58</v>
      </c>
      <c r="N1031" s="3" t="str">
        <f t="shared" si="64"/>
        <v>2024-10</v>
      </c>
      <c r="O1031" s="3" t="str">
        <f t="shared" si="65"/>
        <v>1-10%</v>
      </c>
      <c r="P1031" s="9">
        <f t="shared" si="66"/>
        <v>0.35641604239217206</v>
      </c>
      <c r="Q1031" s="3" t="str">
        <f t="shared" si="67"/>
        <v>No</v>
      </c>
    </row>
    <row r="1032" spans="1:17" ht="21" customHeight="1">
      <c r="A1032" s="3" t="s">
        <v>1653</v>
      </c>
      <c r="B1032" s="5">
        <v>45578</v>
      </c>
      <c r="C1032" s="3" t="s">
        <v>210</v>
      </c>
      <c r="D1032" s="3" t="s">
        <v>44</v>
      </c>
      <c r="E1032" s="3" t="s">
        <v>38</v>
      </c>
      <c r="F1032" s="3" t="s">
        <v>94</v>
      </c>
      <c r="G1032" s="3" t="s">
        <v>95</v>
      </c>
      <c r="H1032" s="3">
        <v>1</v>
      </c>
      <c r="I1032" s="7">
        <v>82917.31</v>
      </c>
      <c r="J1032" s="9">
        <v>0.05</v>
      </c>
      <c r="K1032" s="7">
        <v>78771.44</v>
      </c>
      <c r="L1032" s="7">
        <v>12665.43</v>
      </c>
      <c r="M1032" s="3" t="s">
        <v>56</v>
      </c>
      <c r="N1032" s="3" t="str">
        <f t="shared" si="64"/>
        <v>2024-10</v>
      </c>
      <c r="O1032" s="3" t="str">
        <f t="shared" si="65"/>
        <v>1-10%</v>
      </c>
      <c r="P1032" s="9">
        <f t="shared" si="66"/>
        <v>0.16078708222167831</v>
      </c>
      <c r="Q1032" s="3" t="str">
        <f t="shared" si="67"/>
        <v>No</v>
      </c>
    </row>
    <row r="1033" spans="1:17" ht="21" customHeight="1">
      <c r="A1033" s="3" t="s">
        <v>1654</v>
      </c>
      <c r="B1033" s="5">
        <v>45578</v>
      </c>
      <c r="C1033" s="3" t="s">
        <v>718</v>
      </c>
      <c r="D1033" s="3" t="s">
        <v>45</v>
      </c>
      <c r="E1033" s="3" t="s">
        <v>42</v>
      </c>
      <c r="F1033" s="3" t="s">
        <v>126</v>
      </c>
      <c r="G1033" s="3" t="s">
        <v>127</v>
      </c>
      <c r="H1033" s="3">
        <v>5</v>
      </c>
      <c r="I1033" s="7">
        <v>1019.47</v>
      </c>
      <c r="J1033" s="9">
        <v>0.1</v>
      </c>
      <c r="K1033" s="7">
        <v>4587.62</v>
      </c>
      <c r="L1033" s="7">
        <v>1853.64</v>
      </c>
      <c r="M1033" s="3" t="s">
        <v>57</v>
      </c>
      <c r="N1033" s="3" t="str">
        <f t="shared" si="64"/>
        <v>2024-10</v>
      </c>
      <c r="O1033" s="3" t="str">
        <f t="shared" si="65"/>
        <v>1-10%</v>
      </c>
      <c r="P1033" s="9">
        <f t="shared" si="66"/>
        <v>0.40405264603432722</v>
      </c>
      <c r="Q1033" s="3" t="str">
        <f t="shared" si="67"/>
        <v>No</v>
      </c>
    </row>
    <row r="1034" spans="1:17" ht="21" customHeight="1">
      <c r="A1034" s="3" t="s">
        <v>1655</v>
      </c>
      <c r="B1034" s="5">
        <v>45578</v>
      </c>
      <c r="C1034" s="3" t="s">
        <v>357</v>
      </c>
      <c r="D1034" s="3" t="s">
        <v>47</v>
      </c>
      <c r="E1034" s="3" t="s">
        <v>41</v>
      </c>
      <c r="F1034" s="3" t="s">
        <v>119</v>
      </c>
      <c r="G1034" s="3" t="s">
        <v>120</v>
      </c>
      <c r="H1034" s="3">
        <v>1</v>
      </c>
      <c r="I1034" s="7">
        <v>1265.49</v>
      </c>
      <c r="J1034" s="9">
        <v>0.05</v>
      </c>
      <c r="K1034" s="7">
        <v>1202.22</v>
      </c>
      <c r="L1034" s="7">
        <v>398.26</v>
      </c>
      <c r="M1034" s="3" t="s">
        <v>59</v>
      </c>
      <c r="N1034" s="3" t="str">
        <f t="shared" si="64"/>
        <v>2024-10</v>
      </c>
      <c r="O1034" s="3" t="str">
        <f t="shared" si="65"/>
        <v>1-10%</v>
      </c>
      <c r="P1034" s="9">
        <f t="shared" si="66"/>
        <v>0.33127048293989453</v>
      </c>
      <c r="Q1034" s="3" t="str">
        <f t="shared" si="67"/>
        <v>No</v>
      </c>
    </row>
    <row r="1035" spans="1:17" ht="21" customHeight="1">
      <c r="A1035" s="3" t="s">
        <v>1656</v>
      </c>
      <c r="B1035" s="5">
        <v>45578</v>
      </c>
      <c r="C1035" s="3" t="s">
        <v>1044</v>
      </c>
      <c r="D1035" s="3" t="s">
        <v>44</v>
      </c>
      <c r="E1035" s="3" t="s">
        <v>39</v>
      </c>
      <c r="F1035" s="3" t="s">
        <v>109</v>
      </c>
      <c r="G1035" s="3" t="s">
        <v>110</v>
      </c>
      <c r="H1035" s="3">
        <v>3</v>
      </c>
      <c r="I1035" s="7">
        <v>3041.61</v>
      </c>
      <c r="J1035" s="9">
        <v>0.25</v>
      </c>
      <c r="K1035" s="7">
        <v>6843.62</v>
      </c>
      <c r="L1035" s="7">
        <v>976.3</v>
      </c>
      <c r="M1035" s="3" t="s">
        <v>56</v>
      </c>
      <c r="N1035" s="3" t="str">
        <f t="shared" si="64"/>
        <v>2024-10</v>
      </c>
      <c r="O1035" s="3" t="str">
        <f t="shared" si="65"/>
        <v>21%+</v>
      </c>
      <c r="P1035" s="9">
        <f t="shared" si="66"/>
        <v>0.14265841762108358</v>
      </c>
      <c r="Q1035" s="3" t="str">
        <f t="shared" si="67"/>
        <v>No</v>
      </c>
    </row>
    <row r="1036" spans="1:17" ht="21" customHeight="1">
      <c r="A1036" s="3" t="s">
        <v>1657</v>
      </c>
      <c r="B1036" s="5">
        <v>45578</v>
      </c>
      <c r="C1036" s="3" t="s">
        <v>1094</v>
      </c>
      <c r="D1036" s="3" t="s">
        <v>46</v>
      </c>
      <c r="E1036" s="3" t="s">
        <v>42</v>
      </c>
      <c r="F1036" s="3" t="s">
        <v>126</v>
      </c>
      <c r="G1036" s="3" t="s">
        <v>151</v>
      </c>
      <c r="H1036" s="3">
        <v>1</v>
      </c>
      <c r="I1036" s="7">
        <v>1553.35</v>
      </c>
      <c r="J1036" s="9">
        <v>0</v>
      </c>
      <c r="K1036" s="7">
        <v>1553.35</v>
      </c>
      <c r="L1036" s="7">
        <v>809.38</v>
      </c>
      <c r="M1036" s="3" t="s">
        <v>57</v>
      </c>
      <c r="N1036" s="3" t="str">
        <f t="shared" si="64"/>
        <v>2024-10</v>
      </c>
      <c r="O1036" s="3" t="str">
        <f t="shared" si="65"/>
        <v>No discount</v>
      </c>
      <c r="P1036" s="9">
        <f t="shared" si="66"/>
        <v>0.52105449512344293</v>
      </c>
      <c r="Q1036" s="3" t="str">
        <f t="shared" si="67"/>
        <v>No</v>
      </c>
    </row>
    <row r="1037" spans="1:17" ht="21" customHeight="1">
      <c r="A1037" s="3" t="s">
        <v>1658</v>
      </c>
      <c r="B1037" s="5">
        <v>45578</v>
      </c>
      <c r="C1037" s="3" t="s">
        <v>563</v>
      </c>
      <c r="D1037" s="3" t="s">
        <v>45</v>
      </c>
      <c r="E1037" s="3" t="s">
        <v>41</v>
      </c>
      <c r="F1037" s="3" t="s">
        <v>119</v>
      </c>
      <c r="G1037" s="3" t="s">
        <v>168</v>
      </c>
      <c r="H1037" s="3">
        <v>1</v>
      </c>
      <c r="I1037" s="7">
        <v>9524</v>
      </c>
      <c r="J1037" s="9">
        <v>0</v>
      </c>
      <c r="K1037" s="7">
        <v>9524</v>
      </c>
      <c r="L1037" s="7">
        <v>3865.7</v>
      </c>
      <c r="M1037" s="3" t="s">
        <v>59</v>
      </c>
      <c r="N1037" s="3" t="str">
        <f t="shared" si="64"/>
        <v>2024-10</v>
      </c>
      <c r="O1037" s="3" t="str">
        <f t="shared" si="65"/>
        <v>No discount</v>
      </c>
      <c r="P1037" s="9">
        <f t="shared" si="66"/>
        <v>0.40589038219235613</v>
      </c>
      <c r="Q1037" s="3" t="str">
        <f t="shared" si="67"/>
        <v>No</v>
      </c>
    </row>
    <row r="1038" spans="1:17" ht="21" customHeight="1">
      <c r="A1038" s="3" t="s">
        <v>1659</v>
      </c>
      <c r="B1038" s="5">
        <v>45578</v>
      </c>
      <c r="C1038" s="3" t="s">
        <v>1301</v>
      </c>
      <c r="D1038" s="3" t="s">
        <v>46</v>
      </c>
      <c r="E1038" s="3" t="s">
        <v>39</v>
      </c>
      <c r="F1038" s="3" t="s">
        <v>164</v>
      </c>
      <c r="G1038" s="3" t="s">
        <v>165</v>
      </c>
      <c r="H1038" s="3">
        <v>1</v>
      </c>
      <c r="I1038" s="7">
        <v>1905.27</v>
      </c>
      <c r="J1038" s="9">
        <v>0.2</v>
      </c>
      <c r="K1038" s="7">
        <v>1524.22</v>
      </c>
      <c r="L1038" s="7">
        <v>307.02</v>
      </c>
      <c r="M1038" s="3" t="s">
        <v>56</v>
      </c>
      <c r="N1038" s="3" t="str">
        <f t="shared" si="64"/>
        <v>2024-10</v>
      </c>
      <c r="O1038" s="3" t="str">
        <f t="shared" si="65"/>
        <v>16-20%</v>
      </c>
      <c r="P1038" s="9">
        <f t="shared" si="66"/>
        <v>0.20142761543609189</v>
      </c>
      <c r="Q1038" s="3" t="str">
        <f t="shared" si="67"/>
        <v>No</v>
      </c>
    </row>
    <row r="1039" spans="1:17" ht="21" customHeight="1">
      <c r="A1039" s="3" t="s">
        <v>1660</v>
      </c>
      <c r="B1039" s="5">
        <v>45579</v>
      </c>
      <c r="C1039" s="3" t="s">
        <v>509</v>
      </c>
      <c r="D1039" s="3" t="s">
        <v>44</v>
      </c>
      <c r="E1039" s="3" t="s">
        <v>41</v>
      </c>
      <c r="F1039" s="3" t="s">
        <v>119</v>
      </c>
      <c r="G1039" s="3" t="s">
        <v>120</v>
      </c>
      <c r="H1039" s="3">
        <v>1</v>
      </c>
      <c r="I1039" s="7">
        <v>1252.47</v>
      </c>
      <c r="J1039" s="9">
        <v>0.1</v>
      </c>
      <c r="K1039" s="7">
        <v>1127.22</v>
      </c>
      <c r="L1039" s="7">
        <v>264.16000000000003</v>
      </c>
      <c r="M1039" s="3" t="s">
        <v>56</v>
      </c>
      <c r="N1039" s="3" t="str">
        <f t="shared" si="64"/>
        <v>2024-10</v>
      </c>
      <c r="O1039" s="3" t="str">
        <f t="shared" si="65"/>
        <v>1-10%</v>
      </c>
      <c r="P1039" s="9">
        <f t="shared" si="66"/>
        <v>0.23434644523695464</v>
      </c>
      <c r="Q1039" s="3" t="str">
        <f t="shared" si="67"/>
        <v>No</v>
      </c>
    </row>
    <row r="1040" spans="1:17" ht="21" customHeight="1">
      <c r="A1040" s="3" t="s">
        <v>1661</v>
      </c>
      <c r="B1040" s="5">
        <v>45579</v>
      </c>
      <c r="C1040" s="3" t="s">
        <v>1619</v>
      </c>
      <c r="D1040" s="3" t="s">
        <v>45</v>
      </c>
      <c r="E1040" s="3" t="s">
        <v>39</v>
      </c>
      <c r="F1040" s="3" t="s">
        <v>164</v>
      </c>
      <c r="G1040" s="3" t="s">
        <v>165</v>
      </c>
      <c r="H1040" s="3">
        <v>1</v>
      </c>
      <c r="I1040" s="7">
        <v>2022.65</v>
      </c>
      <c r="J1040" s="9">
        <v>0.1</v>
      </c>
      <c r="K1040" s="7">
        <v>1820.39</v>
      </c>
      <c r="L1040" s="7">
        <v>505.45</v>
      </c>
      <c r="M1040" s="3" t="s">
        <v>57</v>
      </c>
      <c r="N1040" s="3" t="str">
        <f t="shared" si="64"/>
        <v>2024-10</v>
      </c>
      <c r="O1040" s="3" t="str">
        <f t="shared" si="65"/>
        <v>1-10%</v>
      </c>
      <c r="P1040" s="9">
        <f t="shared" si="66"/>
        <v>0.27766028158801132</v>
      </c>
      <c r="Q1040" s="3" t="str">
        <f t="shared" si="67"/>
        <v>No</v>
      </c>
    </row>
    <row r="1041" spans="1:17" ht="21" customHeight="1">
      <c r="A1041" s="3" t="s">
        <v>1662</v>
      </c>
      <c r="B1041" s="5">
        <v>45579</v>
      </c>
      <c r="C1041" s="3" t="s">
        <v>1663</v>
      </c>
      <c r="D1041" s="3" t="s">
        <v>46</v>
      </c>
      <c r="E1041" s="3" t="s">
        <v>41</v>
      </c>
      <c r="F1041" s="3" t="s">
        <v>119</v>
      </c>
      <c r="G1041" s="3" t="s">
        <v>120</v>
      </c>
      <c r="H1041" s="3">
        <v>1</v>
      </c>
      <c r="I1041" s="7">
        <v>1287.6199999999999</v>
      </c>
      <c r="J1041" s="9">
        <v>0.2</v>
      </c>
      <c r="K1041" s="7">
        <v>1030.0999999999999</v>
      </c>
      <c r="L1041" s="7">
        <v>193.49</v>
      </c>
      <c r="M1041" s="3" t="s">
        <v>56</v>
      </c>
      <c r="N1041" s="3" t="str">
        <f t="shared" si="64"/>
        <v>2024-10</v>
      </c>
      <c r="O1041" s="3" t="str">
        <f t="shared" si="65"/>
        <v>16-20%</v>
      </c>
      <c r="P1041" s="9">
        <f t="shared" si="66"/>
        <v>0.18783613241432873</v>
      </c>
      <c r="Q1041" s="3" t="str">
        <f t="shared" si="67"/>
        <v>No</v>
      </c>
    </row>
    <row r="1042" spans="1:17" ht="21" customHeight="1">
      <c r="A1042" s="3" t="s">
        <v>1664</v>
      </c>
      <c r="B1042" s="5">
        <v>45579</v>
      </c>
      <c r="C1042" s="3" t="s">
        <v>944</v>
      </c>
      <c r="D1042" s="3" t="s">
        <v>44</v>
      </c>
      <c r="E1042" s="3" t="s">
        <v>41</v>
      </c>
      <c r="F1042" s="3" t="s">
        <v>113</v>
      </c>
      <c r="G1042" s="3" t="s">
        <v>123</v>
      </c>
      <c r="H1042" s="3">
        <v>3</v>
      </c>
      <c r="I1042" s="7">
        <v>3429.09</v>
      </c>
      <c r="J1042" s="9">
        <v>0</v>
      </c>
      <c r="K1042" s="7">
        <v>10287.27</v>
      </c>
      <c r="L1042" s="7">
        <v>4291.09</v>
      </c>
      <c r="M1042" s="3" t="s">
        <v>56</v>
      </c>
      <c r="N1042" s="3" t="str">
        <f t="shared" si="64"/>
        <v>2024-10</v>
      </c>
      <c r="O1042" s="3" t="str">
        <f t="shared" si="65"/>
        <v>No discount</v>
      </c>
      <c r="P1042" s="9">
        <f t="shared" si="66"/>
        <v>0.41712621521550419</v>
      </c>
      <c r="Q1042" s="3" t="str">
        <f t="shared" si="67"/>
        <v>No</v>
      </c>
    </row>
    <row r="1043" spans="1:17" ht="21" customHeight="1">
      <c r="A1043" s="3" t="s">
        <v>1665</v>
      </c>
      <c r="B1043" s="5">
        <v>45579</v>
      </c>
      <c r="C1043" s="3" t="s">
        <v>932</v>
      </c>
      <c r="D1043" s="3" t="s">
        <v>44</v>
      </c>
      <c r="E1043" s="3" t="s">
        <v>41</v>
      </c>
      <c r="F1043" s="3" t="s">
        <v>113</v>
      </c>
      <c r="G1043" s="3" t="s">
        <v>123</v>
      </c>
      <c r="H1043" s="3">
        <v>1</v>
      </c>
      <c r="I1043" s="7">
        <v>3452.94</v>
      </c>
      <c r="J1043" s="9">
        <v>0</v>
      </c>
      <c r="K1043" s="7">
        <v>3452.94</v>
      </c>
      <c r="L1043" s="7">
        <v>1325.65</v>
      </c>
      <c r="M1043" s="3" t="s">
        <v>60</v>
      </c>
      <c r="N1043" s="3" t="str">
        <f t="shared" si="64"/>
        <v>2024-10</v>
      </c>
      <c r="O1043" s="3" t="str">
        <f t="shared" si="65"/>
        <v>No discount</v>
      </c>
      <c r="P1043" s="9">
        <f t="shared" si="66"/>
        <v>0.38391921087537001</v>
      </c>
      <c r="Q1043" s="3" t="str">
        <f t="shared" si="67"/>
        <v>No</v>
      </c>
    </row>
    <row r="1044" spans="1:17" ht="21" customHeight="1">
      <c r="A1044" s="3" t="s">
        <v>1666</v>
      </c>
      <c r="B1044" s="5">
        <v>45579</v>
      </c>
      <c r="C1044" s="3" t="s">
        <v>970</v>
      </c>
      <c r="D1044" s="3" t="s">
        <v>45</v>
      </c>
      <c r="E1044" s="3" t="s">
        <v>42</v>
      </c>
      <c r="F1044" s="3" t="s">
        <v>90</v>
      </c>
      <c r="G1044" s="3" t="s">
        <v>106</v>
      </c>
      <c r="H1044" s="3">
        <v>1</v>
      </c>
      <c r="I1044" s="7">
        <v>917.77</v>
      </c>
      <c r="J1044" s="9">
        <v>0</v>
      </c>
      <c r="K1044" s="7">
        <v>917.77</v>
      </c>
      <c r="L1044" s="7">
        <v>515.64</v>
      </c>
      <c r="M1044" s="3" t="s">
        <v>56</v>
      </c>
      <c r="N1044" s="3" t="str">
        <f t="shared" si="64"/>
        <v>2024-10</v>
      </c>
      <c r="O1044" s="3" t="str">
        <f t="shared" si="65"/>
        <v>No discount</v>
      </c>
      <c r="P1044" s="9">
        <f t="shared" si="66"/>
        <v>0.56184011244647347</v>
      </c>
      <c r="Q1044" s="3" t="str">
        <f t="shared" si="67"/>
        <v>No</v>
      </c>
    </row>
    <row r="1045" spans="1:17" ht="21" customHeight="1">
      <c r="A1045" s="3" t="s">
        <v>1667</v>
      </c>
      <c r="B1045" s="5">
        <v>45580</v>
      </c>
      <c r="C1045" s="3" t="s">
        <v>257</v>
      </c>
      <c r="D1045" s="3" t="s">
        <v>45</v>
      </c>
      <c r="E1045" s="3" t="s">
        <v>41</v>
      </c>
      <c r="F1045" s="3" t="s">
        <v>119</v>
      </c>
      <c r="G1045" s="3" t="s">
        <v>120</v>
      </c>
      <c r="H1045" s="3">
        <v>3</v>
      </c>
      <c r="I1045" s="7">
        <v>1287.83</v>
      </c>
      <c r="J1045" s="9">
        <v>0.4</v>
      </c>
      <c r="K1045" s="7">
        <v>2318.09</v>
      </c>
      <c r="L1045" s="7">
        <v>-216.27</v>
      </c>
      <c r="M1045" s="3" t="s">
        <v>57</v>
      </c>
      <c r="N1045" s="3" t="str">
        <f t="shared" si="64"/>
        <v>2024-10</v>
      </c>
      <c r="O1045" s="3" t="str">
        <f t="shared" si="65"/>
        <v>21%+</v>
      </c>
      <c r="P1045" s="9">
        <f t="shared" si="66"/>
        <v>-9.329663645501253E-2</v>
      </c>
      <c r="Q1045" s="3" t="str">
        <f t="shared" si="67"/>
        <v>Yes</v>
      </c>
    </row>
    <row r="1046" spans="1:17" ht="21" customHeight="1">
      <c r="A1046" s="3" t="s">
        <v>1668</v>
      </c>
      <c r="B1046" s="5">
        <v>45580</v>
      </c>
      <c r="C1046" s="3" t="s">
        <v>454</v>
      </c>
      <c r="D1046" s="3" t="s">
        <v>45</v>
      </c>
      <c r="E1046" s="3" t="s">
        <v>39</v>
      </c>
      <c r="F1046" s="3" t="s">
        <v>164</v>
      </c>
      <c r="G1046" s="3" t="s">
        <v>200</v>
      </c>
      <c r="H1046" s="3">
        <v>2</v>
      </c>
      <c r="I1046" s="7">
        <v>1310.03</v>
      </c>
      <c r="J1046" s="9">
        <v>0.15</v>
      </c>
      <c r="K1046" s="7">
        <v>2227.0500000000002</v>
      </c>
      <c r="L1046" s="7">
        <v>584.71</v>
      </c>
      <c r="M1046" s="3" t="s">
        <v>58</v>
      </c>
      <c r="N1046" s="3" t="str">
        <f t="shared" si="64"/>
        <v>2024-10</v>
      </c>
      <c r="O1046" s="3" t="str">
        <f t="shared" si="65"/>
        <v>11-15%</v>
      </c>
      <c r="P1046" s="9">
        <f t="shared" si="66"/>
        <v>0.26254911205406256</v>
      </c>
      <c r="Q1046" s="3" t="str">
        <f t="shared" si="67"/>
        <v>No</v>
      </c>
    </row>
    <row r="1047" spans="1:17" ht="21" customHeight="1">
      <c r="A1047" s="3" t="s">
        <v>1669</v>
      </c>
      <c r="B1047" s="5">
        <v>45580</v>
      </c>
      <c r="C1047" s="3" t="s">
        <v>118</v>
      </c>
      <c r="D1047" s="3" t="s">
        <v>44</v>
      </c>
      <c r="E1047" s="3" t="s">
        <v>40</v>
      </c>
      <c r="F1047" s="3" t="s">
        <v>221</v>
      </c>
      <c r="G1047" s="3" t="s">
        <v>279</v>
      </c>
      <c r="H1047" s="3">
        <v>1</v>
      </c>
      <c r="I1047" s="7">
        <v>1548.95</v>
      </c>
      <c r="J1047" s="9">
        <v>0.1</v>
      </c>
      <c r="K1047" s="7">
        <v>1394.06</v>
      </c>
      <c r="L1047" s="7">
        <v>317.20999999999998</v>
      </c>
      <c r="M1047" s="3" t="s">
        <v>57</v>
      </c>
      <c r="N1047" s="3" t="str">
        <f t="shared" si="64"/>
        <v>2024-10</v>
      </c>
      <c r="O1047" s="3" t="str">
        <f t="shared" si="65"/>
        <v>1-10%</v>
      </c>
      <c r="P1047" s="9">
        <f t="shared" si="66"/>
        <v>0.22754400814886017</v>
      </c>
      <c r="Q1047" s="3" t="str">
        <f t="shared" si="67"/>
        <v>No</v>
      </c>
    </row>
    <row r="1048" spans="1:17" ht="21" customHeight="1">
      <c r="A1048" s="3" t="s">
        <v>1670</v>
      </c>
      <c r="B1048" s="5">
        <v>45581</v>
      </c>
      <c r="C1048" s="3" t="s">
        <v>715</v>
      </c>
      <c r="D1048" s="3" t="s">
        <v>46</v>
      </c>
      <c r="E1048" s="3" t="s">
        <v>38</v>
      </c>
      <c r="F1048" s="3" t="s">
        <v>142</v>
      </c>
      <c r="G1048" s="3" t="s">
        <v>245</v>
      </c>
      <c r="H1048" s="3">
        <v>1</v>
      </c>
      <c r="I1048" s="7">
        <v>5244.44</v>
      </c>
      <c r="J1048" s="9">
        <v>0.15</v>
      </c>
      <c r="K1048" s="7">
        <v>4457.7700000000004</v>
      </c>
      <c r="L1048" s="7">
        <v>42.02</v>
      </c>
      <c r="M1048" s="3" t="s">
        <v>56</v>
      </c>
      <c r="N1048" s="3" t="str">
        <f t="shared" si="64"/>
        <v>2024-10</v>
      </c>
      <c r="O1048" s="3" t="str">
        <f t="shared" si="65"/>
        <v>11-15%</v>
      </c>
      <c r="P1048" s="9">
        <f t="shared" si="66"/>
        <v>9.4262377825684134E-3</v>
      </c>
      <c r="Q1048" s="3" t="str">
        <f t="shared" si="67"/>
        <v>No</v>
      </c>
    </row>
    <row r="1049" spans="1:17" ht="21" customHeight="1">
      <c r="A1049" s="3" t="s">
        <v>1671</v>
      </c>
      <c r="B1049" s="5">
        <v>45581</v>
      </c>
      <c r="C1049" s="3" t="s">
        <v>359</v>
      </c>
      <c r="D1049" s="3" t="s">
        <v>44</v>
      </c>
      <c r="E1049" s="3" t="s">
        <v>38</v>
      </c>
      <c r="F1049" s="3" t="s">
        <v>142</v>
      </c>
      <c r="G1049" s="3" t="s">
        <v>143</v>
      </c>
      <c r="H1049" s="3">
        <v>4</v>
      </c>
      <c r="I1049" s="7">
        <v>9182.3700000000008</v>
      </c>
      <c r="J1049" s="9">
        <v>0.1</v>
      </c>
      <c r="K1049" s="7">
        <v>33056.53</v>
      </c>
      <c r="L1049" s="7">
        <v>1875.32</v>
      </c>
      <c r="M1049" s="3" t="s">
        <v>56</v>
      </c>
      <c r="N1049" s="3" t="str">
        <f t="shared" si="64"/>
        <v>2024-10</v>
      </c>
      <c r="O1049" s="3" t="str">
        <f t="shared" si="65"/>
        <v>1-10%</v>
      </c>
      <c r="P1049" s="9">
        <f t="shared" si="66"/>
        <v>5.6730697384147703E-2</v>
      </c>
      <c r="Q1049" s="3" t="str">
        <f t="shared" si="67"/>
        <v>No</v>
      </c>
    </row>
    <row r="1050" spans="1:17" ht="21" customHeight="1">
      <c r="A1050" s="3" t="s">
        <v>1672</v>
      </c>
      <c r="B1050" s="5">
        <v>45581</v>
      </c>
      <c r="C1050" s="3" t="s">
        <v>974</v>
      </c>
      <c r="D1050" s="3" t="s">
        <v>44</v>
      </c>
      <c r="E1050" s="3" t="s">
        <v>40</v>
      </c>
      <c r="F1050" s="3" t="s">
        <v>221</v>
      </c>
      <c r="G1050" s="3" t="s">
        <v>279</v>
      </c>
      <c r="H1050" s="3">
        <v>2</v>
      </c>
      <c r="I1050" s="7">
        <v>1524.98</v>
      </c>
      <c r="J1050" s="9">
        <v>0</v>
      </c>
      <c r="K1050" s="7">
        <v>3049.96</v>
      </c>
      <c r="L1050" s="7">
        <v>897.34</v>
      </c>
      <c r="M1050" s="3" t="s">
        <v>57</v>
      </c>
      <c r="N1050" s="3" t="str">
        <f t="shared" si="64"/>
        <v>2024-10</v>
      </c>
      <c r="O1050" s="3" t="str">
        <f t="shared" si="65"/>
        <v>No discount</v>
      </c>
      <c r="P1050" s="9">
        <f t="shared" si="66"/>
        <v>0.29421369460583091</v>
      </c>
      <c r="Q1050" s="3" t="str">
        <f t="shared" si="67"/>
        <v>No</v>
      </c>
    </row>
    <row r="1051" spans="1:17" ht="21" customHeight="1">
      <c r="A1051" s="3" t="s">
        <v>1673</v>
      </c>
      <c r="B1051" s="5">
        <v>45581</v>
      </c>
      <c r="C1051" s="3" t="s">
        <v>1674</v>
      </c>
      <c r="D1051" s="3" t="s">
        <v>47</v>
      </c>
      <c r="E1051" s="3" t="s">
        <v>40</v>
      </c>
      <c r="F1051" s="3" t="s">
        <v>102</v>
      </c>
      <c r="G1051" s="3" t="s">
        <v>103</v>
      </c>
      <c r="H1051" s="3">
        <v>2</v>
      </c>
      <c r="I1051" s="7">
        <v>6823.58</v>
      </c>
      <c r="J1051" s="9">
        <v>0</v>
      </c>
      <c r="K1051" s="7">
        <v>13647.16</v>
      </c>
      <c r="L1051" s="7">
        <v>5012.8599999999997</v>
      </c>
      <c r="M1051" s="3" t="s">
        <v>57</v>
      </c>
      <c r="N1051" s="3" t="str">
        <f t="shared" si="64"/>
        <v>2024-10</v>
      </c>
      <c r="O1051" s="3" t="str">
        <f t="shared" si="65"/>
        <v>No discount</v>
      </c>
      <c r="P1051" s="9">
        <f t="shared" si="66"/>
        <v>0.36731891470459788</v>
      </c>
      <c r="Q1051" s="3" t="str">
        <f t="shared" si="67"/>
        <v>No</v>
      </c>
    </row>
    <row r="1052" spans="1:17" ht="21" customHeight="1">
      <c r="A1052" s="3" t="s">
        <v>1675</v>
      </c>
      <c r="B1052" s="5">
        <v>45581</v>
      </c>
      <c r="C1052" s="3" t="s">
        <v>846</v>
      </c>
      <c r="D1052" s="3" t="s">
        <v>45</v>
      </c>
      <c r="E1052" s="3" t="s">
        <v>40</v>
      </c>
      <c r="F1052" s="3" t="s">
        <v>160</v>
      </c>
      <c r="G1052" s="3" t="s">
        <v>173</v>
      </c>
      <c r="H1052" s="3">
        <v>1</v>
      </c>
      <c r="I1052" s="7">
        <v>9209.86</v>
      </c>
      <c r="J1052" s="9">
        <v>0.15</v>
      </c>
      <c r="K1052" s="7">
        <v>7828.38</v>
      </c>
      <c r="L1052" s="7">
        <v>1519.43</v>
      </c>
      <c r="M1052" s="3" t="s">
        <v>56</v>
      </c>
      <c r="N1052" s="3" t="str">
        <f t="shared" si="64"/>
        <v>2024-10</v>
      </c>
      <c r="O1052" s="3" t="str">
        <f t="shared" si="65"/>
        <v>11-15%</v>
      </c>
      <c r="P1052" s="9">
        <f t="shared" si="66"/>
        <v>0.19409251978059319</v>
      </c>
      <c r="Q1052" s="3" t="str">
        <f t="shared" si="67"/>
        <v>No</v>
      </c>
    </row>
    <row r="1053" spans="1:17" ht="21" customHeight="1">
      <c r="A1053" s="3" t="s">
        <v>1676</v>
      </c>
      <c r="B1053" s="5">
        <v>45581</v>
      </c>
      <c r="C1053" s="3" t="s">
        <v>500</v>
      </c>
      <c r="D1053" s="3" t="s">
        <v>45</v>
      </c>
      <c r="E1053" s="3" t="s">
        <v>38</v>
      </c>
      <c r="F1053" s="3" t="s">
        <v>142</v>
      </c>
      <c r="G1053" s="3" t="s">
        <v>143</v>
      </c>
      <c r="H1053" s="3">
        <v>1</v>
      </c>
      <c r="I1053" s="7">
        <v>9440.23</v>
      </c>
      <c r="J1053" s="9">
        <v>0.1</v>
      </c>
      <c r="K1053" s="7">
        <v>8496.2099999999991</v>
      </c>
      <c r="L1053" s="7">
        <v>727.42</v>
      </c>
      <c r="M1053" s="3" t="s">
        <v>57</v>
      </c>
      <c r="N1053" s="3" t="str">
        <f t="shared" si="64"/>
        <v>2024-10</v>
      </c>
      <c r="O1053" s="3" t="str">
        <f t="shared" si="65"/>
        <v>1-10%</v>
      </c>
      <c r="P1053" s="9">
        <f t="shared" si="66"/>
        <v>8.5616998638216341E-2</v>
      </c>
      <c r="Q1053" s="3" t="str">
        <f t="shared" si="67"/>
        <v>No</v>
      </c>
    </row>
    <row r="1054" spans="1:17" ht="21" customHeight="1">
      <c r="A1054" s="3" t="s">
        <v>1677</v>
      </c>
      <c r="B1054" s="5">
        <v>45582</v>
      </c>
      <c r="C1054" s="3" t="s">
        <v>122</v>
      </c>
      <c r="D1054" s="3" t="s">
        <v>45</v>
      </c>
      <c r="E1054" s="3" t="s">
        <v>41</v>
      </c>
      <c r="F1054" s="3" t="s">
        <v>119</v>
      </c>
      <c r="G1054" s="3" t="s">
        <v>120</v>
      </c>
      <c r="H1054" s="3">
        <v>1</v>
      </c>
      <c r="I1054" s="7">
        <v>1319.11</v>
      </c>
      <c r="J1054" s="9">
        <v>0</v>
      </c>
      <c r="K1054" s="7">
        <v>1319.11</v>
      </c>
      <c r="L1054" s="7">
        <v>541.94000000000005</v>
      </c>
      <c r="M1054" s="3" t="s">
        <v>56</v>
      </c>
      <c r="N1054" s="3" t="str">
        <f t="shared" si="64"/>
        <v>2024-10</v>
      </c>
      <c r="O1054" s="3" t="str">
        <f t="shared" si="65"/>
        <v>No discount</v>
      </c>
      <c r="P1054" s="9">
        <f t="shared" si="66"/>
        <v>0.41083761020688198</v>
      </c>
      <c r="Q1054" s="3" t="str">
        <f t="shared" si="67"/>
        <v>No</v>
      </c>
    </row>
    <row r="1055" spans="1:17" ht="21" customHeight="1">
      <c r="A1055" s="3" t="s">
        <v>1678</v>
      </c>
      <c r="B1055" s="5">
        <v>45582</v>
      </c>
      <c r="C1055" s="3" t="s">
        <v>726</v>
      </c>
      <c r="D1055" s="3" t="s">
        <v>45</v>
      </c>
      <c r="E1055" s="3" t="s">
        <v>42</v>
      </c>
      <c r="F1055" s="3" t="s">
        <v>90</v>
      </c>
      <c r="G1055" s="3" t="s">
        <v>91</v>
      </c>
      <c r="H1055" s="3">
        <v>2</v>
      </c>
      <c r="I1055" s="7">
        <v>1205.8499999999999</v>
      </c>
      <c r="J1055" s="9">
        <v>0.15</v>
      </c>
      <c r="K1055" s="7">
        <v>2049.94</v>
      </c>
      <c r="L1055" s="7">
        <v>698.51</v>
      </c>
      <c r="M1055" s="3" t="s">
        <v>56</v>
      </c>
      <c r="N1055" s="3" t="str">
        <f t="shared" si="64"/>
        <v>2024-10</v>
      </c>
      <c r="O1055" s="3" t="str">
        <f t="shared" si="65"/>
        <v>11-15%</v>
      </c>
      <c r="P1055" s="9">
        <f t="shared" si="66"/>
        <v>0.34074655843585666</v>
      </c>
      <c r="Q1055" s="3" t="str">
        <f t="shared" si="67"/>
        <v>No</v>
      </c>
    </row>
    <row r="1056" spans="1:17" ht="21" customHeight="1">
      <c r="A1056" s="3" t="s">
        <v>1679</v>
      </c>
      <c r="B1056" s="5">
        <v>45582</v>
      </c>
      <c r="C1056" s="3" t="s">
        <v>1293</v>
      </c>
      <c r="D1056" s="3" t="s">
        <v>47</v>
      </c>
      <c r="E1056" s="3" t="s">
        <v>41</v>
      </c>
      <c r="F1056" s="3" t="s">
        <v>119</v>
      </c>
      <c r="G1056" s="3" t="s">
        <v>120</v>
      </c>
      <c r="H1056" s="3">
        <v>2</v>
      </c>
      <c r="I1056" s="7">
        <v>1279.73</v>
      </c>
      <c r="J1056" s="9">
        <v>0</v>
      </c>
      <c r="K1056" s="7">
        <v>2559.46</v>
      </c>
      <c r="L1056" s="7">
        <v>958.58</v>
      </c>
      <c r="M1056" s="3" t="s">
        <v>56</v>
      </c>
      <c r="N1056" s="3" t="str">
        <f t="shared" si="64"/>
        <v>2024-10</v>
      </c>
      <c r="O1056" s="3" t="str">
        <f t="shared" si="65"/>
        <v>No discount</v>
      </c>
      <c r="P1056" s="9">
        <f t="shared" si="66"/>
        <v>0.37452431372242584</v>
      </c>
      <c r="Q1056" s="3" t="str">
        <f t="shared" si="67"/>
        <v>No</v>
      </c>
    </row>
    <row r="1057" spans="1:17" ht="21" customHeight="1">
      <c r="A1057" s="3" t="s">
        <v>1680</v>
      </c>
      <c r="B1057" s="5">
        <v>45582</v>
      </c>
      <c r="C1057" s="3" t="s">
        <v>309</v>
      </c>
      <c r="D1057" s="3" t="s">
        <v>46</v>
      </c>
      <c r="E1057" s="3" t="s">
        <v>41</v>
      </c>
      <c r="F1057" s="3" t="s">
        <v>113</v>
      </c>
      <c r="G1057" s="3" t="s">
        <v>114</v>
      </c>
      <c r="H1057" s="3">
        <v>2</v>
      </c>
      <c r="I1057" s="7">
        <v>12125.71</v>
      </c>
      <c r="J1057" s="9">
        <v>0</v>
      </c>
      <c r="K1057" s="7">
        <v>24251.42</v>
      </c>
      <c r="L1057" s="7">
        <v>9887.08</v>
      </c>
      <c r="M1057" s="3" t="s">
        <v>57</v>
      </c>
      <c r="N1057" s="3" t="str">
        <f t="shared" si="64"/>
        <v>2024-10</v>
      </c>
      <c r="O1057" s="3" t="str">
        <f t="shared" si="65"/>
        <v>No discount</v>
      </c>
      <c r="P1057" s="9">
        <f t="shared" si="66"/>
        <v>0.40769076614895128</v>
      </c>
      <c r="Q1057" s="3" t="str">
        <f t="shared" si="67"/>
        <v>No</v>
      </c>
    </row>
    <row r="1058" spans="1:17" ht="21" customHeight="1">
      <c r="A1058" s="3" t="s">
        <v>1681</v>
      </c>
      <c r="B1058" s="5">
        <v>45582</v>
      </c>
      <c r="C1058" s="3" t="s">
        <v>1122</v>
      </c>
      <c r="D1058" s="3" t="s">
        <v>44</v>
      </c>
      <c r="E1058" s="3" t="s">
        <v>38</v>
      </c>
      <c r="F1058" s="3" t="s">
        <v>142</v>
      </c>
      <c r="G1058" s="3" t="s">
        <v>245</v>
      </c>
      <c r="H1058" s="3">
        <v>1</v>
      </c>
      <c r="I1058" s="7">
        <v>4923.57</v>
      </c>
      <c r="J1058" s="9">
        <v>0</v>
      </c>
      <c r="K1058" s="7">
        <v>4923.57</v>
      </c>
      <c r="L1058" s="7">
        <v>1007.38</v>
      </c>
      <c r="M1058" s="3" t="s">
        <v>56</v>
      </c>
      <c r="N1058" s="3" t="str">
        <f t="shared" si="64"/>
        <v>2024-10</v>
      </c>
      <c r="O1058" s="3" t="str">
        <f t="shared" si="65"/>
        <v>No discount</v>
      </c>
      <c r="P1058" s="9">
        <f t="shared" si="66"/>
        <v>0.20460357017367481</v>
      </c>
      <c r="Q1058" s="3" t="str">
        <f t="shared" si="67"/>
        <v>No</v>
      </c>
    </row>
    <row r="1059" spans="1:17" ht="21" customHeight="1">
      <c r="A1059" s="3" t="s">
        <v>1682</v>
      </c>
      <c r="B1059" s="5">
        <v>45582</v>
      </c>
      <c r="C1059" s="3" t="s">
        <v>775</v>
      </c>
      <c r="D1059" s="3" t="s">
        <v>45</v>
      </c>
      <c r="E1059" s="3" t="s">
        <v>41</v>
      </c>
      <c r="F1059" s="3" t="s">
        <v>119</v>
      </c>
      <c r="G1059" s="3" t="s">
        <v>120</v>
      </c>
      <c r="H1059" s="3">
        <v>2</v>
      </c>
      <c r="I1059" s="7">
        <v>1303.55</v>
      </c>
      <c r="J1059" s="9">
        <v>0.05</v>
      </c>
      <c r="K1059" s="7">
        <v>2476.7399999999998</v>
      </c>
      <c r="L1059" s="7">
        <v>719.7</v>
      </c>
      <c r="M1059" s="3" t="s">
        <v>56</v>
      </c>
      <c r="N1059" s="3" t="str">
        <f t="shared" si="64"/>
        <v>2024-10</v>
      </c>
      <c r="O1059" s="3" t="str">
        <f t="shared" si="65"/>
        <v>1-10%</v>
      </c>
      <c r="P1059" s="9">
        <f t="shared" si="66"/>
        <v>0.29058358971874321</v>
      </c>
      <c r="Q1059" s="3" t="str">
        <f t="shared" si="67"/>
        <v>No</v>
      </c>
    </row>
    <row r="1060" spans="1:17" ht="21" customHeight="1">
      <c r="A1060" s="3" t="s">
        <v>1683</v>
      </c>
      <c r="B1060" s="5">
        <v>45583</v>
      </c>
      <c r="C1060" s="3" t="s">
        <v>1447</v>
      </c>
      <c r="D1060" s="3" t="s">
        <v>46</v>
      </c>
      <c r="E1060" s="3" t="s">
        <v>41</v>
      </c>
      <c r="F1060" s="3" t="s">
        <v>113</v>
      </c>
      <c r="G1060" s="3" t="s">
        <v>123</v>
      </c>
      <c r="H1060" s="3">
        <v>3</v>
      </c>
      <c r="I1060" s="7">
        <v>3372.48</v>
      </c>
      <c r="J1060" s="9">
        <v>0.15</v>
      </c>
      <c r="K1060" s="7">
        <v>8599.82</v>
      </c>
      <c r="L1060" s="7">
        <v>1612.47</v>
      </c>
      <c r="M1060" s="3" t="s">
        <v>59</v>
      </c>
      <c r="N1060" s="3" t="str">
        <f t="shared" si="64"/>
        <v>2024-10</v>
      </c>
      <c r="O1060" s="3" t="str">
        <f t="shared" si="65"/>
        <v>11-15%</v>
      </c>
      <c r="P1060" s="9">
        <f t="shared" si="66"/>
        <v>0.18750043605563838</v>
      </c>
      <c r="Q1060" s="3" t="str">
        <f t="shared" si="67"/>
        <v>No</v>
      </c>
    </row>
    <row r="1061" spans="1:17" ht="21" customHeight="1">
      <c r="A1061" s="3" t="s">
        <v>1684</v>
      </c>
      <c r="B1061" s="5">
        <v>45583</v>
      </c>
      <c r="C1061" s="3" t="s">
        <v>853</v>
      </c>
      <c r="D1061" s="3" t="s">
        <v>46</v>
      </c>
      <c r="E1061" s="3" t="s">
        <v>39</v>
      </c>
      <c r="F1061" s="3" t="s">
        <v>164</v>
      </c>
      <c r="G1061" s="3" t="s">
        <v>200</v>
      </c>
      <c r="H1061" s="3">
        <v>1</v>
      </c>
      <c r="I1061" s="7">
        <v>1336.81</v>
      </c>
      <c r="J1061" s="9">
        <v>0.05</v>
      </c>
      <c r="K1061" s="7">
        <v>1269.97</v>
      </c>
      <c r="L1061" s="7">
        <v>434.74</v>
      </c>
      <c r="M1061" s="3" t="s">
        <v>56</v>
      </c>
      <c r="N1061" s="3" t="str">
        <f t="shared" si="64"/>
        <v>2024-10</v>
      </c>
      <c r="O1061" s="3" t="str">
        <f t="shared" si="65"/>
        <v>1-10%</v>
      </c>
      <c r="P1061" s="9">
        <f t="shared" si="66"/>
        <v>0.34232304700111027</v>
      </c>
      <c r="Q1061" s="3" t="str">
        <f t="shared" si="67"/>
        <v>No</v>
      </c>
    </row>
    <row r="1062" spans="1:17" ht="21" customHeight="1">
      <c r="A1062" s="3" t="s">
        <v>1685</v>
      </c>
      <c r="B1062" s="5">
        <v>45583</v>
      </c>
      <c r="C1062" s="3" t="s">
        <v>1686</v>
      </c>
      <c r="D1062" s="3" t="s">
        <v>44</v>
      </c>
      <c r="E1062" s="3" t="s">
        <v>42</v>
      </c>
      <c r="F1062" s="3" t="s">
        <v>126</v>
      </c>
      <c r="G1062" s="3" t="s">
        <v>151</v>
      </c>
      <c r="H1062" s="3">
        <v>1</v>
      </c>
      <c r="I1062" s="7">
        <v>1554.07</v>
      </c>
      <c r="J1062" s="9">
        <v>0</v>
      </c>
      <c r="K1062" s="7">
        <v>1554.07</v>
      </c>
      <c r="L1062" s="7">
        <v>912.32</v>
      </c>
      <c r="M1062" s="3" t="s">
        <v>57</v>
      </c>
      <c r="N1062" s="3" t="str">
        <f t="shared" si="64"/>
        <v>2024-10</v>
      </c>
      <c r="O1062" s="3" t="str">
        <f t="shared" si="65"/>
        <v>No discount</v>
      </c>
      <c r="P1062" s="9">
        <f t="shared" si="66"/>
        <v>0.58705206329187232</v>
      </c>
      <c r="Q1062" s="3" t="str">
        <f t="shared" si="67"/>
        <v>No</v>
      </c>
    </row>
    <row r="1063" spans="1:17" ht="21" customHeight="1">
      <c r="A1063" s="3" t="s">
        <v>1687</v>
      </c>
      <c r="B1063" s="5">
        <v>45583</v>
      </c>
      <c r="C1063" s="3" t="s">
        <v>1299</v>
      </c>
      <c r="D1063" s="3" t="s">
        <v>47</v>
      </c>
      <c r="E1063" s="3" t="s">
        <v>42</v>
      </c>
      <c r="F1063" s="3" t="s">
        <v>126</v>
      </c>
      <c r="G1063" s="3" t="s">
        <v>127</v>
      </c>
      <c r="H1063" s="3">
        <v>2</v>
      </c>
      <c r="I1063" s="7">
        <v>1013.35</v>
      </c>
      <c r="J1063" s="9">
        <v>0</v>
      </c>
      <c r="K1063" s="7">
        <v>2026.7</v>
      </c>
      <c r="L1063" s="7">
        <v>1172.42</v>
      </c>
      <c r="M1063" s="3" t="s">
        <v>59</v>
      </c>
      <c r="N1063" s="3" t="str">
        <f t="shared" si="64"/>
        <v>2024-10</v>
      </c>
      <c r="O1063" s="3" t="str">
        <f t="shared" si="65"/>
        <v>No discount</v>
      </c>
      <c r="P1063" s="9">
        <f t="shared" si="66"/>
        <v>0.57848719593427744</v>
      </c>
      <c r="Q1063" s="3" t="str">
        <f t="shared" si="67"/>
        <v>No</v>
      </c>
    </row>
    <row r="1064" spans="1:17" ht="21" customHeight="1">
      <c r="A1064" s="3" t="s">
        <v>1688</v>
      </c>
      <c r="B1064" s="5">
        <v>45583</v>
      </c>
      <c r="C1064" s="3" t="s">
        <v>327</v>
      </c>
      <c r="D1064" s="3" t="s">
        <v>45</v>
      </c>
      <c r="E1064" s="3" t="s">
        <v>38</v>
      </c>
      <c r="F1064" s="3" t="s">
        <v>98</v>
      </c>
      <c r="G1064" s="3" t="s">
        <v>362</v>
      </c>
      <c r="H1064" s="3">
        <v>1</v>
      </c>
      <c r="I1064" s="7">
        <v>34247.31</v>
      </c>
      <c r="J1064" s="9">
        <v>0.25</v>
      </c>
      <c r="K1064" s="7">
        <v>25685.48</v>
      </c>
      <c r="L1064" s="7">
        <v>-2908.3</v>
      </c>
      <c r="M1064" s="3" t="s">
        <v>57</v>
      </c>
      <c r="N1064" s="3" t="str">
        <f t="shared" si="64"/>
        <v>2024-10</v>
      </c>
      <c r="O1064" s="3" t="str">
        <f t="shared" si="65"/>
        <v>21%+</v>
      </c>
      <c r="P1064" s="9">
        <f t="shared" si="66"/>
        <v>-0.11322739540004705</v>
      </c>
      <c r="Q1064" s="3" t="str">
        <f t="shared" si="67"/>
        <v>Yes</v>
      </c>
    </row>
    <row r="1065" spans="1:17" ht="21" customHeight="1">
      <c r="A1065" s="3" t="s">
        <v>1689</v>
      </c>
      <c r="B1065" s="5">
        <v>45583</v>
      </c>
      <c r="C1065" s="3" t="s">
        <v>153</v>
      </c>
      <c r="D1065" s="3" t="s">
        <v>46</v>
      </c>
      <c r="E1065" s="3" t="s">
        <v>39</v>
      </c>
      <c r="F1065" s="3" t="s">
        <v>164</v>
      </c>
      <c r="G1065" s="3" t="s">
        <v>165</v>
      </c>
      <c r="H1065" s="3">
        <v>1</v>
      </c>
      <c r="I1065" s="7">
        <v>2024.49</v>
      </c>
      <c r="J1065" s="9">
        <v>0.05</v>
      </c>
      <c r="K1065" s="7">
        <v>1923.27</v>
      </c>
      <c r="L1065" s="7">
        <v>691.87</v>
      </c>
      <c r="M1065" s="3" t="s">
        <v>58</v>
      </c>
      <c r="N1065" s="3" t="str">
        <f t="shared" si="64"/>
        <v>2024-10</v>
      </c>
      <c r="O1065" s="3" t="str">
        <f t="shared" si="65"/>
        <v>1-10%</v>
      </c>
      <c r="P1065" s="9">
        <f t="shared" si="66"/>
        <v>0.35973628247723927</v>
      </c>
      <c r="Q1065" s="3" t="str">
        <f t="shared" si="67"/>
        <v>No</v>
      </c>
    </row>
    <row r="1066" spans="1:17" ht="21" customHeight="1">
      <c r="A1066" s="3" t="s">
        <v>1690</v>
      </c>
      <c r="B1066" s="5">
        <v>45584</v>
      </c>
      <c r="C1066" s="3" t="s">
        <v>1074</v>
      </c>
      <c r="D1066" s="3" t="s">
        <v>46</v>
      </c>
      <c r="E1066" s="3" t="s">
        <v>40</v>
      </c>
      <c r="F1066" s="3" t="s">
        <v>102</v>
      </c>
      <c r="G1066" s="3" t="s">
        <v>146</v>
      </c>
      <c r="H1066" s="3">
        <v>1</v>
      </c>
      <c r="I1066" s="7">
        <v>8290.2099999999991</v>
      </c>
      <c r="J1066" s="9">
        <v>0</v>
      </c>
      <c r="K1066" s="7">
        <v>8290.2099999999991</v>
      </c>
      <c r="L1066" s="7">
        <v>2953.15</v>
      </c>
      <c r="M1066" s="3" t="s">
        <v>57</v>
      </c>
      <c r="N1066" s="3" t="str">
        <f t="shared" si="64"/>
        <v>2024-10</v>
      </c>
      <c r="O1066" s="3" t="str">
        <f t="shared" si="65"/>
        <v>No discount</v>
      </c>
      <c r="P1066" s="9">
        <f t="shared" si="66"/>
        <v>0.35622137436807999</v>
      </c>
      <c r="Q1066" s="3" t="str">
        <f t="shared" si="67"/>
        <v>No</v>
      </c>
    </row>
    <row r="1067" spans="1:17" ht="21" customHeight="1">
      <c r="A1067" s="3" t="s">
        <v>1691</v>
      </c>
      <c r="B1067" s="5">
        <v>45584</v>
      </c>
      <c r="C1067" s="3" t="s">
        <v>891</v>
      </c>
      <c r="D1067" s="3" t="s">
        <v>46</v>
      </c>
      <c r="E1067" s="3" t="s">
        <v>41</v>
      </c>
      <c r="F1067" s="3" t="s">
        <v>113</v>
      </c>
      <c r="G1067" s="3" t="s">
        <v>123</v>
      </c>
      <c r="H1067" s="3">
        <v>1</v>
      </c>
      <c r="I1067" s="7">
        <v>3333.77</v>
      </c>
      <c r="J1067" s="9">
        <v>0.1</v>
      </c>
      <c r="K1067" s="7">
        <v>3000.39</v>
      </c>
      <c r="L1067" s="7">
        <v>763.63</v>
      </c>
      <c r="M1067" s="3" t="s">
        <v>56</v>
      </c>
      <c r="N1067" s="3" t="str">
        <f t="shared" si="64"/>
        <v>2024-10</v>
      </c>
      <c r="O1067" s="3" t="str">
        <f t="shared" si="65"/>
        <v>1-10%</v>
      </c>
      <c r="P1067" s="9">
        <f t="shared" si="66"/>
        <v>0.25451024700122321</v>
      </c>
      <c r="Q1067" s="3" t="str">
        <f t="shared" si="67"/>
        <v>No</v>
      </c>
    </row>
    <row r="1068" spans="1:17" ht="21" customHeight="1">
      <c r="A1068" s="3" t="s">
        <v>1692</v>
      </c>
      <c r="B1068" s="5">
        <v>45584</v>
      </c>
      <c r="C1068" s="3" t="s">
        <v>238</v>
      </c>
      <c r="D1068" s="3" t="s">
        <v>45</v>
      </c>
      <c r="E1068" s="3" t="s">
        <v>42</v>
      </c>
      <c r="F1068" s="3" t="s">
        <v>126</v>
      </c>
      <c r="G1068" s="3" t="s">
        <v>127</v>
      </c>
      <c r="H1068" s="3">
        <v>3</v>
      </c>
      <c r="I1068" s="7">
        <v>984.28</v>
      </c>
      <c r="J1068" s="9">
        <v>0.1</v>
      </c>
      <c r="K1068" s="7">
        <v>2657.56</v>
      </c>
      <c r="L1068" s="7">
        <v>1086.75</v>
      </c>
      <c r="M1068" s="3" t="s">
        <v>56</v>
      </c>
      <c r="N1068" s="3" t="str">
        <f t="shared" si="64"/>
        <v>2024-10</v>
      </c>
      <c r="O1068" s="3" t="str">
        <f t="shared" si="65"/>
        <v>1-10%</v>
      </c>
      <c r="P1068" s="9">
        <f t="shared" si="66"/>
        <v>0.40892773822604195</v>
      </c>
      <c r="Q1068" s="3" t="str">
        <f t="shared" si="67"/>
        <v>No</v>
      </c>
    </row>
    <row r="1069" spans="1:17" ht="21" customHeight="1">
      <c r="A1069" s="3" t="s">
        <v>1693</v>
      </c>
      <c r="B1069" s="5">
        <v>45585</v>
      </c>
      <c r="C1069" s="3" t="s">
        <v>1179</v>
      </c>
      <c r="D1069" s="3" t="s">
        <v>46</v>
      </c>
      <c r="E1069" s="3" t="s">
        <v>38</v>
      </c>
      <c r="F1069" s="3" t="s">
        <v>142</v>
      </c>
      <c r="G1069" s="3" t="s">
        <v>245</v>
      </c>
      <c r="H1069" s="3">
        <v>1</v>
      </c>
      <c r="I1069" s="7">
        <v>5084.1099999999997</v>
      </c>
      <c r="J1069" s="9">
        <v>0</v>
      </c>
      <c r="K1069" s="7">
        <v>5084.1099999999997</v>
      </c>
      <c r="L1069" s="7">
        <v>793.08</v>
      </c>
      <c r="M1069" s="3" t="s">
        <v>56</v>
      </c>
      <c r="N1069" s="3" t="str">
        <f t="shared" si="64"/>
        <v>2024-10</v>
      </c>
      <c r="O1069" s="3" t="str">
        <f t="shared" si="65"/>
        <v>No discount</v>
      </c>
      <c r="P1069" s="9">
        <f t="shared" si="66"/>
        <v>0.15599190418775363</v>
      </c>
      <c r="Q1069" s="3" t="str">
        <f t="shared" si="67"/>
        <v>No</v>
      </c>
    </row>
    <row r="1070" spans="1:17" ht="21" customHeight="1">
      <c r="A1070" s="3" t="s">
        <v>1694</v>
      </c>
      <c r="B1070" s="5">
        <v>45585</v>
      </c>
      <c r="C1070" s="3" t="s">
        <v>1341</v>
      </c>
      <c r="D1070" s="3" t="s">
        <v>46</v>
      </c>
      <c r="E1070" s="3" t="s">
        <v>40</v>
      </c>
      <c r="F1070" s="3" t="s">
        <v>160</v>
      </c>
      <c r="G1070" s="3" t="s">
        <v>161</v>
      </c>
      <c r="H1070" s="3">
        <v>3</v>
      </c>
      <c r="I1070" s="7">
        <v>13356.17</v>
      </c>
      <c r="J1070" s="9">
        <v>0</v>
      </c>
      <c r="K1070" s="7">
        <v>40068.51</v>
      </c>
      <c r="L1070" s="7">
        <v>12179.27</v>
      </c>
      <c r="M1070" s="3" t="s">
        <v>57</v>
      </c>
      <c r="N1070" s="3" t="str">
        <f t="shared" si="64"/>
        <v>2024-10</v>
      </c>
      <c r="O1070" s="3" t="str">
        <f t="shared" si="65"/>
        <v>No discount</v>
      </c>
      <c r="P1070" s="9">
        <f t="shared" si="66"/>
        <v>0.30396114055651186</v>
      </c>
      <c r="Q1070" s="3" t="str">
        <f t="shared" si="67"/>
        <v>No</v>
      </c>
    </row>
    <row r="1071" spans="1:17" ht="21" customHeight="1">
      <c r="A1071" s="3" t="s">
        <v>1695</v>
      </c>
      <c r="B1071" s="5">
        <v>45586</v>
      </c>
      <c r="C1071" s="3" t="s">
        <v>642</v>
      </c>
      <c r="D1071" s="3" t="s">
        <v>46</v>
      </c>
      <c r="E1071" s="3" t="s">
        <v>39</v>
      </c>
      <c r="F1071" s="3" t="s">
        <v>109</v>
      </c>
      <c r="G1071" s="3" t="s">
        <v>110</v>
      </c>
      <c r="H1071" s="3">
        <v>3</v>
      </c>
      <c r="I1071" s="7">
        <v>2954.94</v>
      </c>
      <c r="J1071" s="9">
        <v>0.05</v>
      </c>
      <c r="K1071" s="7">
        <v>8421.58</v>
      </c>
      <c r="L1071" s="7">
        <v>3076.84</v>
      </c>
      <c r="M1071" s="3" t="s">
        <v>56</v>
      </c>
      <c r="N1071" s="3" t="str">
        <f t="shared" si="64"/>
        <v>2024-10</v>
      </c>
      <c r="O1071" s="3" t="str">
        <f t="shared" si="65"/>
        <v>1-10%</v>
      </c>
      <c r="P1071" s="9">
        <f t="shared" si="66"/>
        <v>0.36535186983915136</v>
      </c>
      <c r="Q1071" s="3" t="str">
        <f t="shared" si="67"/>
        <v>No</v>
      </c>
    </row>
    <row r="1072" spans="1:17" ht="21" customHeight="1">
      <c r="A1072" s="3" t="s">
        <v>1696</v>
      </c>
      <c r="B1072" s="5">
        <v>45586</v>
      </c>
      <c r="C1072" s="3" t="s">
        <v>1142</v>
      </c>
      <c r="D1072" s="3" t="s">
        <v>44</v>
      </c>
      <c r="E1072" s="3" t="s">
        <v>39</v>
      </c>
      <c r="F1072" s="3" t="s">
        <v>164</v>
      </c>
      <c r="G1072" s="3" t="s">
        <v>165</v>
      </c>
      <c r="H1072" s="3">
        <v>1</v>
      </c>
      <c r="I1072" s="7">
        <v>2027.1</v>
      </c>
      <c r="J1072" s="9">
        <v>0.05</v>
      </c>
      <c r="K1072" s="7">
        <v>1925.74</v>
      </c>
      <c r="L1072" s="7">
        <v>719.12</v>
      </c>
      <c r="M1072" s="3" t="s">
        <v>57</v>
      </c>
      <c r="N1072" s="3" t="str">
        <f t="shared" si="64"/>
        <v>2024-10</v>
      </c>
      <c r="O1072" s="3" t="str">
        <f t="shared" si="65"/>
        <v>1-10%</v>
      </c>
      <c r="P1072" s="9">
        <f t="shared" si="66"/>
        <v>0.37342528067132635</v>
      </c>
      <c r="Q1072" s="3" t="str">
        <f t="shared" si="67"/>
        <v>No</v>
      </c>
    </row>
    <row r="1073" spans="1:17" ht="21" customHeight="1">
      <c r="A1073" s="3" t="s">
        <v>1697</v>
      </c>
      <c r="B1073" s="5">
        <v>45586</v>
      </c>
      <c r="C1073" s="3" t="s">
        <v>442</v>
      </c>
      <c r="D1073" s="3" t="s">
        <v>45</v>
      </c>
      <c r="E1073" s="3" t="s">
        <v>41</v>
      </c>
      <c r="F1073" s="3" t="s">
        <v>119</v>
      </c>
      <c r="G1073" s="3" t="s">
        <v>168</v>
      </c>
      <c r="H1073" s="3">
        <v>2</v>
      </c>
      <c r="I1073" s="7">
        <v>9827.91</v>
      </c>
      <c r="J1073" s="9">
        <v>0</v>
      </c>
      <c r="K1073" s="7">
        <v>19655.82</v>
      </c>
      <c r="L1073" s="7">
        <v>7578.07</v>
      </c>
      <c r="M1073" s="3" t="s">
        <v>57</v>
      </c>
      <c r="N1073" s="3" t="str">
        <f t="shared" si="64"/>
        <v>2024-10</v>
      </c>
      <c r="O1073" s="3" t="str">
        <f t="shared" si="65"/>
        <v>No discount</v>
      </c>
      <c r="P1073" s="9">
        <f t="shared" si="66"/>
        <v>0.38553822735454435</v>
      </c>
      <c r="Q1073" s="3" t="str">
        <f t="shared" si="67"/>
        <v>No</v>
      </c>
    </row>
    <row r="1074" spans="1:17" ht="21" customHeight="1">
      <c r="A1074" s="3" t="s">
        <v>1698</v>
      </c>
      <c r="B1074" s="5">
        <v>45586</v>
      </c>
      <c r="C1074" s="3" t="s">
        <v>1257</v>
      </c>
      <c r="D1074" s="3" t="s">
        <v>47</v>
      </c>
      <c r="E1074" s="3" t="s">
        <v>39</v>
      </c>
      <c r="F1074" s="3" t="s">
        <v>109</v>
      </c>
      <c r="G1074" s="3" t="s">
        <v>110</v>
      </c>
      <c r="H1074" s="3">
        <v>1</v>
      </c>
      <c r="I1074" s="7">
        <v>2856.64</v>
      </c>
      <c r="J1074" s="9">
        <v>0.15</v>
      </c>
      <c r="K1074" s="7">
        <v>2428.14</v>
      </c>
      <c r="L1074" s="7">
        <v>589.41</v>
      </c>
      <c r="M1074" s="3" t="s">
        <v>57</v>
      </c>
      <c r="N1074" s="3" t="str">
        <f t="shared" si="64"/>
        <v>2024-10</v>
      </c>
      <c r="O1074" s="3" t="str">
        <f t="shared" si="65"/>
        <v>11-15%</v>
      </c>
      <c r="P1074" s="9">
        <f t="shared" si="66"/>
        <v>0.24274135758234699</v>
      </c>
      <c r="Q1074" s="3" t="str">
        <f t="shared" si="67"/>
        <v>No</v>
      </c>
    </row>
    <row r="1075" spans="1:17" ht="21" customHeight="1">
      <c r="A1075" s="3" t="s">
        <v>1699</v>
      </c>
      <c r="B1075" s="5">
        <v>45586</v>
      </c>
      <c r="C1075" s="3" t="s">
        <v>1115</v>
      </c>
      <c r="D1075" s="3" t="s">
        <v>47</v>
      </c>
      <c r="E1075" s="3" t="s">
        <v>39</v>
      </c>
      <c r="F1075" s="3" t="s">
        <v>109</v>
      </c>
      <c r="G1075" s="3" t="s">
        <v>110</v>
      </c>
      <c r="H1075" s="3">
        <v>2</v>
      </c>
      <c r="I1075" s="7">
        <v>3030.79</v>
      </c>
      <c r="J1075" s="9">
        <v>0</v>
      </c>
      <c r="K1075" s="7">
        <v>6061.58</v>
      </c>
      <c r="L1075" s="7">
        <v>2323.9</v>
      </c>
      <c r="M1075" s="3" t="s">
        <v>56</v>
      </c>
      <c r="N1075" s="3" t="str">
        <f t="shared" si="64"/>
        <v>2024-10</v>
      </c>
      <c r="O1075" s="3" t="str">
        <f t="shared" si="65"/>
        <v>No discount</v>
      </c>
      <c r="P1075" s="9">
        <f t="shared" si="66"/>
        <v>0.38338189053019184</v>
      </c>
      <c r="Q1075" s="3" t="str">
        <f t="shared" si="67"/>
        <v>No</v>
      </c>
    </row>
    <row r="1076" spans="1:17" ht="21" customHeight="1">
      <c r="A1076" s="3" t="s">
        <v>1700</v>
      </c>
      <c r="B1076" s="5">
        <v>45586</v>
      </c>
      <c r="C1076" s="3" t="s">
        <v>206</v>
      </c>
      <c r="D1076" s="3" t="s">
        <v>44</v>
      </c>
      <c r="E1076" s="3" t="s">
        <v>41</v>
      </c>
      <c r="F1076" s="3" t="s">
        <v>119</v>
      </c>
      <c r="G1076" s="3" t="s">
        <v>120</v>
      </c>
      <c r="H1076" s="3">
        <v>1</v>
      </c>
      <c r="I1076" s="7">
        <v>1284.51</v>
      </c>
      <c r="J1076" s="9">
        <v>0.1</v>
      </c>
      <c r="K1076" s="7">
        <v>1156.06</v>
      </c>
      <c r="L1076" s="7">
        <v>336.42</v>
      </c>
      <c r="M1076" s="3" t="s">
        <v>56</v>
      </c>
      <c r="N1076" s="3" t="str">
        <f t="shared" si="64"/>
        <v>2024-10</v>
      </c>
      <c r="O1076" s="3" t="str">
        <f t="shared" si="65"/>
        <v>1-10%</v>
      </c>
      <c r="P1076" s="9">
        <f t="shared" si="66"/>
        <v>0.29100565714582288</v>
      </c>
      <c r="Q1076" s="3" t="str">
        <f t="shared" si="67"/>
        <v>No</v>
      </c>
    </row>
    <row r="1077" spans="1:17" ht="21" customHeight="1">
      <c r="A1077" s="3" t="s">
        <v>1701</v>
      </c>
      <c r="B1077" s="5">
        <v>45586</v>
      </c>
      <c r="C1077" s="3" t="s">
        <v>172</v>
      </c>
      <c r="D1077" s="3" t="s">
        <v>45</v>
      </c>
      <c r="E1077" s="3" t="s">
        <v>40</v>
      </c>
      <c r="F1077" s="3" t="s">
        <v>102</v>
      </c>
      <c r="G1077" s="3" t="s">
        <v>146</v>
      </c>
      <c r="H1077" s="3">
        <v>5</v>
      </c>
      <c r="I1077" s="7">
        <v>8349.91</v>
      </c>
      <c r="J1077" s="9">
        <v>0</v>
      </c>
      <c r="K1077" s="7">
        <v>41749.550000000003</v>
      </c>
      <c r="L1077" s="7">
        <v>14496.83</v>
      </c>
      <c r="M1077" s="3" t="s">
        <v>56</v>
      </c>
      <c r="N1077" s="3" t="str">
        <f t="shared" si="64"/>
        <v>2024-10</v>
      </c>
      <c r="O1077" s="3" t="str">
        <f t="shared" si="65"/>
        <v>No discount</v>
      </c>
      <c r="P1077" s="9">
        <f t="shared" si="66"/>
        <v>0.34723320371117772</v>
      </c>
      <c r="Q1077" s="3" t="str">
        <f t="shared" si="67"/>
        <v>No</v>
      </c>
    </row>
    <row r="1078" spans="1:17" ht="21" customHeight="1">
      <c r="A1078" s="3" t="s">
        <v>1702</v>
      </c>
      <c r="B1078" s="5">
        <v>45586</v>
      </c>
      <c r="C1078" s="3" t="s">
        <v>199</v>
      </c>
      <c r="D1078" s="3" t="s">
        <v>44</v>
      </c>
      <c r="E1078" s="3" t="s">
        <v>42</v>
      </c>
      <c r="F1078" s="3" t="s">
        <v>126</v>
      </c>
      <c r="G1078" s="3" t="s">
        <v>127</v>
      </c>
      <c r="H1078" s="3">
        <v>3</v>
      </c>
      <c r="I1078" s="7">
        <v>1039.5999999999999</v>
      </c>
      <c r="J1078" s="9">
        <v>0.05</v>
      </c>
      <c r="K1078" s="7">
        <v>2962.86</v>
      </c>
      <c r="L1078" s="7">
        <v>1561.09</v>
      </c>
      <c r="M1078" s="3" t="s">
        <v>57</v>
      </c>
      <c r="N1078" s="3" t="str">
        <f t="shared" si="64"/>
        <v>2024-10</v>
      </c>
      <c r="O1078" s="3" t="str">
        <f t="shared" si="65"/>
        <v>1-10%</v>
      </c>
      <c r="P1078" s="9">
        <f t="shared" si="66"/>
        <v>0.52688618429490419</v>
      </c>
      <c r="Q1078" s="3" t="str">
        <f t="shared" si="67"/>
        <v>No</v>
      </c>
    </row>
    <row r="1079" spans="1:17" ht="21" customHeight="1">
      <c r="A1079" s="3" t="s">
        <v>1703</v>
      </c>
      <c r="B1079" s="5">
        <v>45587</v>
      </c>
      <c r="C1079" s="3" t="s">
        <v>1303</v>
      </c>
      <c r="D1079" s="3" t="s">
        <v>45</v>
      </c>
      <c r="E1079" s="3" t="s">
        <v>39</v>
      </c>
      <c r="F1079" s="3" t="s">
        <v>109</v>
      </c>
      <c r="G1079" s="3" t="s">
        <v>110</v>
      </c>
      <c r="H1079" s="3">
        <v>4</v>
      </c>
      <c r="I1079" s="7">
        <v>2870.47</v>
      </c>
      <c r="J1079" s="9">
        <v>0.2</v>
      </c>
      <c r="K1079" s="7">
        <v>9185.5</v>
      </c>
      <c r="L1079" s="7">
        <v>1499.75</v>
      </c>
      <c r="M1079" s="3" t="s">
        <v>58</v>
      </c>
      <c r="N1079" s="3" t="str">
        <f t="shared" si="64"/>
        <v>2024-10</v>
      </c>
      <c r="O1079" s="3" t="str">
        <f t="shared" si="65"/>
        <v>16-20%</v>
      </c>
      <c r="P1079" s="9">
        <f t="shared" si="66"/>
        <v>0.16327363779870449</v>
      </c>
      <c r="Q1079" s="3" t="str">
        <f t="shared" si="67"/>
        <v>No</v>
      </c>
    </row>
    <row r="1080" spans="1:17" ht="21" customHeight="1">
      <c r="A1080" s="3" t="s">
        <v>1704</v>
      </c>
      <c r="B1080" s="5">
        <v>45587</v>
      </c>
      <c r="C1080" s="3" t="s">
        <v>825</v>
      </c>
      <c r="D1080" s="3" t="s">
        <v>44</v>
      </c>
      <c r="E1080" s="3" t="s">
        <v>41</v>
      </c>
      <c r="F1080" s="3" t="s">
        <v>113</v>
      </c>
      <c r="G1080" s="3" t="s">
        <v>114</v>
      </c>
      <c r="H1080" s="3">
        <v>1</v>
      </c>
      <c r="I1080" s="7">
        <v>11436.08</v>
      </c>
      <c r="J1080" s="9">
        <v>0</v>
      </c>
      <c r="K1080" s="7">
        <v>11436.08</v>
      </c>
      <c r="L1080" s="7">
        <v>4584.55</v>
      </c>
      <c r="M1080" s="3" t="s">
        <v>56</v>
      </c>
      <c r="N1080" s="3" t="str">
        <f t="shared" si="64"/>
        <v>2024-10</v>
      </c>
      <c r="O1080" s="3" t="str">
        <f t="shared" si="65"/>
        <v>No discount</v>
      </c>
      <c r="P1080" s="9">
        <f t="shared" si="66"/>
        <v>0.40088474372337374</v>
      </c>
      <c r="Q1080" s="3" t="str">
        <f t="shared" si="67"/>
        <v>No</v>
      </c>
    </row>
    <row r="1081" spans="1:17" ht="21" customHeight="1">
      <c r="A1081" s="3" t="s">
        <v>1705</v>
      </c>
      <c r="B1081" s="5">
        <v>45587</v>
      </c>
      <c r="C1081" s="3" t="s">
        <v>1341</v>
      </c>
      <c r="D1081" s="3" t="s">
        <v>46</v>
      </c>
      <c r="E1081" s="3" t="s">
        <v>42</v>
      </c>
      <c r="F1081" s="3" t="s">
        <v>126</v>
      </c>
      <c r="G1081" s="3" t="s">
        <v>151</v>
      </c>
      <c r="H1081" s="3">
        <v>1</v>
      </c>
      <c r="I1081" s="7">
        <v>1542.02</v>
      </c>
      <c r="J1081" s="9">
        <v>0.05</v>
      </c>
      <c r="K1081" s="7">
        <v>1464.92</v>
      </c>
      <c r="L1081" s="7">
        <v>667.52</v>
      </c>
      <c r="M1081" s="3" t="s">
        <v>56</v>
      </c>
      <c r="N1081" s="3" t="str">
        <f t="shared" si="64"/>
        <v>2024-10</v>
      </c>
      <c r="O1081" s="3" t="str">
        <f t="shared" si="65"/>
        <v>1-10%</v>
      </c>
      <c r="P1081" s="9">
        <f t="shared" si="66"/>
        <v>0.45566993419435869</v>
      </c>
      <c r="Q1081" s="3" t="str">
        <f t="shared" si="67"/>
        <v>No</v>
      </c>
    </row>
    <row r="1082" spans="1:17" ht="21" customHeight="1">
      <c r="A1082" s="3" t="s">
        <v>1706</v>
      </c>
      <c r="B1082" s="5">
        <v>45587</v>
      </c>
      <c r="C1082" s="3" t="s">
        <v>1707</v>
      </c>
      <c r="D1082" s="3" t="s">
        <v>46</v>
      </c>
      <c r="E1082" s="3" t="s">
        <v>41</v>
      </c>
      <c r="F1082" s="3" t="s">
        <v>113</v>
      </c>
      <c r="G1082" s="3" t="s">
        <v>123</v>
      </c>
      <c r="H1082" s="3">
        <v>5</v>
      </c>
      <c r="I1082" s="7">
        <v>3324.6</v>
      </c>
      <c r="J1082" s="9">
        <v>0.15</v>
      </c>
      <c r="K1082" s="7">
        <v>14129.55</v>
      </c>
      <c r="L1082" s="7">
        <v>2445.65</v>
      </c>
      <c r="M1082" s="3" t="s">
        <v>57</v>
      </c>
      <c r="N1082" s="3" t="str">
        <f t="shared" si="64"/>
        <v>2024-10</v>
      </c>
      <c r="O1082" s="3" t="str">
        <f t="shared" si="65"/>
        <v>11-15%</v>
      </c>
      <c r="P1082" s="9">
        <f t="shared" si="66"/>
        <v>0.17308760717786484</v>
      </c>
      <c r="Q1082" s="3" t="str">
        <f t="shared" si="67"/>
        <v>No</v>
      </c>
    </row>
    <row r="1083" spans="1:17" ht="21" customHeight="1">
      <c r="A1083" s="3" t="s">
        <v>1708</v>
      </c>
      <c r="B1083" s="5">
        <v>45587</v>
      </c>
      <c r="C1083" s="3" t="s">
        <v>904</v>
      </c>
      <c r="D1083" s="3" t="s">
        <v>46</v>
      </c>
      <c r="E1083" s="3" t="s">
        <v>38</v>
      </c>
      <c r="F1083" s="3" t="s">
        <v>142</v>
      </c>
      <c r="G1083" s="3" t="s">
        <v>143</v>
      </c>
      <c r="H1083" s="3">
        <v>1</v>
      </c>
      <c r="I1083" s="7">
        <v>9443.33</v>
      </c>
      <c r="J1083" s="9">
        <v>0.1</v>
      </c>
      <c r="K1083" s="7">
        <v>8499</v>
      </c>
      <c r="L1083" s="7">
        <v>507.46</v>
      </c>
      <c r="M1083" s="3" t="s">
        <v>57</v>
      </c>
      <c r="N1083" s="3" t="str">
        <f t="shared" si="64"/>
        <v>2024-10</v>
      </c>
      <c r="O1083" s="3" t="str">
        <f t="shared" si="65"/>
        <v>1-10%</v>
      </c>
      <c r="P1083" s="9">
        <f t="shared" si="66"/>
        <v>5.9708200964819387E-2</v>
      </c>
      <c r="Q1083" s="3" t="str">
        <f t="shared" si="67"/>
        <v>No</v>
      </c>
    </row>
    <row r="1084" spans="1:17" ht="21" customHeight="1">
      <c r="A1084" s="3" t="s">
        <v>1709</v>
      </c>
      <c r="B1084" s="5">
        <v>45587</v>
      </c>
      <c r="C1084" s="3" t="s">
        <v>1710</v>
      </c>
      <c r="D1084" s="3" t="s">
        <v>47</v>
      </c>
      <c r="E1084" s="3" t="s">
        <v>41</v>
      </c>
      <c r="F1084" s="3" t="s">
        <v>119</v>
      </c>
      <c r="G1084" s="3" t="s">
        <v>168</v>
      </c>
      <c r="H1084" s="3">
        <v>1</v>
      </c>
      <c r="I1084" s="7">
        <v>10325.11</v>
      </c>
      <c r="J1084" s="9">
        <v>0.05</v>
      </c>
      <c r="K1084" s="7">
        <v>9808.85</v>
      </c>
      <c r="L1084" s="7">
        <v>3123.69</v>
      </c>
      <c r="M1084" s="3" t="s">
        <v>56</v>
      </c>
      <c r="N1084" s="3" t="str">
        <f t="shared" si="64"/>
        <v>2024-10</v>
      </c>
      <c r="O1084" s="3" t="str">
        <f t="shared" si="65"/>
        <v>1-10%</v>
      </c>
      <c r="P1084" s="9">
        <f t="shared" si="66"/>
        <v>0.31845629202200054</v>
      </c>
      <c r="Q1084" s="3" t="str">
        <f t="shared" si="67"/>
        <v>No</v>
      </c>
    </row>
    <row r="1085" spans="1:17" ht="21" customHeight="1">
      <c r="A1085" s="3" t="s">
        <v>1711</v>
      </c>
      <c r="B1085" s="5">
        <v>45588</v>
      </c>
      <c r="C1085" s="3" t="s">
        <v>858</v>
      </c>
      <c r="D1085" s="3" t="s">
        <v>45</v>
      </c>
      <c r="E1085" s="3" t="s">
        <v>40</v>
      </c>
      <c r="F1085" s="3" t="s">
        <v>221</v>
      </c>
      <c r="G1085" s="3" t="s">
        <v>222</v>
      </c>
      <c r="H1085" s="3">
        <v>1</v>
      </c>
      <c r="I1085" s="7">
        <v>1044.8399999999999</v>
      </c>
      <c r="J1085" s="9">
        <v>0.1</v>
      </c>
      <c r="K1085" s="7">
        <v>940.36</v>
      </c>
      <c r="L1085" s="7">
        <v>171.38</v>
      </c>
      <c r="M1085" s="3" t="s">
        <v>60</v>
      </c>
      <c r="N1085" s="3" t="str">
        <f t="shared" si="64"/>
        <v>2024-10</v>
      </c>
      <c r="O1085" s="3" t="str">
        <f t="shared" si="65"/>
        <v>1-10%</v>
      </c>
      <c r="P1085" s="9">
        <f t="shared" si="66"/>
        <v>0.18224935131226339</v>
      </c>
      <c r="Q1085" s="3" t="str">
        <f t="shared" si="67"/>
        <v>No</v>
      </c>
    </row>
    <row r="1086" spans="1:17" ht="21" customHeight="1">
      <c r="A1086" s="3" t="s">
        <v>1712</v>
      </c>
      <c r="B1086" s="5">
        <v>45588</v>
      </c>
      <c r="C1086" s="3" t="s">
        <v>1713</v>
      </c>
      <c r="D1086" s="3" t="s">
        <v>46</v>
      </c>
      <c r="E1086" s="3" t="s">
        <v>42</v>
      </c>
      <c r="F1086" s="3" t="s">
        <v>126</v>
      </c>
      <c r="G1086" s="3" t="s">
        <v>151</v>
      </c>
      <c r="H1086" s="3">
        <v>1</v>
      </c>
      <c r="I1086" s="7">
        <v>1563.04</v>
      </c>
      <c r="J1086" s="9">
        <v>0</v>
      </c>
      <c r="K1086" s="7">
        <v>1563.04</v>
      </c>
      <c r="L1086" s="7">
        <v>815.55</v>
      </c>
      <c r="M1086" s="3" t="s">
        <v>57</v>
      </c>
      <c r="N1086" s="3" t="str">
        <f t="shared" si="64"/>
        <v>2024-10</v>
      </c>
      <c r="O1086" s="3" t="str">
        <f t="shared" si="65"/>
        <v>No discount</v>
      </c>
      <c r="P1086" s="9">
        <f t="shared" si="66"/>
        <v>0.52177167570887495</v>
      </c>
      <c r="Q1086" s="3" t="str">
        <f t="shared" si="67"/>
        <v>No</v>
      </c>
    </row>
    <row r="1087" spans="1:17" ht="21" customHeight="1">
      <c r="A1087" s="3" t="s">
        <v>1714</v>
      </c>
      <c r="B1087" s="5">
        <v>45588</v>
      </c>
      <c r="C1087" s="3" t="s">
        <v>259</v>
      </c>
      <c r="D1087" s="3" t="s">
        <v>44</v>
      </c>
      <c r="E1087" s="3" t="s">
        <v>39</v>
      </c>
      <c r="F1087" s="3" t="s">
        <v>130</v>
      </c>
      <c r="G1087" s="3" t="s">
        <v>193</v>
      </c>
      <c r="H1087" s="3">
        <v>1</v>
      </c>
      <c r="I1087" s="7">
        <v>1731.27</v>
      </c>
      <c r="J1087" s="9">
        <v>0.25</v>
      </c>
      <c r="K1087" s="7">
        <v>1298.45</v>
      </c>
      <c r="L1087" s="7">
        <v>161.22</v>
      </c>
      <c r="M1087" s="3" t="s">
        <v>56</v>
      </c>
      <c r="N1087" s="3" t="str">
        <f t="shared" si="64"/>
        <v>2024-10</v>
      </c>
      <c r="O1087" s="3" t="str">
        <f t="shared" si="65"/>
        <v>21%+</v>
      </c>
      <c r="P1087" s="9">
        <f t="shared" si="66"/>
        <v>0.12416342562285802</v>
      </c>
      <c r="Q1087" s="3" t="str">
        <f t="shared" si="67"/>
        <v>No</v>
      </c>
    </row>
    <row r="1088" spans="1:17" ht="21" customHeight="1">
      <c r="A1088" s="3" t="s">
        <v>1715</v>
      </c>
      <c r="B1088" s="5">
        <v>45588</v>
      </c>
      <c r="C1088" s="3" t="s">
        <v>1716</v>
      </c>
      <c r="D1088" s="3" t="s">
        <v>45</v>
      </c>
      <c r="E1088" s="3" t="s">
        <v>39</v>
      </c>
      <c r="F1088" s="3" t="s">
        <v>130</v>
      </c>
      <c r="G1088" s="3" t="s">
        <v>193</v>
      </c>
      <c r="H1088" s="3">
        <v>1</v>
      </c>
      <c r="I1088" s="7">
        <v>1814.01</v>
      </c>
      <c r="J1088" s="9">
        <v>0.25</v>
      </c>
      <c r="K1088" s="7">
        <v>1360.51</v>
      </c>
      <c r="L1088" s="7">
        <v>216</v>
      </c>
      <c r="M1088" s="3" t="s">
        <v>58</v>
      </c>
      <c r="N1088" s="3" t="str">
        <f t="shared" si="64"/>
        <v>2024-10</v>
      </c>
      <c r="O1088" s="3" t="str">
        <f t="shared" si="65"/>
        <v>21%+</v>
      </c>
      <c r="P1088" s="9">
        <f t="shared" si="66"/>
        <v>0.15876399291442181</v>
      </c>
      <c r="Q1088" s="3" t="str">
        <f t="shared" si="67"/>
        <v>No</v>
      </c>
    </row>
    <row r="1089" spans="1:17" ht="21" customHeight="1">
      <c r="A1089" s="3" t="s">
        <v>1717</v>
      </c>
      <c r="B1089" s="5">
        <v>45589</v>
      </c>
      <c r="C1089" s="3" t="s">
        <v>1245</v>
      </c>
      <c r="D1089" s="3" t="s">
        <v>44</v>
      </c>
      <c r="E1089" s="3" t="s">
        <v>39</v>
      </c>
      <c r="F1089" s="3" t="s">
        <v>164</v>
      </c>
      <c r="G1089" s="3" t="s">
        <v>200</v>
      </c>
      <c r="H1089" s="3">
        <v>1</v>
      </c>
      <c r="I1089" s="7">
        <v>1299.43</v>
      </c>
      <c r="J1089" s="9">
        <v>0</v>
      </c>
      <c r="K1089" s="7">
        <v>1299.43</v>
      </c>
      <c r="L1089" s="7">
        <v>525.61</v>
      </c>
      <c r="M1089" s="3" t="s">
        <v>56</v>
      </c>
      <c r="N1089" s="3" t="str">
        <f t="shared" si="64"/>
        <v>2024-10</v>
      </c>
      <c r="O1089" s="3" t="str">
        <f t="shared" si="65"/>
        <v>No discount</v>
      </c>
      <c r="P1089" s="9">
        <f t="shared" si="66"/>
        <v>0.40449273912407746</v>
      </c>
      <c r="Q1089" s="3" t="str">
        <f t="shared" si="67"/>
        <v>No</v>
      </c>
    </row>
    <row r="1090" spans="1:17" ht="21" customHeight="1">
      <c r="A1090" s="3" t="s">
        <v>1718</v>
      </c>
      <c r="B1090" s="5">
        <v>45589</v>
      </c>
      <c r="C1090" s="3" t="s">
        <v>626</v>
      </c>
      <c r="D1090" s="3" t="s">
        <v>44</v>
      </c>
      <c r="E1090" s="3" t="s">
        <v>42</v>
      </c>
      <c r="F1090" s="3" t="s">
        <v>90</v>
      </c>
      <c r="G1090" s="3" t="s">
        <v>106</v>
      </c>
      <c r="H1090" s="3">
        <v>4</v>
      </c>
      <c r="I1090" s="7">
        <v>895.11</v>
      </c>
      <c r="J1090" s="9">
        <v>0.1</v>
      </c>
      <c r="K1090" s="7">
        <v>3222.4</v>
      </c>
      <c r="L1090" s="7">
        <v>1524.79</v>
      </c>
      <c r="M1090" s="3" t="s">
        <v>56</v>
      </c>
      <c r="N1090" s="3" t="str">
        <f t="shared" ref="N1090:N1153" si="68">TEXT(B1090,"yyyy-mm")</f>
        <v>2024-10</v>
      </c>
      <c r="O1090" s="3" t="str">
        <f t="shared" ref="O1090:O1153" si="69">IF(J1090=0,"No discount",IF(J1090&lt;=0.1,"1-10%",IF(J1090&lt;=0.15,"11-15%",IF(J1090&lt;=0.2,"16-20%","21%+"))))</f>
        <v>1-10%</v>
      </c>
      <c r="P1090" s="9">
        <f t="shared" ref="P1090:P1153" si="70">IF(K1090=0,0,L1090/K1090)</f>
        <v>0.47318458291956306</v>
      </c>
      <c r="Q1090" s="3" t="str">
        <f t="shared" ref="Q1090:Q1153" si="71">IF(L1090&lt;0,"Yes","No")</f>
        <v>No</v>
      </c>
    </row>
    <row r="1091" spans="1:17" ht="21" customHeight="1">
      <c r="A1091" s="3" t="s">
        <v>1719</v>
      </c>
      <c r="B1091" s="5">
        <v>45589</v>
      </c>
      <c r="C1091" s="3" t="s">
        <v>1612</v>
      </c>
      <c r="D1091" s="3" t="s">
        <v>44</v>
      </c>
      <c r="E1091" s="3" t="s">
        <v>42</v>
      </c>
      <c r="F1091" s="3" t="s">
        <v>90</v>
      </c>
      <c r="G1091" s="3" t="s">
        <v>106</v>
      </c>
      <c r="H1091" s="3">
        <v>1</v>
      </c>
      <c r="I1091" s="7">
        <v>889.27</v>
      </c>
      <c r="J1091" s="9">
        <v>0.2</v>
      </c>
      <c r="K1091" s="7">
        <v>711.42</v>
      </c>
      <c r="L1091" s="7">
        <v>218.2</v>
      </c>
      <c r="M1091" s="3" t="s">
        <v>58</v>
      </c>
      <c r="N1091" s="3" t="str">
        <f t="shared" si="68"/>
        <v>2024-10</v>
      </c>
      <c r="O1091" s="3" t="str">
        <f t="shared" si="69"/>
        <v>16-20%</v>
      </c>
      <c r="P1091" s="9">
        <f t="shared" si="70"/>
        <v>0.30671052261673837</v>
      </c>
      <c r="Q1091" s="3" t="str">
        <f t="shared" si="71"/>
        <v>No</v>
      </c>
    </row>
    <row r="1092" spans="1:17" ht="21" customHeight="1">
      <c r="A1092" s="3" t="s">
        <v>1720</v>
      </c>
      <c r="B1092" s="5">
        <v>45589</v>
      </c>
      <c r="C1092" s="3" t="s">
        <v>262</v>
      </c>
      <c r="D1092" s="3" t="s">
        <v>46</v>
      </c>
      <c r="E1092" s="3" t="s">
        <v>39</v>
      </c>
      <c r="F1092" s="3" t="s">
        <v>164</v>
      </c>
      <c r="G1092" s="3" t="s">
        <v>200</v>
      </c>
      <c r="H1092" s="3">
        <v>4</v>
      </c>
      <c r="I1092" s="7">
        <v>1327.54</v>
      </c>
      <c r="J1092" s="9">
        <v>0.05</v>
      </c>
      <c r="K1092" s="7">
        <v>5044.6499999999996</v>
      </c>
      <c r="L1092" s="7">
        <v>1935.09</v>
      </c>
      <c r="M1092" s="3" t="s">
        <v>60</v>
      </c>
      <c r="N1092" s="3" t="str">
        <f t="shared" si="68"/>
        <v>2024-10</v>
      </c>
      <c r="O1092" s="3" t="str">
        <f t="shared" si="69"/>
        <v>1-10%</v>
      </c>
      <c r="P1092" s="9">
        <f t="shared" si="70"/>
        <v>0.38359251880705303</v>
      </c>
      <c r="Q1092" s="3" t="str">
        <f t="shared" si="71"/>
        <v>No</v>
      </c>
    </row>
    <row r="1093" spans="1:17" ht="21" customHeight="1">
      <c r="A1093" s="3" t="s">
        <v>1721</v>
      </c>
      <c r="B1093" s="5">
        <v>45589</v>
      </c>
      <c r="C1093" s="3" t="s">
        <v>1372</v>
      </c>
      <c r="D1093" s="3" t="s">
        <v>47</v>
      </c>
      <c r="E1093" s="3" t="s">
        <v>42</v>
      </c>
      <c r="F1093" s="3" t="s">
        <v>90</v>
      </c>
      <c r="G1093" s="3" t="s">
        <v>91</v>
      </c>
      <c r="H1093" s="3">
        <v>4</v>
      </c>
      <c r="I1093" s="7">
        <v>1177.07</v>
      </c>
      <c r="J1093" s="9">
        <v>0.1</v>
      </c>
      <c r="K1093" s="7">
        <v>4237.45</v>
      </c>
      <c r="L1093" s="7">
        <v>1987.12</v>
      </c>
      <c r="M1093" s="3" t="s">
        <v>60</v>
      </c>
      <c r="N1093" s="3" t="str">
        <f t="shared" si="68"/>
        <v>2024-10</v>
      </c>
      <c r="O1093" s="3" t="str">
        <f t="shared" si="69"/>
        <v>1-10%</v>
      </c>
      <c r="P1093" s="9">
        <f t="shared" si="70"/>
        <v>0.46894240640007551</v>
      </c>
      <c r="Q1093" s="3" t="str">
        <f t="shared" si="71"/>
        <v>No</v>
      </c>
    </row>
    <row r="1094" spans="1:17" ht="21" customHeight="1">
      <c r="A1094" s="3" t="s">
        <v>1722</v>
      </c>
      <c r="B1094" s="5">
        <v>45589</v>
      </c>
      <c r="C1094" s="3" t="s">
        <v>1010</v>
      </c>
      <c r="D1094" s="3" t="s">
        <v>45</v>
      </c>
      <c r="E1094" s="3" t="s">
        <v>40</v>
      </c>
      <c r="F1094" s="3" t="s">
        <v>102</v>
      </c>
      <c r="G1094" s="3" t="s">
        <v>103</v>
      </c>
      <c r="H1094" s="3">
        <v>1</v>
      </c>
      <c r="I1094" s="7">
        <v>6604.93</v>
      </c>
      <c r="J1094" s="9">
        <v>0</v>
      </c>
      <c r="K1094" s="7">
        <v>6604.93</v>
      </c>
      <c r="L1094" s="7">
        <v>2158.87</v>
      </c>
      <c r="M1094" s="3" t="s">
        <v>57</v>
      </c>
      <c r="N1094" s="3" t="str">
        <f t="shared" si="68"/>
        <v>2024-10</v>
      </c>
      <c r="O1094" s="3" t="str">
        <f t="shared" si="69"/>
        <v>No discount</v>
      </c>
      <c r="P1094" s="9">
        <f t="shared" si="70"/>
        <v>0.32685736260641668</v>
      </c>
      <c r="Q1094" s="3" t="str">
        <f t="shared" si="71"/>
        <v>No</v>
      </c>
    </row>
    <row r="1095" spans="1:17" ht="21" customHeight="1">
      <c r="A1095" s="3" t="s">
        <v>1723</v>
      </c>
      <c r="B1095" s="5">
        <v>45590</v>
      </c>
      <c r="C1095" s="3" t="s">
        <v>545</v>
      </c>
      <c r="D1095" s="3" t="s">
        <v>45</v>
      </c>
      <c r="E1095" s="3" t="s">
        <v>41</v>
      </c>
      <c r="F1095" s="3" t="s">
        <v>113</v>
      </c>
      <c r="G1095" s="3" t="s">
        <v>123</v>
      </c>
      <c r="H1095" s="3">
        <v>1</v>
      </c>
      <c r="I1095" s="7">
        <v>3356.61</v>
      </c>
      <c r="J1095" s="9">
        <v>0.05</v>
      </c>
      <c r="K1095" s="7">
        <v>3188.78</v>
      </c>
      <c r="L1095" s="7">
        <v>1053.3900000000001</v>
      </c>
      <c r="M1095" s="3" t="s">
        <v>56</v>
      </c>
      <c r="N1095" s="3" t="str">
        <f t="shared" si="68"/>
        <v>2024-10</v>
      </c>
      <c r="O1095" s="3" t="str">
        <f t="shared" si="69"/>
        <v>1-10%</v>
      </c>
      <c r="P1095" s="9">
        <f t="shared" si="70"/>
        <v>0.33034263887756449</v>
      </c>
      <c r="Q1095" s="3" t="str">
        <f t="shared" si="71"/>
        <v>No</v>
      </c>
    </row>
    <row r="1096" spans="1:17" ht="21" customHeight="1">
      <c r="A1096" s="3" t="s">
        <v>1724</v>
      </c>
      <c r="B1096" s="5">
        <v>45590</v>
      </c>
      <c r="C1096" s="3" t="s">
        <v>1725</v>
      </c>
      <c r="D1096" s="3" t="s">
        <v>47</v>
      </c>
      <c r="E1096" s="3" t="s">
        <v>40</v>
      </c>
      <c r="F1096" s="3" t="s">
        <v>102</v>
      </c>
      <c r="G1096" s="3" t="s">
        <v>103</v>
      </c>
      <c r="H1096" s="3">
        <v>1</v>
      </c>
      <c r="I1096" s="7">
        <v>6318.16</v>
      </c>
      <c r="J1096" s="9">
        <v>0.15</v>
      </c>
      <c r="K1096" s="7">
        <v>5370.44</v>
      </c>
      <c r="L1096" s="7">
        <v>777.69</v>
      </c>
      <c r="M1096" s="3" t="s">
        <v>60</v>
      </c>
      <c r="N1096" s="3" t="str">
        <f t="shared" si="68"/>
        <v>2024-10</v>
      </c>
      <c r="O1096" s="3" t="str">
        <f t="shared" si="69"/>
        <v>11-15%</v>
      </c>
      <c r="P1096" s="9">
        <f t="shared" si="70"/>
        <v>0.14480936385100665</v>
      </c>
      <c r="Q1096" s="3" t="str">
        <f t="shared" si="71"/>
        <v>No</v>
      </c>
    </row>
    <row r="1097" spans="1:17" ht="21" customHeight="1">
      <c r="A1097" s="3" t="s">
        <v>1726</v>
      </c>
      <c r="B1097" s="5">
        <v>45590</v>
      </c>
      <c r="C1097" s="3" t="s">
        <v>654</v>
      </c>
      <c r="D1097" s="3" t="s">
        <v>47</v>
      </c>
      <c r="E1097" s="3" t="s">
        <v>41</v>
      </c>
      <c r="F1097" s="3" t="s">
        <v>119</v>
      </c>
      <c r="G1097" s="3" t="s">
        <v>120</v>
      </c>
      <c r="H1097" s="3">
        <v>2</v>
      </c>
      <c r="I1097" s="7">
        <v>1278.9000000000001</v>
      </c>
      <c r="J1097" s="9">
        <v>0.1</v>
      </c>
      <c r="K1097" s="7">
        <v>2302.02</v>
      </c>
      <c r="L1097" s="7">
        <v>556.17999999999995</v>
      </c>
      <c r="M1097" s="3" t="s">
        <v>56</v>
      </c>
      <c r="N1097" s="3" t="str">
        <f t="shared" si="68"/>
        <v>2024-10</v>
      </c>
      <c r="O1097" s="3" t="str">
        <f t="shared" si="69"/>
        <v>1-10%</v>
      </c>
      <c r="P1097" s="9">
        <f t="shared" si="70"/>
        <v>0.24160519891225965</v>
      </c>
      <c r="Q1097" s="3" t="str">
        <f t="shared" si="71"/>
        <v>No</v>
      </c>
    </row>
    <row r="1098" spans="1:17" ht="21" customHeight="1">
      <c r="A1098" s="3" t="s">
        <v>1727</v>
      </c>
      <c r="B1098" s="5">
        <v>45590</v>
      </c>
      <c r="C1098" s="3" t="s">
        <v>259</v>
      </c>
      <c r="D1098" s="3" t="s">
        <v>45</v>
      </c>
      <c r="E1098" s="3" t="s">
        <v>42</v>
      </c>
      <c r="F1098" s="3" t="s">
        <v>126</v>
      </c>
      <c r="G1098" s="3" t="s">
        <v>127</v>
      </c>
      <c r="H1098" s="3">
        <v>2</v>
      </c>
      <c r="I1098" s="7">
        <v>977.86</v>
      </c>
      <c r="J1098" s="9">
        <v>0</v>
      </c>
      <c r="K1098" s="7">
        <v>1955.72</v>
      </c>
      <c r="L1098" s="7">
        <v>1032</v>
      </c>
      <c r="M1098" s="3" t="s">
        <v>56</v>
      </c>
      <c r="N1098" s="3" t="str">
        <f t="shared" si="68"/>
        <v>2024-10</v>
      </c>
      <c r="O1098" s="3" t="str">
        <f t="shared" si="69"/>
        <v>No discount</v>
      </c>
      <c r="P1098" s="9">
        <f t="shared" si="70"/>
        <v>0.52768289939255109</v>
      </c>
      <c r="Q1098" s="3" t="str">
        <f t="shared" si="71"/>
        <v>No</v>
      </c>
    </row>
    <row r="1099" spans="1:17" ht="21" customHeight="1">
      <c r="A1099" s="3" t="s">
        <v>1728</v>
      </c>
      <c r="B1099" s="5">
        <v>45590</v>
      </c>
      <c r="C1099" s="3" t="s">
        <v>1729</v>
      </c>
      <c r="D1099" s="3" t="s">
        <v>47</v>
      </c>
      <c r="E1099" s="3" t="s">
        <v>41</v>
      </c>
      <c r="F1099" s="3" t="s">
        <v>113</v>
      </c>
      <c r="G1099" s="3" t="s">
        <v>123</v>
      </c>
      <c r="H1099" s="3">
        <v>2</v>
      </c>
      <c r="I1099" s="7">
        <v>3382.99</v>
      </c>
      <c r="J1099" s="9">
        <v>0.05</v>
      </c>
      <c r="K1099" s="7">
        <v>6427.68</v>
      </c>
      <c r="L1099" s="7">
        <v>2180.79</v>
      </c>
      <c r="M1099" s="3" t="s">
        <v>57</v>
      </c>
      <c r="N1099" s="3" t="str">
        <f t="shared" si="68"/>
        <v>2024-10</v>
      </c>
      <c r="O1099" s="3" t="str">
        <f t="shared" si="69"/>
        <v>1-10%</v>
      </c>
      <c r="P1099" s="9">
        <f t="shared" si="70"/>
        <v>0.33928104697184674</v>
      </c>
      <c r="Q1099" s="3" t="str">
        <f t="shared" si="71"/>
        <v>No</v>
      </c>
    </row>
    <row r="1100" spans="1:17" ht="21" customHeight="1">
      <c r="A1100" s="3" t="s">
        <v>1730</v>
      </c>
      <c r="B1100" s="5">
        <v>45590</v>
      </c>
      <c r="C1100" s="3" t="s">
        <v>1731</v>
      </c>
      <c r="D1100" s="3" t="s">
        <v>45</v>
      </c>
      <c r="E1100" s="3" t="s">
        <v>39</v>
      </c>
      <c r="F1100" s="3" t="s">
        <v>130</v>
      </c>
      <c r="G1100" s="3" t="s">
        <v>131</v>
      </c>
      <c r="H1100" s="3">
        <v>4</v>
      </c>
      <c r="I1100" s="7">
        <v>2133.17</v>
      </c>
      <c r="J1100" s="9">
        <v>0.05</v>
      </c>
      <c r="K1100" s="7">
        <v>8106.05</v>
      </c>
      <c r="L1100" s="7">
        <v>3031.91</v>
      </c>
      <c r="M1100" s="3" t="s">
        <v>56</v>
      </c>
      <c r="N1100" s="3" t="str">
        <f t="shared" si="68"/>
        <v>2024-10</v>
      </c>
      <c r="O1100" s="3" t="str">
        <f t="shared" si="69"/>
        <v>1-10%</v>
      </c>
      <c r="P1100" s="9">
        <f t="shared" si="70"/>
        <v>0.37403050807730026</v>
      </c>
      <c r="Q1100" s="3" t="str">
        <f t="shared" si="71"/>
        <v>No</v>
      </c>
    </row>
    <row r="1101" spans="1:17" ht="21" customHeight="1">
      <c r="A1101" s="3" t="s">
        <v>1732</v>
      </c>
      <c r="B1101" s="5">
        <v>45590</v>
      </c>
      <c r="C1101" s="3" t="s">
        <v>1441</v>
      </c>
      <c r="D1101" s="3" t="s">
        <v>45</v>
      </c>
      <c r="E1101" s="3" t="s">
        <v>40</v>
      </c>
      <c r="F1101" s="3" t="s">
        <v>221</v>
      </c>
      <c r="G1101" s="3" t="s">
        <v>222</v>
      </c>
      <c r="H1101" s="3">
        <v>1</v>
      </c>
      <c r="I1101" s="7">
        <v>987.65</v>
      </c>
      <c r="J1101" s="9">
        <v>0</v>
      </c>
      <c r="K1101" s="7">
        <v>987.65</v>
      </c>
      <c r="L1101" s="7">
        <v>321.69</v>
      </c>
      <c r="M1101" s="3" t="s">
        <v>58</v>
      </c>
      <c r="N1101" s="3" t="str">
        <f t="shared" si="68"/>
        <v>2024-10</v>
      </c>
      <c r="O1101" s="3" t="str">
        <f t="shared" si="69"/>
        <v>No discount</v>
      </c>
      <c r="P1101" s="9">
        <f t="shared" si="70"/>
        <v>0.32571254999240623</v>
      </c>
      <c r="Q1101" s="3" t="str">
        <f t="shared" si="71"/>
        <v>No</v>
      </c>
    </row>
    <row r="1102" spans="1:17" ht="21" customHeight="1">
      <c r="A1102" s="3" t="s">
        <v>1733</v>
      </c>
      <c r="B1102" s="5">
        <v>45590</v>
      </c>
      <c r="C1102" s="3" t="s">
        <v>1734</v>
      </c>
      <c r="D1102" s="3" t="s">
        <v>46</v>
      </c>
      <c r="E1102" s="3" t="s">
        <v>41</v>
      </c>
      <c r="F1102" s="3" t="s">
        <v>119</v>
      </c>
      <c r="G1102" s="3" t="s">
        <v>168</v>
      </c>
      <c r="H1102" s="3">
        <v>4</v>
      </c>
      <c r="I1102" s="7">
        <v>10246.959999999999</v>
      </c>
      <c r="J1102" s="9">
        <v>0.4</v>
      </c>
      <c r="K1102" s="7">
        <v>24592.7</v>
      </c>
      <c r="L1102" s="7">
        <v>-2808.77</v>
      </c>
      <c r="M1102" s="3" t="s">
        <v>56</v>
      </c>
      <c r="N1102" s="3" t="str">
        <f t="shared" si="68"/>
        <v>2024-10</v>
      </c>
      <c r="O1102" s="3" t="str">
        <f t="shared" si="69"/>
        <v>21%+</v>
      </c>
      <c r="P1102" s="9">
        <f t="shared" si="70"/>
        <v>-0.11421153431709409</v>
      </c>
      <c r="Q1102" s="3" t="str">
        <f t="shared" si="71"/>
        <v>Yes</v>
      </c>
    </row>
    <row r="1103" spans="1:17" ht="21" customHeight="1">
      <c r="A1103" s="3" t="s">
        <v>1735</v>
      </c>
      <c r="B1103" s="5">
        <v>45590</v>
      </c>
      <c r="C1103" s="3" t="s">
        <v>1736</v>
      </c>
      <c r="D1103" s="3" t="s">
        <v>46</v>
      </c>
      <c r="E1103" s="3" t="s">
        <v>40</v>
      </c>
      <c r="F1103" s="3" t="s">
        <v>221</v>
      </c>
      <c r="G1103" s="3" t="s">
        <v>279</v>
      </c>
      <c r="H1103" s="3">
        <v>1</v>
      </c>
      <c r="I1103" s="7">
        <v>1457.27</v>
      </c>
      <c r="J1103" s="9">
        <v>0.15</v>
      </c>
      <c r="K1103" s="7">
        <v>1238.68</v>
      </c>
      <c r="L1103" s="7">
        <v>159.85</v>
      </c>
      <c r="M1103" s="3" t="s">
        <v>57</v>
      </c>
      <c r="N1103" s="3" t="str">
        <f t="shared" si="68"/>
        <v>2024-10</v>
      </c>
      <c r="O1103" s="3" t="str">
        <f t="shared" si="69"/>
        <v>11-15%</v>
      </c>
      <c r="P1103" s="9">
        <f t="shared" si="70"/>
        <v>0.12904866470759194</v>
      </c>
      <c r="Q1103" s="3" t="str">
        <f t="shared" si="71"/>
        <v>No</v>
      </c>
    </row>
    <row r="1104" spans="1:17" ht="21" customHeight="1">
      <c r="A1104" s="3" t="s">
        <v>1737</v>
      </c>
      <c r="B1104" s="5">
        <v>45590</v>
      </c>
      <c r="C1104" s="3" t="s">
        <v>157</v>
      </c>
      <c r="D1104" s="3" t="s">
        <v>44</v>
      </c>
      <c r="E1104" s="3" t="s">
        <v>38</v>
      </c>
      <c r="F1104" s="3" t="s">
        <v>142</v>
      </c>
      <c r="G1104" s="3" t="s">
        <v>245</v>
      </c>
      <c r="H1104" s="3">
        <v>1</v>
      </c>
      <c r="I1104" s="7">
        <v>5233.51</v>
      </c>
      <c r="J1104" s="9">
        <v>0.2</v>
      </c>
      <c r="K1104" s="7">
        <v>4186.8100000000004</v>
      </c>
      <c r="L1104" s="7">
        <v>-83.86</v>
      </c>
      <c r="M1104" s="3" t="s">
        <v>59</v>
      </c>
      <c r="N1104" s="3" t="str">
        <f t="shared" si="68"/>
        <v>2024-10</v>
      </c>
      <c r="O1104" s="3" t="str">
        <f t="shared" si="69"/>
        <v>16-20%</v>
      </c>
      <c r="P1104" s="9">
        <f t="shared" si="70"/>
        <v>-2.0029569051378017E-2</v>
      </c>
      <c r="Q1104" s="3" t="str">
        <f t="shared" si="71"/>
        <v>Yes</v>
      </c>
    </row>
    <row r="1105" spans="1:17" ht="21" customHeight="1">
      <c r="A1105" s="3" t="s">
        <v>1738</v>
      </c>
      <c r="B1105" s="5">
        <v>45591</v>
      </c>
      <c r="C1105" s="3" t="s">
        <v>1028</v>
      </c>
      <c r="D1105" s="3" t="s">
        <v>44</v>
      </c>
      <c r="E1105" s="3" t="s">
        <v>42</v>
      </c>
      <c r="F1105" s="3" t="s">
        <v>126</v>
      </c>
      <c r="G1105" s="3" t="s">
        <v>151</v>
      </c>
      <c r="H1105" s="3">
        <v>4</v>
      </c>
      <c r="I1105" s="7">
        <v>1564.21</v>
      </c>
      <c r="J1105" s="9">
        <v>0</v>
      </c>
      <c r="K1105" s="7">
        <v>6256.84</v>
      </c>
      <c r="L1105" s="7">
        <v>3671.72</v>
      </c>
      <c r="M1105" s="3" t="s">
        <v>57</v>
      </c>
      <c r="N1105" s="3" t="str">
        <f t="shared" si="68"/>
        <v>2024-10</v>
      </c>
      <c r="O1105" s="3" t="str">
        <f t="shared" si="69"/>
        <v>No discount</v>
      </c>
      <c r="P1105" s="9">
        <f t="shared" si="70"/>
        <v>0.58683296999763457</v>
      </c>
      <c r="Q1105" s="3" t="str">
        <f t="shared" si="71"/>
        <v>No</v>
      </c>
    </row>
    <row r="1106" spans="1:17" ht="21" customHeight="1">
      <c r="A1106" s="3" t="s">
        <v>1739</v>
      </c>
      <c r="B1106" s="5">
        <v>45591</v>
      </c>
      <c r="C1106" s="3" t="s">
        <v>1228</v>
      </c>
      <c r="D1106" s="3" t="s">
        <v>46</v>
      </c>
      <c r="E1106" s="3" t="s">
        <v>39</v>
      </c>
      <c r="F1106" s="3" t="s">
        <v>164</v>
      </c>
      <c r="G1106" s="3" t="s">
        <v>165</v>
      </c>
      <c r="H1106" s="3">
        <v>1</v>
      </c>
      <c r="I1106" s="7">
        <v>1923.67</v>
      </c>
      <c r="J1106" s="9">
        <v>0</v>
      </c>
      <c r="K1106" s="7">
        <v>1923.67</v>
      </c>
      <c r="L1106" s="7">
        <v>811.94</v>
      </c>
      <c r="M1106" s="3" t="s">
        <v>56</v>
      </c>
      <c r="N1106" s="3" t="str">
        <f t="shared" si="68"/>
        <v>2024-10</v>
      </c>
      <c r="O1106" s="3" t="str">
        <f t="shared" si="69"/>
        <v>No discount</v>
      </c>
      <c r="P1106" s="9">
        <f t="shared" si="70"/>
        <v>0.42207863095021497</v>
      </c>
      <c r="Q1106" s="3" t="str">
        <f t="shared" si="71"/>
        <v>No</v>
      </c>
    </row>
    <row r="1107" spans="1:17" ht="21" customHeight="1">
      <c r="A1107" s="3" t="s">
        <v>1740</v>
      </c>
      <c r="B1107" s="5">
        <v>45592</v>
      </c>
      <c r="C1107" s="3" t="s">
        <v>668</v>
      </c>
      <c r="D1107" s="3" t="s">
        <v>46</v>
      </c>
      <c r="E1107" s="3" t="s">
        <v>42</v>
      </c>
      <c r="F1107" s="3" t="s">
        <v>126</v>
      </c>
      <c r="G1107" s="3" t="s">
        <v>127</v>
      </c>
      <c r="H1107" s="3">
        <v>2</v>
      </c>
      <c r="I1107" s="7">
        <v>1037.44</v>
      </c>
      <c r="J1107" s="9">
        <v>0</v>
      </c>
      <c r="K1107" s="7">
        <v>2074.88</v>
      </c>
      <c r="L1107" s="7">
        <v>1182.83</v>
      </c>
      <c r="M1107" s="3" t="s">
        <v>56</v>
      </c>
      <c r="N1107" s="3" t="str">
        <f t="shared" si="68"/>
        <v>2024-10</v>
      </c>
      <c r="O1107" s="3" t="str">
        <f t="shared" si="69"/>
        <v>No discount</v>
      </c>
      <c r="P1107" s="9">
        <f t="shared" si="70"/>
        <v>0.5700715222085132</v>
      </c>
      <c r="Q1107" s="3" t="str">
        <f t="shared" si="71"/>
        <v>No</v>
      </c>
    </row>
    <row r="1108" spans="1:17" ht="21" customHeight="1">
      <c r="A1108" s="3" t="s">
        <v>1741</v>
      </c>
      <c r="B1108" s="5">
        <v>45592</v>
      </c>
      <c r="C1108" s="3" t="s">
        <v>1257</v>
      </c>
      <c r="D1108" s="3" t="s">
        <v>46</v>
      </c>
      <c r="E1108" s="3" t="s">
        <v>38</v>
      </c>
      <c r="F1108" s="3" t="s">
        <v>142</v>
      </c>
      <c r="G1108" s="3" t="s">
        <v>143</v>
      </c>
      <c r="H1108" s="3">
        <v>2</v>
      </c>
      <c r="I1108" s="7">
        <v>8985.08</v>
      </c>
      <c r="J1108" s="9">
        <v>0</v>
      </c>
      <c r="K1108" s="7">
        <v>17970.16</v>
      </c>
      <c r="L1108" s="7">
        <v>3578.51</v>
      </c>
      <c r="M1108" s="3" t="s">
        <v>56</v>
      </c>
      <c r="N1108" s="3" t="str">
        <f t="shared" si="68"/>
        <v>2024-10</v>
      </c>
      <c r="O1108" s="3" t="str">
        <f t="shared" si="69"/>
        <v>No discount</v>
      </c>
      <c r="P1108" s="9">
        <f t="shared" si="70"/>
        <v>0.19913623473580649</v>
      </c>
      <c r="Q1108" s="3" t="str">
        <f t="shared" si="71"/>
        <v>No</v>
      </c>
    </row>
    <row r="1109" spans="1:17" ht="21" customHeight="1">
      <c r="A1109" s="3" t="s">
        <v>1742</v>
      </c>
      <c r="B1109" s="5">
        <v>45592</v>
      </c>
      <c r="C1109" s="3" t="s">
        <v>741</v>
      </c>
      <c r="D1109" s="3" t="s">
        <v>44</v>
      </c>
      <c r="E1109" s="3" t="s">
        <v>42</v>
      </c>
      <c r="F1109" s="3" t="s">
        <v>126</v>
      </c>
      <c r="G1109" s="3" t="s">
        <v>151</v>
      </c>
      <c r="H1109" s="3">
        <v>5</v>
      </c>
      <c r="I1109" s="7">
        <v>1570.52</v>
      </c>
      <c r="J1109" s="9">
        <v>0</v>
      </c>
      <c r="K1109" s="7">
        <v>7852.6</v>
      </c>
      <c r="L1109" s="7">
        <v>4418.29</v>
      </c>
      <c r="M1109" s="3" t="s">
        <v>56</v>
      </c>
      <c r="N1109" s="3" t="str">
        <f t="shared" si="68"/>
        <v>2024-10</v>
      </c>
      <c r="O1109" s="3" t="str">
        <f t="shared" si="69"/>
        <v>No discount</v>
      </c>
      <c r="P1109" s="9">
        <f t="shared" si="70"/>
        <v>0.56265313399383643</v>
      </c>
      <c r="Q1109" s="3" t="str">
        <f t="shared" si="71"/>
        <v>No</v>
      </c>
    </row>
    <row r="1110" spans="1:17" ht="21" customHeight="1">
      <c r="A1110" s="3" t="s">
        <v>1743</v>
      </c>
      <c r="B1110" s="5">
        <v>45592</v>
      </c>
      <c r="C1110" s="3" t="s">
        <v>1744</v>
      </c>
      <c r="D1110" s="3" t="s">
        <v>45</v>
      </c>
      <c r="E1110" s="3" t="s">
        <v>38</v>
      </c>
      <c r="F1110" s="3" t="s">
        <v>98</v>
      </c>
      <c r="G1110" s="3" t="s">
        <v>182</v>
      </c>
      <c r="H1110" s="3">
        <v>3</v>
      </c>
      <c r="I1110" s="7">
        <v>72828.78</v>
      </c>
      <c r="J1110" s="9">
        <v>0.25</v>
      </c>
      <c r="K1110" s="7">
        <v>163864.76</v>
      </c>
      <c r="L1110" s="7">
        <v>-19524.580000000002</v>
      </c>
      <c r="M1110" s="3" t="s">
        <v>57</v>
      </c>
      <c r="N1110" s="3" t="str">
        <f t="shared" si="68"/>
        <v>2024-10</v>
      </c>
      <c r="O1110" s="3" t="str">
        <f t="shared" si="69"/>
        <v>21%+</v>
      </c>
      <c r="P1110" s="9">
        <f t="shared" si="70"/>
        <v>-0.11915057270397858</v>
      </c>
      <c r="Q1110" s="3" t="str">
        <f t="shared" si="71"/>
        <v>Yes</v>
      </c>
    </row>
    <row r="1111" spans="1:17" ht="21" customHeight="1">
      <c r="A1111" s="3" t="s">
        <v>1745</v>
      </c>
      <c r="B1111" s="5">
        <v>45592</v>
      </c>
      <c r="C1111" s="3" t="s">
        <v>1103</v>
      </c>
      <c r="D1111" s="3" t="s">
        <v>47</v>
      </c>
      <c r="E1111" s="3" t="s">
        <v>39</v>
      </c>
      <c r="F1111" s="3" t="s">
        <v>109</v>
      </c>
      <c r="G1111" s="3" t="s">
        <v>355</v>
      </c>
      <c r="H1111" s="3">
        <v>1</v>
      </c>
      <c r="I1111" s="7">
        <v>3582.79</v>
      </c>
      <c r="J1111" s="9">
        <v>0.15</v>
      </c>
      <c r="K1111" s="7">
        <v>3045.37</v>
      </c>
      <c r="L1111" s="7">
        <v>863</v>
      </c>
      <c r="M1111" s="3" t="s">
        <v>56</v>
      </c>
      <c r="N1111" s="3" t="str">
        <f t="shared" si="68"/>
        <v>2024-10</v>
      </c>
      <c r="O1111" s="3" t="str">
        <f t="shared" si="69"/>
        <v>11-15%</v>
      </c>
      <c r="P1111" s="9">
        <f t="shared" si="70"/>
        <v>0.28338100132332034</v>
      </c>
      <c r="Q1111" s="3" t="str">
        <f t="shared" si="71"/>
        <v>No</v>
      </c>
    </row>
    <row r="1112" spans="1:17" ht="21" customHeight="1">
      <c r="A1112" s="3" t="s">
        <v>1746</v>
      </c>
      <c r="B1112" s="5">
        <v>45592</v>
      </c>
      <c r="C1112" s="3" t="s">
        <v>1631</v>
      </c>
      <c r="D1112" s="3" t="s">
        <v>45</v>
      </c>
      <c r="E1112" s="3" t="s">
        <v>38</v>
      </c>
      <c r="F1112" s="3" t="s">
        <v>98</v>
      </c>
      <c r="G1112" s="3" t="s">
        <v>99</v>
      </c>
      <c r="H1112" s="3">
        <v>1</v>
      </c>
      <c r="I1112" s="7">
        <v>25045.55</v>
      </c>
      <c r="J1112" s="9">
        <v>0</v>
      </c>
      <c r="K1112" s="7">
        <v>25045.55</v>
      </c>
      <c r="L1112" s="7">
        <v>3787.33</v>
      </c>
      <c r="M1112" s="3" t="s">
        <v>56</v>
      </c>
      <c r="N1112" s="3" t="str">
        <f t="shared" si="68"/>
        <v>2024-10</v>
      </c>
      <c r="O1112" s="3" t="str">
        <f t="shared" si="69"/>
        <v>No discount</v>
      </c>
      <c r="P1112" s="9">
        <f t="shared" si="70"/>
        <v>0.15121768138451741</v>
      </c>
      <c r="Q1112" s="3" t="str">
        <f t="shared" si="71"/>
        <v>No</v>
      </c>
    </row>
    <row r="1113" spans="1:17" ht="21" customHeight="1">
      <c r="A1113" s="3" t="s">
        <v>1747</v>
      </c>
      <c r="B1113" s="5">
        <v>45592</v>
      </c>
      <c r="C1113" s="3" t="s">
        <v>291</v>
      </c>
      <c r="D1113" s="3" t="s">
        <v>45</v>
      </c>
      <c r="E1113" s="3" t="s">
        <v>42</v>
      </c>
      <c r="F1113" s="3" t="s">
        <v>126</v>
      </c>
      <c r="G1113" s="3" t="s">
        <v>151</v>
      </c>
      <c r="H1113" s="3">
        <v>1</v>
      </c>
      <c r="I1113" s="7">
        <v>1477.08</v>
      </c>
      <c r="J1113" s="9">
        <v>0.05</v>
      </c>
      <c r="K1113" s="7">
        <v>1403.23</v>
      </c>
      <c r="L1113" s="7">
        <v>649.9</v>
      </c>
      <c r="M1113" s="3" t="s">
        <v>58</v>
      </c>
      <c r="N1113" s="3" t="str">
        <f t="shared" si="68"/>
        <v>2024-10</v>
      </c>
      <c r="O1113" s="3" t="str">
        <f t="shared" si="69"/>
        <v>1-10%</v>
      </c>
      <c r="P1113" s="9">
        <f t="shared" si="70"/>
        <v>0.46314574232306888</v>
      </c>
      <c r="Q1113" s="3" t="str">
        <f t="shared" si="71"/>
        <v>No</v>
      </c>
    </row>
    <row r="1114" spans="1:17" ht="21" customHeight="1">
      <c r="A1114" s="3" t="s">
        <v>1748</v>
      </c>
      <c r="B1114" s="5">
        <v>45592</v>
      </c>
      <c r="C1114" s="3" t="s">
        <v>591</v>
      </c>
      <c r="D1114" s="3" t="s">
        <v>45</v>
      </c>
      <c r="E1114" s="3" t="s">
        <v>38</v>
      </c>
      <c r="F1114" s="3" t="s">
        <v>98</v>
      </c>
      <c r="G1114" s="3" t="s">
        <v>99</v>
      </c>
      <c r="H1114" s="3">
        <v>2</v>
      </c>
      <c r="I1114" s="7">
        <v>25693.919999999998</v>
      </c>
      <c r="J1114" s="9">
        <v>0.05</v>
      </c>
      <c r="K1114" s="7">
        <v>48818.45</v>
      </c>
      <c r="L1114" s="7">
        <v>5070.32</v>
      </c>
      <c r="M1114" s="3" t="s">
        <v>56</v>
      </c>
      <c r="N1114" s="3" t="str">
        <f t="shared" si="68"/>
        <v>2024-10</v>
      </c>
      <c r="O1114" s="3" t="str">
        <f t="shared" si="69"/>
        <v>1-10%</v>
      </c>
      <c r="P1114" s="9">
        <f t="shared" si="70"/>
        <v>0.1038607329810758</v>
      </c>
      <c r="Q1114" s="3" t="str">
        <f t="shared" si="71"/>
        <v>No</v>
      </c>
    </row>
    <row r="1115" spans="1:17" ht="21" customHeight="1">
      <c r="A1115" s="3" t="s">
        <v>1749</v>
      </c>
      <c r="B1115" s="5">
        <v>45593</v>
      </c>
      <c r="C1115" s="3" t="s">
        <v>1115</v>
      </c>
      <c r="D1115" s="3" t="s">
        <v>47</v>
      </c>
      <c r="E1115" s="3" t="s">
        <v>39</v>
      </c>
      <c r="F1115" s="3" t="s">
        <v>130</v>
      </c>
      <c r="G1115" s="3" t="s">
        <v>193</v>
      </c>
      <c r="H1115" s="3">
        <v>1</v>
      </c>
      <c r="I1115" s="7">
        <v>1825.02</v>
      </c>
      <c r="J1115" s="9">
        <v>0.1</v>
      </c>
      <c r="K1115" s="7">
        <v>1642.52</v>
      </c>
      <c r="L1115" s="7">
        <v>480.91</v>
      </c>
      <c r="M1115" s="3" t="s">
        <v>58</v>
      </c>
      <c r="N1115" s="3" t="str">
        <f t="shared" si="68"/>
        <v>2024-10</v>
      </c>
      <c r="O1115" s="3" t="str">
        <f t="shared" si="69"/>
        <v>1-10%</v>
      </c>
      <c r="P1115" s="9">
        <f t="shared" si="70"/>
        <v>0.29278791125831044</v>
      </c>
      <c r="Q1115" s="3" t="str">
        <f t="shared" si="71"/>
        <v>No</v>
      </c>
    </row>
    <row r="1116" spans="1:17" ht="21" customHeight="1">
      <c r="A1116" s="3" t="s">
        <v>1750</v>
      </c>
      <c r="B1116" s="5">
        <v>45593</v>
      </c>
      <c r="C1116" s="3" t="s">
        <v>1751</v>
      </c>
      <c r="D1116" s="3" t="s">
        <v>45</v>
      </c>
      <c r="E1116" s="3" t="s">
        <v>42</v>
      </c>
      <c r="F1116" s="3" t="s">
        <v>90</v>
      </c>
      <c r="G1116" s="3" t="s">
        <v>91</v>
      </c>
      <c r="H1116" s="3">
        <v>1</v>
      </c>
      <c r="I1116" s="7">
        <v>1207.8699999999999</v>
      </c>
      <c r="J1116" s="9">
        <v>0.25</v>
      </c>
      <c r="K1116" s="7">
        <v>905.9</v>
      </c>
      <c r="L1116" s="7">
        <v>225.59</v>
      </c>
      <c r="M1116" s="3" t="s">
        <v>60</v>
      </c>
      <c r="N1116" s="3" t="str">
        <f t="shared" si="68"/>
        <v>2024-10</v>
      </c>
      <c r="O1116" s="3" t="str">
        <f t="shared" si="69"/>
        <v>21%+</v>
      </c>
      <c r="P1116" s="9">
        <f t="shared" si="70"/>
        <v>0.24902307097913678</v>
      </c>
      <c r="Q1116" s="3" t="str">
        <f t="shared" si="71"/>
        <v>No</v>
      </c>
    </row>
    <row r="1117" spans="1:17" ht="21" customHeight="1">
      <c r="A1117" s="3" t="s">
        <v>1752</v>
      </c>
      <c r="B1117" s="5">
        <v>45593</v>
      </c>
      <c r="C1117" s="3" t="s">
        <v>1067</v>
      </c>
      <c r="D1117" s="3" t="s">
        <v>47</v>
      </c>
      <c r="E1117" s="3" t="s">
        <v>39</v>
      </c>
      <c r="F1117" s="3" t="s">
        <v>164</v>
      </c>
      <c r="G1117" s="3" t="s">
        <v>200</v>
      </c>
      <c r="H1117" s="3">
        <v>2</v>
      </c>
      <c r="I1117" s="7">
        <v>1289.8499999999999</v>
      </c>
      <c r="J1117" s="9">
        <v>0.05</v>
      </c>
      <c r="K1117" s="7">
        <v>2450.71</v>
      </c>
      <c r="L1117" s="7">
        <v>915.07</v>
      </c>
      <c r="M1117" s="3" t="s">
        <v>58</v>
      </c>
      <c r="N1117" s="3" t="str">
        <f t="shared" si="68"/>
        <v>2024-10</v>
      </c>
      <c r="O1117" s="3" t="str">
        <f t="shared" si="69"/>
        <v>1-10%</v>
      </c>
      <c r="P1117" s="9">
        <f t="shared" si="70"/>
        <v>0.37338975235748006</v>
      </c>
      <c r="Q1117" s="3" t="str">
        <f t="shared" si="71"/>
        <v>No</v>
      </c>
    </row>
    <row r="1118" spans="1:17" ht="21" customHeight="1">
      <c r="A1118" s="3" t="s">
        <v>1753</v>
      </c>
      <c r="B1118" s="5">
        <v>45593</v>
      </c>
      <c r="C1118" s="3" t="s">
        <v>645</v>
      </c>
      <c r="D1118" s="3" t="s">
        <v>44</v>
      </c>
      <c r="E1118" s="3" t="s">
        <v>40</v>
      </c>
      <c r="F1118" s="3" t="s">
        <v>102</v>
      </c>
      <c r="G1118" s="3" t="s">
        <v>103</v>
      </c>
      <c r="H1118" s="3">
        <v>1</v>
      </c>
      <c r="I1118" s="7">
        <v>6748.55</v>
      </c>
      <c r="J1118" s="9">
        <v>0.25</v>
      </c>
      <c r="K1118" s="7">
        <v>5061.41</v>
      </c>
      <c r="L1118" s="7">
        <v>119.57</v>
      </c>
      <c r="M1118" s="3" t="s">
        <v>59</v>
      </c>
      <c r="N1118" s="3" t="str">
        <f t="shared" si="68"/>
        <v>2024-10</v>
      </c>
      <c r="O1118" s="3" t="str">
        <f t="shared" si="69"/>
        <v>21%+</v>
      </c>
      <c r="P1118" s="9">
        <f t="shared" si="70"/>
        <v>2.3623851851559151E-2</v>
      </c>
      <c r="Q1118" s="3" t="str">
        <f t="shared" si="71"/>
        <v>No</v>
      </c>
    </row>
    <row r="1119" spans="1:17" ht="21" customHeight="1">
      <c r="A1119" s="3" t="s">
        <v>1754</v>
      </c>
      <c r="B1119" s="5">
        <v>45593</v>
      </c>
      <c r="C1119" s="3" t="s">
        <v>97</v>
      </c>
      <c r="D1119" s="3" t="s">
        <v>47</v>
      </c>
      <c r="E1119" s="3" t="s">
        <v>39</v>
      </c>
      <c r="F1119" s="3" t="s">
        <v>164</v>
      </c>
      <c r="G1119" s="3" t="s">
        <v>165</v>
      </c>
      <c r="H1119" s="3">
        <v>1</v>
      </c>
      <c r="I1119" s="7">
        <v>1982.66</v>
      </c>
      <c r="J1119" s="9">
        <v>0.05</v>
      </c>
      <c r="K1119" s="7">
        <v>1883.53</v>
      </c>
      <c r="L1119" s="7">
        <v>621.34</v>
      </c>
      <c r="M1119" s="3" t="s">
        <v>57</v>
      </c>
      <c r="N1119" s="3" t="str">
        <f t="shared" si="68"/>
        <v>2024-10</v>
      </c>
      <c r="O1119" s="3" t="str">
        <f t="shared" si="69"/>
        <v>1-10%</v>
      </c>
      <c r="P1119" s="9">
        <f t="shared" si="70"/>
        <v>0.32988059653947643</v>
      </c>
      <c r="Q1119" s="3" t="str">
        <f t="shared" si="71"/>
        <v>No</v>
      </c>
    </row>
    <row r="1120" spans="1:17" ht="21" customHeight="1">
      <c r="A1120" s="3" t="s">
        <v>1755</v>
      </c>
      <c r="B1120" s="5">
        <v>45594</v>
      </c>
      <c r="C1120" s="3" t="s">
        <v>1016</v>
      </c>
      <c r="D1120" s="3" t="s">
        <v>46</v>
      </c>
      <c r="E1120" s="3" t="s">
        <v>40</v>
      </c>
      <c r="F1120" s="3" t="s">
        <v>102</v>
      </c>
      <c r="G1120" s="3" t="s">
        <v>103</v>
      </c>
      <c r="H1120" s="3">
        <v>2</v>
      </c>
      <c r="I1120" s="7">
        <v>6758.99</v>
      </c>
      <c r="J1120" s="9">
        <v>0</v>
      </c>
      <c r="K1120" s="7">
        <v>13517.98</v>
      </c>
      <c r="L1120" s="7">
        <v>4468.6400000000003</v>
      </c>
      <c r="M1120" s="3" t="s">
        <v>56</v>
      </c>
      <c r="N1120" s="3" t="str">
        <f t="shared" si="68"/>
        <v>2024-10</v>
      </c>
      <c r="O1120" s="3" t="str">
        <f t="shared" si="69"/>
        <v>No discount</v>
      </c>
      <c r="P1120" s="9">
        <f t="shared" si="70"/>
        <v>0.33057009997055775</v>
      </c>
      <c r="Q1120" s="3" t="str">
        <f t="shared" si="71"/>
        <v>No</v>
      </c>
    </row>
    <row r="1121" spans="1:17" ht="21" customHeight="1">
      <c r="A1121" s="3" t="s">
        <v>1756</v>
      </c>
      <c r="B1121" s="5">
        <v>45594</v>
      </c>
      <c r="C1121" s="3" t="s">
        <v>514</v>
      </c>
      <c r="D1121" s="3" t="s">
        <v>46</v>
      </c>
      <c r="E1121" s="3" t="s">
        <v>40</v>
      </c>
      <c r="F1121" s="3" t="s">
        <v>221</v>
      </c>
      <c r="G1121" s="3" t="s">
        <v>222</v>
      </c>
      <c r="H1121" s="3">
        <v>1</v>
      </c>
      <c r="I1121" s="7">
        <v>997.32</v>
      </c>
      <c r="J1121" s="9">
        <v>0.05</v>
      </c>
      <c r="K1121" s="7">
        <v>947.45</v>
      </c>
      <c r="L1121" s="7">
        <v>238.26</v>
      </c>
      <c r="M1121" s="3" t="s">
        <v>57</v>
      </c>
      <c r="N1121" s="3" t="str">
        <f t="shared" si="68"/>
        <v>2024-10</v>
      </c>
      <c r="O1121" s="3" t="str">
        <f t="shared" si="69"/>
        <v>1-10%</v>
      </c>
      <c r="P1121" s="9">
        <f t="shared" si="70"/>
        <v>0.25147501187397747</v>
      </c>
      <c r="Q1121" s="3" t="str">
        <f t="shared" si="71"/>
        <v>No</v>
      </c>
    </row>
    <row r="1122" spans="1:17" ht="21" customHeight="1">
      <c r="A1122" s="3" t="s">
        <v>1757</v>
      </c>
      <c r="B1122" s="5">
        <v>45594</v>
      </c>
      <c r="C1122" s="3" t="s">
        <v>925</v>
      </c>
      <c r="D1122" s="3" t="s">
        <v>46</v>
      </c>
      <c r="E1122" s="3" t="s">
        <v>39</v>
      </c>
      <c r="F1122" s="3" t="s">
        <v>130</v>
      </c>
      <c r="G1122" s="3" t="s">
        <v>131</v>
      </c>
      <c r="H1122" s="3">
        <v>1</v>
      </c>
      <c r="I1122" s="7">
        <v>2237.7199999999998</v>
      </c>
      <c r="J1122" s="9">
        <v>0.05</v>
      </c>
      <c r="K1122" s="7">
        <v>2125.83</v>
      </c>
      <c r="L1122" s="7">
        <v>732.95</v>
      </c>
      <c r="M1122" s="3" t="s">
        <v>57</v>
      </c>
      <c r="N1122" s="3" t="str">
        <f t="shared" si="68"/>
        <v>2024-10</v>
      </c>
      <c r="O1122" s="3" t="str">
        <f t="shared" si="69"/>
        <v>1-10%</v>
      </c>
      <c r="P1122" s="9">
        <f t="shared" si="70"/>
        <v>0.34478297888354198</v>
      </c>
      <c r="Q1122" s="3" t="str">
        <f t="shared" si="71"/>
        <v>No</v>
      </c>
    </row>
    <row r="1123" spans="1:17" ht="21" customHeight="1">
      <c r="A1123" s="3" t="s">
        <v>1758</v>
      </c>
      <c r="B1123" s="5">
        <v>45594</v>
      </c>
      <c r="C1123" s="3" t="s">
        <v>204</v>
      </c>
      <c r="D1123" s="3" t="s">
        <v>44</v>
      </c>
      <c r="E1123" s="3" t="s">
        <v>40</v>
      </c>
      <c r="F1123" s="3" t="s">
        <v>221</v>
      </c>
      <c r="G1123" s="3" t="s">
        <v>222</v>
      </c>
      <c r="H1123" s="3">
        <v>1</v>
      </c>
      <c r="I1123" s="7">
        <v>970.51</v>
      </c>
      <c r="J1123" s="9">
        <v>0.05</v>
      </c>
      <c r="K1123" s="7">
        <v>921.98</v>
      </c>
      <c r="L1123" s="7">
        <v>271.33</v>
      </c>
      <c r="M1123" s="3" t="s">
        <v>59</v>
      </c>
      <c r="N1123" s="3" t="str">
        <f t="shared" si="68"/>
        <v>2024-10</v>
      </c>
      <c r="O1123" s="3" t="str">
        <f t="shared" si="69"/>
        <v>1-10%</v>
      </c>
      <c r="P1123" s="9">
        <f t="shared" si="70"/>
        <v>0.29429054860192194</v>
      </c>
      <c r="Q1123" s="3" t="str">
        <f t="shared" si="71"/>
        <v>No</v>
      </c>
    </row>
    <row r="1124" spans="1:17" ht="21" customHeight="1">
      <c r="A1124" s="3" t="s">
        <v>1759</v>
      </c>
      <c r="B1124" s="5">
        <v>45595</v>
      </c>
      <c r="C1124" s="3" t="s">
        <v>539</v>
      </c>
      <c r="D1124" s="3" t="s">
        <v>44</v>
      </c>
      <c r="E1124" s="3" t="s">
        <v>39</v>
      </c>
      <c r="F1124" s="3" t="s">
        <v>109</v>
      </c>
      <c r="G1124" s="3" t="s">
        <v>355</v>
      </c>
      <c r="H1124" s="3">
        <v>1</v>
      </c>
      <c r="I1124" s="7">
        <v>3569.21</v>
      </c>
      <c r="J1124" s="9">
        <v>0.05</v>
      </c>
      <c r="K1124" s="7">
        <v>3390.75</v>
      </c>
      <c r="L1124" s="7">
        <v>1324.82</v>
      </c>
      <c r="M1124" s="3" t="s">
        <v>56</v>
      </c>
      <c r="N1124" s="3" t="str">
        <f t="shared" si="68"/>
        <v>2024-10</v>
      </c>
      <c r="O1124" s="3" t="str">
        <f t="shared" si="69"/>
        <v>1-10%</v>
      </c>
      <c r="P1124" s="9">
        <f t="shared" si="70"/>
        <v>0.39071591830715918</v>
      </c>
      <c r="Q1124" s="3" t="str">
        <f t="shared" si="71"/>
        <v>No</v>
      </c>
    </row>
    <row r="1125" spans="1:17" ht="21" customHeight="1">
      <c r="A1125" s="3" t="s">
        <v>1760</v>
      </c>
      <c r="B1125" s="5">
        <v>45595</v>
      </c>
      <c r="C1125" s="3" t="s">
        <v>366</v>
      </c>
      <c r="D1125" s="3" t="s">
        <v>46</v>
      </c>
      <c r="E1125" s="3" t="s">
        <v>41</v>
      </c>
      <c r="F1125" s="3" t="s">
        <v>119</v>
      </c>
      <c r="G1125" s="3" t="s">
        <v>120</v>
      </c>
      <c r="H1125" s="3">
        <v>1</v>
      </c>
      <c r="I1125" s="7">
        <v>1361.18</v>
      </c>
      <c r="J1125" s="9">
        <v>0.05</v>
      </c>
      <c r="K1125" s="7">
        <v>1293.1199999999999</v>
      </c>
      <c r="L1125" s="7">
        <v>420.14</v>
      </c>
      <c r="M1125" s="3" t="s">
        <v>59</v>
      </c>
      <c r="N1125" s="3" t="str">
        <f t="shared" si="68"/>
        <v>2024-10</v>
      </c>
      <c r="O1125" s="3" t="str">
        <f t="shared" si="69"/>
        <v>1-10%</v>
      </c>
      <c r="P1125" s="9">
        <f t="shared" si="70"/>
        <v>0.32490410789408564</v>
      </c>
      <c r="Q1125" s="3" t="str">
        <f t="shared" si="71"/>
        <v>No</v>
      </c>
    </row>
    <row r="1126" spans="1:17" ht="21" customHeight="1">
      <c r="A1126" s="3" t="s">
        <v>1761</v>
      </c>
      <c r="B1126" s="5">
        <v>45595</v>
      </c>
      <c r="C1126" s="3" t="s">
        <v>1762</v>
      </c>
      <c r="D1126" s="3" t="s">
        <v>47</v>
      </c>
      <c r="E1126" s="3" t="s">
        <v>41</v>
      </c>
      <c r="F1126" s="3" t="s">
        <v>113</v>
      </c>
      <c r="G1126" s="3" t="s">
        <v>123</v>
      </c>
      <c r="H1126" s="3">
        <v>1</v>
      </c>
      <c r="I1126" s="7">
        <v>3374.49</v>
      </c>
      <c r="J1126" s="9">
        <v>0</v>
      </c>
      <c r="K1126" s="7">
        <v>3374.49</v>
      </c>
      <c r="L1126" s="7">
        <v>1303.4000000000001</v>
      </c>
      <c r="M1126" s="3" t="s">
        <v>56</v>
      </c>
      <c r="N1126" s="3" t="str">
        <f t="shared" si="68"/>
        <v>2024-10</v>
      </c>
      <c r="O1126" s="3" t="str">
        <f t="shared" si="69"/>
        <v>No discount</v>
      </c>
      <c r="P1126" s="9">
        <f t="shared" si="70"/>
        <v>0.38625095940423593</v>
      </c>
      <c r="Q1126" s="3" t="str">
        <f t="shared" si="71"/>
        <v>No</v>
      </c>
    </row>
    <row r="1127" spans="1:17" ht="21" customHeight="1">
      <c r="A1127" s="3" t="s">
        <v>1763</v>
      </c>
      <c r="B1127" s="5">
        <v>45596</v>
      </c>
      <c r="C1127" s="3" t="s">
        <v>899</v>
      </c>
      <c r="D1127" s="3" t="s">
        <v>47</v>
      </c>
      <c r="E1127" s="3" t="s">
        <v>42</v>
      </c>
      <c r="F1127" s="3" t="s">
        <v>90</v>
      </c>
      <c r="G1127" s="3" t="s">
        <v>106</v>
      </c>
      <c r="H1127" s="3">
        <v>1</v>
      </c>
      <c r="I1127" s="7">
        <v>871.2</v>
      </c>
      <c r="J1127" s="9">
        <v>0</v>
      </c>
      <c r="K1127" s="7">
        <v>871.2</v>
      </c>
      <c r="L1127" s="7">
        <v>473.8</v>
      </c>
      <c r="M1127" s="3" t="s">
        <v>56</v>
      </c>
      <c r="N1127" s="3" t="str">
        <f t="shared" si="68"/>
        <v>2024-10</v>
      </c>
      <c r="O1127" s="3" t="str">
        <f t="shared" si="69"/>
        <v>No discount</v>
      </c>
      <c r="P1127" s="9">
        <f t="shared" si="70"/>
        <v>0.54384756657483924</v>
      </c>
      <c r="Q1127" s="3" t="str">
        <f t="shared" si="71"/>
        <v>No</v>
      </c>
    </row>
    <row r="1128" spans="1:17" ht="21" customHeight="1">
      <c r="A1128" s="3" t="s">
        <v>1764</v>
      </c>
      <c r="B1128" s="5">
        <v>45596</v>
      </c>
      <c r="C1128" s="3" t="s">
        <v>1224</v>
      </c>
      <c r="D1128" s="3" t="s">
        <v>44</v>
      </c>
      <c r="E1128" s="3" t="s">
        <v>40</v>
      </c>
      <c r="F1128" s="3" t="s">
        <v>102</v>
      </c>
      <c r="G1128" s="3" t="s">
        <v>146</v>
      </c>
      <c r="H1128" s="3">
        <v>3</v>
      </c>
      <c r="I1128" s="7">
        <v>8060.88</v>
      </c>
      <c r="J1128" s="9">
        <v>0.1</v>
      </c>
      <c r="K1128" s="7">
        <v>21764.38</v>
      </c>
      <c r="L1128" s="7">
        <v>5011</v>
      </c>
      <c r="M1128" s="3" t="s">
        <v>57</v>
      </c>
      <c r="N1128" s="3" t="str">
        <f t="shared" si="68"/>
        <v>2024-10</v>
      </c>
      <c r="O1128" s="3" t="str">
        <f t="shared" si="69"/>
        <v>1-10%</v>
      </c>
      <c r="P1128" s="9">
        <f t="shared" si="70"/>
        <v>0.2302385824912081</v>
      </c>
      <c r="Q1128" s="3" t="str">
        <f t="shared" si="71"/>
        <v>No</v>
      </c>
    </row>
    <row r="1129" spans="1:17" ht="21" customHeight="1">
      <c r="A1129" s="3" t="s">
        <v>1765</v>
      </c>
      <c r="B1129" s="5">
        <v>45596</v>
      </c>
      <c r="C1129" s="3" t="s">
        <v>1019</v>
      </c>
      <c r="D1129" s="3" t="s">
        <v>46</v>
      </c>
      <c r="E1129" s="3" t="s">
        <v>38</v>
      </c>
      <c r="F1129" s="3" t="s">
        <v>98</v>
      </c>
      <c r="G1129" s="3" t="s">
        <v>362</v>
      </c>
      <c r="H1129" s="3">
        <v>5</v>
      </c>
      <c r="I1129" s="7">
        <v>32359.38</v>
      </c>
      <c r="J1129" s="9">
        <v>0.05</v>
      </c>
      <c r="K1129" s="7">
        <v>153707.04999999999</v>
      </c>
      <c r="L1129" s="7">
        <v>19379.45</v>
      </c>
      <c r="M1129" s="3" t="s">
        <v>57</v>
      </c>
      <c r="N1129" s="3" t="str">
        <f t="shared" si="68"/>
        <v>2024-10</v>
      </c>
      <c r="O1129" s="3" t="str">
        <f t="shared" si="69"/>
        <v>1-10%</v>
      </c>
      <c r="P1129" s="9">
        <f t="shared" si="70"/>
        <v>0.12608042376715969</v>
      </c>
      <c r="Q1129" s="3" t="str">
        <f t="shared" si="71"/>
        <v>No</v>
      </c>
    </row>
    <row r="1130" spans="1:17" ht="21" customHeight="1">
      <c r="A1130" s="3" t="s">
        <v>1766</v>
      </c>
      <c r="B1130" s="5">
        <v>45597</v>
      </c>
      <c r="C1130" s="3" t="s">
        <v>613</v>
      </c>
      <c r="D1130" s="3" t="s">
        <v>46</v>
      </c>
      <c r="E1130" s="3" t="s">
        <v>41</v>
      </c>
      <c r="F1130" s="3" t="s">
        <v>119</v>
      </c>
      <c r="G1130" s="3" t="s">
        <v>168</v>
      </c>
      <c r="H1130" s="3">
        <v>5</v>
      </c>
      <c r="I1130" s="7">
        <v>10360.459999999999</v>
      </c>
      <c r="J1130" s="9">
        <v>0.1</v>
      </c>
      <c r="K1130" s="7">
        <v>46622.07</v>
      </c>
      <c r="L1130" s="7">
        <v>11463.98</v>
      </c>
      <c r="M1130" s="3" t="s">
        <v>59</v>
      </c>
      <c r="N1130" s="3" t="str">
        <f t="shared" si="68"/>
        <v>2024-11</v>
      </c>
      <c r="O1130" s="3" t="str">
        <f t="shared" si="69"/>
        <v>1-10%</v>
      </c>
      <c r="P1130" s="9">
        <f t="shared" si="70"/>
        <v>0.24589169893142881</v>
      </c>
      <c r="Q1130" s="3" t="str">
        <f t="shared" si="71"/>
        <v>No</v>
      </c>
    </row>
    <row r="1131" spans="1:17" ht="21" customHeight="1">
      <c r="A1131" s="3" t="s">
        <v>1767</v>
      </c>
      <c r="B1131" s="5">
        <v>45597</v>
      </c>
      <c r="C1131" s="3" t="s">
        <v>827</v>
      </c>
      <c r="D1131" s="3" t="s">
        <v>46</v>
      </c>
      <c r="E1131" s="3" t="s">
        <v>39</v>
      </c>
      <c r="F1131" s="3" t="s">
        <v>164</v>
      </c>
      <c r="G1131" s="3" t="s">
        <v>165</v>
      </c>
      <c r="H1131" s="3">
        <v>1</v>
      </c>
      <c r="I1131" s="7">
        <v>1906.39</v>
      </c>
      <c r="J1131" s="9">
        <v>0.1</v>
      </c>
      <c r="K1131" s="7">
        <v>1715.75</v>
      </c>
      <c r="L1131" s="7">
        <v>571.87</v>
      </c>
      <c r="M1131" s="3" t="s">
        <v>58</v>
      </c>
      <c r="N1131" s="3" t="str">
        <f t="shared" si="68"/>
        <v>2024-11</v>
      </c>
      <c r="O1131" s="3" t="str">
        <f t="shared" si="69"/>
        <v>1-10%</v>
      </c>
      <c r="P1131" s="9">
        <f t="shared" si="70"/>
        <v>0.33330613434358153</v>
      </c>
      <c r="Q1131" s="3" t="str">
        <f t="shared" si="71"/>
        <v>No</v>
      </c>
    </row>
    <row r="1132" spans="1:17" ht="21" customHeight="1">
      <c r="A1132" s="3" t="s">
        <v>1768</v>
      </c>
      <c r="B1132" s="5">
        <v>45597</v>
      </c>
      <c r="C1132" s="3" t="s">
        <v>1067</v>
      </c>
      <c r="D1132" s="3" t="s">
        <v>44</v>
      </c>
      <c r="E1132" s="3" t="s">
        <v>38</v>
      </c>
      <c r="F1132" s="3" t="s">
        <v>142</v>
      </c>
      <c r="G1132" s="3" t="s">
        <v>143</v>
      </c>
      <c r="H1132" s="3">
        <v>5</v>
      </c>
      <c r="I1132" s="7">
        <v>9065.2900000000009</v>
      </c>
      <c r="J1132" s="9">
        <v>0</v>
      </c>
      <c r="K1132" s="7">
        <v>45326.45</v>
      </c>
      <c r="L1132" s="7">
        <v>7137.65</v>
      </c>
      <c r="M1132" s="3" t="s">
        <v>58</v>
      </c>
      <c r="N1132" s="3" t="str">
        <f t="shared" si="68"/>
        <v>2024-11</v>
      </c>
      <c r="O1132" s="3" t="str">
        <f t="shared" si="69"/>
        <v>No discount</v>
      </c>
      <c r="P1132" s="9">
        <f t="shared" si="70"/>
        <v>0.15747207204623348</v>
      </c>
      <c r="Q1132" s="3" t="str">
        <f t="shared" si="71"/>
        <v>No</v>
      </c>
    </row>
    <row r="1133" spans="1:17" ht="21" customHeight="1">
      <c r="A1133" s="3" t="s">
        <v>1769</v>
      </c>
      <c r="B1133" s="5">
        <v>45597</v>
      </c>
      <c r="C1133" s="3" t="s">
        <v>1264</v>
      </c>
      <c r="D1133" s="3" t="s">
        <v>45</v>
      </c>
      <c r="E1133" s="3" t="s">
        <v>42</v>
      </c>
      <c r="F1133" s="3" t="s">
        <v>126</v>
      </c>
      <c r="G1133" s="3" t="s">
        <v>127</v>
      </c>
      <c r="H1133" s="3">
        <v>2</v>
      </c>
      <c r="I1133" s="7">
        <v>1032.3800000000001</v>
      </c>
      <c r="J1133" s="9">
        <v>0.15</v>
      </c>
      <c r="K1133" s="7">
        <v>1755.05</v>
      </c>
      <c r="L1133" s="7">
        <v>676.96</v>
      </c>
      <c r="M1133" s="3" t="s">
        <v>57</v>
      </c>
      <c r="N1133" s="3" t="str">
        <f t="shared" si="68"/>
        <v>2024-11</v>
      </c>
      <c r="O1133" s="3" t="str">
        <f t="shared" si="69"/>
        <v>11-15%</v>
      </c>
      <c r="P1133" s="9">
        <f t="shared" si="70"/>
        <v>0.38572120452408765</v>
      </c>
      <c r="Q1133" s="3" t="str">
        <f t="shared" si="71"/>
        <v>No</v>
      </c>
    </row>
    <row r="1134" spans="1:17" ht="21" customHeight="1">
      <c r="A1134" s="3" t="s">
        <v>1770</v>
      </c>
      <c r="B1134" s="5">
        <v>45598</v>
      </c>
      <c r="C1134" s="3" t="s">
        <v>957</v>
      </c>
      <c r="D1134" s="3" t="s">
        <v>44</v>
      </c>
      <c r="E1134" s="3" t="s">
        <v>41</v>
      </c>
      <c r="F1134" s="3" t="s">
        <v>113</v>
      </c>
      <c r="G1134" s="3" t="s">
        <v>123</v>
      </c>
      <c r="H1134" s="3">
        <v>4</v>
      </c>
      <c r="I1134" s="7">
        <v>3424.69</v>
      </c>
      <c r="J1134" s="9">
        <v>0.05</v>
      </c>
      <c r="K1134" s="7">
        <v>13013.82</v>
      </c>
      <c r="L1134" s="7">
        <v>4245.47</v>
      </c>
      <c r="M1134" s="3" t="s">
        <v>60</v>
      </c>
      <c r="N1134" s="3" t="str">
        <f t="shared" si="68"/>
        <v>2024-11</v>
      </c>
      <c r="O1134" s="3" t="str">
        <f t="shared" si="69"/>
        <v>1-10%</v>
      </c>
      <c r="P1134" s="9">
        <f t="shared" si="70"/>
        <v>0.32622781012800239</v>
      </c>
      <c r="Q1134" s="3" t="str">
        <f t="shared" si="71"/>
        <v>No</v>
      </c>
    </row>
    <row r="1135" spans="1:17" ht="21" customHeight="1">
      <c r="A1135" s="3" t="s">
        <v>1771</v>
      </c>
      <c r="B1135" s="5">
        <v>45598</v>
      </c>
      <c r="C1135" s="3" t="s">
        <v>680</v>
      </c>
      <c r="D1135" s="3" t="s">
        <v>44</v>
      </c>
      <c r="E1135" s="3" t="s">
        <v>40</v>
      </c>
      <c r="F1135" s="3" t="s">
        <v>102</v>
      </c>
      <c r="G1135" s="3" t="s">
        <v>146</v>
      </c>
      <c r="H1135" s="3">
        <v>1</v>
      </c>
      <c r="I1135" s="7">
        <v>7611.57</v>
      </c>
      <c r="J1135" s="9">
        <v>0.2</v>
      </c>
      <c r="K1135" s="7">
        <v>6089.26</v>
      </c>
      <c r="L1135" s="7">
        <v>466.27</v>
      </c>
      <c r="M1135" s="3" t="s">
        <v>58</v>
      </c>
      <c r="N1135" s="3" t="str">
        <f t="shared" si="68"/>
        <v>2024-11</v>
      </c>
      <c r="O1135" s="3" t="str">
        <f t="shared" si="69"/>
        <v>16-20%</v>
      </c>
      <c r="P1135" s="9">
        <f t="shared" si="70"/>
        <v>7.6572522769597612E-2</v>
      </c>
      <c r="Q1135" s="3" t="str">
        <f t="shared" si="71"/>
        <v>No</v>
      </c>
    </row>
    <row r="1136" spans="1:17" ht="21" customHeight="1">
      <c r="A1136" s="3" t="s">
        <v>1772</v>
      </c>
      <c r="B1136" s="5">
        <v>45598</v>
      </c>
      <c r="C1136" s="3" t="s">
        <v>1773</v>
      </c>
      <c r="D1136" s="3" t="s">
        <v>45</v>
      </c>
      <c r="E1136" s="3" t="s">
        <v>42</v>
      </c>
      <c r="F1136" s="3" t="s">
        <v>90</v>
      </c>
      <c r="G1136" s="3" t="s">
        <v>106</v>
      </c>
      <c r="H1136" s="3">
        <v>3</v>
      </c>
      <c r="I1136" s="7">
        <v>862.25</v>
      </c>
      <c r="J1136" s="9">
        <v>0.05</v>
      </c>
      <c r="K1136" s="7">
        <v>2457.41</v>
      </c>
      <c r="L1136" s="7">
        <v>1160.78</v>
      </c>
      <c r="M1136" s="3" t="s">
        <v>57</v>
      </c>
      <c r="N1136" s="3" t="str">
        <f t="shared" si="68"/>
        <v>2024-11</v>
      </c>
      <c r="O1136" s="3" t="str">
        <f t="shared" si="69"/>
        <v>1-10%</v>
      </c>
      <c r="P1136" s="9">
        <f t="shared" si="70"/>
        <v>0.47235910979445839</v>
      </c>
      <c r="Q1136" s="3" t="str">
        <f t="shared" si="71"/>
        <v>No</v>
      </c>
    </row>
    <row r="1137" spans="1:17" ht="21" customHeight="1">
      <c r="A1137" s="3" t="s">
        <v>1774</v>
      </c>
      <c r="B1137" s="5">
        <v>45598</v>
      </c>
      <c r="C1137" s="3" t="s">
        <v>1078</v>
      </c>
      <c r="D1137" s="3" t="s">
        <v>45</v>
      </c>
      <c r="E1137" s="3" t="s">
        <v>41</v>
      </c>
      <c r="F1137" s="3" t="s">
        <v>113</v>
      </c>
      <c r="G1137" s="3" t="s">
        <v>123</v>
      </c>
      <c r="H1137" s="3">
        <v>2</v>
      </c>
      <c r="I1137" s="7">
        <v>3543.51</v>
      </c>
      <c r="J1137" s="9">
        <v>0.05</v>
      </c>
      <c r="K1137" s="7">
        <v>6732.67</v>
      </c>
      <c r="L1137" s="7">
        <v>2382.4499999999998</v>
      </c>
      <c r="M1137" s="3" t="s">
        <v>56</v>
      </c>
      <c r="N1137" s="3" t="str">
        <f t="shared" si="68"/>
        <v>2024-11</v>
      </c>
      <c r="O1137" s="3" t="str">
        <f t="shared" si="69"/>
        <v>1-10%</v>
      </c>
      <c r="P1137" s="9">
        <f t="shared" si="70"/>
        <v>0.35386406878697452</v>
      </c>
      <c r="Q1137" s="3" t="str">
        <f t="shared" si="71"/>
        <v>No</v>
      </c>
    </row>
    <row r="1138" spans="1:17" ht="21" customHeight="1">
      <c r="A1138" s="3" t="s">
        <v>1775</v>
      </c>
      <c r="B1138" s="5">
        <v>45598</v>
      </c>
      <c r="C1138" s="3" t="s">
        <v>428</v>
      </c>
      <c r="D1138" s="3" t="s">
        <v>46</v>
      </c>
      <c r="E1138" s="3" t="s">
        <v>42</v>
      </c>
      <c r="F1138" s="3" t="s">
        <v>90</v>
      </c>
      <c r="G1138" s="3" t="s">
        <v>91</v>
      </c>
      <c r="H1138" s="3">
        <v>1</v>
      </c>
      <c r="I1138" s="7">
        <v>1179.33</v>
      </c>
      <c r="J1138" s="9">
        <v>0.1</v>
      </c>
      <c r="K1138" s="7">
        <v>1061.4000000000001</v>
      </c>
      <c r="L1138" s="7">
        <v>461.94</v>
      </c>
      <c r="M1138" s="3" t="s">
        <v>56</v>
      </c>
      <c r="N1138" s="3" t="str">
        <f t="shared" si="68"/>
        <v>2024-11</v>
      </c>
      <c r="O1138" s="3" t="str">
        <f t="shared" si="69"/>
        <v>1-10%</v>
      </c>
      <c r="P1138" s="9">
        <f t="shared" si="70"/>
        <v>0.43521763708309774</v>
      </c>
      <c r="Q1138" s="3" t="str">
        <f t="shared" si="71"/>
        <v>No</v>
      </c>
    </row>
    <row r="1139" spans="1:17" ht="21" customHeight="1">
      <c r="A1139" s="3" t="s">
        <v>1776</v>
      </c>
      <c r="B1139" s="5">
        <v>45598</v>
      </c>
      <c r="C1139" s="3" t="s">
        <v>1360</v>
      </c>
      <c r="D1139" s="3" t="s">
        <v>44</v>
      </c>
      <c r="E1139" s="3" t="s">
        <v>42</v>
      </c>
      <c r="F1139" s="3" t="s">
        <v>90</v>
      </c>
      <c r="G1139" s="3" t="s">
        <v>91</v>
      </c>
      <c r="H1139" s="3">
        <v>1</v>
      </c>
      <c r="I1139" s="7">
        <v>1157.71</v>
      </c>
      <c r="J1139" s="9">
        <v>0.05</v>
      </c>
      <c r="K1139" s="7">
        <v>1099.82</v>
      </c>
      <c r="L1139" s="7">
        <v>555.44000000000005</v>
      </c>
      <c r="M1139" s="3" t="s">
        <v>56</v>
      </c>
      <c r="N1139" s="3" t="str">
        <f t="shared" si="68"/>
        <v>2024-11</v>
      </c>
      <c r="O1139" s="3" t="str">
        <f t="shared" si="69"/>
        <v>1-10%</v>
      </c>
      <c r="P1139" s="9">
        <f t="shared" si="70"/>
        <v>0.50502809550653749</v>
      </c>
      <c r="Q1139" s="3" t="str">
        <f t="shared" si="71"/>
        <v>No</v>
      </c>
    </row>
    <row r="1140" spans="1:17" ht="21" customHeight="1">
      <c r="A1140" s="3" t="s">
        <v>1777</v>
      </c>
      <c r="B1140" s="5">
        <v>45598</v>
      </c>
      <c r="C1140" s="3" t="s">
        <v>1578</v>
      </c>
      <c r="D1140" s="3" t="s">
        <v>45</v>
      </c>
      <c r="E1140" s="3" t="s">
        <v>38</v>
      </c>
      <c r="F1140" s="3" t="s">
        <v>94</v>
      </c>
      <c r="G1140" s="3" t="s">
        <v>95</v>
      </c>
      <c r="H1140" s="3">
        <v>2</v>
      </c>
      <c r="I1140" s="7">
        <v>76443.63</v>
      </c>
      <c r="J1140" s="9">
        <v>0.05</v>
      </c>
      <c r="K1140" s="7">
        <v>145242.9</v>
      </c>
      <c r="L1140" s="7">
        <v>17877</v>
      </c>
      <c r="M1140" s="3" t="s">
        <v>60</v>
      </c>
      <c r="N1140" s="3" t="str">
        <f t="shared" si="68"/>
        <v>2024-11</v>
      </c>
      <c r="O1140" s="3" t="str">
        <f t="shared" si="69"/>
        <v>1-10%</v>
      </c>
      <c r="P1140" s="9">
        <f t="shared" si="70"/>
        <v>0.12308346914031598</v>
      </c>
      <c r="Q1140" s="3" t="str">
        <f t="shared" si="71"/>
        <v>No</v>
      </c>
    </row>
    <row r="1141" spans="1:17" ht="21" customHeight="1">
      <c r="A1141" s="3" t="s">
        <v>1778</v>
      </c>
      <c r="B1141" s="5">
        <v>45598</v>
      </c>
      <c r="C1141" s="3" t="s">
        <v>548</v>
      </c>
      <c r="D1141" s="3" t="s">
        <v>44</v>
      </c>
      <c r="E1141" s="3" t="s">
        <v>40</v>
      </c>
      <c r="F1141" s="3" t="s">
        <v>160</v>
      </c>
      <c r="G1141" s="3" t="s">
        <v>161</v>
      </c>
      <c r="H1141" s="3">
        <v>1</v>
      </c>
      <c r="I1141" s="7">
        <v>13217.96</v>
      </c>
      <c r="J1141" s="9">
        <v>0.3</v>
      </c>
      <c r="K1141" s="7">
        <v>9252.57</v>
      </c>
      <c r="L1141" s="7">
        <v>-196.46</v>
      </c>
      <c r="M1141" s="3" t="s">
        <v>56</v>
      </c>
      <c r="N1141" s="3" t="str">
        <f t="shared" si="68"/>
        <v>2024-11</v>
      </c>
      <c r="O1141" s="3" t="str">
        <f t="shared" si="69"/>
        <v>21%+</v>
      </c>
      <c r="P1141" s="9">
        <f t="shared" si="70"/>
        <v>-2.1233019582667302E-2</v>
      </c>
      <c r="Q1141" s="3" t="str">
        <f t="shared" si="71"/>
        <v>Yes</v>
      </c>
    </row>
    <row r="1142" spans="1:17" ht="21" customHeight="1">
      <c r="A1142" s="3" t="s">
        <v>1779</v>
      </c>
      <c r="B1142" s="5">
        <v>45599</v>
      </c>
      <c r="C1142" s="3" t="s">
        <v>1612</v>
      </c>
      <c r="D1142" s="3" t="s">
        <v>44</v>
      </c>
      <c r="E1142" s="3" t="s">
        <v>39</v>
      </c>
      <c r="F1142" s="3" t="s">
        <v>164</v>
      </c>
      <c r="G1142" s="3" t="s">
        <v>165</v>
      </c>
      <c r="H1142" s="3">
        <v>1</v>
      </c>
      <c r="I1142" s="7">
        <v>1952.02</v>
      </c>
      <c r="J1142" s="9">
        <v>0</v>
      </c>
      <c r="K1142" s="7">
        <v>1952.02</v>
      </c>
      <c r="L1142" s="7">
        <v>880.69</v>
      </c>
      <c r="M1142" s="3" t="s">
        <v>56</v>
      </c>
      <c r="N1142" s="3" t="str">
        <f t="shared" si="68"/>
        <v>2024-11</v>
      </c>
      <c r="O1142" s="3" t="str">
        <f t="shared" si="69"/>
        <v>No discount</v>
      </c>
      <c r="P1142" s="9">
        <f t="shared" si="70"/>
        <v>0.45116853310929195</v>
      </c>
      <c r="Q1142" s="3" t="str">
        <f t="shared" si="71"/>
        <v>No</v>
      </c>
    </row>
    <row r="1143" spans="1:17" ht="21" customHeight="1">
      <c r="A1143" s="3" t="s">
        <v>1780</v>
      </c>
      <c r="B1143" s="5">
        <v>45599</v>
      </c>
      <c r="C1143" s="3" t="s">
        <v>937</v>
      </c>
      <c r="D1143" s="3" t="s">
        <v>45</v>
      </c>
      <c r="E1143" s="3" t="s">
        <v>40</v>
      </c>
      <c r="F1143" s="3" t="s">
        <v>102</v>
      </c>
      <c r="G1143" s="3" t="s">
        <v>103</v>
      </c>
      <c r="H1143" s="3">
        <v>4</v>
      </c>
      <c r="I1143" s="7">
        <v>6212.97</v>
      </c>
      <c r="J1143" s="9">
        <v>0.15</v>
      </c>
      <c r="K1143" s="7">
        <v>21124.1</v>
      </c>
      <c r="L1143" s="7">
        <v>2821.16</v>
      </c>
      <c r="M1143" s="3" t="s">
        <v>56</v>
      </c>
      <c r="N1143" s="3" t="str">
        <f t="shared" si="68"/>
        <v>2024-11</v>
      </c>
      <c r="O1143" s="3" t="str">
        <f t="shared" si="69"/>
        <v>11-15%</v>
      </c>
      <c r="P1143" s="9">
        <f t="shared" si="70"/>
        <v>0.13355172528060366</v>
      </c>
      <c r="Q1143" s="3" t="str">
        <f t="shared" si="71"/>
        <v>No</v>
      </c>
    </row>
    <row r="1144" spans="1:17" ht="21" customHeight="1">
      <c r="A1144" s="3" t="s">
        <v>1781</v>
      </c>
      <c r="B1144" s="5">
        <v>45599</v>
      </c>
      <c r="C1144" s="3" t="s">
        <v>531</v>
      </c>
      <c r="D1144" s="3" t="s">
        <v>46</v>
      </c>
      <c r="E1144" s="3" t="s">
        <v>39</v>
      </c>
      <c r="F1144" s="3" t="s">
        <v>164</v>
      </c>
      <c r="G1144" s="3" t="s">
        <v>200</v>
      </c>
      <c r="H1144" s="3">
        <v>1</v>
      </c>
      <c r="I1144" s="7">
        <v>1257.8699999999999</v>
      </c>
      <c r="J1144" s="9">
        <v>0</v>
      </c>
      <c r="K1144" s="7">
        <v>1257.8699999999999</v>
      </c>
      <c r="L1144" s="7">
        <v>551.38</v>
      </c>
      <c r="M1144" s="3" t="s">
        <v>57</v>
      </c>
      <c r="N1144" s="3" t="str">
        <f t="shared" si="68"/>
        <v>2024-11</v>
      </c>
      <c r="O1144" s="3" t="str">
        <f t="shared" si="69"/>
        <v>No discount</v>
      </c>
      <c r="P1144" s="9">
        <f t="shared" si="70"/>
        <v>0.43834418501116973</v>
      </c>
      <c r="Q1144" s="3" t="str">
        <f t="shared" si="71"/>
        <v>No</v>
      </c>
    </row>
    <row r="1145" spans="1:17" ht="21" customHeight="1">
      <c r="A1145" s="3" t="s">
        <v>1782</v>
      </c>
      <c r="B1145" s="5">
        <v>45599</v>
      </c>
      <c r="C1145" s="3" t="s">
        <v>1783</v>
      </c>
      <c r="D1145" s="3" t="s">
        <v>45</v>
      </c>
      <c r="E1145" s="3" t="s">
        <v>41</v>
      </c>
      <c r="F1145" s="3" t="s">
        <v>119</v>
      </c>
      <c r="G1145" s="3" t="s">
        <v>120</v>
      </c>
      <c r="H1145" s="3">
        <v>2</v>
      </c>
      <c r="I1145" s="7">
        <v>1316.83</v>
      </c>
      <c r="J1145" s="9">
        <v>0.25</v>
      </c>
      <c r="K1145" s="7">
        <v>1975.24</v>
      </c>
      <c r="L1145" s="7">
        <v>187.69</v>
      </c>
      <c r="M1145" s="3" t="s">
        <v>58</v>
      </c>
      <c r="N1145" s="3" t="str">
        <f t="shared" si="68"/>
        <v>2024-11</v>
      </c>
      <c r="O1145" s="3" t="str">
        <f t="shared" si="69"/>
        <v>21%+</v>
      </c>
      <c r="P1145" s="9">
        <f t="shared" si="70"/>
        <v>9.5021364492416105E-2</v>
      </c>
      <c r="Q1145" s="3" t="str">
        <f t="shared" si="71"/>
        <v>No</v>
      </c>
    </row>
    <row r="1146" spans="1:17" ht="21" customHeight="1">
      <c r="A1146" s="3" t="s">
        <v>1784</v>
      </c>
      <c r="B1146" s="5">
        <v>45600</v>
      </c>
      <c r="C1146" s="3" t="s">
        <v>1785</v>
      </c>
      <c r="D1146" s="3" t="s">
        <v>44</v>
      </c>
      <c r="E1146" s="3" t="s">
        <v>42</v>
      </c>
      <c r="F1146" s="3" t="s">
        <v>126</v>
      </c>
      <c r="G1146" s="3" t="s">
        <v>151</v>
      </c>
      <c r="H1146" s="3">
        <v>4</v>
      </c>
      <c r="I1146" s="7">
        <v>1512.81</v>
      </c>
      <c r="J1146" s="9">
        <v>0</v>
      </c>
      <c r="K1146" s="7">
        <v>6051.24</v>
      </c>
      <c r="L1146" s="7">
        <v>3488.21</v>
      </c>
      <c r="M1146" s="3" t="s">
        <v>57</v>
      </c>
      <c r="N1146" s="3" t="str">
        <f t="shared" si="68"/>
        <v>2024-11</v>
      </c>
      <c r="O1146" s="3" t="str">
        <f t="shared" si="69"/>
        <v>No discount</v>
      </c>
      <c r="P1146" s="9">
        <f t="shared" si="70"/>
        <v>0.5764454888584819</v>
      </c>
      <c r="Q1146" s="3" t="str">
        <f t="shared" si="71"/>
        <v>No</v>
      </c>
    </row>
    <row r="1147" spans="1:17" ht="21" customHeight="1">
      <c r="A1147" s="3" t="s">
        <v>1786</v>
      </c>
      <c r="B1147" s="5">
        <v>45600</v>
      </c>
      <c r="C1147" s="3" t="s">
        <v>440</v>
      </c>
      <c r="D1147" s="3" t="s">
        <v>47</v>
      </c>
      <c r="E1147" s="3" t="s">
        <v>38</v>
      </c>
      <c r="F1147" s="3" t="s">
        <v>98</v>
      </c>
      <c r="G1147" s="3" t="s">
        <v>362</v>
      </c>
      <c r="H1147" s="3">
        <v>1</v>
      </c>
      <c r="I1147" s="7">
        <v>31563.64</v>
      </c>
      <c r="J1147" s="9">
        <v>0.2</v>
      </c>
      <c r="K1147" s="7">
        <v>25250.91</v>
      </c>
      <c r="L1147" s="7">
        <v>-2014.95</v>
      </c>
      <c r="M1147" s="3" t="s">
        <v>57</v>
      </c>
      <c r="N1147" s="3" t="str">
        <f t="shared" si="68"/>
        <v>2024-11</v>
      </c>
      <c r="O1147" s="3" t="str">
        <f t="shared" si="69"/>
        <v>16-20%</v>
      </c>
      <c r="P1147" s="9">
        <f t="shared" si="70"/>
        <v>-7.9797124143248702E-2</v>
      </c>
      <c r="Q1147" s="3" t="str">
        <f t="shared" si="71"/>
        <v>Yes</v>
      </c>
    </row>
    <row r="1148" spans="1:17" ht="21" customHeight="1">
      <c r="A1148" s="3" t="s">
        <v>1787</v>
      </c>
      <c r="B1148" s="5">
        <v>45600</v>
      </c>
      <c r="C1148" s="3" t="s">
        <v>1022</v>
      </c>
      <c r="D1148" s="3" t="s">
        <v>45</v>
      </c>
      <c r="E1148" s="3" t="s">
        <v>39</v>
      </c>
      <c r="F1148" s="3" t="s">
        <v>130</v>
      </c>
      <c r="G1148" s="3" t="s">
        <v>193</v>
      </c>
      <c r="H1148" s="3">
        <v>1</v>
      </c>
      <c r="I1148" s="7">
        <v>1767.99</v>
      </c>
      <c r="J1148" s="9">
        <v>0.1</v>
      </c>
      <c r="K1148" s="7">
        <v>1591.19</v>
      </c>
      <c r="L1148" s="7">
        <v>497.98</v>
      </c>
      <c r="M1148" s="3" t="s">
        <v>56</v>
      </c>
      <c r="N1148" s="3" t="str">
        <f t="shared" si="68"/>
        <v>2024-11</v>
      </c>
      <c r="O1148" s="3" t="str">
        <f t="shared" si="69"/>
        <v>1-10%</v>
      </c>
      <c r="P1148" s="9">
        <f t="shared" si="70"/>
        <v>0.31296074007503816</v>
      </c>
      <c r="Q1148" s="3" t="str">
        <f t="shared" si="71"/>
        <v>No</v>
      </c>
    </row>
    <row r="1149" spans="1:17" ht="21" customHeight="1">
      <c r="A1149" s="3" t="s">
        <v>1788</v>
      </c>
      <c r="B1149" s="5">
        <v>45600</v>
      </c>
      <c r="C1149" s="3" t="s">
        <v>1789</v>
      </c>
      <c r="D1149" s="3" t="s">
        <v>47</v>
      </c>
      <c r="E1149" s="3" t="s">
        <v>40</v>
      </c>
      <c r="F1149" s="3" t="s">
        <v>160</v>
      </c>
      <c r="G1149" s="3" t="s">
        <v>173</v>
      </c>
      <c r="H1149" s="3">
        <v>2</v>
      </c>
      <c r="I1149" s="7">
        <v>8772.06</v>
      </c>
      <c r="J1149" s="9">
        <v>0.1</v>
      </c>
      <c r="K1149" s="7">
        <v>15789.71</v>
      </c>
      <c r="L1149" s="7">
        <v>3896.6</v>
      </c>
      <c r="M1149" s="3" t="s">
        <v>58</v>
      </c>
      <c r="N1149" s="3" t="str">
        <f t="shared" si="68"/>
        <v>2024-11</v>
      </c>
      <c r="O1149" s="3" t="str">
        <f t="shared" si="69"/>
        <v>1-10%</v>
      </c>
      <c r="P1149" s="9">
        <f t="shared" si="70"/>
        <v>0.24678097317810144</v>
      </c>
      <c r="Q1149" s="3" t="str">
        <f t="shared" si="71"/>
        <v>No</v>
      </c>
    </row>
    <row r="1150" spans="1:17" ht="21" customHeight="1">
      <c r="A1150" s="3" t="s">
        <v>1790</v>
      </c>
      <c r="B1150" s="5">
        <v>45600</v>
      </c>
      <c r="C1150" s="3" t="s">
        <v>1725</v>
      </c>
      <c r="D1150" s="3" t="s">
        <v>45</v>
      </c>
      <c r="E1150" s="3" t="s">
        <v>41</v>
      </c>
      <c r="F1150" s="3" t="s">
        <v>113</v>
      </c>
      <c r="G1150" s="3" t="s">
        <v>123</v>
      </c>
      <c r="H1150" s="3">
        <v>3</v>
      </c>
      <c r="I1150" s="7">
        <v>3438.37</v>
      </c>
      <c r="J1150" s="9">
        <v>0</v>
      </c>
      <c r="K1150" s="7">
        <v>10315.11</v>
      </c>
      <c r="L1150" s="7">
        <v>4133.42</v>
      </c>
      <c r="M1150" s="3" t="s">
        <v>56</v>
      </c>
      <c r="N1150" s="3" t="str">
        <f t="shared" si="68"/>
        <v>2024-11</v>
      </c>
      <c r="O1150" s="3" t="str">
        <f t="shared" si="69"/>
        <v>No discount</v>
      </c>
      <c r="P1150" s="9">
        <f t="shared" si="70"/>
        <v>0.40071506750776287</v>
      </c>
      <c r="Q1150" s="3" t="str">
        <f t="shared" si="71"/>
        <v>No</v>
      </c>
    </row>
    <row r="1151" spans="1:17" ht="21" customHeight="1">
      <c r="A1151" s="3" t="s">
        <v>1791</v>
      </c>
      <c r="B1151" s="5">
        <v>45601</v>
      </c>
      <c r="C1151" s="3" t="s">
        <v>1792</v>
      </c>
      <c r="D1151" s="3" t="s">
        <v>46</v>
      </c>
      <c r="E1151" s="3" t="s">
        <v>38</v>
      </c>
      <c r="F1151" s="3" t="s">
        <v>98</v>
      </c>
      <c r="G1151" s="3" t="s">
        <v>99</v>
      </c>
      <c r="H1151" s="3">
        <v>1</v>
      </c>
      <c r="I1151" s="7">
        <v>26144.03</v>
      </c>
      <c r="J1151" s="9">
        <v>0</v>
      </c>
      <c r="K1151" s="7">
        <v>26144.03</v>
      </c>
      <c r="L1151" s="7">
        <v>4083.32</v>
      </c>
      <c r="M1151" s="3" t="s">
        <v>56</v>
      </c>
      <c r="N1151" s="3" t="str">
        <f t="shared" si="68"/>
        <v>2024-11</v>
      </c>
      <c r="O1151" s="3" t="str">
        <f t="shared" si="69"/>
        <v>No discount</v>
      </c>
      <c r="P1151" s="9">
        <f t="shared" si="70"/>
        <v>0.1561855612925781</v>
      </c>
      <c r="Q1151" s="3" t="str">
        <f t="shared" si="71"/>
        <v>No</v>
      </c>
    </row>
    <row r="1152" spans="1:17" ht="21" customHeight="1">
      <c r="A1152" s="3" t="s">
        <v>1793</v>
      </c>
      <c r="B1152" s="5">
        <v>45601</v>
      </c>
      <c r="C1152" s="3" t="s">
        <v>657</v>
      </c>
      <c r="D1152" s="3" t="s">
        <v>45</v>
      </c>
      <c r="E1152" s="3" t="s">
        <v>42</v>
      </c>
      <c r="F1152" s="3" t="s">
        <v>90</v>
      </c>
      <c r="G1152" s="3" t="s">
        <v>91</v>
      </c>
      <c r="H1152" s="3">
        <v>1</v>
      </c>
      <c r="I1152" s="7">
        <v>1202.72</v>
      </c>
      <c r="J1152" s="9">
        <v>0.1</v>
      </c>
      <c r="K1152" s="7">
        <v>1082.45</v>
      </c>
      <c r="L1152" s="7">
        <v>464.55</v>
      </c>
      <c r="M1152" s="3" t="s">
        <v>56</v>
      </c>
      <c r="N1152" s="3" t="str">
        <f t="shared" si="68"/>
        <v>2024-11</v>
      </c>
      <c r="O1152" s="3" t="str">
        <f t="shared" si="69"/>
        <v>1-10%</v>
      </c>
      <c r="P1152" s="9">
        <f t="shared" si="70"/>
        <v>0.42916531941429165</v>
      </c>
      <c r="Q1152" s="3" t="str">
        <f t="shared" si="71"/>
        <v>No</v>
      </c>
    </row>
    <row r="1153" spans="1:17" ht="21" customHeight="1">
      <c r="A1153" s="3" t="s">
        <v>1794</v>
      </c>
      <c r="B1153" s="5">
        <v>45601</v>
      </c>
      <c r="C1153" s="3" t="s">
        <v>422</v>
      </c>
      <c r="D1153" s="3" t="s">
        <v>46</v>
      </c>
      <c r="E1153" s="3" t="s">
        <v>41</v>
      </c>
      <c r="F1153" s="3" t="s">
        <v>119</v>
      </c>
      <c r="G1153" s="3" t="s">
        <v>168</v>
      </c>
      <c r="H1153" s="3">
        <v>1</v>
      </c>
      <c r="I1153" s="7">
        <v>9853.65</v>
      </c>
      <c r="J1153" s="9">
        <v>0.05</v>
      </c>
      <c r="K1153" s="7">
        <v>9360.9699999999993</v>
      </c>
      <c r="L1153" s="7">
        <v>3252.34</v>
      </c>
      <c r="M1153" s="3" t="s">
        <v>57</v>
      </c>
      <c r="N1153" s="3" t="str">
        <f t="shared" si="68"/>
        <v>2024-11</v>
      </c>
      <c r="O1153" s="3" t="str">
        <f t="shared" si="69"/>
        <v>1-10%</v>
      </c>
      <c r="P1153" s="9">
        <f t="shared" si="70"/>
        <v>0.34743621654593493</v>
      </c>
      <c r="Q1153" s="3" t="str">
        <f t="shared" si="71"/>
        <v>No</v>
      </c>
    </row>
    <row r="1154" spans="1:17" ht="21" customHeight="1">
      <c r="A1154" s="3" t="s">
        <v>1795</v>
      </c>
      <c r="B1154" s="5">
        <v>45601</v>
      </c>
      <c r="C1154" s="3" t="s">
        <v>93</v>
      </c>
      <c r="D1154" s="3" t="s">
        <v>44</v>
      </c>
      <c r="E1154" s="3" t="s">
        <v>41</v>
      </c>
      <c r="F1154" s="3" t="s">
        <v>113</v>
      </c>
      <c r="G1154" s="3" t="s">
        <v>114</v>
      </c>
      <c r="H1154" s="3">
        <v>1</v>
      </c>
      <c r="I1154" s="7">
        <v>11430.75</v>
      </c>
      <c r="J1154" s="9">
        <v>0.25</v>
      </c>
      <c r="K1154" s="7">
        <v>8573.06</v>
      </c>
      <c r="L1154" s="7">
        <v>975.97</v>
      </c>
      <c r="M1154" s="3" t="s">
        <v>56</v>
      </c>
      <c r="N1154" s="3" t="str">
        <f t="shared" ref="N1154:N1217" si="72">TEXT(B1154,"yyyy-mm")</f>
        <v>2024-11</v>
      </c>
      <c r="O1154" s="3" t="str">
        <f t="shared" ref="O1154:O1217" si="73">IF(J1154=0,"No discount",IF(J1154&lt;=0.1,"1-10%",IF(J1154&lt;=0.15,"11-15%",IF(J1154&lt;=0.2,"16-20%","21%+"))))</f>
        <v>21%+</v>
      </c>
      <c r="P1154" s="9">
        <f t="shared" ref="P1154:P1217" si="74">IF(K1154=0,0,L1154/K1154)</f>
        <v>0.1138414988347218</v>
      </c>
      <c r="Q1154" s="3" t="str">
        <f t="shared" ref="Q1154:Q1217" si="75">IF(L1154&lt;0,"Yes","No")</f>
        <v>No</v>
      </c>
    </row>
    <row r="1155" spans="1:17" ht="21" customHeight="1">
      <c r="A1155" s="3" t="s">
        <v>1796</v>
      </c>
      <c r="B1155" s="5">
        <v>45601</v>
      </c>
      <c r="C1155" s="3" t="s">
        <v>1360</v>
      </c>
      <c r="D1155" s="3" t="s">
        <v>45</v>
      </c>
      <c r="E1155" s="3" t="s">
        <v>42</v>
      </c>
      <c r="F1155" s="3" t="s">
        <v>90</v>
      </c>
      <c r="G1155" s="3" t="s">
        <v>91</v>
      </c>
      <c r="H1155" s="3">
        <v>1</v>
      </c>
      <c r="I1155" s="7">
        <v>1156.1500000000001</v>
      </c>
      <c r="J1155" s="9">
        <v>0.05</v>
      </c>
      <c r="K1155" s="7">
        <v>1098.3399999999999</v>
      </c>
      <c r="L1155" s="7">
        <v>566.11</v>
      </c>
      <c r="M1155" s="3" t="s">
        <v>56</v>
      </c>
      <c r="N1155" s="3" t="str">
        <f t="shared" si="72"/>
        <v>2024-11</v>
      </c>
      <c r="O1155" s="3" t="str">
        <f t="shared" si="73"/>
        <v>1-10%</v>
      </c>
      <c r="P1155" s="9">
        <f t="shared" si="74"/>
        <v>0.51542327512427855</v>
      </c>
      <c r="Q1155" s="3" t="str">
        <f t="shared" si="75"/>
        <v>No</v>
      </c>
    </row>
    <row r="1156" spans="1:17" ht="21" customHeight="1">
      <c r="A1156" s="3" t="s">
        <v>1797</v>
      </c>
      <c r="B1156" s="5">
        <v>45601</v>
      </c>
      <c r="C1156" s="3" t="s">
        <v>316</v>
      </c>
      <c r="D1156" s="3" t="s">
        <v>47</v>
      </c>
      <c r="E1156" s="3" t="s">
        <v>42</v>
      </c>
      <c r="F1156" s="3" t="s">
        <v>126</v>
      </c>
      <c r="G1156" s="3" t="s">
        <v>151</v>
      </c>
      <c r="H1156" s="3">
        <v>1</v>
      </c>
      <c r="I1156" s="7">
        <v>1543.79</v>
      </c>
      <c r="J1156" s="9">
        <v>0.2</v>
      </c>
      <c r="K1156" s="7">
        <v>1235.03</v>
      </c>
      <c r="L1156" s="7">
        <v>408.81</v>
      </c>
      <c r="M1156" s="3" t="s">
        <v>58</v>
      </c>
      <c r="N1156" s="3" t="str">
        <f t="shared" si="72"/>
        <v>2024-11</v>
      </c>
      <c r="O1156" s="3" t="str">
        <f t="shared" si="73"/>
        <v>16-20%</v>
      </c>
      <c r="P1156" s="9">
        <f t="shared" si="74"/>
        <v>0.33101220213274174</v>
      </c>
      <c r="Q1156" s="3" t="str">
        <f t="shared" si="75"/>
        <v>No</v>
      </c>
    </row>
    <row r="1157" spans="1:17" ht="21" customHeight="1">
      <c r="A1157" s="3" t="s">
        <v>1798</v>
      </c>
      <c r="B1157" s="5">
        <v>45601</v>
      </c>
      <c r="C1157" s="3" t="s">
        <v>1799</v>
      </c>
      <c r="D1157" s="3" t="s">
        <v>44</v>
      </c>
      <c r="E1157" s="3" t="s">
        <v>38</v>
      </c>
      <c r="F1157" s="3" t="s">
        <v>142</v>
      </c>
      <c r="G1157" s="3" t="s">
        <v>143</v>
      </c>
      <c r="H1157" s="3">
        <v>3</v>
      </c>
      <c r="I1157" s="7">
        <v>8785.2000000000007</v>
      </c>
      <c r="J1157" s="9">
        <v>0.05</v>
      </c>
      <c r="K1157" s="7">
        <v>25037.82</v>
      </c>
      <c r="L1157" s="7">
        <v>2877.3</v>
      </c>
      <c r="M1157" s="3" t="s">
        <v>56</v>
      </c>
      <c r="N1157" s="3" t="str">
        <f t="shared" si="72"/>
        <v>2024-11</v>
      </c>
      <c r="O1157" s="3" t="str">
        <f t="shared" si="73"/>
        <v>1-10%</v>
      </c>
      <c r="P1157" s="9">
        <f t="shared" si="74"/>
        <v>0.11491815181992682</v>
      </c>
      <c r="Q1157" s="3" t="str">
        <f t="shared" si="75"/>
        <v>No</v>
      </c>
    </row>
    <row r="1158" spans="1:17" ht="21" customHeight="1">
      <c r="A1158" s="3" t="s">
        <v>1800</v>
      </c>
      <c r="B1158" s="5">
        <v>45601</v>
      </c>
      <c r="C1158" s="3" t="s">
        <v>1103</v>
      </c>
      <c r="D1158" s="3" t="s">
        <v>45</v>
      </c>
      <c r="E1158" s="3" t="s">
        <v>42</v>
      </c>
      <c r="F1158" s="3" t="s">
        <v>90</v>
      </c>
      <c r="G1158" s="3" t="s">
        <v>91</v>
      </c>
      <c r="H1158" s="3">
        <v>2</v>
      </c>
      <c r="I1158" s="7">
        <v>1147</v>
      </c>
      <c r="J1158" s="9">
        <v>0.05</v>
      </c>
      <c r="K1158" s="7">
        <v>2179.3000000000002</v>
      </c>
      <c r="L1158" s="7">
        <v>1087.81</v>
      </c>
      <c r="M1158" s="3" t="s">
        <v>57</v>
      </c>
      <c r="N1158" s="3" t="str">
        <f t="shared" si="72"/>
        <v>2024-11</v>
      </c>
      <c r="O1158" s="3" t="str">
        <f t="shared" si="73"/>
        <v>1-10%</v>
      </c>
      <c r="P1158" s="9">
        <f t="shared" si="74"/>
        <v>0.49915569219474137</v>
      </c>
      <c r="Q1158" s="3" t="str">
        <f t="shared" si="75"/>
        <v>No</v>
      </c>
    </row>
    <row r="1159" spans="1:17" ht="21" customHeight="1">
      <c r="A1159" s="3" t="s">
        <v>1801</v>
      </c>
      <c r="B1159" s="5">
        <v>45602</v>
      </c>
      <c r="C1159" s="3" t="s">
        <v>1424</v>
      </c>
      <c r="D1159" s="3" t="s">
        <v>45</v>
      </c>
      <c r="E1159" s="3" t="s">
        <v>38</v>
      </c>
      <c r="F1159" s="3" t="s">
        <v>142</v>
      </c>
      <c r="G1159" s="3" t="s">
        <v>143</v>
      </c>
      <c r="H1159" s="3">
        <v>1</v>
      </c>
      <c r="I1159" s="7">
        <v>9094.16</v>
      </c>
      <c r="J1159" s="9">
        <v>0</v>
      </c>
      <c r="K1159" s="7">
        <v>9094.16</v>
      </c>
      <c r="L1159" s="7">
        <v>1346.59</v>
      </c>
      <c r="M1159" s="3" t="s">
        <v>60</v>
      </c>
      <c r="N1159" s="3" t="str">
        <f t="shared" si="72"/>
        <v>2024-11</v>
      </c>
      <c r="O1159" s="3" t="str">
        <f t="shared" si="73"/>
        <v>No discount</v>
      </c>
      <c r="P1159" s="9">
        <f t="shared" si="74"/>
        <v>0.14807194947086921</v>
      </c>
      <c r="Q1159" s="3" t="str">
        <f t="shared" si="75"/>
        <v>No</v>
      </c>
    </row>
    <row r="1160" spans="1:17" ht="21" customHeight="1">
      <c r="A1160" s="3" t="s">
        <v>1802</v>
      </c>
      <c r="B1160" s="5">
        <v>45602</v>
      </c>
      <c r="C1160" s="3" t="s">
        <v>498</v>
      </c>
      <c r="D1160" s="3" t="s">
        <v>45</v>
      </c>
      <c r="E1160" s="3" t="s">
        <v>39</v>
      </c>
      <c r="F1160" s="3" t="s">
        <v>130</v>
      </c>
      <c r="G1160" s="3" t="s">
        <v>193</v>
      </c>
      <c r="H1160" s="3">
        <v>1</v>
      </c>
      <c r="I1160" s="7">
        <v>1759.63</v>
      </c>
      <c r="J1160" s="9">
        <v>0</v>
      </c>
      <c r="K1160" s="7">
        <v>1759.63</v>
      </c>
      <c r="L1160" s="7">
        <v>798.37</v>
      </c>
      <c r="M1160" s="3" t="s">
        <v>56</v>
      </c>
      <c r="N1160" s="3" t="str">
        <f t="shared" si="72"/>
        <v>2024-11</v>
      </c>
      <c r="O1160" s="3" t="str">
        <f t="shared" si="73"/>
        <v>No discount</v>
      </c>
      <c r="P1160" s="9">
        <f t="shared" si="74"/>
        <v>0.45371470138608683</v>
      </c>
      <c r="Q1160" s="3" t="str">
        <f t="shared" si="75"/>
        <v>No</v>
      </c>
    </row>
    <row r="1161" spans="1:17" ht="21" customHeight="1">
      <c r="A1161" s="3" t="s">
        <v>1803</v>
      </c>
      <c r="B1161" s="5">
        <v>45602</v>
      </c>
      <c r="C1161" s="3" t="s">
        <v>959</v>
      </c>
      <c r="D1161" s="3" t="s">
        <v>45</v>
      </c>
      <c r="E1161" s="3" t="s">
        <v>39</v>
      </c>
      <c r="F1161" s="3" t="s">
        <v>164</v>
      </c>
      <c r="G1161" s="3" t="s">
        <v>165</v>
      </c>
      <c r="H1161" s="3">
        <v>1</v>
      </c>
      <c r="I1161" s="7">
        <v>1931.87</v>
      </c>
      <c r="J1161" s="9">
        <v>0.05</v>
      </c>
      <c r="K1161" s="7">
        <v>1835.28</v>
      </c>
      <c r="L1161" s="7">
        <v>620.88</v>
      </c>
      <c r="M1161" s="3" t="s">
        <v>57</v>
      </c>
      <c r="N1161" s="3" t="str">
        <f t="shared" si="72"/>
        <v>2024-11</v>
      </c>
      <c r="O1161" s="3" t="str">
        <f t="shared" si="73"/>
        <v>1-10%</v>
      </c>
      <c r="P1161" s="9">
        <f t="shared" si="74"/>
        <v>0.3383026023277102</v>
      </c>
      <c r="Q1161" s="3" t="str">
        <f t="shared" si="75"/>
        <v>No</v>
      </c>
    </row>
    <row r="1162" spans="1:17" ht="21" customHeight="1">
      <c r="A1162" s="3" t="s">
        <v>1804</v>
      </c>
      <c r="B1162" s="5">
        <v>45602</v>
      </c>
      <c r="C1162" s="3" t="s">
        <v>741</v>
      </c>
      <c r="D1162" s="3" t="s">
        <v>44</v>
      </c>
      <c r="E1162" s="3" t="s">
        <v>41</v>
      </c>
      <c r="F1162" s="3" t="s">
        <v>113</v>
      </c>
      <c r="G1162" s="3" t="s">
        <v>123</v>
      </c>
      <c r="H1162" s="3">
        <v>1</v>
      </c>
      <c r="I1162" s="7">
        <v>3375.89</v>
      </c>
      <c r="J1162" s="9">
        <v>0.15</v>
      </c>
      <c r="K1162" s="7">
        <v>2869.51</v>
      </c>
      <c r="L1162" s="7">
        <v>545.71</v>
      </c>
      <c r="M1162" s="3" t="s">
        <v>56</v>
      </c>
      <c r="N1162" s="3" t="str">
        <f t="shared" si="72"/>
        <v>2024-11</v>
      </c>
      <c r="O1162" s="3" t="str">
        <f t="shared" si="73"/>
        <v>11-15%</v>
      </c>
      <c r="P1162" s="9">
        <f t="shared" si="74"/>
        <v>0.19017532610097193</v>
      </c>
      <c r="Q1162" s="3" t="str">
        <f t="shared" si="75"/>
        <v>No</v>
      </c>
    </row>
    <row r="1163" spans="1:17" ht="21" customHeight="1">
      <c r="A1163" s="3" t="s">
        <v>1805</v>
      </c>
      <c r="B1163" s="5">
        <v>45603</v>
      </c>
      <c r="C1163" s="3" t="s">
        <v>1384</v>
      </c>
      <c r="D1163" s="3" t="s">
        <v>44</v>
      </c>
      <c r="E1163" s="3" t="s">
        <v>40</v>
      </c>
      <c r="F1163" s="3" t="s">
        <v>221</v>
      </c>
      <c r="G1163" s="3" t="s">
        <v>279</v>
      </c>
      <c r="H1163" s="3">
        <v>3</v>
      </c>
      <c r="I1163" s="7">
        <v>1435.15</v>
      </c>
      <c r="J1163" s="9">
        <v>0.05</v>
      </c>
      <c r="K1163" s="7">
        <v>4090.18</v>
      </c>
      <c r="L1163" s="7">
        <v>1156.93</v>
      </c>
      <c r="M1163" s="3" t="s">
        <v>56</v>
      </c>
      <c r="N1163" s="3" t="str">
        <f t="shared" si="72"/>
        <v>2024-11</v>
      </c>
      <c r="O1163" s="3" t="str">
        <f t="shared" si="73"/>
        <v>1-10%</v>
      </c>
      <c r="P1163" s="9">
        <f t="shared" si="74"/>
        <v>0.28285552225085453</v>
      </c>
      <c r="Q1163" s="3" t="str">
        <f t="shared" si="75"/>
        <v>No</v>
      </c>
    </row>
    <row r="1164" spans="1:17" ht="21" customHeight="1">
      <c r="A1164" s="3" t="s">
        <v>1806</v>
      </c>
      <c r="B1164" s="5">
        <v>45603</v>
      </c>
      <c r="C1164" s="3" t="s">
        <v>800</v>
      </c>
      <c r="D1164" s="3" t="s">
        <v>45</v>
      </c>
      <c r="E1164" s="3" t="s">
        <v>40</v>
      </c>
      <c r="F1164" s="3" t="s">
        <v>102</v>
      </c>
      <c r="G1164" s="3" t="s">
        <v>103</v>
      </c>
      <c r="H1164" s="3">
        <v>3</v>
      </c>
      <c r="I1164" s="7">
        <v>6211.94</v>
      </c>
      <c r="J1164" s="9">
        <v>0.15</v>
      </c>
      <c r="K1164" s="7">
        <v>15840.45</v>
      </c>
      <c r="L1164" s="7">
        <v>2643.05</v>
      </c>
      <c r="M1164" s="3" t="s">
        <v>58</v>
      </c>
      <c r="N1164" s="3" t="str">
        <f t="shared" si="72"/>
        <v>2024-11</v>
      </c>
      <c r="O1164" s="3" t="str">
        <f t="shared" si="73"/>
        <v>11-15%</v>
      </c>
      <c r="P1164" s="9">
        <f t="shared" si="74"/>
        <v>0.16685447698771183</v>
      </c>
      <c r="Q1164" s="3" t="str">
        <f t="shared" si="75"/>
        <v>No</v>
      </c>
    </row>
    <row r="1165" spans="1:17" ht="21" customHeight="1">
      <c r="A1165" s="3" t="s">
        <v>1807</v>
      </c>
      <c r="B1165" s="5">
        <v>45603</v>
      </c>
      <c r="C1165" s="3" t="s">
        <v>1289</v>
      </c>
      <c r="D1165" s="3" t="s">
        <v>46</v>
      </c>
      <c r="E1165" s="3" t="s">
        <v>40</v>
      </c>
      <c r="F1165" s="3" t="s">
        <v>102</v>
      </c>
      <c r="G1165" s="3" t="s">
        <v>103</v>
      </c>
      <c r="H1165" s="3">
        <v>1</v>
      </c>
      <c r="I1165" s="7">
        <v>6641.02</v>
      </c>
      <c r="J1165" s="9">
        <v>0.2</v>
      </c>
      <c r="K1165" s="7">
        <v>5312.82</v>
      </c>
      <c r="L1165" s="7">
        <v>511.12</v>
      </c>
      <c r="M1165" s="3" t="s">
        <v>58</v>
      </c>
      <c r="N1165" s="3" t="str">
        <f t="shared" si="72"/>
        <v>2024-11</v>
      </c>
      <c r="O1165" s="3" t="str">
        <f t="shared" si="73"/>
        <v>16-20%</v>
      </c>
      <c r="P1165" s="9">
        <f t="shared" si="74"/>
        <v>9.6205028591218988E-2</v>
      </c>
      <c r="Q1165" s="3" t="str">
        <f t="shared" si="75"/>
        <v>No</v>
      </c>
    </row>
    <row r="1166" spans="1:17" ht="21" customHeight="1">
      <c r="A1166" s="3" t="s">
        <v>1808</v>
      </c>
      <c r="B1166" s="5">
        <v>45603</v>
      </c>
      <c r="C1166" s="3" t="s">
        <v>948</v>
      </c>
      <c r="D1166" s="3" t="s">
        <v>45</v>
      </c>
      <c r="E1166" s="3" t="s">
        <v>38</v>
      </c>
      <c r="F1166" s="3" t="s">
        <v>98</v>
      </c>
      <c r="G1166" s="3" t="s">
        <v>182</v>
      </c>
      <c r="H1166" s="3">
        <v>1</v>
      </c>
      <c r="I1166" s="7">
        <v>72081.960000000006</v>
      </c>
      <c r="J1166" s="9">
        <v>0</v>
      </c>
      <c r="K1166" s="7">
        <v>72081.960000000006</v>
      </c>
      <c r="L1166" s="7">
        <v>12023.61</v>
      </c>
      <c r="M1166" s="3" t="s">
        <v>57</v>
      </c>
      <c r="N1166" s="3" t="str">
        <f t="shared" si="72"/>
        <v>2024-11</v>
      </c>
      <c r="O1166" s="3" t="str">
        <f t="shared" si="73"/>
        <v>No discount</v>
      </c>
      <c r="P1166" s="9">
        <f t="shared" si="74"/>
        <v>0.16680470397863764</v>
      </c>
      <c r="Q1166" s="3" t="str">
        <f t="shared" si="75"/>
        <v>No</v>
      </c>
    </row>
    <row r="1167" spans="1:17" ht="21" customHeight="1">
      <c r="A1167" s="3" t="s">
        <v>1809</v>
      </c>
      <c r="B1167" s="5">
        <v>45604</v>
      </c>
      <c r="C1167" s="3" t="s">
        <v>1171</v>
      </c>
      <c r="D1167" s="3" t="s">
        <v>45</v>
      </c>
      <c r="E1167" s="3" t="s">
        <v>39</v>
      </c>
      <c r="F1167" s="3" t="s">
        <v>109</v>
      </c>
      <c r="G1167" s="3" t="s">
        <v>355</v>
      </c>
      <c r="H1167" s="3">
        <v>1</v>
      </c>
      <c r="I1167" s="7">
        <v>3561.84</v>
      </c>
      <c r="J1167" s="9">
        <v>0.05</v>
      </c>
      <c r="K1167" s="7">
        <v>3383.75</v>
      </c>
      <c r="L1167" s="7">
        <v>1181.01</v>
      </c>
      <c r="M1167" s="3" t="s">
        <v>57</v>
      </c>
      <c r="N1167" s="3" t="str">
        <f t="shared" si="72"/>
        <v>2024-11</v>
      </c>
      <c r="O1167" s="3" t="str">
        <f t="shared" si="73"/>
        <v>1-10%</v>
      </c>
      <c r="P1167" s="9">
        <f t="shared" si="74"/>
        <v>0.34902401182120429</v>
      </c>
      <c r="Q1167" s="3" t="str">
        <f t="shared" si="75"/>
        <v>No</v>
      </c>
    </row>
    <row r="1168" spans="1:17" ht="21" customHeight="1">
      <c r="A1168" s="3" t="s">
        <v>1810</v>
      </c>
      <c r="B1168" s="5">
        <v>45604</v>
      </c>
      <c r="C1168" s="3" t="s">
        <v>170</v>
      </c>
      <c r="D1168" s="3" t="s">
        <v>45</v>
      </c>
      <c r="E1168" s="3" t="s">
        <v>40</v>
      </c>
      <c r="F1168" s="3" t="s">
        <v>102</v>
      </c>
      <c r="G1168" s="3" t="s">
        <v>146</v>
      </c>
      <c r="H1168" s="3">
        <v>1</v>
      </c>
      <c r="I1168" s="7">
        <v>7891.23</v>
      </c>
      <c r="J1168" s="9">
        <v>0.05</v>
      </c>
      <c r="K1168" s="7">
        <v>7496.67</v>
      </c>
      <c r="L1168" s="7">
        <v>1857.22</v>
      </c>
      <c r="M1168" s="3" t="s">
        <v>57</v>
      </c>
      <c r="N1168" s="3" t="str">
        <f t="shared" si="72"/>
        <v>2024-11</v>
      </c>
      <c r="O1168" s="3" t="str">
        <f t="shared" si="73"/>
        <v>1-10%</v>
      </c>
      <c r="P1168" s="9">
        <f t="shared" si="74"/>
        <v>0.24773932959567382</v>
      </c>
      <c r="Q1168" s="3" t="str">
        <f t="shared" si="75"/>
        <v>No</v>
      </c>
    </row>
    <row r="1169" spans="1:17" ht="21" customHeight="1">
      <c r="A1169" s="3" t="s">
        <v>1811</v>
      </c>
      <c r="B1169" s="5">
        <v>45604</v>
      </c>
      <c r="C1169" s="3" t="s">
        <v>357</v>
      </c>
      <c r="D1169" s="3" t="s">
        <v>47</v>
      </c>
      <c r="E1169" s="3" t="s">
        <v>39</v>
      </c>
      <c r="F1169" s="3" t="s">
        <v>130</v>
      </c>
      <c r="G1169" s="3" t="s">
        <v>131</v>
      </c>
      <c r="H1169" s="3">
        <v>2</v>
      </c>
      <c r="I1169" s="7">
        <v>2089.73</v>
      </c>
      <c r="J1169" s="9">
        <v>0</v>
      </c>
      <c r="K1169" s="7">
        <v>4179.46</v>
      </c>
      <c r="L1169" s="7">
        <v>1650.08</v>
      </c>
      <c r="M1169" s="3" t="s">
        <v>57</v>
      </c>
      <c r="N1169" s="3" t="str">
        <f t="shared" si="72"/>
        <v>2024-11</v>
      </c>
      <c r="O1169" s="3" t="str">
        <f t="shared" si="73"/>
        <v>No discount</v>
      </c>
      <c r="P1169" s="9">
        <f t="shared" si="74"/>
        <v>0.39480698463437858</v>
      </c>
      <c r="Q1169" s="3" t="str">
        <f t="shared" si="75"/>
        <v>No</v>
      </c>
    </row>
    <row r="1170" spans="1:17" ht="21" customHeight="1">
      <c r="A1170" s="3" t="s">
        <v>1812</v>
      </c>
      <c r="B1170" s="5">
        <v>45604</v>
      </c>
      <c r="C1170" s="3" t="s">
        <v>1278</v>
      </c>
      <c r="D1170" s="3" t="s">
        <v>45</v>
      </c>
      <c r="E1170" s="3" t="s">
        <v>42</v>
      </c>
      <c r="F1170" s="3" t="s">
        <v>126</v>
      </c>
      <c r="G1170" s="3" t="s">
        <v>151</v>
      </c>
      <c r="H1170" s="3">
        <v>3</v>
      </c>
      <c r="I1170" s="7">
        <v>1539.12</v>
      </c>
      <c r="J1170" s="9">
        <v>0</v>
      </c>
      <c r="K1170" s="7">
        <v>4617.3599999999997</v>
      </c>
      <c r="L1170" s="7">
        <v>2447.21</v>
      </c>
      <c r="M1170" s="3" t="s">
        <v>56</v>
      </c>
      <c r="N1170" s="3" t="str">
        <f t="shared" si="72"/>
        <v>2024-11</v>
      </c>
      <c r="O1170" s="3" t="str">
        <f t="shared" si="73"/>
        <v>No discount</v>
      </c>
      <c r="P1170" s="9">
        <f t="shared" si="74"/>
        <v>0.53000199248055169</v>
      </c>
      <c r="Q1170" s="3" t="str">
        <f t="shared" si="75"/>
        <v>No</v>
      </c>
    </row>
    <row r="1171" spans="1:17" ht="21" customHeight="1">
      <c r="A1171" s="3" t="s">
        <v>1813</v>
      </c>
      <c r="B1171" s="5">
        <v>45604</v>
      </c>
      <c r="C1171" s="3" t="s">
        <v>1716</v>
      </c>
      <c r="D1171" s="3" t="s">
        <v>44</v>
      </c>
      <c r="E1171" s="3" t="s">
        <v>42</v>
      </c>
      <c r="F1171" s="3" t="s">
        <v>90</v>
      </c>
      <c r="G1171" s="3" t="s">
        <v>91</v>
      </c>
      <c r="H1171" s="3">
        <v>1</v>
      </c>
      <c r="I1171" s="7">
        <v>1172.1199999999999</v>
      </c>
      <c r="J1171" s="9">
        <v>0.15</v>
      </c>
      <c r="K1171" s="7">
        <v>996.3</v>
      </c>
      <c r="L1171" s="7">
        <v>402.22</v>
      </c>
      <c r="M1171" s="3" t="s">
        <v>57</v>
      </c>
      <c r="N1171" s="3" t="str">
        <f t="shared" si="72"/>
        <v>2024-11</v>
      </c>
      <c r="O1171" s="3" t="str">
        <f t="shared" si="73"/>
        <v>11-15%</v>
      </c>
      <c r="P1171" s="9">
        <f t="shared" si="74"/>
        <v>0.40371374084111217</v>
      </c>
      <c r="Q1171" s="3" t="str">
        <f t="shared" si="75"/>
        <v>No</v>
      </c>
    </row>
    <row r="1172" spans="1:17" ht="21" customHeight="1">
      <c r="A1172" s="3" t="s">
        <v>1814</v>
      </c>
      <c r="B1172" s="5">
        <v>45604</v>
      </c>
      <c r="C1172" s="3" t="s">
        <v>881</v>
      </c>
      <c r="D1172" s="3" t="s">
        <v>44</v>
      </c>
      <c r="E1172" s="3" t="s">
        <v>40</v>
      </c>
      <c r="F1172" s="3" t="s">
        <v>160</v>
      </c>
      <c r="G1172" s="3" t="s">
        <v>161</v>
      </c>
      <c r="H1172" s="3">
        <v>2</v>
      </c>
      <c r="I1172" s="7">
        <v>12773.75</v>
      </c>
      <c r="J1172" s="9">
        <v>0</v>
      </c>
      <c r="K1172" s="7">
        <v>25547.5</v>
      </c>
      <c r="L1172" s="7">
        <v>8545.68</v>
      </c>
      <c r="M1172" s="3" t="s">
        <v>56</v>
      </c>
      <c r="N1172" s="3" t="str">
        <f t="shared" si="72"/>
        <v>2024-11</v>
      </c>
      <c r="O1172" s="3" t="str">
        <f t="shared" si="73"/>
        <v>No discount</v>
      </c>
      <c r="P1172" s="9">
        <f t="shared" si="74"/>
        <v>0.3345016146393972</v>
      </c>
      <c r="Q1172" s="3" t="str">
        <f t="shared" si="75"/>
        <v>No</v>
      </c>
    </row>
    <row r="1173" spans="1:17" ht="21" customHeight="1">
      <c r="A1173" s="3" t="s">
        <v>1815</v>
      </c>
      <c r="B1173" s="5">
        <v>45604</v>
      </c>
      <c r="C1173" s="3" t="s">
        <v>1816</v>
      </c>
      <c r="D1173" s="3" t="s">
        <v>44</v>
      </c>
      <c r="E1173" s="3" t="s">
        <v>42</v>
      </c>
      <c r="F1173" s="3" t="s">
        <v>90</v>
      </c>
      <c r="G1173" s="3" t="s">
        <v>106</v>
      </c>
      <c r="H1173" s="3">
        <v>1</v>
      </c>
      <c r="I1173" s="7">
        <v>854.93</v>
      </c>
      <c r="J1173" s="9">
        <v>0</v>
      </c>
      <c r="K1173" s="7">
        <v>854.93</v>
      </c>
      <c r="L1173" s="7">
        <v>436.32</v>
      </c>
      <c r="M1173" s="3" t="s">
        <v>56</v>
      </c>
      <c r="N1173" s="3" t="str">
        <f t="shared" si="72"/>
        <v>2024-11</v>
      </c>
      <c r="O1173" s="3" t="str">
        <f t="shared" si="73"/>
        <v>No discount</v>
      </c>
      <c r="P1173" s="9">
        <f t="shared" si="74"/>
        <v>0.51035757313464258</v>
      </c>
      <c r="Q1173" s="3" t="str">
        <f t="shared" si="75"/>
        <v>No</v>
      </c>
    </row>
    <row r="1174" spans="1:17" ht="21" customHeight="1">
      <c r="A1174" s="3" t="s">
        <v>1817</v>
      </c>
      <c r="B1174" s="5">
        <v>45605</v>
      </c>
      <c r="C1174" s="3" t="s">
        <v>242</v>
      </c>
      <c r="D1174" s="3" t="s">
        <v>45</v>
      </c>
      <c r="E1174" s="3" t="s">
        <v>42</v>
      </c>
      <c r="F1174" s="3" t="s">
        <v>126</v>
      </c>
      <c r="G1174" s="3" t="s">
        <v>151</v>
      </c>
      <c r="H1174" s="3">
        <v>1</v>
      </c>
      <c r="I1174" s="7">
        <v>1503.52</v>
      </c>
      <c r="J1174" s="9">
        <v>0.1</v>
      </c>
      <c r="K1174" s="7">
        <v>1353.17</v>
      </c>
      <c r="L1174" s="7">
        <v>593.88</v>
      </c>
      <c r="M1174" s="3" t="s">
        <v>57</v>
      </c>
      <c r="N1174" s="3" t="str">
        <f t="shared" si="72"/>
        <v>2024-11</v>
      </c>
      <c r="O1174" s="3" t="str">
        <f t="shared" si="73"/>
        <v>1-10%</v>
      </c>
      <c r="P1174" s="9">
        <f t="shared" si="74"/>
        <v>0.438880554549687</v>
      </c>
      <c r="Q1174" s="3" t="str">
        <f t="shared" si="75"/>
        <v>No</v>
      </c>
    </row>
    <row r="1175" spans="1:17" ht="21" customHeight="1">
      <c r="A1175" s="3" t="s">
        <v>1818</v>
      </c>
      <c r="B1175" s="5">
        <v>45605</v>
      </c>
      <c r="C1175" s="3" t="s">
        <v>1150</v>
      </c>
      <c r="D1175" s="3" t="s">
        <v>44</v>
      </c>
      <c r="E1175" s="3" t="s">
        <v>38</v>
      </c>
      <c r="F1175" s="3" t="s">
        <v>94</v>
      </c>
      <c r="G1175" s="3" t="s">
        <v>213</v>
      </c>
      <c r="H1175" s="3">
        <v>4</v>
      </c>
      <c r="I1175" s="7">
        <v>55639.56</v>
      </c>
      <c r="J1175" s="9">
        <v>0.05</v>
      </c>
      <c r="K1175" s="7">
        <v>211430.33</v>
      </c>
      <c r="L1175" s="7">
        <v>18981.12</v>
      </c>
      <c r="M1175" s="3" t="s">
        <v>56</v>
      </c>
      <c r="N1175" s="3" t="str">
        <f t="shared" si="72"/>
        <v>2024-11</v>
      </c>
      <c r="O1175" s="3" t="str">
        <f t="shared" si="73"/>
        <v>1-10%</v>
      </c>
      <c r="P1175" s="9">
        <f t="shared" si="74"/>
        <v>8.97748208594292E-2</v>
      </c>
      <c r="Q1175" s="3" t="str">
        <f t="shared" si="75"/>
        <v>No</v>
      </c>
    </row>
    <row r="1176" spans="1:17" ht="21" customHeight="1">
      <c r="A1176" s="3" t="s">
        <v>1819</v>
      </c>
      <c r="B1176" s="5">
        <v>45605</v>
      </c>
      <c r="C1176" s="3" t="s">
        <v>899</v>
      </c>
      <c r="D1176" s="3" t="s">
        <v>44</v>
      </c>
      <c r="E1176" s="3" t="s">
        <v>42</v>
      </c>
      <c r="F1176" s="3" t="s">
        <v>126</v>
      </c>
      <c r="G1176" s="3" t="s">
        <v>127</v>
      </c>
      <c r="H1176" s="3">
        <v>2</v>
      </c>
      <c r="I1176" s="7">
        <v>1026.27</v>
      </c>
      <c r="J1176" s="9">
        <v>0.15</v>
      </c>
      <c r="K1176" s="7">
        <v>1744.66</v>
      </c>
      <c r="L1176" s="7">
        <v>628.91999999999996</v>
      </c>
      <c r="M1176" s="3" t="s">
        <v>56</v>
      </c>
      <c r="N1176" s="3" t="str">
        <f t="shared" si="72"/>
        <v>2024-11</v>
      </c>
      <c r="O1176" s="3" t="str">
        <f t="shared" si="73"/>
        <v>11-15%</v>
      </c>
      <c r="P1176" s="9">
        <f t="shared" si="74"/>
        <v>0.36048284479497433</v>
      </c>
      <c r="Q1176" s="3" t="str">
        <f t="shared" si="75"/>
        <v>No</v>
      </c>
    </row>
    <row r="1177" spans="1:17" ht="21" customHeight="1">
      <c r="A1177" s="3" t="s">
        <v>1820</v>
      </c>
      <c r="B1177" s="5">
        <v>45605</v>
      </c>
      <c r="C1177" s="3" t="s">
        <v>682</v>
      </c>
      <c r="D1177" s="3" t="s">
        <v>46</v>
      </c>
      <c r="E1177" s="3" t="s">
        <v>41</v>
      </c>
      <c r="F1177" s="3" t="s">
        <v>119</v>
      </c>
      <c r="G1177" s="3" t="s">
        <v>168</v>
      </c>
      <c r="H1177" s="3">
        <v>3</v>
      </c>
      <c r="I1177" s="7">
        <v>10456.780000000001</v>
      </c>
      <c r="J1177" s="9">
        <v>0.1</v>
      </c>
      <c r="K1177" s="7">
        <v>28233.31</v>
      </c>
      <c r="L1177" s="7">
        <v>8419.1</v>
      </c>
      <c r="M1177" s="3" t="s">
        <v>57</v>
      </c>
      <c r="N1177" s="3" t="str">
        <f t="shared" si="72"/>
        <v>2024-11</v>
      </c>
      <c r="O1177" s="3" t="str">
        <f t="shared" si="73"/>
        <v>1-10%</v>
      </c>
      <c r="P1177" s="9">
        <f t="shared" si="74"/>
        <v>0.29819741291403662</v>
      </c>
      <c r="Q1177" s="3" t="str">
        <f t="shared" si="75"/>
        <v>No</v>
      </c>
    </row>
    <row r="1178" spans="1:17" ht="21" customHeight="1">
      <c r="A1178" s="3" t="s">
        <v>1821</v>
      </c>
      <c r="B1178" s="5">
        <v>45606</v>
      </c>
      <c r="C1178" s="3" t="s">
        <v>575</v>
      </c>
      <c r="D1178" s="3" t="s">
        <v>44</v>
      </c>
      <c r="E1178" s="3" t="s">
        <v>38</v>
      </c>
      <c r="F1178" s="3" t="s">
        <v>98</v>
      </c>
      <c r="G1178" s="3" t="s">
        <v>182</v>
      </c>
      <c r="H1178" s="3">
        <v>1</v>
      </c>
      <c r="I1178" s="7">
        <v>72639.350000000006</v>
      </c>
      <c r="J1178" s="9">
        <v>0.2</v>
      </c>
      <c r="K1178" s="7">
        <v>58111.48</v>
      </c>
      <c r="L1178" s="7">
        <v>-808.96</v>
      </c>
      <c r="M1178" s="3" t="s">
        <v>57</v>
      </c>
      <c r="N1178" s="3" t="str">
        <f t="shared" si="72"/>
        <v>2024-11</v>
      </c>
      <c r="O1178" s="3" t="str">
        <f t="shared" si="73"/>
        <v>16-20%</v>
      </c>
      <c r="P1178" s="9">
        <f t="shared" si="74"/>
        <v>-1.3920829412708126E-2</v>
      </c>
      <c r="Q1178" s="3" t="str">
        <f t="shared" si="75"/>
        <v>Yes</v>
      </c>
    </row>
    <row r="1179" spans="1:17" ht="21" customHeight="1">
      <c r="A1179" s="3" t="s">
        <v>1822</v>
      </c>
      <c r="B1179" s="5">
        <v>45606</v>
      </c>
      <c r="C1179" s="3" t="s">
        <v>259</v>
      </c>
      <c r="D1179" s="3" t="s">
        <v>45</v>
      </c>
      <c r="E1179" s="3" t="s">
        <v>39</v>
      </c>
      <c r="F1179" s="3" t="s">
        <v>109</v>
      </c>
      <c r="G1179" s="3" t="s">
        <v>110</v>
      </c>
      <c r="H1179" s="3">
        <v>1</v>
      </c>
      <c r="I1179" s="7">
        <v>3052.35</v>
      </c>
      <c r="J1179" s="9">
        <v>0.05</v>
      </c>
      <c r="K1179" s="7">
        <v>2899.73</v>
      </c>
      <c r="L1179" s="7">
        <v>1103.58</v>
      </c>
      <c r="M1179" s="3" t="s">
        <v>57</v>
      </c>
      <c r="N1179" s="3" t="str">
        <f t="shared" si="72"/>
        <v>2024-11</v>
      </c>
      <c r="O1179" s="3" t="str">
        <f t="shared" si="73"/>
        <v>1-10%</v>
      </c>
      <c r="P1179" s="9">
        <f t="shared" si="74"/>
        <v>0.38058026092084435</v>
      </c>
      <c r="Q1179" s="3" t="str">
        <f t="shared" si="75"/>
        <v>No</v>
      </c>
    </row>
    <row r="1180" spans="1:17" ht="21" customHeight="1">
      <c r="A1180" s="3" t="s">
        <v>1823</v>
      </c>
      <c r="B1180" s="5">
        <v>45606</v>
      </c>
      <c r="C1180" s="3" t="s">
        <v>1555</v>
      </c>
      <c r="D1180" s="3" t="s">
        <v>45</v>
      </c>
      <c r="E1180" s="3" t="s">
        <v>42</v>
      </c>
      <c r="F1180" s="3" t="s">
        <v>126</v>
      </c>
      <c r="G1180" s="3" t="s">
        <v>151</v>
      </c>
      <c r="H1180" s="3">
        <v>1</v>
      </c>
      <c r="I1180" s="7">
        <v>1544.3</v>
      </c>
      <c r="J1180" s="9">
        <v>0</v>
      </c>
      <c r="K1180" s="7">
        <v>1544.3</v>
      </c>
      <c r="L1180" s="7">
        <v>823.17</v>
      </c>
      <c r="M1180" s="3" t="s">
        <v>56</v>
      </c>
      <c r="N1180" s="3" t="str">
        <f t="shared" si="72"/>
        <v>2024-11</v>
      </c>
      <c r="O1180" s="3" t="str">
        <f t="shared" si="73"/>
        <v>No discount</v>
      </c>
      <c r="P1180" s="9">
        <f t="shared" si="74"/>
        <v>0.53303762222366124</v>
      </c>
      <c r="Q1180" s="3" t="str">
        <f t="shared" si="75"/>
        <v>No</v>
      </c>
    </row>
    <row r="1181" spans="1:17" ht="21" customHeight="1">
      <c r="A1181" s="3" t="s">
        <v>1824</v>
      </c>
      <c r="B1181" s="5">
        <v>45607</v>
      </c>
      <c r="C1181" s="3" t="s">
        <v>853</v>
      </c>
      <c r="D1181" s="3" t="s">
        <v>46</v>
      </c>
      <c r="E1181" s="3" t="s">
        <v>42</v>
      </c>
      <c r="F1181" s="3" t="s">
        <v>126</v>
      </c>
      <c r="G1181" s="3" t="s">
        <v>151</v>
      </c>
      <c r="H1181" s="3">
        <v>2</v>
      </c>
      <c r="I1181" s="7">
        <v>1546.33</v>
      </c>
      <c r="J1181" s="9">
        <v>0</v>
      </c>
      <c r="K1181" s="7">
        <v>3092.66</v>
      </c>
      <c r="L1181" s="7">
        <v>1668.39</v>
      </c>
      <c r="M1181" s="3" t="s">
        <v>60</v>
      </c>
      <c r="N1181" s="3" t="str">
        <f t="shared" si="72"/>
        <v>2024-11</v>
      </c>
      <c r="O1181" s="3" t="str">
        <f t="shared" si="73"/>
        <v>No discount</v>
      </c>
      <c r="P1181" s="9">
        <f t="shared" si="74"/>
        <v>0.53946764274120018</v>
      </c>
      <c r="Q1181" s="3" t="str">
        <f t="shared" si="75"/>
        <v>No</v>
      </c>
    </row>
    <row r="1182" spans="1:17" ht="21" customHeight="1">
      <c r="A1182" s="3" t="s">
        <v>1825</v>
      </c>
      <c r="B1182" s="5">
        <v>45607</v>
      </c>
      <c r="C1182" s="3" t="s">
        <v>514</v>
      </c>
      <c r="D1182" s="3" t="s">
        <v>45</v>
      </c>
      <c r="E1182" s="3" t="s">
        <v>42</v>
      </c>
      <c r="F1182" s="3" t="s">
        <v>126</v>
      </c>
      <c r="G1182" s="3" t="s">
        <v>127</v>
      </c>
      <c r="H1182" s="3">
        <v>4</v>
      </c>
      <c r="I1182" s="7">
        <v>954.61</v>
      </c>
      <c r="J1182" s="9">
        <v>0.05</v>
      </c>
      <c r="K1182" s="7">
        <v>3627.52</v>
      </c>
      <c r="L1182" s="7">
        <v>1679.74</v>
      </c>
      <c r="M1182" s="3" t="s">
        <v>57</v>
      </c>
      <c r="N1182" s="3" t="str">
        <f t="shared" si="72"/>
        <v>2024-11</v>
      </c>
      <c r="O1182" s="3" t="str">
        <f t="shared" si="73"/>
        <v>1-10%</v>
      </c>
      <c r="P1182" s="9">
        <f t="shared" si="74"/>
        <v>0.46305464890613973</v>
      </c>
      <c r="Q1182" s="3" t="str">
        <f t="shared" si="75"/>
        <v>No</v>
      </c>
    </row>
    <row r="1183" spans="1:17" ht="21" customHeight="1">
      <c r="A1183" s="3" t="s">
        <v>1826</v>
      </c>
      <c r="B1183" s="5">
        <v>45607</v>
      </c>
      <c r="C1183" s="3" t="s">
        <v>715</v>
      </c>
      <c r="D1183" s="3" t="s">
        <v>44</v>
      </c>
      <c r="E1183" s="3" t="s">
        <v>38</v>
      </c>
      <c r="F1183" s="3" t="s">
        <v>94</v>
      </c>
      <c r="G1183" s="3" t="s">
        <v>95</v>
      </c>
      <c r="H1183" s="3">
        <v>2</v>
      </c>
      <c r="I1183" s="7">
        <v>79147.22</v>
      </c>
      <c r="J1183" s="9">
        <v>0</v>
      </c>
      <c r="K1183" s="7">
        <v>158294.44</v>
      </c>
      <c r="L1183" s="7">
        <v>28419.95</v>
      </c>
      <c r="M1183" s="3" t="s">
        <v>57</v>
      </c>
      <c r="N1183" s="3" t="str">
        <f t="shared" si="72"/>
        <v>2024-11</v>
      </c>
      <c r="O1183" s="3" t="str">
        <f t="shared" si="73"/>
        <v>No discount</v>
      </c>
      <c r="P1183" s="9">
        <f t="shared" si="74"/>
        <v>0.17953852327346431</v>
      </c>
      <c r="Q1183" s="3" t="str">
        <f t="shared" si="75"/>
        <v>No</v>
      </c>
    </row>
    <row r="1184" spans="1:17" ht="21" customHeight="1">
      <c r="A1184" s="3" t="s">
        <v>1827</v>
      </c>
      <c r="B1184" s="5">
        <v>45607</v>
      </c>
      <c r="C1184" s="3" t="s">
        <v>914</v>
      </c>
      <c r="D1184" s="3" t="s">
        <v>47</v>
      </c>
      <c r="E1184" s="3" t="s">
        <v>39</v>
      </c>
      <c r="F1184" s="3" t="s">
        <v>164</v>
      </c>
      <c r="G1184" s="3" t="s">
        <v>200</v>
      </c>
      <c r="H1184" s="3">
        <v>2</v>
      </c>
      <c r="I1184" s="7">
        <v>1265.81</v>
      </c>
      <c r="J1184" s="9">
        <v>0.15</v>
      </c>
      <c r="K1184" s="7">
        <v>2151.88</v>
      </c>
      <c r="L1184" s="7">
        <v>545.95000000000005</v>
      </c>
      <c r="M1184" s="3" t="s">
        <v>56</v>
      </c>
      <c r="N1184" s="3" t="str">
        <f t="shared" si="72"/>
        <v>2024-11</v>
      </c>
      <c r="O1184" s="3" t="str">
        <f t="shared" si="73"/>
        <v>11-15%</v>
      </c>
      <c r="P1184" s="9">
        <f t="shared" si="74"/>
        <v>0.25370838522594197</v>
      </c>
      <c r="Q1184" s="3" t="str">
        <f t="shared" si="75"/>
        <v>No</v>
      </c>
    </row>
    <row r="1185" spans="1:17" ht="21" customHeight="1">
      <c r="A1185" s="3" t="s">
        <v>1828</v>
      </c>
      <c r="B1185" s="5">
        <v>45607</v>
      </c>
      <c r="C1185" s="3" t="s">
        <v>148</v>
      </c>
      <c r="D1185" s="3" t="s">
        <v>46</v>
      </c>
      <c r="E1185" s="3" t="s">
        <v>38</v>
      </c>
      <c r="F1185" s="3" t="s">
        <v>98</v>
      </c>
      <c r="G1185" s="3" t="s">
        <v>182</v>
      </c>
      <c r="H1185" s="3">
        <v>1</v>
      </c>
      <c r="I1185" s="7">
        <v>73195.08</v>
      </c>
      <c r="J1185" s="9">
        <v>0.25</v>
      </c>
      <c r="K1185" s="7">
        <v>54896.31</v>
      </c>
      <c r="L1185" s="7">
        <v>-5618.4</v>
      </c>
      <c r="M1185" s="3" t="s">
        <v>57</v>
      </c>
      <c r="N1185" s="3" t="str">
        <f t="shared" si="72"/>
        <v>2024-11</v>
      </c>
      <c r="O1185" s="3" t="str">
        <f t="shared" si="73"/>
        <v>21%+</v>
      </c>
      <c r="P1185" s="9">
        <f t="shared" si="74"/>
        <v>-0.10234567678592604</v>
      </c>
      <c r="Q1185" s="3" t="str">
        <f t="shared" si="75"/>
        <v>Yes</v>
      </c>
    </row>
    <row r="1186" spans="1:17" ht="21" customHeight="1">
      <c r="A1186" s="3" t="s">
        <v>1829</v>
      </c>
      <c r="B1186" s="5">
        <v>45607</v>
      </c>
      <c r="C1186" s="3" t="s">
        <v>609</v>
      </c>
      <c r="D1186" s="3" t="s">
        <v>44</v>
      </c>
      <c r="E1186" s="3" t="s">
        <v>42</v>
      </c>
      <c r="F1186" s="3" t="s">
        <v>90</v>
      </c>
      <c r="G1186" s="3" t="s">
        <v>106</v>
      </c>
      <c r="H1186" s="3">
        <v>1</v>
      </c>
      <c r="I1186" s="7">
        <v>916.6</v>
      </c>
      <c r="J1186" s="9">
        <v>0.05</v>
      </c>
      <c r="K1186" s="7">
        <v>870.77</v>
      </c>
      <c r="L1186" s="7">
        <v>434.21</v>
      </c>
      <c r="M1186" s="3" t="s">
        <v>58</v>
      </c>
      <c r="N1186" s="3" t="str">
        <f t="shared" si="72"/>
        <v>2024-11</v>
      </c>
      <c r="O1186" s="3" t="str">
        <f t="shared" si="73"/>
        <v>1-10%</v>
      </c>
      <c r="P1186" s="9">
        <f t="shared" si="74"/>
        <v>0.49865061956659046</v>
      </c>
      <c r="Q1186" s="3" t="str">
        <f t="shared" si="75"/>
        <v>No</v>
      </c>
    </row>
    <row r="1187" spans="1:17" ht="21" customHeight="1">
      <c r="A1187" s="3" t="s">
        <v>1830</v>
      </c>
      <c r="B1187" s="5">
        <v>45608</v>
      </c>
      <c r="C1187" s="3" t="s">
        <v>1567</v>
      </c>
      <c r="D1187" s="3" t="s">
        <v>47</v>
      </c>
      <c r="E1187" s="3" t="s">
        <v>42</v>
      </c>
      <c r="F1187" s="3" t="s">
        <v>126</v>
      </c>
      <c r="G1187" s="3" t="s">
        <v>151</v>
      </c>
      <c r="H1187" s="3">
        <v>1</v>
      </c>
      <c r="I1187" s="7">
        <v>1444.82</v>
      </c>
      <c r="J1187" s="9">
        <v>0</v>
      </c>
      <c r="K1187" s="7">
        <v>1444.82</v>
      </c>
      <c r="L1187" s="7">
        <v>799.43</v>
      </c>
      <c r="M1187" s="3" t="s">
        <v>59</v>
      </c>
      <c r="N1187" s="3" t="str">
        <f t="shared" si="72"/>
        <v>2024-11</v>
      </c>
      <c r="O1187" s="3" t="str">
        <f t="shared" si="73"/>
        <v>No discount</v>
      </c>
      <c r="P1187" s="9">
        <f t="shared" si="74"/>
        <v>0.55330767846513751</v>
      </c>
      <c r="Q1187" s="3" t="str">
        <f t="shared" si="75"/>
        <v>No</v>
      </c>
    </row>
    <row r="1188" spans="1:17" ht="21" customHeight="1">
      <c r="A1188" s="3" t="s">
        <v>1831</v>
      </c>
      <c r="B1188" s="5">
        <v>45608</v>
      </c>
      <c r="C1188" s="3" t="s">
        <v>1131</v>
      </c>
      <c r="D1188" s="3" t="s">
        <v>45</v>
      </c>
      <c r="E1188" s="3" t="s">
        <v>42</v>
      </c>
      <c r="F1188" s="3" t="s">
        <v>126</v>
      </c>
      <c r="G1188" s="3" t="s">
        <v>151</v>
      </c>
      <c r="H1188" s="3">
        <v>1</v>
      </c>
      <c r="I1188" s="7">
        <v>1549.55</v>
      </c>
      <c r="J1188" s="9">
        <v>0.25</v>
      </c>
      <c r="K1188" s="7">
        <v>1162.1600000000001</v>
      </c>
      <c r="L1188" s="7">
        <v>305.05</v>
      </c>
      <c r="M1188" s="3" t="s">
        <v>57</v>
      </c>
      <c r="N1188" s="3" t="str">
        <f t="shared" si="72"/>
        <v>2024-11</v>
      </c>
      <c r="O1188" s="3" t="str">
        <f t="shared" si="73"/>
        <v>21%+</v>
      </c>
      <c r="P1188" s="9">
        <f t="shared" si="74"/>
        <v>0.26248537206580846</v>
      </c>
      <c r="Q1188" s="3" t="str">
        <f t="shared" si="75"/>
        <v>No</v>
      </c>
    </row>
    <row r="1189" spans="1:17" ht="21" customHeight="1">
      <c r="A1189" s="3" t="s">
        <v>1832</v>
      </c>
      <c r="B1189" s="5">
        <v>45608</v>
      </c>
      <c r="C1189" s="3" t="s">
        <v>893</v>
      </c>
      <c r="D1189" s="3" t="s">
        <v>45</v>
      </c>
      <c r="E1189" s="3" t="s">
        <v>38</v>
      </c>
      <c r="F1189" s="3" t="s">
        <v>94</v>
      </c>
      <c r="G1189" s="3" t="s">
        <v>95</v>
      </c>
      <c r="H1189" s="3">
        <v>2</v>
      </c>
      <c r="I1189" s="7">
        <v>79273.64</v>
      </c>
      <c r="J1189" s="9">
        <v>0.3</v>
      </c>
      <c r="K1189" s="7">
        <v>110983.1</v>
      </c>
      <c r="L1189" s="7">
        <v>-18532.810000000001</v>
      </c>
      <c r="M1189" s="3" t="s">
        <v>56</v>
      </c>
      <c r="N1189" s="3" t="str">
        <f t="shared" si="72"/>
        <v>2024-11</v>
      </c>
      <c r="O1189" s="3" t="str">
        <f t="shared" si="73"/>
        <v>21%+</v>
      </c>
      <c r="P1189" s="9">
        <f t="shared" si="74"/>
        <v>-0.16698767650209806</v>
      </c>
      <c r="Q1189" s="3" t="str">
        <f t="shared" si="75"/>
        <v>Yes</v>
      </c>
    </row>
    <row r="1190" spans="1:17" ht="21" customHeight="1">
      <c r="A1190" s="3" t="s">
        <v>1833</v>
      </c>
      <c r="B1190" s="5">
        <v>45609</v>
      </c>
      <c r="C1190" s="3" t="s">
        <v>573</v>
      </c>
      <c r="D1190" s="3" t="s">
        <v>47</v>
      </c>
      <c r="E1190" s="3" t="s">
        <v>40</v>
      </c>
      <c r="F1190" s="3" t="s">
        <v>160</v>
      </c>
      <c r="G1190" s="3" t="s">
        <v>161</v>
      </c>
      <c r="H1190" s="3">
        <v>3</v>
      </c>
      <c r="I1190" s="7">
        <v>12508.06</v>
      </c>
      <c r="J1190" s="9">
        <v>0.05</v>
      </c>
      <c r="K1190" s="7">
        <v>35647.97</v>
      </c>
      <c r="L1190" s="7">
        <v>9282.44</v>
      </c>
      <c r="M1190" s="3" t="s">
        <v>56</v>
      </c>
      <c r="N1190" s="3" t="str">
        <f t="shared" si="72"/>
        <v>2024-11</v>
      </c>
      <c r="O1190" s="3" t="str">
        <f t="shared" si="73"/>
        <v>1-10%</v>
      </c>
      <c r="P1190" s="9">
        <f t="shared" si="74"/>
        <v>0.26039182595811206</v>
      </c>
      <c r="Q1190" s="3" t="str">
        <f t="shared" si="75"/>
        <v>No</v>
      </c>
    </row>
    <row r="1191" spans="1:17" ht="21" customHeight="1">
      <c r="A1191" s="3" t="s">
        <v>1834</v>
      </c>
      <c r="B1191" s="5">
        <v>45609</v>
      </c>
      <c r="C1191" s="3" t="s">
        <v>1835</v>
      </c>
      <c r="D1191" s="3" t="s">
        <v>45</v>
      </c>
      <c r="E1191" s="3" t="s">
        <v>42</v>
      </c>
      <c r="F1191" s="3" t="s">
        <v>90</v>
      </c>
      <c r="G1191" s="3" t="s">
        <v>91</v>
      </c>
      <c r="H1191" s="3">
        <v>1</v>
      </c>
      <c r="I1191" s="7">
        <v>1258.4000000000001</v>
      </c>
      <c r="J1191" s="9">
        <v>0.25</v>
      </c>
      <c r="K1191" s="7">
        <v>943.8</v>
      </c>
      <c r="L1191" s="7">
        <v>224.78</v>
      </c>
      <c r="M1191" s="3" t="s">
        <v>56</v>
      </c>
      <c r="N1191" s="3" t="str">
        <f t="shared" si="72"/>
        <v>2024-11</v>
      </c>
      <c r="O1191" s="3" t="str">
        <f t="shared" si="73"/>
        <v>21%+</v>
      </c>
      <c r="P1191" s="9">
        <f t="shared" si="74"/>
        <v>0.23816486543759272</v>
      </c>
      <c r="Q1191" s="3" t="str">
        <f t="shared" si="75"/>
        <v>No</v>
      </c>
    </row>
    <row r="1192" spans="1:17" ht="21" customHeight="1">
      <c r="A1192" s="3" t="s">
        <v>1836</v>
      </c>
      <c r="B1192" s="5">
        <v>45610</v>
      </c>
      <c r="C1192" s="3" t="s">
        <v>1276</v>
      </c>
      <c r="D1192" s="3" t="s">
        <v>45</v>
      </c>
      <c r="E1192" s="3" t="s">
        <v>38</v>
      </c>
      <c r="F1192" s="3" t="s">
        <v>142</v>
      </c>
      <c r="G1192" s="3" t="s">
        <v>143</v>
      </c>
      <c r="H1192" s="3">
        <v>1</v>
      </c>
      <c r="I1192" s="7">
        <v>8760.41</v>
      </c>
      <c r="J1192" s="9">
        <v>0.15</v>
      </c>
      <c r="K1192" s="7">
        <v>7446.35</v>
      </c>
      <c r="L1192" s="7">
        <v>126.42</v>
      </c>
      <c r="M1192" s="3" t="s">
        <v>56</v>
      </c>
      <c r="N1192" s="3" t="str">
        <f t="shared" si="72"/>
        <v>2024-11</v>
      </c>
      <c r="O1192" s="3" t="str">
        <f t="shared" si="73"/>
        <v>11-15%</v>
      </c>
      <c r="P1192" s="9">
        <f t="shared" si="74"/>
        <v>1.6977445325562189E-2</v>
      </c>
      <c r="Q1192" s="3" t="str">
        <f t="shared" si="75"/>
        <v>No</v>
      </c>
    </row>
    <row r="1193" spans="1:17" ht="21" customHeight="1">
      <c r="A1193" s="3" t="s">
        <v>1837</v>
      </c>
      <c r="B1193" s="5">
        <v>45611</v>
      </c>
      <c r="C1193" s="3" t="s">
        <v>1218</v>
      </c>
      <c r="D1193" s="3" t="s">
        <v>46</v>
      </c>
      <c r="E1193" s="3" t="s">
        <v>38</v>
      </c>
      <c r="F1193" s="3" t="s">
        <v>94</v>
      </c>
      <c r="G1193" s="3" t="s">
        <v>95</v>
      </c>
      <c r="H1193" s="3">
        <v>1</v>
      </c>
      <c r="I1193" s="7">
        <v>79731.759999999995</v>
      </c>
      <c r="J1193" s="9">
        <v>0.1</v>
      </c>
      <c r="K1193" s="7">
        <v>71758.58</v>
      </c>
      <c r="L1193" s="7">
        <v>6594.18</v>
      </c>
      <c r="M1193" s="3" t="s">
        <v>57</v>
      </c>
      <c r="N1193" s="3" t="str">
        <f t="shared" si="72"/>
        <v>2024-11</v>
      </c>
      <c r="O1193" s="3" t="str">
        <f t="shared" si="73"/>
        <v>1-10%</v>
      </c>
      <c r="P1193" s="9">
        <f t="shared" si="74"/>
        <v>9.1893958882686921E-2</v>
      </c>
      <c r="Q1193" s="3" t="str">
        <f t="shared" si="75"/>
        <v>No</v>
      </c>
    </row>
    <row r="1194" spans="1:17" ht="21" customHeight="1">
      <c r="A1194" s="3" t="s">
        <v>1838</v>
      </c>
      <c r="B1194" s="5">
        <v>45611</v>
      </c>
      <c r="C1194" s="3" t="s">
        <v>459</v>
      </c>
      <c r="D1194" s="3" t="s">
        <v>46</v>
      </c>
      <c r="E1194" s="3" t="s">
        <v>42</v>
      </c>
      <c r="F1194" s="3" t="s">
        <v>90</v>
      </c>
      <c r="G1194" s="3" t="s">
        <v>106</v>
      </c>
      <c r="H1194" s="3">
        <v>1</v>
      </c>
      <c r="I1194" s="7">
        <v>940.39</v>
      </c>
      <c r="J1194" s="9">
        <v>0.15</v>
      </c>
      <c r="K1194" s="7">
        <v>799.33</v>
      </c>
      <c r="L1194" s="7">
        <v>274.77</v>
      </c>
      <c r="M1194" s="3" t="s">
        <v>58</v>
      </c>
      <c r="N1194" s="3" t="str">
        <f t="shared" si="72"/>
        <v>2024-11</v>
      </c>
      <c r="O1194" s="3" t="str">
        <f t="shared" si="73"/>
        <v>11-15%</v>
      </c>
      <c r="P1194" s="9">
        <f t="shared" si="74"/>
        <v>0.3437503909524226</v>
      </c>
      <c r="Q1194" s="3" t="str">
        <f t="shared" si="75"/>
        <v>No</v>
      </c>
    </row>
    <row r="1195" spans="1:17" ht="21" customHeight="1">
      <c r="A1195" s="3" t="s">
        <v>1839</v>
      </c>
      <c r="B1195" s="5">
        <v>45611</v>
      </c>
      <c r="C1195" s="3" t="s">
        <v>676</v>
      </c>
      <c r="D1195" s="3" t="s">
        <v>46</v>
      </c>
      <c r="E1195" s="3" t="s">
        <v>38</v>
      </c>
      <c r="F1195" s="3" t="s">
        <v>98</v>
      </c>
      <c r="G1195" s="3" t="s">
        <v>182</v>
      </c>
      <c r="H1195" s="3">
        <v>3</v>
      </c>
      <c r="I1195" s="7">
        <v>67561.97</v>
      </c>
      <c r="J1195" s="9">
        <v>0.1</v>
      </c>
      <c r="K1195" s="7">
        <v>182417.32</v>
      </c>
      <c r="L1195" s="7">
        <v>15299.32</v>
      </c>
      <c r="M1195" s="3" t="s">
        <v>56</v>
      </c>
      <c r="N1195" s="3" t="str">
        <f t="shared" si="72"/>
        <v>2024-11</v>
      </c>
      <c r="O1195" s="3" t="str">
        <f t="shared" si="73"/>
        <v>1-10%</v>
      </c>
      <c r="P1195" s="9">
        <f t="shared" si="74"/>
        <v>8.3869886916439734E-2</v>
      </c>
      <c r="Q1195" s="3" t="str">
        <f t="shared" si="75"/>
        <v>No</v>
      </c>
    </row>
    <row r="1196" spans="1:17" ht="21" customHeight="1">
      <c r="A1196" s="3" t="s">
        <v>1840</v>
      </c>
      <c r="B1196" s="5">
        <v>45612</v>
      </c>
      <c r="C1196" s="3" t="s">
        <v>950</v>
      </c>
      <c r="D1196" s="3" t="s">
        <v>45</v>
      </c>
      <c r="E1196" s="3" t="s">
        <v>42</v>
      </c>
      <c r="F1196" s="3" t="s">
        <v>90</v>
      </c>
      <c r="G1196" s="3" t="s">
        <v>106</v>
      </c>
      <c r="H1196" s="3">
        <v>1</v>
      </c>
      <c r="I1196" s="7">
        <v>864.29</v>
      </c>
      <c r="J1196" s="9">
        <v>0</v>
      </c>
      <c r="K1196" s="7">
        <v>864.29</v>
      </c>
      <c r="L1196" s="7">
        <v>487.16</v>
      </c>
      <c r="M1196" s="3" t="s">
        <v>60</v>
      </c>
      <c r="N1196" s="3" t="str">
        <f t="shared" si="72"/>
        <v>2024-11</v>
      </c>
      <c r="O1196" s="3" t="str">
        <f t="shared" si="73"/>
        <v>No discount</v>
      </c>
      <c r="P1196" s="9">
        <f t="shared" si="74"/>
        <v>0.56365340337155356</v>
      </c>
      <c r="Q1196" s="3" t="str">
        <f t="shared" si="75"/>
        <v>No</v>
      </c>
    </row>
    <row r="1197" spans="1:17" ht="21" customHeight="1">
      <c r="A1197" s="3" t="s">
        <v>1841</v>
      </c>
      <c r="B1197" s="5">
        <v>45612</v>
      </c>
      <c r="C1197" s="3" t="s">
        <v>320</v>
      </c>
      <c r="D1197" s="3" t="s">
        <v>47</v>
      </c>
      <c r="E1197" s="3" t="s">
        <v>42</v>
      </c>
      <c r="F1197" s="3" t="s">
        <v>90</v>
      </c>
      <c r="G1197" s="3" t="s">
        <v>91</v>
      </c>
      <c r="H1197" s="3">
        <v>1</v>
      </c>
      <c r="I1197" s="7">
        <v>1159.74</v>
      </c>
      <c r="J1197" s="9">
        <v>0.05</v>
      </c>
      <c r="K1197" s="7">
        <v>1101.75</v>
      </c>
      <c r="L1197" s="7">
        <v>557.91</v>
      </c>
      <c r="M1197" s="3" t="s">
        <v>59</v>
      </c>
      <c r="N1197" s="3" t="str">
        <f t="shared" si="72"/>
        <v>2024-11</v>
      </c>
      <c r="O1197" s="3" t="str">
        <f t="shared" si="73"/>
        <v>1-10%</v>
      </c>
      <c r="P1197" s="9">
        <f t="shared" si="74"/>
        <v>0.50638529611980931</v>
      </c>
      <c r="Q1197" s="3" t="str">
        <f t="shared" si="75"/>
        <v>No</v>
      </c>
    </row>
    <row r="1198" spans="1:17" ht="21" customHeight="1">
      <c r="A1198" s="3" t="s">
        <v>1842</v>
      </c>
      <c r="B1198" s="5">
        <v>45612</v>
      </c>
      <c r="C1198" s="3" t="s">
        <v>391</v>
      </c>
      <c r="D1198" s="3" t="s">
        <v>46</v>
      </c>
      <c r="E1198" s="3" t="s">
        <v>42</v>
      </c>
      <c r="F1198" s="3" t="s">
        <v>126</v>
      </c>
      <c r="G1198" s="3" t="s">
        <v>151</v>
      </c>
      <c r="H1198" s="3">
        <v>3</v>
      </c>
      <c r="I1198" s="7">
        <v>1488.14</v>
      </c>
      <c r="J1198" s="9">
        <v>0.2</v>
      </c>
      <c r="K1198" s="7">
        <v>3571.54</v>
      </c>
      <c r="L1198" s="7">
        <v>1221.81</v>
      </c>
      <c r="M1198" s="3" t="s">
        <v>58</v>
      </c>
      <c r="N1198" s="3" t="str">
        <f t="shared" si="72"/>
        <v>2024-11</v>
      </c>
      <c r="O1198" s="3" t="str">
        <f t="shared" si="73"/>
        <v>16-20%</v>
      </c>
      <c r="P1198" s="9">
        <f t="shared" si="74"/>
        <v>0.34209612660085004</v>
      </c>
      <c r="Q1198" s="3" t="str">
        <f t="shared" si="75"/>
        <v>No</v>
      </c>
    </row>
    <row r="1199" spans="1:17" ht="21" customHeight="1">
      <c r="A1199" s="3" t="s">
        <v>1843</v>
      </c>
      <c r="B1199" s="5">
        <v>45612</v>
      </c>
      <c r="C1199" s="3" t="s">
        <v>1051</v>
      </c>
      <c r="D1199" s="3" t="s">
        <v>44</v>
      </c>
      <c r="E1199" s="3" t="s">
        <v>42</v>
      </c>
      <c r="F1199" s="3" t="s">
        <v>90</v>
      </c>
      <c r="G1199" s="3" t="s">
        <v>106</v>
      </c>
      <c r="H1199" s="3">
        <v>1</v>
      </c>
      <c r="I1199" s="7">
        <v>867.54</v>
      </c>
      <c r="J1199" s="9">
        <v>0</v>
      </c>
      <c r="K1199" s="7">
        <v>867.54</v>
      </c>
      <c r="L1199" s="7">
        <v>483.48</v>
      </c>
      <c r="M1199" s="3" t="s">
        <v>56</v>
      </c>
      <c r="N1199" s="3" t="str">
        <f t="shared" si="72"/>
        <v>2024-11</v>
      </c>
      <c r="O1199" s="3" t="str">
        <f t="shared" si="73"/>
        <v>No discount</v>
      </c>
      <c r="P1199" s="9">
        <f t="shared" si="74"/>
        <v>0.55729995158724677</v>
      </c>
      <c r="Q1199" s="3" t="str">
        <f t="shared" si="75"/>
        <v>No</v>
      </c>
    </row>
    <row r="1200" spans="1:17" ht="21" customHeight="1">
      <c r="A1200" s="3" t="s">
        <v>1844</v>
      </c>
      <c r="B1200" s="5">
        <v>45612</v>
      </c>
      <c r="C1200" s="3" t="s">
        <v>1459</v>
      </c>
      <c r="D1200" s="3" t="s">
        <v>46</v>
      </c>
      <c r="E1200" s="3" t="s">
        <v>41</v>
      </c>
      <c r="F1200" s="3" t="s">
        <v>119</v>
      </c>
      <c r="G1200" s="3" t="s">
        <v>168</v>
      </c>
      <c r="H1200" s="3">
        <v>3</v>
      </c>
      <c r="I1200" s="7">
        <v>9870.5499999999993</v>
      </c>
      <c r="J1200" s="9">
        <v>0.1</v>
      </c>
      <c r="K1200" s="7">
        <v>26650.48</v>
      </c>
      <c r="L1200" s="7">
        <v>7675.27</v>
      </c>
      <c r="M1200" s="3" t="s">
        <v>57</v>
      </c>
      <c r="N1200" s="3" t="str">
        <f t="shared" si="72"/>
        <v>2024-11</v>
      </c>
      <c r="O1200" s="3" t="str">
        <f t="shared" si="73"/>
        <v>1-10%</v>
      </c>
      <c r="P1200" s="9">
        <f t="shared" si="74"/>
        <v>0.28799743944574357</v>
      </c>
      <c r="Q1200" s="3" t="str">
        <f t="shared" si="75"/>
        <v>No</v>
      </c>
    </row>
    <row r="1201" spans="1:17" ht="21" customHeight="1">
      <c r="A1201" s="3" t="s">
        <v>1845</v>
      </c>
      <c r="B1201" s="5">
        <v>45612</v>
      </c>
      <c r="C1201" s="3" t="s">
        <v>1846</v>
      </c>
      <c r="D1201" s="3" t="s">
        <v>47</v>
      </c>
      <c r="E1201" s="3" t="s">
        <v>40</v>
      </c>
      <c r="F1201" s="3" t="s">
        <v>221</v>
      </c>
      <c r="G1201" s="3" t="s">
        <v>279</v>
      </c>
      <c r="H1201" s="3">
        <v>2</v>
      </c>
      <c r="I1201" s="7">
        <v>1487.45</v>
      </c>
      <c r="J1201" s="9">
        <v>0.05</v>
      </c>
      <c r="K1201" s="7">
        <v>2826.15</v>
      </c>
      <c r="L1201" s="7">
        <v>704.05</v>
      </c>
      <c r="M1201" s="3" t="s">
        <v>56</v>
      </c>
      <c r="N1201" s="3" t="str">
        <f t="shared" si="72"/>
        <v>2024-11</v>
      </c>
      <c r="O1201" s="3" t="str">
        <f t="shared" si="73"/>
        <v>1-10%</v>
      </c>
      <c r="P1201" s="9">
        <f t="shared" si="74"/>
        <v>0.24911982732692883</v>
      </c>
      <c r="Q1201" s="3" t="str">
        <f t="shared" si="75"/>
        <v>No</v>
      </c>
    </row>
    <row r="1202" spans="1:17" ht="21" customHeight="1">
      <c r="A1202" s="3" t="s">
        <v>1847</v>
      </c>
      <c r="B1202" s="5">
        <v>45613</v>
      </c>
      <c r="C1202" s="3" t="s">
        <v>748</v>
      </c>
      <c r="D1202" s="3" t="s">
        <v>45</v>
      </c>
      <c r="E1202" s="3" t="s">
        <v>41</v>
      </c>
      <c r="F1202" s="3" t="s">
        <v>119</v>
      </c>
      <c r="G1202" s="3" t="s">
        <v>120</v>
      </c>
      <c r="H1202" s="3">
        <v>3</v>
      </c>
      <c r="I1202" s="7">
        <v>1289.1400000000001</v>
      </c>
      <c r="J1202" s="9">
        <v>0.4</v>
      </c>
      <c r="K1202" s="7">
        <v>2320.4499999999998</v>
      </c>
      <c r="L1202" s="7">
        <v>-182.99</v>
      </c>
      <c r="M1202" s="3" t="s">
        <v>58</v>
      </c>
      <c r="N1202" s="3" t="str">
        <f t="shared" si="72"/>
        <v>2024-11</v>
      </c>
      <c r="O1202" s="3" t="str">
        <f t="shared" si="73"/>
        <v>21%+</v>
      </c>
      <c r="P1202" s="9">
        <f t="shared" si="74"/>
        <v>-7.8859703936736414E-2</v>
      </c>
      <c r="Q1202" s="3" t="str">
        <f t="shared" si="75"/>
        <v>Yes</v>
      </c>
    </row>
    <row r="1203" spans="1:17" ht="21" customHeight="1">
      <c r="A1203" s="3" t="s">
        <v>1848</v>
      </c>
      <c r="B1203" s="5">
        <v>45613</v>
      </c>
      <c r="C1203" s="3" t="s">
        <v>1241</v>
      </c>
      <c r="D1203" s="3" t="s">
        <v>45</v>
      </c>
      <c r="E1203" s="3" t="s">
        <v>40</v>
      </c>
      <c r="F1203" s="3" t="s">
        <v>160</v>
      </c>
      <c r="G1203" s="3" t="s">
        <v>161</v>
      </c>
      <c r="H1203" s="3">
        <v>1</v>
      </c>
      <c r="I1203" s="7">
        <v>13496.06</v>
      </c>
      <c r="J1203" s="9">
        <v>0.25</v>
      </c>
      <c r="K1203" s="7">
        <v>10122.049999999999</v>
      </c>
      <c r="L1203" s="7">
        <v>617.23</v>
      </c>
      <c r="M1203" s="3" t="s">
        <v>56</v>
      </c>
      <c r="N1203" s="3" t="str">
        <f t="shared" si="72"/>
        <v>2024-11</v>
      </c>
      <c r="O1203" s="3" t="str">
        <f t="shared" si="73"/>
        <v>21%+</v>
      </c>
      <c r="P1203" s="9">
        <f t="shared" si="74"/>
        <v>6.0978754303723064E-2</v>
      </c>
      <c r="Q1203" s="3" t="str">
        <f t="shared" si="75"/>
        <v>No</v>
      </c>
    </row>
    <row r="1204" spans="1:17" ht="21" customHeight="1">
      <c r="A1204" s="3" t="s">
        <v>1849</v>
      </c>
      <c r="B1204" s="5">
        <v>45613</v>
      </c>
      <c r="C1204" s="3" t="s">
        <v>1792</v>
      </c>
      <c r="D1204" s="3" t="s">
        <v>44</v>
      </c>
      <c r="E1204" s="3" t="s">
        <v>38</v>
      </c>
      <c r="F1204" s="3" t="s">
        <v>94</v>
      </c>
      <c r="G1204" s="3" t="s">
        <v>95</v>
      </c>
      <c r="H1204" s="3">
        <v>3</v>
      </c>
      <c r="I1204" s="7">
        <v>78577.820000000007</v>
      </c>
      <c r="J1204" s="9">
        <v>0.4</v>
      </c>
      <c r="K1204" s="7">
        <v>141440.07999999999</v>
      </c>
      <c r="L1204" s="7">
        <v>-40938.199999999997</v>
      </c>
      <c r="M1204" s="3" t="s">
        <v>57</v>
      </c>
      <c r="N1204" s="3" t="str">
        <f t="shared" si="72"/>
        <v>2024-11</v>
      </c>
      <c r="O1204" s="3" t="str">
        <f t="shared" si="73"/>
        <v>21%+</v>
      </c>
      <c r="P1204" s="9">
        <f t="shared" si="74"/>
        <v>-0.289438467512179</v>
      </c>
      <c r="Q1204" s="3" t="str">
        <f t="shared" si="75"/>
        <v>Yes</v>
      </c>
    </row>
    <row r="1205" spans="1:17" ht="21" customHeight="1">
      <c r="A1205" s="3" t="s">
        <v>1850</v>
      </c>
      <c r="B1205" s="5">
        <v>45613</v>
      </c>
      <c r="C1205" s="3" t="s">
        <v>1158</v>
      </c>
      <c r="D1205" s="3" t="s">
        <v>47</v>
      </c>
      <c r="E1205" s="3" t="s">
        <v>41</v>
      </c>
      <c r="F1205" s="3" t="s">
        <v>113</v>
      </c>
      <c r="G1205" s="3" t="s">
        <v>114</v>
      </c>
      <c r="H1205" s="3">
        <v>3</v>
      </c>
      <c r="I1205" s="7">
        <v>11432.67</v>
      </c>
      <c r="J1205" s="9">
        <v>0.1</v>
      </c>
      <c r="K1205" s="7">
        <v>30868.21</v>
      </c>
      <c r="L1205" s="7">
        <v>8308.9</v>
      </c>
      <c r="M1205" s="3" t="s">
        <v>60</v>
      </c>
      <c r="N1205" s="3" t="str">
        <f t="shared" si="72"/>
        <v>2024-11</v>
      </c>
      <c r="O1205" s="3" t="str">
        <f t="shared" si="73"/>
        <v>1-10%</v>
      </c>
      <c r="P1205" s="9">
        <f t="shared" si="74"/>
        <v>0.2691733663856764</v>
      </c>
      <c r="Q1205" s="3" t="str">
        <f t="shared" si="75"/>
        <v>No</v>
      </c>
    </row>
    <row r="1206" spans="1:17" ht="21" customHeight="1">
      <c r="A1206" s="3" t="s">
        <v>1851</v>
      </c>
      <c r="B1206" s="5">
        <v>45613</v>
      </c>
      <c r="C1206" s="3" t="s">
        <v>468</v>
      </c>
      <c r="D1206" s="3" t="s">
        <v>45</v>
      </c>
      <c r="E1206" s="3" t="s">
        <v>38</v>
      </c>
      <c r="F1206" s="3" t="s">
        <v>94</v>
      </c>
      <c r="G1206" s="3" t="s">
        <v>213</v>
      </c>
      <c r="H1206" s="3">
        <v>2</v>
      </c>
      <c r="I1206" s="7">
        <v>57377.37</v>
      </c>
      <c r="J1206" s="9">
        <v>0.05</v>
      </c>
      <c r="K1206" s="7">
        <v>109017</v>
      </c>
      <c r="L1206" s="7">
        <v>12850.87</v>
      </c>
      <c r="M1206" s="3" t="s">
        <v>56</v>
      </c>
      <c r="N1206" s="3" t="str">
        <f t="shared" si="72"/>
        <v>2024-11</v>
      </c>
      <c r="O1206" s="3" t="str">
        <f t="shared" si="73"/>
        <v>1-10%</v>
      </c>
      <c r="P1206" s="9">
        <f t="shared" si="74"/>
        <v>0.1178795050313254</v>
      </c>
      <c r="Q1206" s="3" t="str">
        <f t="shared" si="75"/>
        <v>No</v>
      </c>
    </row>
    <row r="1207" spans="1:17" ht="21" customHeight="1">
      <c r="A1207" s="3" t="s">
        <v>1852</v>
      </c>
      <c r="B1207" s="5">
        <v>45613</v>
      </c>
      <c r="C1207" s="3" t="s">
        <v>552</v>
      </c>
      <c r="D1207" s="3" t="s">
        <v>46</v>
      </c>
      <c r="E1207" s="3" t="s">
        <v>42</v>
      </c>
      <c r="F1207" s="3" t="s">
        <v>90</v>
      </c>
      <c r="G1207" s="3" t="s">
        <v>91</v>
      </c>
      <c r="H1207" s="3">
        <v>1</v>
      </c>
      <c r="I1207" s="7">
        <v>1149.0999999999999</v>
      </c>
      <c r="J1207" s="9">
        <v>0.05</v>
      </c>
      <c r="K1207" s="7">
        <v>1091.6400000000001</v>
      </c>
      <c r="L1207" s="7">
        <v>572.98</v>
      </c>
      <c r="M1207" s="3" t="s">
        <v>57</v>
      </c>
      <c r="N1207" s="3" t="str">
        <f t="shared" si="72"/>
        <v>2024-11</v>
      </c>
      <c r="O1207" s="3" t="str">
        <f t="shared" si="73"/>
        <v>1-10%</v>
      </c>
      <c r="P1207" s="9">
        <f t="shared" si="74"/>
        <v>0.52487999706863064</v>
      </c>
      <c r="Q1207" s="3" t="str">
        <f t="shared" si="75"/>
        <v>No</v>
      </c>
    </row>
    <row r="1208" spans="1:17" ht="21" customHeight="1">
      <c r="A1208" s="3" t="s">
        <v>1853</v>
      </c>
      <c r="B1208" s="5">
        <v>45613</v>
      </c>
      <c r="C1208" s="3" t="s">
        <v>262</v>
      </c>
      <c r="D1208" s="3" t="s">
        <v>44</v>
      </c>
      <c r="E1208" s="3" t="s">
        <v>42</v>
      </c>
      <c r="F1208" s="3" t="s">
        <v>90</v>
      </c>
      <c r="G1208" s="3" t="s">
        <v>106</v>
      </c>
      <c r="H1208" s="3">
        <v>1</v>
      </c>
      <c r="I1208" s="7">
        <v>903.45</v>
      </c>
      <c r="J1208" s="9">
        <v>0</v>
      </c>
      <c r="K1208" s="7">
        <v>903.45</v>
      </c>
      <c r="L1208" s="7">
        <v>470.31</v>
      </c>
      <c r="M1208" s="3" t="s">
        <v>56</v>
      </c>
      <c r="N1208" s="3" t="str">
        <f t="shared" si="72"/>
        <v>2024-11</v>
      </c>
      <c r="O1208" s="3" t="str">
        <f t="shared" si="73"/>
        <v>No discount</v>
      </c>
      <c r="P1208" s="9">
        <f t="shared" si="74"/>
        <v>0.52057114394819859</v>
      </c>
      <c r="Q1208" s="3" t="str">
        <f t="shared" si="75"/>
        <v>No</v>
      </c>
    </row>
    <row r="1209" spans="1:17" ht="21" customHeight="1">
      <c r="A1209" s="3" t="s">
        <v>1854</v>
      </c>
      <c r="B1209" s="5">
        <v>45614</v>
      </c>
      <c r="C1209" s="3" t="s">
        <v>593</v>
      </c>
      <c r="D1209" s="3" t="s">
        <v>45</v>
      </c>
      <c r="E1209" s="3" t="s">
        <v>42</v>
      </c>
      <c r="F1209" s="3" t="s">
        <v>90</v>
      </c>
      <c r="G1209" s="3" t="s">
        <v>91</v>
      </c>
      <c r="H1209" s="3">
        <v>3</v>
      </c>
      <c r="I1209" s="7">
        <v>1166.51</v>
      </c>
      <c r="J1209" s="9">
        <v>0.15</v>
      </c>
      <c r="K1209" s="7">
        <v>2974.6</v>
      </c>
      <c r="L1209" s="7">
        <v>1011.57</v>
      </c>
      <c r="M1209" s="3" t="s">
        <v>56</v>
      </c>
      <c r="N1209" s="3" t="str">
        <f t="shared" si="72"/>
        <v>2024-11</v>
      </c>
      <c r="O1209" s="3" t="str">
        <f t="shared" si="73"/>
        <v>11-15%</v>
      </c>
      <c r="P1209" s="9">
        <f t="shared" si="74"/>
        <v>0.34006925300880791</v>
      </c>
      <c r="Q1209" s="3" t="str">
        <f t="shared" si="75"/>
        <v>No</v>
      </c>
    </row>
    <row r="1210" spans="1:17" ht="21" customHeight="1">
      <c r="A1210" s="3" t="s">
        <v>1855</v>
      </c>
      <c r="B1210" s="5">
        <v>45614</v>
      </c>
      <c r="C1210" s="3" t="s">
        <v>1287</v>
      </c>
      <c r="D1210" s="3" t="s">
        <v>45</v>
      </c>
      <c r="E1210" s="3" t="s">
        <v>38</v>
      </c>
      <c r="F1210" s="3" t="s">
        <v>94</v>
      </c>
      <c r="G1210" s="3" t="s">
        <v>95</v>
      </c>
      <c r="H1210" s="3">
        <v>4</v>
      </c>
      <c r="I1210" s="7">
        <v>77711.55</v>
      </c>
      <c r="J1210" s="9">
        <v>0.05</v>
      </c>
      <c r="K1210" s="7">
        <v>295303.89</v>
      </c>
      <c r="L1210" s="7">
        <v>34508.120000000003</v>
      </c>
      <c r="M1210" s="3" t="s">
        <v>59</v>
      </c>
      <c r="N1210" s="3" t="str">
        <f t="shared" si="72"/>
        <v>2024-11</v>
      </c>
      <c r="O1210" s="3" t="str">
        <f t="shared" si="73"/>
        <v>1-10%</v>
      </c>
      <c r="P1210" s="9">
        <f t="shared" si="74"/>
        <v>0.11685630013204364</v>
      </c>
      <c r="Q1210" s="3" t="str">
        <f t="shared" si="75"/>
        <v>No</v>
      </c>
    </row>
    <row r="1211" spans="1:17" ht="21" customHeight="1">
      <c r="A1211" s="3" t="s">
        <v>1856</v>
      </c>
      <c r="B1211" s="5">
        <v>45614</v>
      </c>
      <c r="C1211" s="3" t="s">
        <v>384</v>
      </c>
      <c r="D1211" s="3" t="s">
        <v>46</v>
      </c>
      <c r="E1211" s="3" t="s">
        <v>42</v>
      </c>
      <c r="F1211" s="3" t="s">
        <v>126</v>
      </c>
      <c r="G1211" s="3" t="s">
        <v>151</v>
      </c>
      <c r="H1211" s="3">
        <v>1</v>
      </c>
      <c r="I1211" s="7">
        <v>1500.19</v>
      </c>
      <c r="J1211" s="9">
        <v>0.15</v>
      </c>
      <c r="K1211" s="7">
        <v>1275.1600000000001</v>
      </c>
      <c r="L1211" s="7">
        <v>471.9</v>
      </c>
      <c r="M1211" s="3" t="s">
        <v>60</v>
      </c>
      <c r="N1211" s="3" t="str">
        <f t="shared" si="72"/>
        <v>2024-11</v>
      </c>
      <c r="O1211" s="3" t="str">
        <f t="shared" si="73"/>
        <v>11-15%</v>
      </c>
      <c r="P1211" s="9">
        <f t="shared" si="74"/>
        <v>0.37007120675052541</v>
      </c>
      <c r="Q1211" s="3" t="str">
        <f t="shared" si="75"/>
        <v>No</v>
      </c>
    </row>
    <row r="1212" spans="1:17" ht="21" customHeight="1">
      <c r="A1212" s="3" t="s">
        <v>1857</v>
      </c>
      <c r="B1212" s="5">
        <v>45614</v>
      </c>
      <c r="C1212" s="3" t="s">
        <v>364</v>
      </c>
      <c r="D1212" s="3" t="s">
        <v>46</v>
      </c>
      <c r="E1212" s="3" t="s">
        <v>38</v>
      </c>
      <c r="F1212" s="3" t="s">
        <v>94</v>
      </c>
      <c r="G1212" s="3" t="s">
        <v>213</v>
      </c>
      <c r="H1212" s="3">
        <v>1</v>
      </c>
      <c r="I1212" s="7">
        <v>57358.720000000001</v>
      </c>
      <c r="J1212" s="9">
        <v>0.2</v>
      </c>
      <c r="K1212" s="7">
        <v>45886.98</v>
      </c>
      <c r="L1212" s="7">
        <v>-774.19</v>
      </c>
      <c r="M1212" s="3" t="s">
        <v>56</v>
      </c>
      <c r="N1212" s="3" t="str">
        <f t="shared" si="72"/>
        <v>2024-11</v>
      </c>
      <c r="O1212" s="3" t="str">
        <f t="shared" si="73"/>
        <v>16-20%</v>
      </c>
      <c r="P1212" s="9">
        <f t="shared" si="74"/>
        <v>-1.6871670351807855E-2</v>
      </c>
      <c r="Q1212" s="3" t="str">
        <f t="shared" si="75"/>
        <v>Yes</v>
      </c>
    </row>
    <row r="1213" spans="1:17" ht="21" customHeight="1">
      <c r="A1213" s="3" t="s">
        <v>1858</v>
      </c>
      <c r="B1213" s="5">
        <v>45614</v>
      </c>
      <c r="C1213" s="3" t="s">
        <v>1859</v>
      </c>
      <c r="D1213" s="3" t="s">
        <v>45</v>
      </c>
      <c r="E1213" s="3" t="s">
        <v>42</v>
      </c>
      <c r="F1213" s="3" t="s">
        <v>90</v>
      </c>
      <c r="G1213" s="3" t="s">
        <v>106</v>
      </c>
      <c r="H1213" s="3">
        <v>1</v>
      </c>
      <c r="I1213" s="7">
        <v>865.35</v>
      </c>
      <c r="J1213" s="9">
        <v>0.2</v>
      </c>
      <c r="K1213" s="7">
        <v>692.28</v>
      </c>
      <c r="L1213" s="7">
        <v>225.6</v>
      </c>
      <c r="M1213" s="3" t="s">
        <v>56</v>
      </c>
      <c r="N1213" s="3" t="str">
        <f t="shared" si="72"/>
        <v>2024-11</v>
      </c>
      <c r="O1213" s="3" t="str">
        <f t="shared" si="73"/>
        <v>16-20%</v>
      </c>
      <c r="P1213" s="9">
        <f t="shared" si="74"/>
        <v>0.32587970185474086</v>
      </c>
      <c r="Q1213" s="3" t="str">
        <f t="shared" si="75"/>
        <v>No</v>
      </c>
    </row>
    <row r="1214" spans="1:17" ht="21" customHeight="1">
      <c r="A1214" s="3" t="s">
        <v>1860</v>
      </c>
      <c r="B1214" s="5">
        <v>45614</v>
      </c>
      <c r="C1214" s="3" t="s">
        <v>1049</v>
      </c>
      <c r="D1214" s="3" t="s">
        <v>46</v>
      </c>
      <c r="E1214" s="3" t="s">
        <v>38</v>
      </c>
      <c r="F1214" s="3" t="s">
        <v>142</v>
      </c>
      <c r="G1214" s="3" t="s">
        <v>143</v>
      </c>
      <c r="H1214" s="3">
        <v>1</v>
      </c>
      <c r="I1214" s="7">
        <v>8754.74</v>
      </c>
      <c r="J1214" s="9">
        <v>0.15</v>
      </c>
      <c r="K1214" s="7">
        <v>7441.53</v>
      </c>
      <c r="L1214" s="7">
        <v>-239.17</v>
      </c>
      <c r="M1214" s="3" t="s">
        <v>57</v>
      </c>
      <c r="N1214" s="3" t="str">
        <f t="shared" si="72"/>
        <v>2024-11</v>
      </c>
      <c r="O1214" s="3" t="str">
        <f t="shared" si="73"/>
        <v>11-15%</v>
      </c>
      <c r="P1214" s="9">
        <f t="shared" si="74"/>
        <v>-3.2139895962255076E-2</v>
      </c>
      <c r="Q1214" s="3" t="str">
        <f t="shared" si="75"/>
        <v>Yes</v>
      </c>
    </row>
    <row r="1215" spans="1:17" ht="21" customHeight="1">
      <c r="A1215" s="3" t="s">
        <v>1861</v>
      </c>
      <c r="B1215" s="5">
        <v>45614</v>
      </c>
      <c r="C1215" s="3" t="s">
        <v>318</v>
      </c>
      <c r="D1215" s="3" t="s">
        <v>44</v>
      </c>
      <c r="E1215" s="3" t="s">
        <v>42</v>
      </c>
      <c r="F1215" s="3" t="s">
        <v>126</v>
      </c>
      <c r="G1215" s="3" t="s">
        <v>151</v>
      </c>
      <c r="H1215" s="3">
        <v>3</v>
      </c>
      <c r="I1215" s="7">
        <v>1565.84</v>
      </c>
      <c r="J1215" s="9">
        <v>0.15</v>
      </c>
      <c r="K1215" s="7">
        <v>3992.89</v>
      </c>
      <c r="L1215" s="7">
        <v>1580.44</v>
      </c>
      <c r="M1215" s="3" t="s">
        <v>57</v>
      </c>
      <c r="N1215" s="3" t="str">
        <f t="shared" si="72"/>
        <v>2024-11</v>
      </c>
      <c r="O1215" s="3" t="str">
        <f t="shared" si="73"/>
        <v>11-15%</v>
      </c>
      <c r="P1215" s="9">
        <f t="shared" si="74"/>
        <v>0.39581355860041229</v>
      </c>
      <c r="Q1215" s="3" t="str">
        <f t="shared" si="75"/>
        <v>No</v>
      </c>
    </row>
    <row r="1216" spans="1:17" ht="21" customHeight="1">
      <c r="A1216" s="3" t="s">
        <v>1862</v>
      </c>
      <c r="B1216" s="5">
        <v>45614</v>
      </c>
      <c r="C1216" s="3" t="s">
        <v>139</v>
      </c>
      <c r="D1216" s="3" t="s">
        <v>45</v>
      </c>
      <c r="E1216" s="3" t="s">
        <v>40</v>
      </c>
      <c r="F1216" s="3" t="s">
        <v>160</v>
      </c>
      <c r="G1216" s="3" t="s">
        <v>161</v>
      </c>
      <c r="H1216" s="3">
        <v>2</v>
      </c>
      <c r="I1216" s="7">
        <v>12929.89</v>
      </c>
      <c r="J1216" s="9">
        <v>0.1</v>
      </c>
      <c r="K1216" s="7">
        <v>23273.8</v>
      </c>
      <c r="L1216" s="7">
        <v>5775.96</v>
      </c>
      <c r="M1216" s="3" t="s">
        <v>56</v>
      </c>
      <c r="N1216" s="3" t="str">
        <f t="shared" si="72"/>
        <v>2024-11</v>
      </c>
      <c r="O1216" s="3" t="str">
        <f t="shared" si="73"/>
        <v>1-10%</v>
      </c>
      <c r="P1216" s="9">
        <f t="shared" si="74"/>
        <v>0.2481743419639251</v>
      </c>
      <c r="Q1216" s="3" t="str">
        <f t="shared" si="75"/>
        <v>No</v>
      </c>
    </row>
    <row r="1217" spans="1:17" ht="21" customHeight="1">
      <c r="A1217" s="3" t="s">
        <v>1863</v>
      </c>
      <c r="B1217" s="5">
        <v>45615</v>
      </c>
      <c r="C1217" s="3" t="s">
        <v>1578</v>
      </c>
      <c r="D1217" s="3" t="s">
        <v>47</v>
      </c>
      <c r="E1217" s="3" t="s">
        <v>38</v>
      </c>
      <c r="F1217" s="3" t="s">
        <v>98</v>
      </c>
      <c r="G1217" s="3" t="s">
        <v>362</v>
      </c>
      <c r="H1217" s="3">
        <v>3</v>
      </c>
      <c r="I1217" s="7">
        <v>32111.88</v>
      </c>
      <c r="J1217" s="9">
        <v>0.1</v>
      </c>
      <c r="K1217" s="7">
        <v>86702.080000000002</v>
      </c>
      <c r="L1217" s="7">
        <v>4808.16</v>
      </c>
      <c r="M1217" s="3" t="s">
        <v>56</v>
      </c>
      <c r="N1217" s="3" t="str">
        <f t="shared" si="72"/>
        <v>2024-11</v>
      </c>
      <c r="O1217" s="3" t="str">
        <f t="shared" si="73"/>
        <v>1-10%</v>
      </c>
      <c r="P1217" s="9">
        <f t="shared" si="74"/>
        <v>5.5456109011456242E-2</v>
      </c>
      <c r="Q1217" s="3" t="str">
        <f t="shared" si="75"/>
        <v>No</v>
      </c>
    </row>
    <row r="1218" spans="1:17" ht="21" customHeight="1">
      <c r="A1218" s="3" t="s">
        <v>1864</v>
      </c>
      <c r="B1218" s="5">
        <v>45615</v>
      </c>
      <c r="C1218" s="3" t="s">
        <v>370</v>
      </c>
      <c r="D1218" s="3" t="s">
        <v>44</v>
      </c>
      <c r="E1218" s="3" t="s">
        <v>40</v>
      </c>
      <c r="F1218" s="3" t="s">
        <v>102</v>
      </c>
      <c r="G1218" s="3" t="s">
        <v>146</v>
      </c>
      <c r="H1218" s="3">
        <v>2</v>
      </c>
      <c r="I1218" s="7">
        <v>7847.41</v>
      </c>
      <c r="J1218" s="9">
        <v>0.15</v>
      </c>
      <c r="K1218" s="7">
        <v>13340.6</v>
      </c>
      <c r="L1218" s="7">
        <v>1972.34</v>
      </c>
      <c r="M1218" s="3" t="s">
        <v>56</v>
      </c>
      <c r="N1218" s="3" t="str">
        <f t="shared" ref="N1218:N1281" si="76">TEXT(B1218,"yyyy-mm")</f>
        <v>2024-11</v>
      </c>
      <c r="O1218" s="3" t="str">
        <f t="shared" ref="O1218:O1281" si="77">IF(J1218=0,"No discount",IF(J1218&lt;=0.1,"1-10%",IF(J1218&lt;=0.15,"11-15%",IF(J1218&lt;=0.2,"16-20%","21%+"))))</f>
        <v>11-15%</v>
      </c>
      <c r="P1218" s="9">
        <f t="shared" ref="P1218:P1281" si="78">IF(K1218=0,0,L1218/K1218)</f>
        <v>0.1478449245161387</v>
      </c>
      <c r="Q1218" s="3" t="str">
        <f t="shared" ref="Q1218:Q1281" si="79">IF(L1218&lt;0,"Yes","No")</f>
        <v>No</v>
      </c>
    </row>
    <row r="1219" spans="1:17" ht="21" customHeight="1">
      <c r="A1219" s="3" t="s">
        <v>1865</v>
      </c>
      <c r="B1219" s="5">
        <v>45615</v>
      </c>
      <c r="C1219" s="3" t="s">
        <v>489</v>
      </c>
      <c r="D1219" s="3" t="s">
        <v>44</v>
      </c>
      <c r="E1219" s="3" t="s">
        <v>42</v>
      </c>
      <c r="F1219" s="3" t="s">
        <v>90</v>
      </c>
      <c r="G1219" s="3" t="s">
        <v>91</v>
      </c>
      <c r="H1219" s="3">
        <v>1</v>
      </c>
      <c r="I1219" s="7">
        <v>1230.95</v>
      </c>
      <c r="J1219" s="9">
        <v>0.15</v>
      </c>
      <c r="K1219" s="7">
        <v>1046.31</v>
      </c>
      <c r="L1219" s="7">
        <v>399.2</v>
      </c>
      <c r="M1219" s="3" t="s">
        <v>56</v>
      </c>
      <c r="N1219" s="3" t="str">
        <f t="shared" si="76"/>
        <v>2024-11</v>
      </c>
      <c r="O1219" s="3" t="str">
        <f t="shared" si="77"/>
        <v>11-15%</v>
      </c>
      <c r="P1219" s="9">
        <f t="shared" si="78"/>
        <v>0.38153128613890719</v>
      </c>
      <c r="Q1219" s="3" t="str">
        <f t="shared" si="79"/>
        <v>No</v>
      </c>
    </row>
    <row r="1220" spans="1:17" ht="21" customHeight="1">
      <c r="A1220" s="3" t="s">
        <v>1866</v>
      </c>
      <c r="B1220" s="5">
        <v>45615</v>
      </c>
      <c r="C1220" s="3" t="s">
        <v>108</v>
      </c>
      <c r="D1220" s="3" t="s">
        <v>44</v>
      </c>
      <c r="E1220" s="3" t="s">
        <v>38</v>
      </c>
      <c r="F1220" s="3" t="s">
        <v>142</v>
      </c>
      <c r="G1220" s="3" t="s">
        <v>245</v>
      </c>
      <c r="H1220" s="3">
        <v>2</v>
      </c>
      <c r="I1220" s="7">
        <v>5176.6000000000004</v>
      </c>
      <c r="J1220" s="9">
        <v>0</v>
      </c>
      <c r="K1220" s="7">
        <v>10353.200000000001</v>
      </c>
      <c r="L1220" s="7">
        <v>1866.38</v>
      </c>
      <c r="M1220" s="3" t="s">
        <v>56</v>
      </c>
      <c r="N1220" s="3" t="str">
        <f t="shared" si="76"/>
        <v>2024-11</v>
      </c>
      <c r="O1220" s="3" t="str">
        <f t="shared" si="77"/>
        <v>No discount</v>
      </c>
      <c r="P1220" s="9">
        <f t="shared" si="78"/>
        <v>0.18027083413823744</v>
      </c>
      <c r="Q1220" s="3" t="str">
        <f t="shared" si="79"/>
        <v>No</v>
      </c>
    </row>
    <row r="1221" spans="1:17" ht="21" customHeight="1">
      <c r="A1221" s="3" t="s">
        <v>1867</v>
      </c>
      <c r="B1221" s="5">
        <v>45616</v>
      </c>
      <c r="C1221" s="3" t="s">
        <v>1716</v>
      </c>
      <c r="D1221" s="3" t="s">
        <v>46</v>
      </c>
      <c r="E1221" s="3" t="s">
        <v>42</v>
      </c>
      <c r="F1221" s="3" t="s">
        <v>90</v>
      </c>
      <c r="G1221" s="3" t="s">
        <v>91</v>
      </c>
      <c r="H1221" s="3">
        <v>1</v>
      </c>
      <c r="I1221" s="7">
        <v>1157.93</v>
      </c>
      <c r="J1221" s="9">
        <v>0</v>
      </c>
      <c r="K1221" s="7">
        <v>1157.93</v>
      </c>
      <c r="L1221" s="7">
        <v>678.43</v>
      </c>
      <c r="M1221" s="3" t="s">
        <v>60</v>
      </c>
      <c r="N1221" s="3" t="str">
        <f t="shared" si="76"/>
        <v>2024-11</v>
      </c>
      <c r="O1221" s="3" t="str">
        <f t="shared" si="77"/>
        <v>No discount</v>
      </c>
      <c r="P1221" s="9">
        <f t="shared" si="78"/>
        <v>0.58589897489485543</v>
      </c>
      <c r="Q1221" s="3" t="str">
        <f t="shared" si="79"/>
        <v>No</v>
      </c>
    </row>
    <row r="1222" spans="1:17" ht="21" customHeight="1">
      <c r="A1222" s="3" t="s">
        <v>1868</v>
      </c>
      <c r="B1222" s="5">
        <v>45616</v>
      </c>
      <c r="C1222" s="3" t="s">
        <v>1479</v>
      </c>
      <c r="D1222" s="3" t="s">
        <v>47</v>
      </c>
      <c r="E1222" s="3" t="s">
        <v>41</v>
      </c>
      <c r="F1222" s="3" t="s">
        <v>119</v>
      </c>
      <c r="G1222" s="3" t="s">
        <v>120</v>
      </c>
      <c r="H1222" s="3">
        <v>1</v>
      </c>
      <c r="I1222" s="7">
        <v>1314.13</v>
      </c>
      <c r="J1222" s="9">
        <v>0.1</v>
      </c>
      <c r="K1222" s="7">
        <v>1182.72</v>
      </c>
      <c r="L1222" s="7">
        <v>296.74</v>
      </c>
      <c r="M1222" s="3" t="s">
        <v>60</v>
      </c>
      <c r="N1222" s="3" t="str">
        <f t="shared" si="76"/>
        <v>2024-11</v>
      </c>
      <c r="O1222" s="3" t="str">
        <f t="shared" si="77"/>
        <v>1-10%</v>
      </c>
      <c r="P1222" s="9">
        <f t="shared" si="78"/>
        <v>0.25089623917748916</v>
      </c>
      <c r="Q1222" s="3" t="str">
        <f t="shared" si="79"/>
        <v>No</v>
      </c>
    </row>
    <row r="1223" spans="1:17" ht="21" customHeight="1">
      <c r="A1223" s="3" t="s">
        <v>1869</v>
      </c>
      <c r="B1223" s="5">
        <v>45616</v>
      </c>
      <c r="C1223" s="3" t="s">
        <v>1612</v>
      </c>
      <c r="D1223" s="3" t="s">
        <v>45</v>
      </c>
      <c r="E1223" s="3" t="s">
        <v>38</v>
      </c>
      <c r="F1223" s="3" t="s">
        <v>142</v>
      </c>
      <c r="G1223" s="3" t="s">
        <v>245</v>
      </c>
      <c r="H1223" s="3">
        <v>1</v>
      </c>
      <c r="I1223" s="7">
        <v>4983.95</v>
      </c>
      <c r="J1223" s="9">
        <v>0</v>
      </c>
      <c r="K1223" s="7">
        <v>4983.95</v>
      </c>
      <c r="L1223" s="7">
        <v>1028.6300000000001</v>
      </c>
      <c r="M1223" s="3" t="s">
        <v>56</v>
      </c>
      <c r="N1223" s="3" t="str">
        <f t="shared" si="76"/>
        <v>2024-11</v>
      </c>
      <c r="O1223" s="3" t="str">
        <f t="shared" si="77"/>
        <v>No discount</v>
      </c>
      <c r="P1223" s="9">
        <f t="shared" si="78"/>
        <v>0.20638850710781612</v>
      </c>
      <c r="Q1223" s="3" t="str">
        <f t="shared" si="79"/>
        <v>No</v>
      </c>
    </row>
    <row r="1224" spans="1:17" ht="21" customHeight="1">
      <c r="A1224" s="3" t="s">
        <v>1870</v>
      </c>
      <c r="B1224" s="5">
        <v>45616</v>
      </c>
      <c r="C1224" s="3" t="s">
        <v>299</v>
      </c>
      <c r="D1224" s="3" t="s">
        <v>44</v>
      </c>
      <c r="E1224" s="3" t="s">
        <v>42</v>
      </c>
      <c r="F1224" s="3" t="s">
        <v>90</v>
      </c>
      <c r="G1224" s="3" t="s">
        <v>106</v>
      </c>
      <c r="H1224" s="3">
        <v>1</v>
      </c>
      <c r="I1224" s="7">
        <v>903.64</v>
      </c>
      <c r="J1224" s="9">
        <v>0.1</v>
      </c>
      <c r="K1224" s="7">
        <v>813.28</v>
      </c>
      <c r="L1224" s="7">
        <v>370.8</v>
      </c>
      <c r="M1224" s="3" t="s">
        <v>58</v>
      </c>
      <c r="N1224" s="3" t="str">
        <f t="shared" si="76"/>
        <v>2024-11</v>
      </c>
      <c r="O1224" s="3" t="str">
        <f t="shared" si="77"/>
        <v>1-10%</v>
      </c>
      <c r="P1224" s="9">
        <f t="shared" si="78"/>
        <v>0.45593153649419638</v>
      </c>
      <c r="Q1224" s="3" t="str">
        <f t="shared" si="79"/>
        <v>No</v>
      </c>
    </row>
    <row r="1225" spans="1:17" ht="21" customHeight="1">
      <c r="A1225" s="3" t="s">
        <v>1871</v>
      </c>
      <c r="B1225" s="5">
        <v>45616</v>
      </c>
      <c r="C1225" s="3" t="s">
        <v>1421</v>
      </c>
      <c r="D1225" s="3" t="s">
        <v>45</v>
      </c>
      <c r="E1225" s="3" t="s">
        <v>40</v>
      </c>
      <c r="F1225" s="3" t="s">
        <v>102</v>
      </c>
      <c r="G1225" s="3" t="s">
        <v>146</v>
      </c>
      <c r="H1225" s="3">
        <v>1</v>
      </c>
      <c r="I1225" s="7">
        <v>7807.6</v>
      </c>
      <c r="J1225" s="9">
        <v>0</v>
      </c>
      <c r="K1225" s="7">
        <v>7807.6</v>
      </c>
      <c r="L1225" s="7">
        <v>2752.44</v>
      </c>
      <c r="M1225" s="3" t="s">
        <v>57</v>
      </c>
      <c r="N1225" s="3" t="str">
        <f t="shared" si="76"/>
        <v>2024-11</v>
      </c>
      <c r="O1225" s="3" t="str">
        <f t="shared" si="77"/>
        <v>No discount</v>
      </c>
      <c r="P1225" s="9">
        <f t="shared" si="78"/>
        <v>0.35253342896664785</v>
      </c>
      <c r="Q1225" s="3" t="str">
        <f t="shared" si="79"/>
        <v>No</v>
      </c>
    </row>
    <row r="1226" spans="1:17" ht="21" customHeight="1">
      <c r="A1226" s="3" t="s">
        <v>1872</v>
      </c>
      <c r="B1226" s="5">
        <v>45617</v>
      </c>
      <c r="C1226" s="3" t="s">
        <v>1042</v>
      </c>
      <c r="D1226" s="3" t="s">
        <v>46</v>
      </c>
      <c r="E1226" s="3" t="s">
        <v>38</v>
      </c>
      <c r="F1226" s="3" t="s">
        <v>94</v>
      </c>
      <c r="G1226" s="3" t="s">
        <v>95</v>
      </c>
      <c r="H1226" s="3">
        <v>1</v>
      </c>
      <c r="I1226" s="7">
        <v>81233.31</v>
      </c>
      <c r="J1226" s="9">
        <v>0.2</v>
      </c>
      <c r="K1226" s="7">
        <v>64986.65</v>
      </c>
      <c r="L1226" s="7">
        <v>-5532.69</v>
      </c>
      <c r="M1226" s="3" t="s">
        <v>56</v>
      </c>
      <c r="N1226" s="3" t="str">
        <f t="shared" si="76"/>
        <v>2024-11</v>
      </c>
      <c r="O1226" s="3" t="str">
        <f t="shared" si="77"/>
        <v>16-20%</v>
      </c>
      <c r="P1226" s="9">
        <f t="shared" si="78"/>
        <v>-8.5135793274464827E-2</v>
      </c>
      <c r="Q1226" s="3" t="str">
        <f t="shared" si="79"/>
        <v>Yes</v>
      </c>
    </row>
    <row r="1227" spans="1:17" ht="21" customHeight="1">
      <c r="A1227" s="3" t="s">
        <v>1873</v>
      </c>
      <c r="B1227" s="5">
        <v>45617</v>
      </c>
      <c r="C1227" s="3" t="s">
        <v>1731</v>
      </c>
      <c r="D1227" s="3" t="s">
        <v>46</v>
      </c>
      <c r="E1227" s="3" t="s">
        <v>38</v>
      </c>
      <c r="F1227" s="3" t="s">
        <v>94</v>
      </c>
      <c r="G1227" s="3" t="s">
        <v>213</v>
      </c>
      <c r="H1227" s="3">
        <v>1</v>
      </c>
      <c r="I1227" s="7">
        <v>52962.76</v>
      </c>
      <c r="J1227" s="9">
        <v>0.05</v>
      </c>
      <c r="K1227" s="7">
        <v>50314.62</v>
      </c>
      <c r="L1227" s="7">
        <v>5225.8900000000003</v>
      </c>
      <c r="M1227" s="3" t="s">
        <v>60</v>
      </c>
      <c r="N1227" s="3" t="str">
        <f t="shared" si="76"/>
        <v>2024-11</v>
      </c>
      <c r="O1227" s="3" t="str">
        <f t="shared" si="77"/>
        <v>1-10%</v>
      </c>
      <c r="P1227" s="9">
        <f t="shared" si="78"/>
        <v>0.10386424462710839</v>
      </c>
      <c r="Q1227" s="3" t="str">
        <f t="shared" si="79"/>
        <v>No</v>
      </c>
    </row>
    <row r="1228" spans="1:17" ht="21" customHeight="1">
      <c r="A1228" s="3" t="s">
        <v>1874</v>
      </c>
      <c r="B1228" s="5">
        <v>45617</v>
      </c>
      <c r="C1228" s="3" t="s">
        <v>335</v>
      </c>
      <c r="D1228" s="3" t="s">
        <v>45</v>
      </c>
      <c r="E1228" s="3" t="s">
        <v>41</v>
      </c>
      <c r="F1228" s="3" t="s">
        <v>113</v>
      </c>
      <c r="G1228" s="3" t="s">
        <v>114</v>
      </c>
      <c r="H1228" s="3">
        <v>2</v>
      </c>
      <c r="I1228" s="7">
        <v>12118.09</v>
      </c>
      <c r="J1228" s="9">
        <v>0.05</v>
      </c>
      <c r="K1228" s="7">
        <v>23024.37</v>
      </c>
      <c r="L1228" s="7">
        <v>7092.71</v>
      </c>
      <c r="M1228" s="3" t="s">
        <v>56</v>
      </c>
      <c r="N1228" s="3" t="str">
        <f t="shared" si="76"/>
        <v>2024-11</v>
      </c>
      <c r="O1228" s="3" t="str">
        <f t="shared" si="77"/>
        <v>1-10%</v>
      </c>
      <c r="P1228" s="9">
        <f t="shared" si="78"/>
        <v>0.30805229415614849</v>
      </c>
      <c r="Q1228" s="3" t="str">
        <f t="shared" si="79"/>
        <v>No</v>
      </c>
    </row>
    <row r="1229" spans="1:17" ht="21" customHeight="1">
      <c r="A1229" s="3" t="s">
        <v>1875</v>
      </c>
      <c r="B1229" s="5">
        <v>45617</v>
      </c>
      <c r="C1229" s="3" t="s">
        <v>232</v>
      </c>
      <c r="D1229" s="3" t="s">
        <v>44</v>
      </c>
      <c r="E1229" s="3" t="s">
        <v>41</v>
      </c>
      <c r="F1229" s="3" t="s">
        <v>119</v>
      </c>
      <c r="G1229" s="3" t="s">
        <v>168</v>
      </c>
      <c r="H1229" s="3">
        <v>2</v>
      </c>
      <c r="I1229" s="7">
        <v>10432.57</v>
      </c>
      <c r="J1229" s="9">
        <v>0</v>
      </c>
      <c r="K1229" s="7">
        <v>20865.14</v>
      </c>
      <c r="L1229" s="7">
        <v>8374.08</v>
      </c>
      <c r="M1229" s="3" t="s">
        <v>56</v>
      </c>
      <c r="N1229" s="3" t="str">
        <f t="shared" si="76"/>
        <v>2024-11</v>
      </c>
      <c r="O1229" s="3" t="str">
        <f t="shared" si="77"/>
        <v>No discount</v>
      </c>
      <c r="P1229" s="9">
        <f t="shared" si="78"/>
        <v>0.4013431014601388</v>
      </c>
      <c r="Q1229" s="3" t="str">
        <f t="shared" si="79"/>
        <v>No</v>
      </c>
    </row>
    <row r="1230" spans="1:17" ht="21" customHeight="1">
      <c r="A1230" s="3" t="s">
        <v>1876</v>
      </c>
      <c r="B1230" s="5">
        <v>45617</v>
      </c>
      <c r="C1230" s="3" t="s">
        <v>426</v>
      </c>
      <c r="D1230" s="3" t="s">
        <v>45</v>
      </c>
      <c r="E1230" s="3" t="s">
        <v>40</v>
      </c>
      <c r="F1230" s="3" t="s">
        <v>160</v>
      </c>
      <c r="G1230" s="3" t="s">
        <v>161</v>
      </c>
      <c r="H1230" s="3">
        <v>3</v>
      </c>
      <c r="I1230" s="7">
        <v>12611.1</v>
      </c>
      <c r="J1230" s="9">
        <v>0.2</v>
      </c>
      <c r="K1230" s="7">
        <v>30266.639999999999</v>
      </c>
      <c r="L1230" s="7">
        <v>2800.36</v>
      </c>
      <c r="M1230" s="3" t="s">
        <v>57</v>
      </c>
      <c r="N1230" s="3" t="str">
        <f t="shared" si="76"/>
        <v>2024-11</v>
      </c>
      <c r="O1230" s="3" t="str">
        <f t="shared" si="77"/>
        <v>16-20%</v>
      </c>
      <c r="P1230" s="9">
        <f t="shared" si="78"/>
        <v>9.2522989007038772E-2</v>
      </c>
      <c r="Q1230" s="3" t="str">
        <f t="shared" si="79"/>
        <v>No</v>
      </c>
    </row>
    <row r="1231" spans="1:17" ht="21" customHeight="1">
      <c r="A1231" s="3" t="s">
        <v>1877</v>
      </c>
      <c r="B1231" s="5">
        <v>45618</v>
      </c>
      <c r="C1231" s="3" t="s">
        <v>1878</v>
      </c>
      <c r="D1231" s="3" t="s">
        <v>45</v>
      </c>
      <c r="E1231" s="3" t="s">
        <v>38</v>
      </c>
      <c r="F1231" s="3" t="s">
        <v>98</v>
      </c>
      <c r="G1231" s="3" t="s">
        <v>182</v>
      </c>
      <c r="H1231" s="3">
        <v>1</v>
      </c>
      <c r="I1231" s="7">
        <v>69697.919999999998</v>
      </c>
      <c r="J1231" s="9">
        <v>0.05</v>
      </c>
      <c r="K1231" s="7">
        <v>66213.02</v>
      </c>
      <c r="L1231" s="7">
        <v>8673.9599999999991</v>
      </c>
      <c r="M1231" s="3" t="s">
        <v>56</v>
      </c>
      <c r="N1231" s="3" t="str">
        <f t="shared" si="76"/>
        <v>2024-11</v>
      </c>
      <c r="O1231" s="3" t="str">
        <f t="shared" si="77"/>
        <v>1-10%</v>
      </c>
      <c r="P1231" s="9">
        <f t="shared" si="78"/>
        <v>0.13100082128862267</v>
      </c>
      <c r="Q1231" s="3" t="str">
        <f t="shared" si="79"/>
        <v>No</v>
      </c>
    </row>
    <row r="1232" spans="1:17" ht="21" customHeight="1">
      <c r="A1232" s="3" t="s">
        <v>1879</v>
      </c>
      <c r="B1232" s="5">
        <v>45618</v>
      </c>
      <c r="C1232" s="3" t="s">
        <v>1165</v>
      </c>
      <c r="D1232" s="3" t="s">
        <v>44</v>
      </c>
      <c r="E1232" s="3" t="s">
        <v>38</v>
      </c>
      <c r="F1232" s="3" t="s">
        <v>94</v>
      </c>
      <c r="G1232" s="3" t="s">
        <v>213</v>
      </c>
      <c r="H1232" s="3">
        <v>1</v>
      </c>
      <c r="I1232" s="7">
        <v>57519.59</v>
      </c>
      <c r="J1232" s="9">
        <v>0</v>
      </c>
      <c r="K1232" s="7">
        <v>57519.59</v>
      </c>
      <c r="L1232" s="7">
        <v>10627.9</v>
      </c>
      <c r="M1232" s="3" t="s">
        <v>57</v>
      </c>
      <c r="N1232" s="3" t="str">
        <f t="shared" si="76"/>
        <v>2024-11</v>
      </c>
      <c r="O1232" s="3" t="str">
        <f t="shared" si="77"/>
        <v>No discount</v>
      </c>
      <c r="P1232" s="9">
        <f t="shared" si="78"/>
        <v>0.18477009311088621</v>
      </c>
      <c r="Q1232" s="3" t="str">
        <f t="shared" si="79"/>
        <v>No</v>
      </c>
    </row>
    <row r="1233" spans="1:17" ht="21" customHeight="1">
      <c r="A1233" s="3" t="s">
        <v>1880</v>
      </c>
      <c r="B1233" s="5">
        <v>45618</v>
      </c>
      <c r="C1233" s="3" t="s">
        <v>463</v>
      </c>
      <c r="D1233" s="3" t="s">
        <v>44</v>
      </c>
      <c r="E1233" s="3" t="s">
        <v>41</v>
      </c>
      <c r="F1233" s="3" t="s">
        <v>113</v>
      </c>
      <c r="G1233" s="3" t="s">
        <v>114</v>
      </c>
      <c r="H1233" s="3">
        <v>1</v>
      </c>
      <c r="I1233" s="7">
        <v>11712.93</v>
      </c>
      <c r="J1233" s="9">
        <v>0.05</v>
      </c>
      <c r="K1233" s="7">
        <v>11127.28</v>
      </c>
      <c r="L1233" s="7">
        <v>3315.18</v>
      </c>
      <c r="M1233" s="3" t="s">
        <v>56</v>
      </c>
      <c r="N1233" s="3" t="str">
        <f t="shared" si="76"/>
        <v>2024-11</v>
      </c>
      <c r="O1233" s="3" t="str">
        <f t="shared" si="77"/>
        <v>1-10%</v>
      </c>
      <c r="P1233" s="9">
        <f t="shared" si="78"/>
        <v>0.2979326484100337</v>
      </c>
      <c r="Q1233" s="3" t="str">
        <f t="shared" si="79"/>
        <v>No</v>
      </c>
    </row>
    <row r="1234" spans="1:17" ht="21" customHeight="1">
      <c r="A1234" s="3" t="s">
        <v>1881</v>
      </c>
      <c r="B1234" s="5">
        <v>45618</v>
      </c>
      <c r="C1234" s="3" t="s">
        <v>410</v>
      </c>
      <c r="D1234" s="3" t="s">
        <v>46</v>
      </c>
      <c r="E1234" s="3" t="s">
        <v>38</v>
      </c>
      <c r="F1234" s="3" t="s">
        <v>142</v>
      </c>
      <c r="G1234" s="3" t="s">
        <v>245</v>
      </c>
      <c r="H1234" s="3">
        <v>1</v>
      </c>
      <c r="I1234" s="7">
        <v>5206.2</v>
      </c>
      <c r="J1234" s="9">
        <v>0.15</v>
      </c>
      <c r="K1234" s="7">
        <v>4425.2700000000004</v>
      </c>
      <c r="L1234" s="7">
        <v>103.31</v>
      </c>
      <c r="M1234" s="3" t="s">
        <v>60</v>
      </c>
      <c r="N1234" s="3" t="str">
        <f t="shared" si="76"/>
        <v>2024-11</v>
      </c>
      <c r="O1234" s="3" t="str">
        <f t="shared" si="77"/>
        <v>11-15%</v>
      </c>
      <c r="P1234" s="9">
        <f t="shared" si="78"/>
        <v>2.3345468186121977E-2</v>
      </c>
      <c r="Q1234" s="3" t="str">
        <f t="shared" si="79"/>
        <v>No</v>
      </c>
    </row>
    <row r="1235" spans="1:17" ht="21" customHeight="1">
      <c r="A1235" s="3" t="s">
        <v>1882</v>
      </c>
      <c r="B1235" s="5">
        <v>45619</v>
      </c>
      <c r="C1235" s="3" t="s">
        <v>1247</v>
      </c>
      <c r="D1235" s="3" t="s">
        <v>47</v>
      </c>
      <c r="E1235" s="3" t="s">
        <v>41</v>
      </c>
      <c r="F1235" s="3" t="s">
        <v>119</v>
      </c>
      <c r="G1235" s="3" t="s">
        <v>120</v>
      </c>
      <c r="H1235" s="3">
        <v>1</v>
      </c>
      <c r="I1235" s="7">
        <v>1256.48</v>
      </c>
      <c r="J1235" s="9">
        <v>0</v>
      </c>
      <c r="K1235" s="7">
        <v>1256.48</v>
      </c>
      <c r="L1235" s="7">
        <v>498.91</v>
      </c>
      <c r="M1235" s="3" t="s">
        <v>58</v>
      </c>
      <c r="N1235" s="3" t="str">
        <f t="shared" si="76"/>
        <v>2024-11</v>
      </c>
      <c r="O1235" s="3" t="str">
        <f t="shared" si="77"/>
        <v>No discount</v>
      </c>
      <c r="P1235" s="9">
        <f t="shared" si="78"/>
        <v>0.39706959123901697</v>
      </c>
      <c r="Q1235" s="3" t="str">
        <f t="shared" si="79"/>
        <v>No</v>
      </c>
    </row>
    <row r="1236" spans="1:17" ht="21" customHeight="1">
      <c r="A1236" s="3" t="s">
        <v>1883</v>
      </c>
      <c r="B1236" s="5">
        <v>45619</v>
      </c>
      <c r="C1236" s="3" t="s">
        <v>148</v>
      </c>
      <c r="D1236" s="3" t="s">
        <v>46</v>
      </c>
      <c r="E1236" s="3" t="s">
        <v>40</v>
      </c>
      <c r="F1236" s="3" t="s">
        <v>221</v>
      </c>
      <c r="G1236" s="3" t="s">
        <v>222</v>
      </c>
      <c r="H1236" s="3">
        <v>1</v>
      </c>
      <c r="I1236" s="7">
        <v>995.6</v>
      </c>
      <c r="J1236" s="9">
        <v>0.2</v>
      </c>
      <c r="K1236" s="7">
        <v>796.48</v>
      </c>
      <c r="L1236" s="7">
        <v>98.94</v>
      </c>
      <c r="M1236" s="3" t="s">
        <v>58</v>
      </c>
      <c r="N1236" s="3" t="str">
        <f t="shared" si="76"/>
        <v>2024-11</v>
      </c>
      <c r="O1236" s="3" t="str">
        <f t="shared" si="77"/>
        <v>16-20%</v>
      </c>
      <c r="P1236" s="9">
        <f t="shared" si="78"/>
        <v>0.12422157492969063</v>
      </c>
      <c r="Q1236" s="3" t="str">
        <f t="shared" si="79"/>
        <v>No</v>
      </c>
    </row>
    <row r="1237" spans="1:17" ht="21" customHeight="1">
      <c r="A1237" s="3" t="s">
        <v>1884</v>
      </c>
      <c r="B1237" s="5">
        <v>45619</v>
      </c>
      <c r="C1237" s="3" t="s">
        <v>1885</v>
      </c>
      <c r="D1237" s="3" t="s">
        <v>45</v>
      </c>
      <c r="E1237" s="3" t="s">
        <v>38</v>
      </c>
      <c r="F1237" s="3" t="s">
        <v>94</v>
      </c>
      <c r="G1237" s="3" t="s">
        <v>213</v>
      </c>
      <c r="H1237" s="3">
        <v>2</v>
      </c>
      <c r="I1237" s="7">
        <v>52701.32</v>
      </c>
      <c r="J1237" s="9">
        <v>0.05</v>
      </c>
      <c r="K1237" s="7">
        <v>100132.51</v>
      </c>
      <c r="L1237" s="7">
        <v>9525.18</v>
      </c>
      <c r="M1237" s="3" t="s">
        <v>60</v>
      </c>
      <c r="N1237" s="3" t="str">
        <f t="shared" si="76"/>
        <v>2024-11</v>
      </c>
      <c r="O1237" s="3" t="str">
        <f t="shared" si="77"/>
        <v>1-10%</v>
      </c>
      <c r="P1237" s="9">
        <f t="shared" si="78"/>
        <v>9.5125748870172139E-2</v>
      </c>
      <c r="Q1237" s="3" t="str">
        <f t="shared" si="79"/>
        <v>No</v>
      </c>
    </row>
    <row r="1238" spans="1:17" ht="21" customHeight="1">
      <c r="A1238" s="3" t="s">
        <v>1886</v>
      </c>
      <c r="B1238" s="5">
        <v>45619</v>
      </c>
      <c r="C1238" s="3" t="s">
        <v>314</v>
      </c>
      <c r="D1238" s="3" t="s">
        <v>45</v>
      </c>
      <c r="E1238" s="3" t="s">
        <v>42</v>
      </c>
      <c r="F1238" s="3" t="s">
        <v>90</v>
      </c>
      <c r="G1238" s="3" t="s">
        <v>106</v>
      </c>
      <c r="H1238" s="3">
        <v>1</v>
      </c>
      <c r="I1238" s="7">
        <v>879.06</v>
      </c>
      <c r="J1238" s="9">
        <v>0.15</v>
      </c>
      <c r="K1238" s="7">
        <v>747.2</v>
      </c>
      <c r="L1238" s="7">
        <v>288.86</v>
      </c>
      <c r="M1238" s="3" t="s">
        <v>56</v>
      </c>
      <c r="N1238" s="3" t="str">
        <f t="shared" si="76"/>
        <v>2024-11</v>
      </c>
      <c r="O1238" s="3" t="str">
        <f t="shared" si="77"/>
        <v>11-15%</v>
      </c>
      <c r="P1238" s="9">
        <f t="shared" si="78"/>
        <v>0.38658993576017131</v>
      </c>
      <c r="Q1238" s="3" t="str">
        <f t="shared" si="79"/>
        <v>No</v>
      </c>
    </row>
    <row r="1239" spans="1:17" ht="21" customHeight="1">
      <c r="A1239" s="3" t="s">
        <v>1887</v>
      </c>
      <c r="B1239" s="5">
        <v>45619</v>
      </c>
      <c r="C1239" s="3" t="s">
        <v>199</v>
      </c>
      <c r="D1239" s="3" t="s">
        <v>45</v>
      </c>
      <c r="E1239" s="3" t="s">
        <v>41</v>
      </c>
      <c r="F1239" s="3" t="s">
        <v>119</v>
      </c>
      <c r="G1239" s="3" t="s">
        <v>120</v>
      </c>
      <c r="H1239" s="3">
        <v>4</v>
      </c>
      <c r="I1239" s="7">
        <v>1337.77</v>
      </c>
      <c r="J1239" s="9">
        <v>0</v>
      </c>
      <c r="K1239" s="7">
        <v>5351.08</v>
      </c>
      <c r="L1239" s="7">
        <v>1852.59</v>
      </c>
      <c r="M1239" s="3" t="s">
        <v>56</v>
      </c>
      <c r="N1239" s="3" t="str">
        <f t="shared" si="76"/>
        <v>2024-11</v>
      </c>
      <c r="O1239" s="3" t="str">
        <f t="shared" si="77"/>
        <v>No discount</v>
      </c>
      <c r="P1239" s="9">
        <f t="shared" si="78"/>
        <v>0.34620861583082291</v>
      </c>
      <c r="Q1239" s="3" t="str">
        <f t="shared" si="79"/>
        <v>No</v>
      </c>
    </row>
    <row r="1240" spans="1:17" ht="21" customHeight="1">
      <c r="A1240" s="3" t="s">
        <v>1888</v>
      </c>
      <c r="B1240" s="5">
        <v>45619</v>
      </c>
      <c r="C1240" s="3" t="s">
        <v>1138</v>
      </c>
      <c r="D1240" s="3" t="s">
        <v>46</v>
      </c>
      <c r="E1240" s="3" t="s">
        <v>38</v>
      </c>
      <c r="F1240" s="3" t="s">
        <v>142</v>
      </c>
      <c r="G1240" s="3" t="s">
        <v>245</v>
      </c>
      <c r="H1240" s="3">
        <v>1</v>
      </c>
      <c r="I1240" s="7">
        <v>4773.8599999999997</v>
      </c>
      <c r="J1240" s="9">
        <v>0.05</v>
      </c>
      <c r="K1240" s="7">
        <v>4535.17</v>
      </c>
      <c r="L1240" s="7">
        <v>484.52</v>
      </c>
      <c r="M1240" s="3" t="s">
        <v>58</v>
      </c>
      <c r="N1240" s="3" t="str">
        <f t="shared" si="76"/>
        <v>2024-11</v>
      </c>
      <c r="O1240" s="3" t="str">
        <f t="shared" si="77"/>
        <v>1-10%</v>
      </c>
      <c r="P1240" s="9">
        <f t="shared" si="78"/>
        <v>0.10683612742190479</v>
      </c>
      <c r="Q1240" s="3" t="str">
        <f t="shared" si="79"/>
        <v>No</v>
      </c>
    </row>
    <row r="1241" spans="1:17" ht="21" customHeight="1">
      <c r="A1241" s="3" t="s">
        <v>1889</v>
      </c>
      <c r="B1241" s="5">
        <v>45619</v>
      </c>
      <c r="C1241" s="3" t="s">
        <v>1890</v>
      </c>
      <c r="D1241" s="3" t="s">
        <v>46</v>
      </c>
      <c r="E1241" s="3" t="s">
        <v>42</v>
      </c>
      <c r="F1241" s="3" t="s">
        <v>126</v>
      </c>
      <c r="G1241" s="3" t="s">
        <v>151</v>
      </c>
      <c r="H1241" s="3">
        <v>1</v>
      </c>
      <c r="I1241" s="7">
        <v>1555.57</v>
      </c>
      <c r="J1241" s="9">
        <v>0</v>
      </c>
      <c r="K1241" s="7">
        <v>1555.57</v>
      </c>
      <c r="L1241" s="7">
        <v>843.2</v>
      </c>
      <c r="M1241" s="3" t="s">
        <v>58</v>
      </c>
      <c r="N1241" s="3" t="str">
        <f t="shared" si="76"/>
        <v>2024-11</v>
      </c>
      <c r="O1241" s="3" t="str">
        <f t="shared" si="77"/>
        <v>No discount</v>
      </c>
      <c r="P1241" s="9">
        <f t="shared" si="78"/>
        <v>0.54205210951612592</v>
      </c>
      <c r="Q1241" s="3" t="str">
        <f t="shared" si="79"/>
        <v>No</v>
      </c>
    </row>
    <row r="1242" spans="1:17" ht="21" customHeight="1">
      <c r="A1242" s="3" t="s">
        <v>1891</v>
      </c>
      <c r="B1242" s="5">
        <v>45620</v>
      </c>
      <c r="C1242" s="3" t="s">
        <v>456</v>
      </c>
      <c r="D1242" s="3" t="s">
        <v>45</v>
      </c>
      <c r="E1242" s="3" t="s">
        <v>40</v>
      </c>
      <c r="F1242" s="3" t="s">
        <v>221</v>
      </c>
      <c r="G1242" s="3" t="s">
        <v>222</v>
      </c>
      <c r="H1242" s="3">
        <v>3</v>
      </c>
      <c r="I1242" s="7">
        <v>1046.2</v>
      </c>
      <c r="J1242" s="9">
        <v>0.1</v>
      </c>
      <c r="K1242" s="7">
        <v>2824.74</v>
      </c>
      <c r="L1242" s="7">
        <v>545.84</v>
      </c>
      <c r="M1242" s="3" t="s">
        <v>58</v>
      </c>
      <c r="N1242" s="3" t="str">
        <f t="shared" si="76"/>
        <v>2024-11</v>
      </c>
      <c r="O1242" s="3" t="str">
        <f t="shared" si="77"/>
        <v>1-10%</v>
      </c>
      <c r="P1242" s="9">
        <f t="shared" si="78"/>
        <v>0.19323548361973139</v>
      </c>
      <c r="Q1242" s="3" t="str">
        <f t="shared" si="79"/>
        <v>No</v>
      </c>
    </row>
    <row r="1243" spans="1:17" ht="21" customHeight="1">
      <c r="A1243" s="3" t="s">
        <v>1892</v>
      </c>
      <c r="B1243" s="5">
        <v>45620</v>
      </c>
      <c r="C1243" s="3" t="s">
        <v>463</v>
      </c>
      <c r="D1243" s="3" t="s">
        <v>44</v>
      </c>
      <c r="E1243" s="3" t="s">
        <v>38</v>
      </c>
      <c r="F1243" s="3" t="s">
        <v>98</v>
      </c>
      <c r="G1243" s="3" t="s">
        <v>182</v>
      </c>
      <c r="H1243" s="3">
        <v>1</v>
      </c>
      <c r="I1243" s="7">
        <v>70994.84</v>
      </c>
      <c r="J1243" s="9">
        <v>0</v>
      </c>
      <c r="K1243" s="7">
        <v>70994.84</v>
      </c>
      <c r="L1243" s="7">
        <v>15156.59</v>
      </c>
      <c r="M1243" s="3" t="s">
        <v>56</v>
      </c>
      <c r="N1243" s="3" t="str">
        <f t="shared" si="76"/>
        <v>2024-11</v>
      </c>
      <c r="O1243" s="3" t="str">
        <f t="shared" si="77"/>
        <v>No discount</v>
      </c>
      <c r="P1243" s="9">
        <f t="shared" si="78"/>
        <v>0.21348861410209533</v>
      </c>
      <c r="Q1243" s="3" t="str">
        <f t="shared" si="79"/>
        <v>No</v>
      </c>
    </row>
    <row r="1244" spans="1:17" ht="21" customHeight="1">
      <c r="A1244" s="3" t="s">
        <v>1893</v>
      </c>
      <c r="B1244" s="5">
        <v>45620</v>
      </c>
      <c r="C1244" s="3" t="s">
        <v>118</v>
      </c>
      <c r="D1244" s="3" t="s">
        <v>47</v>
      </c>
      <c r="E1244" s="3" t="s">
        <v>39</v>
      </c>
      <c r="F1244" s="3" t="s">
        <v>164</v>
      </c>
      <c r="G1244" s="3" t="s">
        <v>200</v>
      </c>
      <c r="H1244" s="3">
        <v>1</v>
      </c>
      <c r="I1244" s="7">
        <v>1280.5999999999999</v>
      </c>
      <c r="J1244" s="9">
        <v>0.05</v>
      </c>
      <c r="K1244" s="7">
        <v>1216.57</v>
      </c>
      <c r="L1244" s="7">
        <v>481.55</v>
      </c>
      <c r="M1244" s="3" t="s">
        <v>58</v>
      </c>
      <c r="N1244" s="3" t="str">
        <f t="shared" si="76"/>
        <v>2024-11</v>
      </c>
      <c r="O1244" s="3" t="str">
        <f t="shared" si="77"/>
        <v>1-10%</v>
      </c>
      <c r="P1244" s="9">
        <f t="shared" si="78"/>
        <v>0.39582596973458167</v>
      </c>
      <c r="Q1244" s="3" t="str">
        <f t="shared" si="79"/>
        <v>No</v>
      </c>
    </row>
    <row r="1245" spans="1:17" ht="21" customHeight="1">
      <c r="A1245" s="3" t="s">
        <v>1894</v>
      </c>
      <c r="B1245" s="5">
        <v>45620</v>
      </c>
      <c r="C1245" s="3" t="s">
        <v>628</v>
      </c>
      <c r="D1245" s="3" t="s">
        <v>45</v>
      </c>
      <c r="E1245" s="3" t="s">
        <v>39</v>
      </c>
      <c r="F1245" s="3" t="s">
        <v>109</v>
      </c>
      <c r="G1245" s="3" t="s">
        <v>355</v>
      </c>
      <c r="H1245" s="3">
        <v>1</v>
      </c>
      <c r="I1245" s="7">
        <v>3575.88</v>
      </c>
      <c r="J1245" s="9">
        <v>0</v>
      </c>
      <c r="K1245" s="7">
        <v>3575.88</v>
      </c>
      <c r="L1245" s="7">
        <v>1614.71</v>
      </c>
      <c r="M1245" s="3" t="s">
        <v>60</v>
      </c>
      <c r="N1245" s="3" t="str">
        <f t="shared" si="76"/>
        <v>2024-11</v>
      </c>
      <c r="O1245" s="3" t="str">
        <f t="shared" si="77"/>
        <v>No discount</v>
      </c>
      <c r="P1245" s="9">
        <f t="shared" si="78"/>
        <v>0.45155598062574809</v>
      </c>
      <c r="Q1245" s="3" t="str">
        <f t="shared" si="79"/>
        <v>No</v>
      </c>
    </row>
    <row r="1246" spans="1:17" ht="21" customHeight="1">
      <c r="A1246" s="3" t="s">
        <v>1895</v>
      </c>
      <c r="B1246" s="5">
        <v>45620</v>
      </c>
      <c r="C1246" s="3" t="s">
        <v>1131</v>
      </c>
      <c r="D1246" s="3" t="s">
        <v>46</v>
      </c>
      <c r="E1246" s="3" t="s">
        <v>42</v>
      </c>
      <c r="F1246" s="3" t="s">
        <v>90</v>
      </c>
      <c r="G1246" s="3" t="s">
        <v>91</v>
      </c>
      <c r="H1246" s="3">
        <v>2</v>
      </c>
      <c r="I1246" s="7">
        <v>1213.33</v>
      </c>
      <c r="J1246" s="9">
        <v>0.05</v>
      </c>
      <c r="K1246" s="7">
        <v>2305.33</v>
      </c>
      <c r="L1246" s="7">
        <v>1126.22</v>
      </c>
      <c r="M1246" s="3" t="s">
        <v>56</v>
      </c>
      <c r="N1246" s="3" t="str">
        <f t="shared" si="76"/>
        <v>2024-11</v>
      </c>
      <c r="O1246" s="3" t="str">
        <f t="shared" si="77"/>
        <v>1-10%</v>
      </c>
      <c r="P1246" s="9">
        <f t="shared" si="78"/>
        <v>0.48852875727119333</v>
      </c>
      <c r="Q1246" s="3" t="str">
        <f t="shared" si="79"/>
        <v>No</v>
      </c>
    </row>
    <row r="1247" spans="1:17" ht="21" customHeight="1">
      <c r="A1247" s="3" t="s">
        <v>1896</v>
      </c>
      <c r="B1247" s="5">
        <v>45620</v>
      </c>
      <c r="C1247" s="3" t="s">
        <v>702</v>
      </c>
      <c r="D1247" s="3" t="s">
        <v>46</v>
      </c>
      <c r="E1247" s="3" t="s">
        <v>41</v>
      </c>
      <c r="F1247" s="3" t="s">
        <v>113</v>
      </c>
      <c r="G1247" s="3" t="s">
        <v>123</v>
      </c>
      <c r="H1247" s="3">
        <v>1</v>
      </c>
      <c r="I1247" s="7">
        <v>3548.87</v>
      </c>
      <c r="J1247" s="9">
        <v>0</v>
      </c>
      <c r="K1247" s="7">
        <v>3548.87</v>
      </c>
      <c r="L1247" s="7">
        <v>1414.3</v>
      </c>
      <c r="M1247" s="3" t="s">
        <v>57</v>
      </c>
      <c r="N1247" s="3" t="str">
        <f t="shared" si="76"/>
        <v>2024-11</v>
      </c>
      <c r="O1247" s="3" t="str">
        <f t="shared" si="77"/>
        <v>No discount</v>
      </c>
      <c r="P1247" s="9">
        <f t="shared" si="78"/>
        <v>0.39852121943041025</v>
      </c>
      <c r="Q1247" s="3" t="str">
        <f t="shared" si="79"/>
        <v>No</v>
      </c>
    </row>
    <row r="1248" spans="1:17" ht="21" customHeight="1">
      <c r="A1248" s="3" t="s">
        <v>1897</v>
      </c>
      <c r="B1248" s="5">
        <v>45620</v>
      </c>
      <c r="C1248" s="3" t="s">
        <v>846</v>
      </c>
      <c r="D1248" s="3" t="s">
        <v>46</v>
      </c>
      <c r="E1248" s="3" t="s">
        <v>39</v>
      </c>
      <c r="F1248" s="3" t="s">
        <v>109</v>
      </c>
      <c r="G1248" s="3" t="s">
        <v>355</v>
      </c>
      <c r="H1248" s="3">
        <v>2</v>
      </c>
      <c r="I1248" s="7">
        <v>3347.46</v>
      </c>
      <c r="J1248" s="9">
        <v>0.15</v>
      </c>
      <c r="K1248" s="7">
        <v>5690.68</v>
      </c>
      <c r="L1248" s="7">
        <v>1192.8800000000001</v>
      </c>
      <c r="M1248" s="3" t="s">
        <v>57</v>
      </c>
      <c r="N1248" s="3" t="str">
        <f t="shared" si="76"/>
        <v>2024-11</v>
      </c>
      <c r="O1248" s="3" t="str">
        <f t="shared" si="77"/>
        <v>11-15%</v>
      </c>
      <c r="P1248" s="9">
        <f t="shared" si="78"/>
        <v>0.20961993997202444</v>
      </c>
      <c r="Q1248" s="3" t="str">
        <f t="shared" si="79"/>
        <v>No</v>
      </c>
    </row>
    <row r="1249" spans="1:17" ht="21" customHeight="1">
      <c r="A1249" s="3" t="s">
        <v>1898</v>
      </c>
      <c r="B1249" s="5">
        <v>45621</v>
      </c>
      <c r="C1249" s="3" t="s">
        <v>1042</v>
      </c>
      <c r="D1249" s="3" t="s">
        <v>44</v>
      </c>
      <c r="E1249" s="3" t="s">
        <v>41</v>
      </c>
      <c r="F1249" s="3" t="s">
        <v>113</v>
      </c>
      <c r="G1249" s="3" t="s">
        <v>123</v>
      </c>
      <c r="H1249" s="3">
        <v>2</v>
      </c>
      <c r="I1249" s="7">
        <v>3515.77</v>
      </c>
      <c r="J1249" s="9">
        <v>0.05</v>
      </c>
      <c r="K1249" s="7">
        <v>6679.96</v>
      </c>
      <c r="L1249" s="7">
        <v>1887.31</v>
      </c>
      <c r="M1249" s="3" t="s">
        <v>57</v>
      </c>
      <c r="N1249" s="3" t="str">
        <f t="shared" si="76"/>
        <v>2024-11</v>
      </c>
      <c r="O1249" s="3" t="str">
        <f t="shared" si="77"/>
        <v>1-10%</v>
      </c>
      <c r="P1249" s="9">
        <f t="shared" si="78"/>
        <v>0.28253312894089183</v>
      </c>
      <c r="Q1249" s="3" t="str">
        <f t="shared" si="79"/>
        <v>No</v>
      </c>
    </row>
    <row r="1250" spans="1:17" ht="21" customHeight="1">
      <c r="A1250" s="3" t="s">
        <v>1899</v>
      </c>
      <c r="B1250" s="5">
        <v>45621</v>
      </c>
      <c r="C1250" s="3" t="s">
        <v>188</v>
      </c>
      <c r="D1250" s="3" t="s">
        <v>45</v>
      </c>
      <c r="E1250" s="3" t="s">
        <v>42</v>
      </c>
      <c r="F1250" s="3" t="s">
        <v>126</v>
      </c>
      <c r="G1250" s="3" t="s">
        <v>127</v>
      </c>
      <c r="H1250" s="3">
        <v>1</v>
      </c>
      <c r="I1250" s="7">
        <v>1014.87</v>
      </c>
      <c r="J1250" s="9">
        <v>0.1</v>
      </c>
      <c r="K1250" s="7">
        <v>913.38</v>
      </c>
      <c r="L1250" s="7">
        <v>395.51</v>
      </c>
      <c r="M1250" s="3" t="s">
        <v>56</v>
      </c>
      <c r="N1250" s="3" t="str">
        <f t="shared" si="76"/>
        <v>2024-11</v>
      </c>
      <c r="O1250" s="3" t="str">
        <f t="shared" si="77"/>
        <v>1-10%</v>
      </c>
      <c r="P1250" s="9">
        <f t="shared" si="78"/>
        <v>0.43301802097703035</v>
      </c>
      <c r="Q1250" s="3" t="str">
        <f t="shared" si="79"/>
        <v>No</v>
      </c>
    </row>
    <row r="1251" spans="1:17" ht="21" customHeight="1">
      <c r="A1251" s="3" t="s">
        <v>1900</v>
      </c>
      <c r="B1251" s="5">
        <v>45621</v>
      </c>
      <c r="C1251" s="3" t="s">
        <v>873</v>
      </c>
      <c r="D1251" s="3" t="s">
        <v>44</v>
      </c>
      <c r="E1251" s="3" t="s">
        <v>40</v>
      </c>
      <c r="F1251" s="3" t="s">
        <v>221</v>
      </c>
      <c r="G1251" s="3" t="s">
        <v>279</v>
      </c>
      <c r="H1251" s="3">
        <v>1</v>
      </c>
      <c r="I1251" s="7">
        <v>1519.21</v>
      </c>
      <c r="J1251" s="9">
        <v>0.1</v>
      </c>
      <c r="K1251" s="7">
        <v>1367.29</v>
      </c>
      <c r="L1251" s="7">
        <v>323.35000000000002</v>
      </c>
      <c r="M1251" s="3" t="s">
        <v>57</v>
      </c>
      <c r="N1251" s="3" t="str">
        <f t="shared" si="76"/>
        <v>2024-11</v>
      </c>
      <c r="O1251" s="3" t="str">
        <f t="shared" si="77"/>
        <v>1-10%</v>
      </c>
      <c r="P1251" s="9">
        <f t="shared" si="78"/>
        <v>0.23648969860088206</v>
      </c>
      <c r="Q1251" s="3" t="str">
        <f t="shared" si="79"/>
        <v>No</v>
      </c>
    </row>
    <row r="1252" spans="1:17" ht="21" customHeight="1">
      <c r="A1252" s="3" t="s">
        <v>1901</v>
      </c>
      <c r="B1252" s="5">
        <v>45621</v>
      </c>
      <c r="C1252" s="3" t="s">
        <v>1257</v>
      </c>
      <c r="D1252" s="3" t="s">
        <v>46</v>
      </c>
      <c r="E1252" s="3" t="s">
        <v>42</v>
      </c>
      <c r="F1252" s="3" t="s">
        <v>126</v>
      </c>
      <c r="G1252" s="3" t="s">
        <v>127</v>
      </c>
      <c r="H1252" s="3">
        <v>1</v>
      </c>
      <c r="I1252" s="7">
        <v>1000.8</v>
      </c>
      <c r="J1252" s="9">
        <v>0</v>
      </c>
      <c r="K1252" s="7">
        <v>1000.8</v>
      </c>
      <c r="L1252" s="7">
        <v>511.81</v>
      </c>
      <c r="M1252" s="3" t="s">
        <v>58</v>
      </c>
      <c r="N1252" s="3" t="str">
        <f t="shared" si="76"/>
        <v>2024-11</v>
      </c>
      <c r="O1252" s="3" t="str">
        <f t="shared" si="77"/>
        <v>No discount</v>
      </c>
      <c r="P1252" s="9">
        <f t="shared" si="78"/>
        <v>0.51140087929656275</v>
      </c>
      <c r="Q1252" s="3" t="str">
        <f t="shared" si="79"/>
        <v>No</v>
      </c>
    </row>
    <row r="1253" spans="1:17" ht="21" customHeight="1">
      <c r="A1253" s="3" t="s">
        <v>1902</v>
      </c>
      <c r="B1253" s="5">
        <v>45621</v>
      </c>
      <c r="C1253" s="3" t="s">
        <v>475</v>
      </c>
      <c r="D1253" s="3" t="s">
        <v>46</v>
      </c>
      <c r="E1253" s="3" t="s">
        <v>38</v>
      </c>
      <c r="F1253" s="3" t="s">
        <v>98</v>
      </c>
      <c r="G1253" s="3" t="s">
        <v>362</v>
      </c>
      <c r="H1253" s="3">
        <v>1</v>
      </c>
      <c r="I1253" s="7">
        <v>32270.54</v>
      </c>
      <c r="J1253" s="9">
        <v>0.1</v>
      </c>
      <c r="K1253" s="7">
        <v>29043.49</v>
      </c>
      <c r="L1253" s="7">
        <v>1406.95</v>
      </c>
      <c r="M1253" s="3" t="s">
        <v>59</v>
      </c>
      <c r="N1253" s="3" t="str">
        <f t="shared" si="76"/>
        <v>2024-11</v>
      </c>
      <c r="O1253" s="3" t="str">
        <f t="shared" si="77"/>
        <v>1-10%</v>
      </c>
      <c r="P1253" s="9">
        <f t="shared" si="78"/>
        <v>4.8442869641355087E-2</v>
      </c>
      <c r="Q1253" s="3" t="str">
        <f t="shared" si="79"/>
        <v>No</v>
      </c>
    </row>
    <row r="1254" spans="1:17" ht="21" customHeight="1">
      <c r="A1254" s="3" t="s">
        <v>1903</v>
      </c>
      <c r="B1254" s="5">
        <v>45621</v>
      </c>
      <c r="C1254" s="3" t="s">
        <v>585</v>
      </c>
      <c r="D1254" s="3" t="s">
        <v>46</v>
      </c>
      <c r="E1254" s="3" t="s">
        <v>40</v>
      </c>
      <c r="F1254" s="3" t="s">
        <v>102</v>
      </c>
      <c r="G1254" s="3" t="s">
        <v>103</v>
      </c>
      <c r="H1254" s="3">
        <v>3</v>
      </c>
      <c r="I1254" s="7">
        <v>6234.77</v>
      </c>
      <c r="J1254" s="9">
        <v>0</v>
      </c>
      <c r="K1254" s="7">
        <v>18704.310000000001</v>
      </c>
      <c r="L1254" s="7">
        <v>6240.14</v>
      </c>
      <c r="M1254" s="3" t="s">
        <v>56</v>
      </c>
      <c r="N1254" s="3" t="str">
        <f t="shared" si="76"/>
        <v>2024-11</v>
      </c>
      <c r="O1254" s="3" t="str">
        <f t="shared" si="77"/>
        <v>No discount</v>
      </c>
      <c r="P1254" s="9">
        <f t="shared" si="78"/>
        <v>0.33362043293764915</v>
      </c>
      <c r="Q1254" s="3" t="str">
        <f t="shared" si="79"/>
        <v>No</v>
      </c>
    </row>
    <row r="1255" spans="1:17" ht="21" customHeight="1">
      <c r="A1255" s="3" t="s">
        <v>1904</v>
      </c>
      <c r="B1255" s="5">
        <v>45621</v>
      </c>
      <c r="C1255" s="3" t="s">
        <v>715</v>
      </c>
      <c r="D1255" s="3" t="s">
        <v>45</v>
      </c>
      <c r="E1255" s="3" t="s">
        <v>42</v>
      </c>
      <c r="F1255" s="3" t="s">
        <v>126</v>
      </c>
      <c r="G1255" s="3" t="s">
        <v>151</v>
      </c>
      <c r="H1255" s="3">
        <v>2</v>
      </c>
      <c r="I1255" s="7">
        <v>1427.2</v>
      </c>
      <c r="J1255" s="9">
        <v>0.1</v>
      </c>
      <c r="K1255" s="7">
        <v>2568.96</v>
      </c>
      <c r="L1255" s="7">
        <v>1106.1600000000001</v>
      </c>
      <c r="M1255" s="3" t="s">
        <v>56</v>
      </c>
      <c r="N1255" s="3" t="str">
        <f t="shared" si="76"/>
        <v>2024-11</v>
      </c>
      <c r="O1255" s="3" t="str">
        <f t="shared" si="77"/>
        <v>1-10%</v>
      </c>
      <c r="P1255" s="9">
        <f t="shared" si="78"/>
        <v>0.43058669656203291</v>
      </c>
      <c r="Q1255" s="3" t="str">
        <f t="shared" si="79"/>
        <v>No</v>
      </c>
    </row>
    <row r="1256" spans="1:17" ht="21" customHeight="1">
      <c r="A1256" s="3" t="s">
        <v>1905</v>
      </c>
      <c r="B1256" s="5">
        <v>45622</v>
      </c>
      <c r="C1256" s="3" t="s">
        <v>135</v>
      </c>
      <c r="D1256" s="3" t="s">
        <v>44</v>
      </c>
      <c r="E1256" s="3" t="s">
        <v>40</v>
      </c>
      <c r="F1256" s="3" t="s">
        <v>102</v>
      </c>
      <c r="G1256" s="3" t="s">
        <v>103</v>
      </c>
      <c r="H1256" s="3">
        <v>4</v>
      </c>
      <c r="I1256" s="7">
        <v>6494.97</v>
      </c>
      <c r="J1256" s="9">
        <v>0.05</v>
      </c>
      <c r="K1256" s="7">
        <v>24680.89</v>
      </c>
      <c r="L1256" s="7">
        <v>5897.14</v>
      </c>
      <c r="M1256" s="3" t="s">
        <v>57</v>
      </c>
      <c r="N1256" s="3" t="str">
        <f t="shared" si="76"/>
        <v>2024-11</v>
      </c>
      <c r="O1256" s="3" t="str">
        <f t="shared" si="77"/>
        <v>1-10%</v>
      </c>
      <c r="P1256" s="9">
        <f t="shared" si="78"/>
        <v>0.23893546788628775</v>
      </c>
      <c r="Q1256" s="3" t="str">
        <f t="shared" si="79"/>
        <v>No</v>
      </c>
    </row>
    <row r="1257" spans="1:17" ht="21" customHeight="1">
      <c r="A1257" s="3" t="s">
        <v>1906</v>
      </c>
      <c r="B1257" s="5">
        <v>45622</v>
      </c>
      <c r="C1257" s="3" t="s">
        <v>1162</v>
      </c>
      <c r="D1257" s="3" t="s">
        <v>46</v>
      </c>
      <c r="E1257" s="3" t="s">
        <v>38</v>
      </c>
      <c r="F1257" s="3" t="s">
        <v>98</v>
      </c>
      <c r="G1257" s="3" t="s">
        <v>362</v>
      </c>
      <c r="H1257" s="3">
        <v>5</v>
      </c>
      <c r="I1257" s="7">
        <v>32287.48</v>
      </c>
      <c r="J1257" s="9">
        <v>0</v>
      </c>
      <c r="K1257" s="7">
        <v>161437.4</v>
      </c>
      <c r="L1257" s="7">
        <v>31137.07</v>
      </c>
      <c r="M1257" s="3" t="s">
        <v>57</v>
      </c>
      <c r="N1257" s="3" t="str">
        <f t="shared" si="76"/>
        <v>2024-11</v>
      </c>
      <c r="O1257" s="3" t="str">
        <f t="shared" si="77"/>
        <v>No discount</v>
      </c>
      <c r="P1257" s="9">
        <f t="shared" si="78"/>
        <v>0.19287395609691435</v>
      </c>
      <c r="Q1257" s="3" t="str">
        <f t="shared" si="79"/>
        <v>No</v>
      </c>
    </row>
    <row r="1258" spans="1:17" ht="21" customHeight="1">
      <c r="A1258" s="3" t="s">
        <v>1907</v>
      </c>
      <c r="B1258" s="5">
        <v>45622</v>
      </c>
      <c r="C1258" s="3" t="s">
        <v>507</v>
      </c>
      <c r="D1258" s="3" t="s">
        <v>47</v>
      </c>
      <c r="E1258" s="3" t="s">
        <v>38</v>
      </c>
      <c r="F1258" s="3" t="s">
        <v>94</v>
      </c>
      <c r="G1258" s="3" t="s">
        <v>95</v>
      </c>
      <c r="H1258" s="3">
        <v>1</v>
      </c>
      <c r="I1258" s="7">
        <v>76398.42</v>
      </c>
      <c r="J1258" s="9">
        <v>0</v>
      </c>
      <c r="K1258" s="7">
        <v>76398.42</v>
      </c>
      <c r="L1258" s="7">
        <v>15618.23</v>
      </c>
      <c r="M1258" s="3" t="s">
        <v>56</v>
      </c>
      <c r="N1258" s="3" t="str">
        <f t="shared" si="76"/>
        <v>2024-11</v>
      </c>
      <c r="O1258" s="3" t="str">
        <f t="shared" si="77"/>
        <v>No discount</v>
      </c>
      <c r="P1258" s="9">
        <f t="shared" si="78"/>
        <v>0.20443132200901537</v>
      </c>
      <c r="Q1258" s="3" t="str">
        <f t="shared" si="79"/>
        <v>No</v>
      </c>
    </row>
    <row r="1259" spans="1:17" ht="21" customHeight="1">
      <c r="A1259" s="3" t="s">
        <v>1908</v>
      </c>
      <c r="B1259" s="5">
        <v>45622</v>
      </c>
      <c r="C1259" s="3" t="s">
        <v>1088</v>
      </c>
      <c r="D1259" s="3" t="s">
        <v>45</v>
      </c>
      <c r="E1259" s="3" t="s">
        <v>40</v>
      </c>
      <c r="F1259" s="3" t="s">
        <v>160</v>
      </c>
      <c r="G1259" s="3" t="s">
        <v>173</v>
      </c>
      <c r="H1259" s="3">
        <v>1</v>
      </c>
      <c r="I1259" s="7">
        <v>8737.34</v>
      </c>
      <c r="J1259" s="9">
        <v>0.05</v>
      </c>
      <c r="K1259" s="7">
        <v>8300.4699999999993</v>
      </c>
      <c r="L1259" s="7">
        <v>2575.21</v>
      </c>
      <c r="M1259" s="3" t="s">
        <v>56</v>
      </c>
      <c r="N1259" s="3" t="str">
        <f t="shared" si="76"/>
        <v>2024-11</v>
      </c>
      <c r="O1259" s="3" t="str">
        <f t="shared" si="77"/>
        <v>1-10%</v>
      </c>
      <c r="P1259" s="9">
        <f t="shared" si="78"/>
        <v>0.3102486967605449</v>
      </c>
      <c r="Q1259" s="3" t="str">
        <f t="shared" si="79"/>
        <v>No</v>
      </c>
    </row>
    <row r="1260" spans="1:17" ht="21" customHeight="1">
      <c r="A1260" s="3" t="s">
        <v>1909</v>
      </c>
      <c r="B1260" s="5">
        <v>45623</v>
      </c>
      <c r="C1260" s="3" t="s">
        <v>118</v>
      </c>
      <c r="D1260" s="3" t="s">
        <v>45</v>
      </c>
      <c r="E1260" s="3" t="s">
        <v>42</v>
      </c>
      <c r="F1260" s="3" t="s">
        <v>126</v>
      </c>
      <c r="G1260" s="3" t="s">
        <v>151</v>
      </c>
      <c r="H1260" s="3">
        <v>4</v>
      </c>
      <c r="I1260" s="7">
        <v>1573.48</v>
      </c>
      <c r="J1260" s="9">
        <v>0.1</v>
      </c>
      <c r="K1260" s="7">
        <v>5664.53</v>
      </c>
      <c r="L1260" s="7">
        <v>2620.35</v>
      </c>
      <c r="M1260" s="3" t="s">
        <v>57</v>
      </c>
      <c r="N1260" s="3" t="str">
        <f t="shared" si="76"/>
        <v>2024-11</v>
      </c>
      <c r="O1260" s="3" t="str">
        <f t="shared" si="77"/>
        <v>1-10%</v>
      </c>
      <c r="P1260" s="9">
        <f t="shared" si="78"/>
        <v>0.4625891291951848</v>
      </c>
      <c r="Q1260" s="3" t="str">
        <f t="shared" si="79"/>
        <v>No</v>
      </c>
    </row>
    <row r="1261" spans="1:17" ht="21" customHeight="1">
      <c r="A1261" s="3" t="s">
        <v>1910</v>
      </c>
      <c r="B1261" s="5">
        <v>45623</v>
      </c>
      <c r="C1261" s="3" t="s">
        <v>481</v>
      </c>
      <c r="D1261" s="3" t="s">
        <v>44</v>
      </c>
      <c r="E1261" s="3" t="s">
        <v>40</v>
      </c>
      <c r="F1261" s="3" t="s">
        <v>102</v>
      </c>
      <c r="G1261" s="3" t="s">
        <v>146</v>
      </c>
      <c r="H1261" s="3">
        <v>2</v>
      </c>
      <c r="I1261" s="7">
        <v>7915.06</v>
      </c>
      <c r="J1261" s="9">
        <v>0.25</v>
      </c>
      <c r="K1261" s="7">
        <v>11872.59</v>
      </c>
      <c r="L1261" s="7">
        <v>436.09</v>
      </c>
      <c r="M1261" s="3" t="s">
        <v>56</v>
      </c>
      <c r="N1261" s="3" t="str">
        <f t="shared" si="76"/>
        <v>2024-11</v>
      </c>
      <c r="O1261" s="3" t="str">
        <f t="shared" si="77"/>
        <v>21%+</v>
      </c>
      <c r="P1261" s="9">
        <f t="shared" si="78"/>
        <v>3.673082284488894E-2</v>
      </c>
      <c r="Q1261" s="3" t="str">
        <f t="shared" si="79"/>
        <v>No</v>
      </c>
    </row>
    <row r="1262" spans="1:17" ht="21" customHeight="1">
      <c r="A1262" s="3" t="s">
        <v>1911</v>
      </c>
      <c r="B1262" s="5">
        <v>45623</v>
      </c>
      <c r="C1262" s="3" t="s">
        <v>197</v>
      </c>
      <c r="D1262" s="3" t="s">
        <v>45</v>
      </c>
      <c r="E1262" s="3" t="s">
        <v>39</v>
      </c>
      <c r="F1262" s="3" t="s">
        <v>130</v>
      </c>
      <c r="G1262" s="3" t="s">
        <v>131</v>
      </c>
      <c r="H1262" s="3">
        <v>2</v>
      </c>
      <c r="I1262" s="7">
        <v>2231.1799999999998</v>
      </c>
      <c r="J1262" s="9">
        <v>0.1</v>
      </c>
      <c r="K1262" s="7">
        <v>4016.12</v>
      </c>
      <c r="L1262" s="7">
        <v>1191.3499999999999</v>
      </c>
      <c r="M1262" s="3" t="s">
        <v>58</v>
      </c>
      <c r="N1262" s="3" t="str">
        <f t="shared" si="76"/>
        <v>2024-11</v>
      </c>
      <c r="O1262" s="3" t="str">
        <f t="shared" si="77"/>
        <v>1-10%</v>
      </c>
      <c r="P1262" s="9">
        <f t="shared" si="78"/>
        <v>0.2966420326085874</v>
      </c>
      <c r="Q1262" s="3" t="str">
        <f t="shared" si="79"/>
        <v>No</v>
      </c>
    </row>
    <row r="1263" spans="1:17" ht="21" customHeight="1">
      <c r="A1263" s="3" t="s">
        <v>1912</v>
      </c>
      <c r="B1263" s="5">
        <v>45623</v>
      </c>
      <c r="C1263" s="3" t="s">
        <v>1146</v>
      </c>
      <c r="D1263" s="3" t="s">
        <v>45</v>
      </c>
      <c r="E1263" s="3" t="s">
        <v>41</v>
      </c>
      <c r="F1263" s="3" t="s">
        <v>113</v>
      </c>
      <c r="G1263" s="3" t="s">
        <v>123</v>
      </c>
      <c r="H1263" s="3">
        <v>1</v>
      </c>
      <c r="I1263" s="7">
        <v>3418.96</v>
      </c>
      <c r="J1263" s="9">
        <v>0</v>
      </c>
      <c r="K1263" s="7">
        <v>3418.96</v>
      </c>
      <c r="L1263" s="7">
        <v>1241.48</v>
      </c>
      <c r="M1263" s="3" t="s">
        <v>56</v>
      </c>
      <c r="N1263" s="3" t="str">
        <f t="shared" si="76"/>
        <v>2024-11</v>
      </c>
      <c r="O1263" s="3" t="str">
        <f t="shared" si="77"/>
        <v>No discount</v>
      </c>
      <c r="P1263" s="9">
        <f t="shared" si="78"/>
        <v>0.36311626927486723</v>
      </c>
      <c r="Q1263" s="3" t="str">
        <f t="shared" si="79"/>
        <v>No</v>
      </c>
    </row>
    <row r="1264" spans="1:17" ht="21" customHeight="1">
      <c r="A1264" s="3" t="s">
        <v>1913</v>
      </c>
      <c r="B1264" s="5">
        <v>45623</v>
      </c>
      <c r="C1264" s="3" t="s">
        <v>163</v>
      </c>
      <c r="D1264" s="3" t="s">
        <v>47</v>
      </c>
      <c r="E1264" s="3" t="s">
        <v>39</v>
      </c>
      <c r="F1264" s="3" t="s">
        <v>130</v>
      </c>
      <c r="G1264" s="3" t="s">
        <v>193</v>
      </c>
      <c r="H1264" s="3">
        <v>1</v>
      </c>
      <c r="I1264" s="7">
        <v>1853.62</v>
      </c>
      <c r="J1264" s="9">
        <v>0.2</v>
      </c>
      <c r="K1264" s="7">
        <v>1482.9</v>
      </c>
      <c r="L1264" s="7">
        <v>268.64999999999998</v>
      </c>
      <c r="M1264" s="3" t="s">
        <v>57</v>
      </c>
      <c r="N1264" s="3" t="str">
        <f t="shared" si="76"/>
        <v>2024-11</v>
      </c>
      <c r="O1264" s="3" t="str">
        <f t="shared" si="77"/>
        <v>16-20%</v>
      </c>
      <c r="P1264" s="9">
        <f t="shared" si="78"/>
        <v>0.18116528424033984</v>
      </c>
      <c r="Q1264" s="3" t="str">
        <f t="shared" si="79"/>
        <v>No</v>
      </c>
    </row>
    <row r="1265" spans="1:17" ht="21" customHeight="1">
      <c r="A1265" s="3" t="s">
        <v>1914</v>
      </c>
      <c r="B1265" s="5">
        <v>45623</v>
      </c>
      <c r="C1265" s="3" t="s">
        <v>483</v>
      </c>
      <c r="D1265" s="3" t="s">
        <v>46</v>
      </c>
      <c r="E1265" s="3" t="s">
        <v>40</v>
      </c>
      <c r="F1265" s="3" t="s">
        <v>221</v>
      </c>
      <c r="G1265" s="3" t="s">
        <v>279</v>
      </c>
      <c r="H1265" s="3">
        <v>3</v>
      </c>
      <c r="I1265" s="7">
        <v>1435.52</v>
      </c>
      <c r="J1265" s="9">
        <v>0.1</v>
      </c>
      <c r="K1265" s="7">
        <v>3875.9</v>
      </c>
      <c r="L1265" s="7">
        <v>955.27</v>
      </c>
      <c r="M1265" s="3" t="s">
        <v>57</v>
      </c>
      <c r="N1265" s="3" t="str">
        <f t="shared" si="76"/>
        <v>2024-11</v>
      </c>
      <c r="O1265" s="3" t="str">
        <f t="shared" si="77"/>
        <v>1-10%</v>
      </c>
      <c r="P1265" s="9">
        <f t="shared" si="78"/>
        <v>0.24646404706003766</v>
      </c>
      <c r="Q1265" s="3" t="str">
        <f t="shared" si="79"/>
        <v>No</v>
      </c>
    </row>
    <row r="1266" spans="1:17" ht="21" customHeight="1">
      <c r="A1266" s="3" t="s">
        <v>1915</v>
      </c>
      <c r="B1266" s="5">
        <v>45623</v>
      </c>
      <c r="C1266" s="3" t="s">
        <v>577</v>
      </c>
      <c r="D1266" s="3" t="s">
        <v>44</v>
      </c>
      <c r="E1266" s="3" t="s">
        <v>39</v>
      </c>
      <c r="F1266" s="3" t="s">
        <v>130</v>
      </c>
      <c r="G1266" s="3" t="s">
        <v>131</v>
      </c>
      <c r="H1266" s="3">
        <v>1</v>
      </c>
      <c r="I1266" s="7">
        <v>2267.59</v>
      </c>
      <c r="J1266" s="9">
        <v>0.2</v>
      </c>
      <c r="K1266" s="7">
        <v>1814.07</v>
      </c>
      <c r="L1266" s="7">
        <v>315.45</v>
      </c>
      <c r="M1266" s="3" t="s">
        <v>56</v>
      </c>
      <c r="N1266" s="3" t="str">
        <f t="shared" si="76"/>
        <v>2024-11</v>
      </c>
      <c r="O1266" s="3" t="str">
        <f t="shared" si="77"/>
        <v>16-20%</v>
      </c>
      <c r="P1266" s="9">
        <f t="shared" si="78"/>
        <v>0.17389075394003539</v>
      </c>
      <c r="Q1266" s="3" t="str">
        <f t="shared" si="79"/>
        <v>No</v>
      </c>
    </row>
    <row r="1267" spans="1:17" ht="21" customHeight="1">
      <c r="A1267" s="3" t="s">
        <v>1916</v>
      </c>
      <c r="B1267" s="5">
        <v>45624</v>
      </c>
      <c r="C1267" s="3" t="s">
        <v>184</v>
      </c>
      <c r="D1267" s="3" t="s">
        <v>46</v>
      </c>
      <c r="E1267" s="3" t="s">
        <v>38</v>
      </c>
      <c r="F1267" s="3" t="s">
        <v>142</v>
      </c>
      <c r="G1267" s="3" t="s">
        <v>143</v>
      </c>
      <c r="H1267" s="3">
        <v>2</v>
      </c>
      <c r="I1267" s="7">
        <v>8603.82</v>
      </c>
      <c r="J1267" s="9">
        <v>0.05</v>
      </c>
      <c r="K1267" s="7">
        <v>16347.26</v>
      </c>
      <c r="L1267" s="7">
        <v>2500.77</v>
      </c>
      <c r="M1267" s="3" t="s">
        <v>57</v>
      </c>
      <c r="N1267" s="3" t="str">
        <f t="shared" si="76"/>
        <v>2024-11</v>
      </c>
      <c r="O1267" s="3" t="str">
        <f t="shared" si="77"/>
        <v>1-10%</v>
      </c>
      <c r="P1267" s="9">
        <f t="shared" si="78"/>
        <v>0.15297793024641437</v>
      </c>
      <c r="Q1267" s="3" t="str">
        <f t="shared" si="79"/>
        <v>No</v>
      </c>
    </row>
    <row r="1268" spans="1:17" ht="21" customHeight="1">
      <c r="A1268" s="3" t="s">
        <v>1917</v>
      </c>
      <c r="B1268" s="5">
        <v>45624</v>
      </c>
      <c r="C1268" s="3" t="s">
        <v>607</v>
      </c>
      <c r="D1268" s="3" t="s">
        <v>47</v>
      </c>
      <c r="E1268" s="3" t="s">
        <v>42</v>
      </c>
      <c r="F1268" s="3" t="s">
        <v>126</v>
      </c>
      <c r="G1268" s="3" t="s">
        <v>151</v>
      </c>
      <c r="H1268" s="3">
        <v>1</v>
      </c>
      <c r="I1268" s="7">
        <v>1510.24</v>
      </c>
      <c r="J1268" s="9">
        <v>0.15</v>
      </c>
      <c r="K1268" s="7">
        <v>1283.7</v>
      </c>
      <c r="L1268" s="7">
        <v>488.34</v>
      </c>
      <c r="M1268" s="3" t="s">
        <v>56</v>
      </c>
      <c r="N1268" s="3" t="str">
        <f t="shared" si="76"/>
        <v>2024-11</v>
      </c>
      <c r="O1268" s="3" t="str">
        <f t="shared" si="77"/>
        <v>11-15%</v>
      </c>
      <c r="P1268" s="9">
        <f t="shared" si="78"/>
        <v>0.38041598504323437</v>
      </c>
      <c r="Q1268" s="3" t="str">
        <f t="shared" si="79"/>
        <v>No</v>
      </c>
    </row>
    <row r="1269" spans="1:17" ht="21" customHeight="1">
      <c r="A1269" s="3" t="s">
        <v>1918</v>
      </c>
      <c r="B1269" s="5">
        <v>45625</v>
      </c>
      <c r="C1269" s="3" t="s">
        <v>1243</v>
      </c>
      <c r="D1269" s="3" t="s">
        <v>45</v>
      </c>
      <c r="E1269" s="3" t="s">
        <v>41</v>
      </c>
      <c r="F1269" s="3" t="s">
        <v>113</v>
      </c>
      <c r="G1269" s="3" t="s">
        <v>123</v>
      </c>
      <c r="H1269" s="3">
        <v>2</v>
      </c>
      <c r="I1269" s="7">
        <v>3485.33</v>
      </c>
      <c r="J1269" s="9">
        <v>0.05</v>
      </c>
      <c r="K1269" s="7">
        <v>6622.13</v>
      </c>
      <c r="L1269" s="7">
        <v>2109.11</v>
      </c>
      <c r="M1269" s="3" t="s">
        <v>59</v>
      </c>
      <c r="N1269" s="3" t="str">
        <f t="shared" si="76"/>
        <v>2024-11</v>
      </c>
      <c r="O1269" s="3" t="str">
        <f t="shared" si="77"/>
        <v>1-10%</v>
      </c>
      <c r="P1269" s="9">
        <f t="shared" si="78"/>
        <v>0.31849420050648358</v>
      </c>
      <c r="Q1269" s="3" t="str">
        <f t="shared" si="79"/>
        <v>No</v>
      </c>
    </row>
    <row r="1270" spans="1:17" ht="21" customHeight="1">
      <c r="A1270" s="3" t="s">
        <v>1919</v>
      </c>
      <c r="B1270" s="5">
        <v>45625</v>
      </c>
      <c r="C1270" s="3" t="s">
        <v>220</v>
      </c>
      <c r="D1270" s="3" t="s">
        <v>47</v>
      </c>
      <c r="E1270" s="3" t="s">
        <v>42</v>
      </c>
      <c r="F1270" s="3" t="s">
        <v>90</v>
      </c>
      <c r="G1270" s="3" t="s">
        <v>91</v>
      </c>
      <c r="H1270" s="3">
        <v>2</v>
      </c>
      <c r="I1270" s="7">
        <v>1245.23</v>
      </c>
      <c r="J1270" s="9">
        <v>0</v>
      </c>
      <c r="K1270" s="7">
        <v>2490.46</v>
      </c>
      <c r="L1270" s="7">
        <v>1301.5999999999999</v>
      </c>
      <c r="M1270" s="3" t="s">
        <v>57</v>
      </c>
      <c r="N1270" s="3" t="str">
        <f t="shared" si="76"/>
        <v>2024-11</v>
      </c>
      <c r="O1270" s="3" t="str">
        <f t="shared" si="77"/>
        <v>No discount</v>
      </c>
      <c r="P1270" s="9">
        <f t="shared" si="78"/>
        <v>0.52263437276647684</v>
      </c>
      <c r="Q1270" s="3" t="str">
        <f t="shared" si="79"/>
        <v>No</v>
      </c>
    </row>
    <row r="1271" spans="1:17" ht="21" customHeight="1">
      <c r="A1271" s="3" t="s">
        <v>1920</v>
      </c>
      <c r="B1271" s="5">
        <v>45626</v>
      </c>
      <c r="C1271" s="3" t="s">
        <v>500</v>
      </c>
      <c r="D1271" s="3" t="s">
        <v>44</v>
      </c>
      <c r="E1271" s="3" t="s">
        <v>41</v>
      </c>
      <c r="F1271" s="3" t="s">
        <v>119</v>
      </c>
      <c r="G1271" s="3" t="s">
        <v>120</v>
      </c>
      <c r="H1271" s="3">
        <v>2</v>
      </c>
      <c r="I1271" s="7">
        <v>1237.27</v>
      </c>
      <c r="J1271" s="9">
        <v>0</v>
      </c>
      <c r="K1271" s="7">
        <v>2474.54</v>
      </c>
      <c r="L1271" s="7">
        <v>963.59</v>
      </c>
      <c r="M1271" s="3" t="s">
        <v>56</v>
      </c>
      <c r="N1271" s="3" t="str">
        <f t="shared" si="76"/>
        <v>2024-11</v>
      </c>
      <c r="O1271" s="3" t="str">
        <f t="shared" si="77"/>
        <v>No discount</v>
      </c>
      <c r="P1271" s="9">
        <f t="shared" si="78"/>
        <v>0.38940166657237307</v>
      </c>
      <c r="Q1271" s="3" t="str">
        <f t="shared" si="79"/>
        <v>No</v>
      </c>
    </row>
    <row r="1272" spans="1:17" ht="21" customHeight="1">
      <c r="A1272" s="3" t="s">
        <v>1921</v>
      </c>
      <c r="B1272" s="5">
        <v>45626</v>
      </c>
      <c r="C1272" s="3" t="s">
        <v>1922</v>
      </c>
      <c r="D1272" s="3" t="s">
        <v>46</v>
      </c>
      <c r="E1272" s="3" t="s">
        <v>39</v>
      </c>
      <c r="F1272" s="3" t="s">
        <v>164</v>
      </c>
      <c r="G1272" s="3" t="s">
        <v>165</v>
      </c>
      <c r="H1272" s="3">
        <v>2</v>
      </c>
      <c r="I1272" s="7">
        <v>1916.93</v>
      </c>
      <c r="J1272" s="9">
        <v>0.1</v>
      </c>
      <c r="K1272" s="7">
        <v>3450.47</v>
      </c>
      <c r="L1272" s="7">
        <v>1034.42</v>
      </c>
      <c r="M1272" s="3" t="s">
        <v>56</v>
      </c>
      <c r="N1272" s="3" t="str">
        <f t="shared" si="76"/>
        <v>2024-11</v>
      </c>
      <c r="O1272" s="3" t="str">
        <f t="shared" si="77"/>
        <v>1-10%</v>
      </c>
      <c r="P1272" s="9">
        <f t="shared" si="78"/>
        <v>0.29979104295936498</v>
      </c>
      <c r="Q1272" s="3" t="str">
        <f t="shared" si="79"/>
        <v>No</v>
      </c>
    </row>
    <row r="1273" spans="1:17" ht="21" customHeight="1">
      <c r="A1273" s="3" t="s">
        <v>1923</v>
      </c>
      <c r="B1273" s="5">
        <v>45626</v>
      </c>
      <c r="C1273" s="3" t="s">
        <v>1835</v>
      </c>
      <c r="D1273" s="3" t="s">
        <v>47</v>
      </c>
      <c r="E1273" s="3" t="s">
        <v>41</v>
      </c>
      <c r="F1273" s="3" t="s">
        <v>113</v>
      </c>
      <c r="G1273" s="3" t="s">
        <v>123</v>
      </c>
      <c r="H1273" s="3">
        <v>2</v>
      </c>
      <c r="I1273" s="7">
        <v>3381.05</v>
      </c>
      <c r="J1273" s="9">
        <v>0.05</v>
      </c>
      <c r="K1273" s="7">
        <v>6423.99</v>
      </c>
      <c r="L1273" s="7">
        <v>1880.83</v>
      </c>
      <c r="M1273" s="3" t="s">
        <v>56</v>
      </c>
      <c r="N1273" s="3" t="str">
        <f t="shared" si="76"/>
        <v>2024-11</v>
      </c>
      <c r="O1273" s="3" t="str">
        <f t="shared" si="77"/>
        <v>1-10%</v>
      </c>
      <c r="P1273" s="9">
        <f t="shared" si="78"/>
        <v>0.29278221167841167</v>
      </c>
      <c r="Q1273" s="3" t="str">
        <f t="shared" si="79"/>
        <v>No</v>
      </c>
    </row>
    <row r="1274" spans="1:17" ht="21" customHeight="1">
      <c r="A1274" s="3" t="s">
        <v>1924</v>
      </c>
      <c r="B1274" s="5">
        <v>45626</v>
      </c>
      <c r="C1274" s="3" t="s">
        <v>339</v>
      </c>
      <c r="D1274" s="3" t="s">
        <v>46</v>
      </c>
      <c r="E1274" s="3" t="s">
        <v>42</v>
      </c>
      <c r="F1274" s="3" t="s">
        <v>126</v>
      </c>
      <c r="G1274" s="3" t="s">
        <v>151</v>
      </c>
      <c r="H1274" s="3">
        <v>2</v>
      </c>
      <c r="I1274" s="7">
        <v>1448.01</v>
      </c>
      <c r="J1274" s="9">
        <v>0.05</v>
      </c>
      <c r="K1274" s="7">
        <v>2751.22</v>
      </c>
      <c r="L1274" s="7">
        <v>1289.3</v>
      </c>
      <c r="M1274" s="3" t="s">
        <v>56</v>
      </c>
      <c r="N1274" s="3" t="str">
        <f t="shared" si="76"/>
        <v>2024-11</v>
      </c>
      <c r="O1274" s="3" t="str">
        <f t="shared" si="77"/>
        <v>1-10%</v>
      </c>
      <c r="P1274" s="9">
        <f t="shared" si="78"/>
        <v>0.4686284630091378</v>
      </c>
      <c r="Q1274" s="3" t="str">
        <f t="shared" si="79"/>
        <v>No</v>
      </c>
    </row>
    <row r="1275" spans="1:17" ht="21" customHeight="1">
      <c r="A1275" s="3" t="s">
        <v>1925</v>
      </c>
      <c r="B1275" s="5">
        <v>45626</v>
      </c>
      <c r="C1275" s="3" t="s">
        <v>1926</v>
      </c>
      <c r="D1275" s="3" t="s">
        <v>47</v>
      </c>
      <c r="E1275" s="3" t="s">
        <v>41</v>
      </c>
      <c r="F1275" s="3" t="s">
        <v>113</v>
      </c>
      <c r="G1275" s="3" t="s">
        <v>123</v>
      </c>
      <c r="H1275" s="3">
        <v>1</v>
      </c>
      <c r="I1275" s="7">
        <v>3418.83</v>
      </c>
      <c r="J1275" s="9">
        <v>0</v>
      </c>
      <c r="K1275" s="7">
        <v>3418.83</v>
      </c>
      <c r="L1275" s="7">
        <v>1303.8</v>
      </c>
      <c r="M1275" s="3" t="s">
        <v>58</v>
      </c>
      <c r="N1275" s="3" t="str">
        <f t="shared" si="76"/>
        <v>2024-11</v>
      </c>
      <c r="O1275" s="3" t="str">
        <f t="shared" si="77"/>
        <v>No discount</v>
      </c>
      <c r="P1275" s="9">
        <f t="shared" si="78"/>
        <v>0.38135853493739086</v>
      </c>
      <c r="Q1275" s="3" t="str">
        <f t="shared" si="79"/>
        <v>No</v>
      </c>
    </row>
    <row r="1276" spans="1:17" ht="21" customHeight="1">
      <c r="A1276" s="3" t="s">
        <v>1927</v>
      </c>
      <c r="B1276" s="5">
        <v>45627</v>
      </c>
      <c r="C1276" s="3" t="s">
        <v>329</v>
      </c>
      <c r="D1276" s="3" t="s">
        <v>45</v>
      </c>
      <c r="E1276" s="3" t="s">
        <v>39</v>
      </c>
      <c r="F1276" s="3" t="s">
        <v>109</v>
      </c>
      <c r="G1276" s="3" t="s">
        <v>110</v>
      </c>
      <c r="H1276" s="3">
        <v>1</v>
      </c>
      <c r="I1276" s="7">
        <v>2903.31</v>
      </c>
      <c r="J1276" s="9">
        <v>0</v>
      </c>
      <c r="K1276" s="7">
        <v>2903.31</v>
      </c>
      <c r="L1276" s="7">
        <v>1180.82</v>
      </c>
      <c r="M1276" s="3" t="s">
        <v>58</v>
      </c>
      <c r="N1276" s="3" t="str">
        <f t="shared" si="76"/>
        <v>2024-12</v>
      </c>
      <c r="O1276" s="3" t="str">
        <f t="shared" si="77"/>
        <v>No discount</v>
      </c>
      <c r="P1276" s="9">
        <f t="shared" si="78"/>
        <v>0.40671509415115847</v>
      </c>
      <c r="Q1276" s="3" t="str">
        <f t="shared" si="79"/>
        <v>No</v>
      </c>
    </row>
    <row r="1277" spans="1:17" ht="21" customHeight="1">
      <c r="A1277" s="3" t="s">
        <v>1928</v>
      </c>
      <c r="B1277" s="5">
        <v>45627</v>
      </c>
      <c r="C1277" s="3" t="s">
        <v>785</v>
      </c>
      <c r="D1277" s="3" t="s">
        <v>47</v>
      </c>
      <c r="E1277" s="3" t="s">
        <v>39</v>
      </c>
      <c r="F1277" s="3" t="s">
        <v>130</v>
      </c>
      <c r="G1277" s="3" t="s">
        <v>193</v>
      </c>
      <c r="H1277" s="3">
        <v>1</v>
      </c>
      <c r="I1277" s="7">
        <v>1833.45</v>
      </c>
      <c r="J1277" s="9">
        <v>0</v>
      </c>
      <c r="K1277" s="7">
        <v>1833.45</v>
      </c>
      <c r="L1277" s="7">
        <v>756.64</v>
      </c>
      <c r="M1277" s="3" t="s">
        <v>56</v>
      </c>
      <c r="N1277" s="3" t="str">
        <f t="shared" si="76"/>
        <v>2024-12</v>
      </c>
      <c r="O1277" s="3" t="str">
        <f t="shared" si="77"/>
        <v>No discount</v>
      </c>
      <c r="P1277" s="9">
        <f t="shared" si="78"/>
        <v>0.41268646540674681</v>
      </c>
      <c r="Q1277" s="3" t="str">
        <f t="shared" si="79"/>
        <v>No</v>
      </c>
    </row>
    <row r="1278" spans="1:17" ht="21" customHeight="1">
      <c r="A1278" s="3" t="s">
        <v>1929</v>
      </c>
      <c r="B1278" s="5">
        <v>45628</v>
      </c>
      <c r="C1278" s="3" t="s">
        <v>359</v>
      </c>
      <c r="D1278" s="3" t="s">
        <v>47</v>
      </c>
      <c r="E1278" s="3" t="s">
        <v>38</v>
      </c>
      <c r="F1278" s="3" t="s">
        <v>142</v>
      </c>
      <c r="G1278" s="3" t="s">
        <v>245</v>
      </c>
      <c r="H1278" s="3">
        <v>1</v>
      </c>
      <c r="I1278" s="7">
        <v>4826.22</v>
      </c>
      <c r="J1278" s="9">
        <v>0.1</v>
      </c>
      <c r="K1278" s="7">
        <v>4343.6000000000004</v>
      </c>
      <c r="L1278" s="7">
        <v>271.73</v>
      </c>
      <c r="M1278" s="3" t="s">
        <v>56</v>
      </c>
      <c r="N1278" s="3" t="str">
        <f t="shared" si="76"/>
        <v>2024-12</v>
      </c>
      <c r="O1278" s="3" t="str">
        <f t="shared" si="77"/>
        <v>1-10%</v>
      </c>
      <c r="P1278" s="9">
        <f t="shared" si="78"/>
        <v>6.2558707063265495E-2</v>
      </c>
      <c r="Q1278" s="3" t="str">
        <f t="shared" si="79"/>
        <v>No</v>
      </c>
    </row>
    <row r="1279" spans="1:17" ht="21" customHeight="1">
      <c r="A1279" s="3" t="s">
        <v>1930</v>
      </c>
      <c r="B1279" s="5">
        <v>45628</v>
      </c>
      <c r="C1279" s="3" t="s">
        <v>297</v>
      </c>
      <c r="D1279" s="3" t="s">
        <v>47</v>
      </c>
      <c r="E1279" s="3" t="s">
        <v>39</v>
      </c>
      <c r="F1279" s="3" t="s">
        <v>130</v>
      </c>
      <c r="G1279" s="3" t="s">
        <v>131</v>
      </c>
      <c r="H1279" s="3">
        <v>5</v>
      </c>
      <c r="I1279" s="7">
        <v>2175.2399999999998</v>
      </c>
      <c r="J1279" s="9">
        <v>0.1</v>
      </c>
      <c r="K1279" s="7">
        <v>9788.58</v>
      </c>
      <c r="L1279" s="7">
        <v>3059.94</v>
      </c>
      <c r="M1279" s="3" t="s">
        <v>56</v>
      </c>
      <c r="N1279" s="3" t="str">
        <f t="shared" si="76"/>
        <v>2024-12</v>
      </c>
      <c r="O1279" s="3" t="str">
        <f t="shared" si="77"/>
        <v>1-10%</v>
      </c>
      <c r="P1279" s="9">
        <f t="shared" si="78"/>
        <v>0.31260305376264996</v>
      </c>
      <c r="Q1279" s="3" t="str">
        <f t="shared" si="79"/>
        <v>No</v>
      </c>
    </row>
    <row r="1280" spans="1:17" ht="21" customHeight="1">
      <c r="A1280" s="3" t="s">
        <v>1931</v>
      </c>
      <c r="B1280" s="5">
        <v>45628</v>
      </c>
      <c r="C1280" s="3" t="s">
        <v>236</v>
      </c>
      <c r="D1280" s="3" t="s">
        <v>46</v>
      </c>
      <c r="E1280" s="3" t="s">
        <v>39</v>
      </c>
      <c r="F1280" s="3" t="s">
        <v>109</v>
      </c>
      <c r="G1280" s="3" t="s">
        <v>110</v>
      </c>
      <c r="H1280" s="3">
        <v>1</v>
      </c>
      <c r="I1280" s="7">
        <v>2973.93</v>
      </c>
      <c r="J1280" s="9">
        <v>0.1</v>
      </c>
      <c r="K1280" s="7">
        <v>2676.54</v>
      </c>
      <c r="L1280" s="7">
        <v>725.74</v>
      </c>
      <c r="M1280" s="3" t="s">
        <v>57</v>
      </c>
      <c r="N1280" s="3" t="str">
        <f t="shared" si="76"/>
        <v>2024-12</v>
      </c>
      <c r="O1280" s="3" t="str">
        <f t="shared" si="77"/>
        <v>1-10%</v>
      </c>
      <c r="P1280" s="9">
        <f t="shared" si="78"/>
        <v>0.2711485724106496</v>
      </c>
      <c r="Q1280" s="3" t="str">
        <f t="shared" si="79"/>
        <v>No</v>
      </c>
    </row>
    <row r="1281" spans="1:17" ht="21" customHeight="1">
      <c r="A1281" s="3" t="s">
        <v>1932</v>
      </c>
      <c r="B1281" s="5">
        <v>45628</v>
      </c>
      <c r="C1281" s="3" t="s">
        <v>1885</v>
      </c>
      <c r="D1281" s="3" t="s">
        <v>45</v>
      </c>
      <c r="E1281" s="3" t="s">
        <v>40</v>
      </c>
      <c r="F1281" s="3" t="s">
        <v>102</v>
      </c>
      <c r="G1281" s="3" t="s">
        <v>103</v>
      </c>
      <c r="H1281" s="3">
        <v>5</v>
      </c>
      <c r="I1281" s="7">
        <v>6351.48</v>
      </c>
      <c r="J1281" s="9">
        <v>0.15</v>
      </c>
      <c r="K1281" s="7">
        <v>26993.79</v>
      </c>
      <c r="L1281" s="7">
        <v>4601.96</v>
      </c>
      <c r="M1281" s="3" t="s">
        <v>56</v>
      </c>
      <c r="N1281" s="3" t="str">
        <f t="shared" si="76"/>
        <v>2024-12</v>
      </c>
      <c r="O1281" s="3" t="str">
        <f t="shared" si="77"/>
        <v>11-15%</v>
      </c>
      <c r="P1281" s="9">
        <f t="shared" si="78"/>
        <v>0.17048217386295145</v>
      </c>
      <c r="Q1281" s="3" t="str">
        <f t="shared" si="79"/>
        <v>No</v>
      </c>
    </row>
    <row r="1282" spans="1:17" ht="21" customHeight="1">
      <c r="A1282" s="3" t="s">
        <v>1933</v>
      </c>
      <c r="B1282" s="5">
        <v>45628</v>
      </c>
      <c r="C1282" s="3" t="s">
        <v>529</v>
      </c>
      <c r="D1282" s="3" t="s">
        <v>45</v>
      </c>
      <c r="E1282" s="3" t="s">
        <v>38</v>
      </c>
      <c r="F1282" s="3" t="s">
        <v>142</v>
      </c>
      <c r="G1282" s="3" t="s">
        <v>143</v>
      </c>
      <c r="H1282" s="3">
        <v>1</v>
      </c>
      <c r="I1282" s="7">
        <v>9204.32</v>
      </c>
      <c r="J1282" s="9">
        <v>0.1</v>
      </c>
      <c r="K1282" s="7">
        <v>8283.89</v>
      </c>
      <c r="L1282" s="7">
        <v>610.9</v>
      </c>
      <c r="M1282" s="3" t="s">
        <v>57</v>
      </c>
      <c r="N1282" s="3" t="str">
        <f t="shared" ref="N1282:N1345" si="80">TEXT(B1282,"yyyy-mm")</f>
        <v>2024-12</v>
      </c>
      <c r="O1282" s="3" t="str">
        <f t="shared" ref="O1282:O1345" si="81">IF(J1282=0,"No discount",IF(J1282&lt;=0.1,"1-10%",IF(J1282&lt;=0.15,"11-15%",IF(J1282&lt;=0.2,"16-20%","21%+"))))</f>
        <v>1-10%</v>
      </c>
      <c r="P1282" s="9">
        <f t="shared" ref="P1282:P1345" si="82">IF(K1282=0,0,L1282/K1282)</f>
        <v>7.3745547079934665E-2</v>
      </c>
      <c r="Q1282" s="3" t="str">
        <f t="shared" ref="Q1282:Q1345" si="83">IF(L1282&lt;0,"Yes","No")</f>
        <v>No</v>
      </c>
    </row>
    <row r="1283" spans="1:17" ht="21" customHeight="1">
      <c r="A1283" s="3" t="s">
        <v>1934</v>
      </c>
      <c r="B1283" s="5">
        <v>45628</v>
      </c>
      <c r="C1283" s="3" t="s">
        <v>1734</v>
      </c>
      <c r="D1283" s="3" t="s">
        <v>44</v>
      </c>
      <c r="E1283" s="3" t="s">
        <v>42</v>
      </c>
      <c r="F1283" s="3" t="s">
        <v>90</v>
      </c>
      <c r="G1283" s="3" t="s">
        <v>91</v>
      </c>
      <c r="H1283" s="3">
        <v>5</v>
      </c>
      <c r="I1283" s="7">
        <v>1218.3399999999999</v>
      </c>
      <c r="J1283" s="9">
        <v>0</v>
      </c>
      <c r="K1283" s="7">
        <v>6091.7</v>
      </c>
      <c r="L1283" s="7">
        <v>3246.9</v>
      </c>
      <c r="M1283" s="3" t="s">
        <v>56</v>
      </c>
      <c r="N1283" s="3" t="str">
        <f t="shared" si="80"/>
        <v>2024-12</v>
      </c>
      <c r="O1283" s="3" t="str">
        <f t="shared" si="81"/>
        <v>No discount</v>
      </c>
      <c r="P1283" s="9">
        <f t="shared" si="82"/>
        <v>0.53300392337114433</v>
      </c>
      <c r="Q1283" s="3" t="str">
        <f t="shared" si="83"/>
        <v>No</v>
      </c>
    </row>
    <row r="1284" spans="1:17" ht="21" customHeight="1">
      <c r="A1284" s="3" t="s">
        <v>1935</v>
      </c>
      <c r="B1284" s="5">
        <v>45628</v>
      </c>
      <c r="C1284" s="3" t="s">
        <v>759</v>
      </c>
      <c r="D1284" s="3" t="s">
        <v>44</v>
      </c>
      <c r="E1284" s="3" t="s">
        <v>39</v>
      </c>
      <c r="F1284" s="3" t="s">
        <v>130</v>
      </c>
      <c r="G1284" s="3" t="s">
        <v>131</v>
      </c>
      <c r="H1284" s="3">
        <v>1</v>
      </c>
      <c r="I1284" s="7">
        <v>2114.0100000000002</v>
      </c>
      <c r="J1284" s="9">
        <v>0.3</v>
      </c>
      <c r="K1284" s="7">
        <v>1479.81</v>
      </c>
      <c r="L1284" s="7">
        <v>156.53</v>
      </c>
      <c r="M1284" s="3" t="s">
        <v>56</v>
      </c>
      <c r="N1284" s="3" t="str">
        <f t="shared" si="80"/>
        <v>2024-12</v>
      </c>
      <c r="O1284" s="3" t="str">
        <f t="shared" si="81"/>
        <v>21%+</v>
      </c>
      <c r="P1284" s="9">
        <f t="shared" si="82"/>
        <v>0.10577709300518311</v>
      </c>
      <c r="Q1284" s="3" t="str">
        <f t="shared" si="83"/>
        <v>No</v>
      </c>
    </row>
    <row r="1285" spans="1:17" ht="21" customHeight="1">
      <c r="A1285" s="3" t="s">
        <v>1936</v>
      </c>
      <c r="B1285" s="5">
        <v>45628</v>
      </c>
      <c r="C1285" s="3" t="s">
        <v>377</v>
      </c>
      <c r="D1285" s="3" t="s">
        <v>44</v>
      </c>
      <c r="E1285" s="3" t="s">
        <v>41</v>
      </c>
      <c r="F1285" s="3" t="s">
        <v>119</v>
      </c>
      <c r="G1285" s="3" t="s">
        <v>168</v>
      </c>
      <c r="H1285" s="3">
        <v>1</v>
      </c>
      <c r="I1285" s="7">
        <v>9991.84</v>
      </c>
      <c r="J1285" s="9">
        <v>0</v>
      </c>
      <c r="K1285" s="7">
        <v>9991.84</v>
      </c>
      <c r="L1285" s="7">
        <v>3909.24</v>
      </c>
      <c r="M1285" s="3" t="s">
        <v>59</v>
      </c>
      <c r="N1285" s="3" t="str">
        <f t="shared" si="80"/>
        <v>2024-12</v>
      </c>
      <c r="O1285" s="3" t="str">
        <f t="shared" si="81"/>
        <v>No discount</v>
      </c>
      <c r="P1285" s="9">
        <f t="shared" si="82"/>
        <v>0.39124325449566844</v>
      </c>
      <c r="Q1285" s="3" t="str">
        <f t="shared" si="83"/>
        <v>No</v>
      </c>
    </row>
    <row r="1286" spans="1:17" ht="21" customHeight="1">
      <c r="A1286" s="3" t="s">
        <v>1937</v>
      </c>
      <c r="B1286" s="5">
        <v>45629</v>
      </c>
      <c r="C1286" s="3" t="s">
        <v>1938</v>
      </c>
      <c r="D1286" s="3" t="s">
        <v>47</v>
      </c>
      <c r="E1286" s="3" t="s">
        <v>39</v>
      </c>
      <c r="F1286" s="3" t="s">
        <v>109</v>
      </c>
      <c r="G1286" s="3" t="s">
        <v>110</v>
      </c>
      <c r="H1286" s="3">
        <v>1</v>
      </c>
      <c r="I1286" s="7">
        <v>3015.49</v>
      </c>
      <c r="J1286" s="9">
        <v>0.1</v>
      </c>
      <c r="K1286" s="7">
        <v>2713.94</v>
      </c>
      <c r="L1286" s="7">
        <v>866.21</v>
      </c>
      <c r="M1286" s="3" t="s">
        <v>60</v>
      </c>
      <c r="N1286" s="3" t="str">
        <f t="shared" si="80"/>
        <v>2024-12</v>
      </c>
      <c r="O1286" s="3" t="str">
        <f t="shared" si="81"/>
        <v>1-10%</v>
      </c>
      <c r="P1286" s="9">
        <f t="shared" si="82"/>
        <v>0.31917065226202496</v>
      </c>
      <c r="Q1286" s="3" t="str">
        <f t="shared" si="83"/>
        <v>No</v>
      </c>
    </row>
    <row r="1287" spans="1:17" ht="21" customHeight="1">
      <c r="A1287" s="3" t="s">
        <v>1939</v>
      </c>
      <c r="B1287" s="5">
        <v>45629</v>
      </c>
      <c r="C1287" s="3" t="s">
        <v>1266</v>
      </c>
      <c r="D1287" s="3" t="s">
        <v>47</v>
      </c>
      <c r="E1287" s="3" t="s">
        <v>39</v>
      </c>
      <c r="F1287" s="3" t="s">
        <v>109</v>
      </c>
      <c r="G1287" s="3" t="s">
        <v>110</v>
      </c>
      <c r="H1287" s="3">
        <v>3</v>
      </c>
      <c r="I1287" s="7">
        <v>2939.05</v>
      </c>
      <c r="J1287" s="9">
        <v>0</v>
      </c>
      <c r="K1287" s="7">
        <v>8817.15</v>
      </c>
      <c r="L1287" s="7">
        <v>3789.3</v>
      </c>
      <c r="M1287" s="3" t="s">
        <v>58</v>
      </c>
      <c r="N1287" s="3" t="str">
        <f t="shared" si="80"/>
        <v>2024-12</v>
      </c>
      <c r="O1287" s="3" t="str">
        <f t="shared" si="81"/>
        <v>No discount</v>
      </c>
      <c r="P1287" s="9">
        <f t="shared" si="82"/>
        <v>0.42976471989248233</v>
      </c>
      <c r="Q1287" s="3" t="str">
        <f t="shared" si="83"/>
        <v>No</v>
      </c>
    </row>
    <row r="1288" spans="1:17" ht="21" customHeight="1">
      <c r="A1288" s="3" t="s">
        <v>1940</v>
      </c>
      <c r="B1288" s="5">
        <v>45630</v>
      </c>
      <c r="C1288" s="3" t="s">
        <v>1274</v>
      </c>
      <c r="D1288" s="3" t="s">
        <v>44</v>
      </c>
      <c r="E1288" s="3" t="s">
        <v>38</v>
      </c>
      <c r="F1288" s="3" t="s">
        <v>142</v>
      </c>
      <c r="G1288" s="3" t="s">
        <v>245</v>
      </c>
      <c r="H1288" s="3">
        <v>2</v>
      </c>
      <c r="I1288" s="7">
        <v>5102.8999999999996</v>
      </c>
      <c r="J1288" s="9">
        <v>0</v>
      </c>
      <c r="K1288" s="7">
        <v>10205.799999999999</v>
      </c>
      <c r="L1288" s="7">
        <v>1476.88</v>
      </c>
      <c r="M1288" s="3" t="s">
        <v>56</v>
      </c>
      <c r="N1288" s="3" t="str">
        <f t="shared" si="80"/>
        <v>2024-12</v>
      </c>
      <c r="O1288" s="3" t="str">
        <f t="shared" si="81"/>
        <v>No discount</v>
      </c>
      <c r="P1288" s="9">
        <f t="shared" si="82"/>
        <v>0.14470987085774759</v>
      </c>
      <c r="Q1288" s="3" t="str">
        <f t="shared" si="83"/>
        <v>No</v>
      </c>
    </row>
    <row r="1289" spans="1:17" ht="21" customHeight="1">
      <c r="A1289" s="3" t="s">
        <v>1941</v>
      </c>
      <c r="B1289" s="5">
        <v>45630</v>
      </c>
      <c r="C1289" s="3" t="s">
        <v>775</v>
      </c>
      <c r="D1289" s="3" t="s">
        <v>45</v>
      </c>
      <c r="E1289" s="3" t="s">
        <v>39</v>
      </c>
      <c r="F1289" s="3" t="s">
        <v>130</v>
      </c>
      <c r="G1289" s="3" t="s">
        <v>193</v>
      </c>
      <c r="H1289" s="3">
        <v>3</v>
      </c>
      <c r="I1289" s="7">
        <v>1775.84</v>
      </c>
      <c r="J1289" s="9">
        <v>0.3</v>
      </c>
      <c r="K1289" s="7">
        <v>3729.26</v>
      </c>
      <c r="L1289" s="7">
        <v>310.88</v>
      </c>
      <c r="M1289" s="3" t="s">
        <v>56</v>
      </c>
      <c r="N1289" s="3" t="str">
        <f t="shared" si="80"/>
        <v>2024-12</v>
      </c>
      <c r="O1289" s="3" t="str">
        <f t="shared" si="81"/>
        <v>21%+</v>
      </c>
      <c r="P1289" s="9">
        <f t="shared" si="82"/>
        <v>8.3362382885612693E-2</v>
      </c>
      <c r="Q1289" s="3" t="str">
        <f t="shared" si="83"/>
        <v>No</v>
      </c>
    </row>
    <row r="1290" spans="1:17" ht="21" customHeight="1">
      <c r="A1290" s="3" t="s">
        <v>1942</v>
      </c>
      <c r="B1290" s="5">
        <v>45630</v>
      </c>
      <c r="C1290" s="3" t="s">
        <v>566</v>
      </c>
      <c r="D1290" s="3" t="s">
        <v>46</v>
      </c>
      <c r="E1290" s="3" t="s">
        <v>38</v>
      </c>
      <c r="F1290" s="3" t="s">
        <v>142</v>
      </c>
      <c r="G1290" s="3" t="s">
        <v>245</v>
      </c>
      <c r="H1290" s="3">
        <v>1</v>
      </c>
      <c r="I1290" s="7">
        <v>4800.2</v>
      </c>
      <c r="J1290" s="9">
        <v>0</v>
      </c>
      <c r="K1290" s="7">
        <v>4800.2</v>
      </c>
      <c r="L1290" s="7">
        <v>978.04</v>
      </c>
      <c r="M1290" s="3" t="s">
        <v>58</v>
      </c>
      <c r="N1290" s="3" t="str">
        <f t="shared" si="80"/>
        <v>2024-12</v>
      </c>
      <c r="O1290" s="3" t="str">
        <f t="shared" si="81"/>
        <v>No discount</v>
      </c>
      <c r="P1290" s="9">
        <f t="shared" si="82"/>
        <v>0.20374984375651015</v>
      </c>
      <c r="Q1290" s="3" t="str">
        <f t="shared" si="83"/>
        <v>No</v>
      </c>
    </row>
    <row r="1291" spans="1:17" ht="21" customHeight="1">
      <c r="A1291" s="3" t="s">
        <v>1943</v>
      </c>
      <c r="B1291" s="5">
        <v>45630</v>
      </c>
      <c r="C1291" s="3" t="s">
        <v>1559</v>
      </c>
      <c r="D1291" s="3" t="s">
        <v>45</v>
      </c>
      <c r="E1291" s="3" t="s">
        <v>40</v>
      </c>
      <c r="F1291" s="3" t="s">
        <v>102</v>
      </c>
      <c r="G1291" s="3" t="s">
        <v>146</v>
      </c>
      <c r="H1291" s="3">
        <v>1</v>
      </c>
      <c r="I1291" s="7">
        <v>8200.98</v>
      </c>
      <c r="J1291" s="9">
        <v>0.15</v>
      </c>
      <c r="K1291" s="7">
        <v>6970.83</v>
      </c>
      <c r="L1291" s="7">
        <v>1241.22</v>
      </c>
      <c r="M1291" s="3" t="s">
        <v>57</v>
      </c>
      <c r="N1291" s="3" t="str">
        <f t="shared" si="80"/>
        <v>2024-12</v>
      </c>
      <c r="O1291" s="3" t="str">
        <f t="shared" si="81"/>
        <v>11-15%</v>
      </c>
      <c r="P1291" s="9">
        <f t="shared" si="82"/>
        <v>0.17805914073359988</v>
      </c>
      <c r="Q1291" s="3" t="str">
        <f t="shared" si="83"/>
        <v>No</v>
      </c>
    </row>
    <row r="1292" spans="1:17" ht="21" customHeight="1">
      <c r="A1292" s="3" t="s">
        <v>1944</v>
      </c>
      <c r="B1292" s="5">
        <v>45630</v>
      </c>
      <c r="C1292" s="3" t="s">
        <v>163</v>
      </c>
      <c r="D1292" s="3" t="s">
        <v>47</v>
      </c>
      <c r="E1292" s="3" t="s">
        <v>40</v>
      </c>
      <c r="F1292" s="3" t="s">
        <v>102</v>
      </c>
      <c r="G1292" s="3" t="s">
        <v>103</v>
      </c>
      <c r="H1292" s="3">
        <v>3</v>
      </c>
      <c r="I1292" s="7">
        <v>6341.78</v>
      </c>
      <c r="J1292" s="9">
        <v>0.3</v>
      </c>
      <c r="K1292" s="7">
        <v>13317.74</v>
      </c>
      <c r="L1292" s="7">
        <v>-137.37</v>
      </c>
      <c r="M1292" s="3" t="s">
        <v>58</v>
      </c>
      <c r="N1292" s="3" t="str">
        <f t="shared" si="80"/>
        <v>2024-12</v>
      </c>
      <c r="O1292" s="3" t="str">
        <f t="shared" si="81"/>
        <v>21%+</v>
      </c>
      <c r="P1292" s="9">
        <f t="shared" si="82"/>
        <v>-1.0314813174007002E-2</v>
      </c>
      <c r="Q1292" s="3" t="str">
        <f t="shared" si="83"/>
        <v>Yes</v>
      </c>
    </row>
    <row r="1293" spans="1:17" ht="21" customHeight="1">
      <c r="A1293" s="3" t="s">
        <v>1945</v>
      </c>
      <c r="B1293" s="5">
        <v>45630</v>
      </c>
      <c r="C1293" s="3" t="s">
        <v>904</v>
      </c>
      <c r="D1293" s="3" t="s">
        <v>46</v>
      </c>
      <c r="E1293" s="3" t="s">
        <v>40</v>
      </c>
      <c r="F1293" s="3" t="s">
        <v>102</v>
      </c>
      <c r="G1293" s="3" t="s">
        <v>146</v>
      </c>
      <c r="H1293" s="3">
        <v>1</v>
      </c>
      <c r="I1293" s="7">
        <v>8031.86</v>
      </c>
      <c r="J1293" s="9">
        <v>0.1</v>
      </c>
      <c r="K1293" s="7">
        <v>7228.67</v>
      </c>
      <c r="L1293" s="7">
        <v>1645.13</v>
      </c>
      <c r="M1293" s="3" t="s">
        <v>56</v>
      </c>
      <c r="N1293" s="3" t="str">
        <f t="shared" si="80"/>
        <v>2024-12</v>
      </c>
      <c r="O1293" s="3" t="str">
        <f t="shared" si="81"/>
        <v>1-10%</v>
      </c>
      <c r="P1293" s="9">
        <f t="shared" si="82"/>
        <v>0.22758405073132404</v>
      </c>
      <c r="Q1293" s="3" t="str">
        <f t="shared" si="83"/>
        <v>No</v>
      </c>
    </row>
    <row r="1294" spans="1:17" ht="21" customHeight="1">
      <c r="A1294" s="3" t="s">
        <v>1946</v>
      </c>
      <c r="B1294" s="5">
        <v>45630</v>
      </c>
      <c r="C1294" s="3" t="s">
        <v>481</v>
      </c>
      <c r="D1294" s="3" t="s">
        <v>45</v>
      </c>
      <c r="E1294" s="3" t="s">
        <v>40</v>
      </c>
      <c r="F1294" s="3" t="s">
        <v>102</v>
      </c>
      <c r="G1294" s="3" t="s">
        <v>103</v>
      </c>
      <c r="H1294" s="3">
        <v>1</v>
      </c>
      <c r="I1294" s="7">
        <v>6647.02</v>
      </c>
      <c r="J1294" s="9">
        <v>0.05</v>
      </c>
      <c r="K1294" s="7">
        <v>6314.67</v>
      </c>
      <c r="L1294" s="7">
        <v>1930.97</v>
      </c>
      <c r="M1294" s="3" t="s">
        <v>56</v>
      </c>
      <c r="N1294" s="3" t="str">
        <f t="shared" si="80"/>
        <v>2024-12</v>
      </c>
      <c r="O1294" s="3" t="str">
        <f t="shared" si="81"/>
        <v>1-10%</v>
      </c>
      <c r="P1294" s="9">
        <f t="shared" si="82"/>
        <v>0.30579111814235738</v>
      </c>
      <c r="Q1294" s="3" t="str">
        <f t="shared" si="83"/>
        <v>No</v>
      </c>
    </row>
    <row r="1295" spans="1:17" ht="21" customHeight="1">
      <c r="A1295" s="3" t="s">
        <v>1947</v>
      </c>
      <c r="B1295" s="5">
        <v>45630</v>
      </c>
      <c r="C1295" s="3" t="s">
        <v>1729</v>
      </c>
      <c r="D1295" s="3" t="s">
        <v>45</v>
      </c>
      <c r="E1295" s="3" t="s">
        <v>38</v>
      </c>
      <c r="F1295" s="3" t="s">
        <v>94</v>
      </c>
      <c r="G1295" s="3" t="s">
        <v>213</v>
      </c>
      <c r="H1295" s="3">
        <v>1</v>
      </c>
      <c r="I1295" s="7">
        <v>54480.18</v>
      </c>
      <c r="J1295" s="9">
        <v>0</v>
      </c>
      <c r="K1295" s="7">
        <v>54480.18</v>
      </c>
      <c r="L1295" s="7">
        <v>11522.01</v>
      </c>
      <c r="M1295" s="3" t="s">
        <v>57</v>
      </c>
      <c r="N1295" s="3" t="str">
        <f t="shared" si="80"/>
        <v>2024-12</v>
      </c>
      <c r="O1295" s="3" t="str">
        <f t="shared" si="81"/>
        <v>No discount</v>
      </c>
      <c r="P1295" s="9">
        <f t="shared" si="82"/>
        <v>0.21148994001121141</v>
      </c>
      <c r="Q1295" s="3" t="str">
        <f t="shared" si="83"/>
        <v>No</v>
      </c>
    </row>
    <row r="1296" spans="1:17" ht="21" customHeight="1">
      <c r="A1296" s="3" t="s">
        <v>1948</v>
      </c>
      <c r="B1296" s="5">
        <v>45631</v>
      </c>
      <c r="C1296" s="3" t="s">
        <v>247</v>
      </c>
      <c r="D1296" s="3" t="s">
        <v>45</v>
      </c>
      <c r="E1296" s="3" t="s">
        <v>39</v>
      </c>
      <c r="F1296" s="3" t="s">
        <v>164</v>
      </c>
      <c r="G1296" s="3" t="s">
        <v>165</v>
      </c>
      <c r="H1296" s="3">
        <v>1</v>
      </c>
      <c r="I1296" s="7">
        <v>1912.93</v>
      </c>
      <c r="J1296" s="9">
        <v>0</v>
      </c>
      <c r="K1296" s="7">
        <v>1912.93</v>
      </c>
      <c r="L1296" s="7">
        <v>845.26</v>
      </c>
      <c r="M1296" s="3" t="s">
        <v>57</v>
      </c>
      <c r="N1296" s="3" t="str">
        <f t="shared" si="80"/>
        <v>2024-12</v>
      </c>
      <c r="O1296" s="3" t="str">
        <f t="shared" si="81"/>
        <v>No discount</v>
      </c>
      <c r="P1296" s="9">
        <f t="shared" si="82"/>
        <v>0.44186666527264457</v>
      </c>
      <c r="Q1296" s="3" t="str">
        <f t="shared" si="83"/>
        <v>No</v>
      </c>
    </row>
    <row r="1297" spans="1:17" ht="21" customHeight="1">
      <c r="A1297" s="3" t="s">
        <v>1949</v>
      </c>
      <c r="B1297" s="5">
        <v>45631</v>
      </c>
      <c r="C1297" s="3" t="s">
        <v>509</v>
      </c>
      <c r="D1297" s="3" t="s">
        <v>44</v>
      </c>
      <c r="E1297" s="3" t="s">
        <v>42</v>
      </c>
      <c r="F1297" s="3" t="s">
        <v>90</v>
      </c>
      <c r="G1297" s="3" t="s">
        <v>106</v>
      </c>
      <c r="H1297" s="3">
        <v>2</v>
      </c>
      <c r="I1297" s="7">
        <v>885.97</v>
      </c>
      <c r="J1297" s="9">
        <v>0.1</v>
      </c>
      <c r="K1297" s="7">
        <v>1594.75</v>
      </c>
      <c r="L1297" s="7">
        <v>712.47</v>
      </c>
      <c r="M1297" s="3" t="s">
        <v>60</v>
      </c>
      <c r="N1297" s="3" t="str">
        <f t="shared" si="80"/>
        <v>2024-12</v>
      </c>
      <c r="O1297" s="3" t="str">
        <f t="shared" si="81"/>
        <v>1-10%</v>
      </c>
      <c r="P1297" s="9">
        <f t="shared" si="82"/>
        <v>0.44675968020065843</v>
      </c>
      <c r="Q1297" s="3" t="str">
        <f t="shared" si="83"/>
        <v>No</v>
      </c>
    </row>
    <row r="1298" spans="1:17" ht="21" customHeight="1">
      <c r="A1298" s="3" t="s">
        <v>1950</v>
      </c>
      <c r="B1298" s="5">
        <v>45631</v>
      </c>
      <c r="C1298" s="3" t="s">
        <v>204</v>
      </c>
      <c r="D1298" s="3" t="s">
        <v>44</v>
      </c>
      <c r="E1298" s="3" t="s">
        <v>40</v>
      </c>
      <c r="F1298" s="3" t="s">
        <v>102</v>
      </c>
      <c r="G1298" s="3" t="s">
        <v>146</v>
      </c>
      <c r="H1298" s="3">
        <v>2</v>
      </c>
      <c r="I1298" s="7">
        <v>8249.17</v>
      </c>
      <c r="J1298" s="9">
        <v>0</v>
      </c>
      <c r="K1298" s="7">
        <v>16498.34</v>
      </c>
      <c r="L1298" s="7">
        <v>4813.29</v>
      </c>
      <c r="M1298" s="3" t="s">
        <v>59</v>
      </c>
      <c r="N1298" s="3" t="str">
        <f t="shared" si="80"/>
        <v>2024-12</v>
      </c>
      <c r="O1298" s="3" t="str">
        <f t="shared" si="81"/>
        <v>No discount</v>
      </c>
      <c r="P1298" s="9">
        <f t="shared" si="82"/>
        <v>0.29174389665869416</v>
      </c>
      <c r="Q1298" s="3" t="str">
        <f t="shared" si="83"/>
        <v>No</v>
      </c>
    </row>
    <row r="1299" spans="1:17" ht="21" customHeight="1">
      <c r="A1299" s="3" t="s">
        <v>1951</v>
      </c>
      <c r="B1299" s="5">
        <v>45631</v>
      </c>
      <c r="C1299" s="3" t="s">
        <v>841</v>
      </c>
      <c r="D1299" s="3" t="s">
        <v>47</v>
      </c>
      <c r="E1299" s="3" t="s">
        <v>38</v>
      </c>
      <c r="F1299" s="3" t="s">
        <v>142</v>
      </c>
      <c r="G1299" s="3" t="s">
        <v>245</v>
      </c>
      <c r="H1299" s="3">
        <v>3</v>
      </c>
      <c r="I1299" s="7">
        <v>5230.54</v>
      </c>
      <c r="J1299" s="9">
        <v>0.15</v>
      </c>
      <c r="K1299" s="7">
        <v>13337.88</v>
      </c>
      <c r="L1299" s="7">
        <v>246.79</v>
      </c>
      <c r="M1299" s="3" t="s">
        <v>57</v>
      </c>
      <c r="N1299" s="3" t="str">
        <f t="shared" si="80"/>
        <v>2024-12</v>
      </c>
      <c r="O1299" s="3" t="str">
        <f t="shared" si="81"/>
        <v>11-15%</v>
      </c>
      <c r="P1299" s="9">
        <f t="shared" si="82"/>
        <v>1.8502940497290423E-2</v>
      </c>
      <c r="Q1299" s="3" t="str">
        <f t="shared" si="83"/>
        <v>No</v>
      </c>
    </row>
    <row r="1300" spans="1:17" ht="21" customHeight="1">
      <c r="A1300" s="3" t="s">
        <v>1952</v>
      </c>
      <c r="B1300" s="5">
        <v>45631</v>
      </c>
      <c r="C1300" s="3" t="s">
        <v>1953</v>
      </c>
      <c r="D1300" s="3" t="s">
        <v>44</v>
      </c>
      <c r="E1300" s="3" t="s">
        <v>39</v>
      </c>
      <c r="F1300" s="3" t="s">
        <v>109</v>
      </c>
      <c r="G1300" s="3" t="s">
        <v>355</v>
      </c>
      <c r="H1300" s="3">
        <v>1</v>
      </c>
      <c r="I1300" s="7">
        <v>3479.28</v>
      </c>
      <c r="J1300" s="9">
        <v>0.1</v>
      </c>
      <c r="K1300" s="7">
        <v>3131.35</v>
      </c>
      <c r="L1300" s="7">
        <v>890.4</v>
      </c>
      <c r="M1300" s="3" t="s">
        <v>57</v>
      </c>
      <c r="N1300" s="3" t="str">
        <f t="shared" si="80"/>
        <v>2024-12</v>
      </c>
      <c r="O1300" s="3" t="str">
        <f t="shared" si="81"/>
        <v>1-10%</v>
      </c>
      <c r="P1300" s="9">
        <f t="shared" si="82"/>
        <v>0.28435020039280184</v>
      </c>
      <c r="Q1300" s="3" t="str">
        <f t="shared" si="83"/>
        <v>No</v>
      </c>
    </row>
    <row r="1301" spans="1:17" ht="21" customHeight="1">
      <c r="A1301" s="3" t="s">
        <v>1954</v>
      </c>
      <c r="B1301" s="5">
        <v>45631</v>
      </c>
      <c r="C1301" s="3" t="s">
        <v>1224</v>
      </c>
      <c r="D1301" s="3" t="s">
        <v>44</v>
      </c>
      <c r="E1301" s="3" t="s">
        <v>40</v>
      </c>
      <c r="F1301" s="3" t="s">
        <v>102</v>
      </c>
      <c r="G1301" s="3" t="s">
        <v>146</v>
      </c>
      <c r="H1301" s="3">
        <v>3</v>
      </c>
      <c r="I1301" s="7">
        <v>7649.95</v>
      </c>
      <c r="J1301" s="9">
        <v>0</v>
      </c>
      <c r="K1301" s="7">
        <v>22949.85</v>
      </c>
      <c r="L1301" s="7">
        <v>7415.03</v>
      </c>
      <c r="M1301" s="3" t="s">
        <v>56</v>
      </c>
      <c r="N1301" s="3" t="str">
        <f t="shared" si="80"/>
        <v>2024-12</v>
      </c>
      <c r="O1301" s="3" t="str">
        <f t="shared" si="81"/>
        <v>No discount</v>
      </c>
      <c r="P1301" s="9">
        <f t="shared" si="82"/>
        <v>0.32309710085251103</v>
      </c>
      <c r="Q1301" s="3" t="str">
        <f t="shared" si="83"/>
        <v>No</v>
      </c>
    </row>
    <row r="1302" spans="1:17" ht="21" customHeight="1">
      <c r="A1302" s="3" t="s">
        <v>1955</v>
      </c>
      <c r="B1302" s="5">
        <v>45631</v>
      </c>
      <c r="C1302" s="3" t="s">
        <v>545</v>
      </c>
      <c r="D1302" s="3" t="s">
        <v>44</v>
      </c>
      <c r="E1302" s="3" t="s">
        <v>39</v>
      </c>
      <c r="F1302" s="3" t="s">
        <v>130</v>
      </c>
      <c r="G1302" s="3" t="s">
        <v>131</v>
      </c>
      <c r="H1302" s="3">
        <v>2</v>
      </c>
      <c r="I1302" s="7">
        <v>2204.56</v>
      </c>
      <c r="J1302" s="9">
        <v>0.1</v>
      </c>
      <c r="K1302" s="7">
        <v>3968.21</v>
      </c>
      <c r="L1302" s="7">
        <v>1333.94</v>
      </c>
      <c r="M1302" s="3" t="s">
        <v>57</v>
      </c>
      <c r="N1302" s="3" t="str">
        <f t="shared" si="80"/>
        <v>2024-12</v>
      </c>
      <c r="O1302" s="3" t="str">
        <f t="shared" si="81"/>
        <v>1-10%</v>
      </c>
      <c r="P1302" s="9">
        <f t="shared" si="82"/>
        <v>0.33615660461517916</v>
      </c>
      <c r="Q1302" s="3" t="str">
        <f t="shared" si="83"/>
        <v>No</v>
      </c>
    </row>
    <row r="1303" spans="1:17" ht="21" customHeight="1">
      <c r="A1303" s="3" t="s">
        <v>1956</v>
      </c>
      <c r="B1303" s="5">
        <v>45632</v>
      </c>
      <c r="C1303" s="3" t="s">
        <v>1039</v>
      </c>
      <c r="D1303" s="3" t="s">
        <v>45</v>
      </c>
      <c r="E1303" s="3" t="s">
        <v>38</v>
      </c>
      <c r="F1303" s="3" t="s">
        <v>94</v>
      </c>
      <c r="G1303" s="3" t="s">
        <v>95</v>
      </c>
      <c r="H1303" s="3">
        <v>4</v>
      </c>
      <c r="I1303" s="7">
        <v>78965.84</v>
      </c>
      <c r="J1303" s="9">
        <v>0.15</v>
      </c>
      <c r="K1303" s="7">
        <v>268483.86</v>
      </c>
      <c r="L1303" s="7">
        <v>4519.5200000000004</v>
      </c>
      <c r="M1303" s="3" t="s">
        <v>56</v>
      </c>
      <c r="N1303" s="3" t="str">
        <f t="shared" si="80"/>
        <v>2024-12</v>
      </c>
      <c r="O1303" s="3" t="str">
        <f t="shared" si="81"/>
        <v>11-15%</v>
      </c>
      <c r="P1303" s="9">
        <f t="shared" si="82"/>
        <v>1.6833488612686069E-2</v>
      </c>
      <c r="Q1303" s="3" t="str">
        <f t="shared" si="83"/>
        <v>No</v>
      </c>
    </row>
    <row r="1304" spans="1:17" ht="21" customHeight="1">
      <c r="A1304" s="3" t="s">
        <v>1957</v>
      </c>
      <c r="B1304" s="5">
        <v>45632</v>
      </c>
      <c r="C1304" s="3" t="s">
        <v>666</v>
      </c>
      <c r="D1304" s="3" t="s">
        <v>45</v>
      </c>
      <c r="E1304" s="3" t="s">
        <v>41</v>
      </c>
      <c r="F1304" s="3" t="s">
        <v>113</v>
      </c>
      <c r="G1304" s="3" t="s">
        <v>114</v>
      </c>
      <c r="H1304" s="3">
        <v>3</v>
      </c>
      <c r="I1304" s="7">
        <v>11495.16</v>
      </c>
      <c r="J1304" s="9">
        <v>0</v>
      </c>
      <c r="K1304" s="7">
        <v>34485.480000000003</v>
      </c>
      <c r="L1304" s="7">
        <v>13875.46</v>
      </c>
      <c r="M1304" s="3" t="s">
        <v>58</v>
      </c>
      <c r="N1304" s="3" t="str">
        <f t="shared" si="80"/>
        <v>2024-12</v>
      </c>
      <c r="O1304" s="3" t="str">
        <f t="shared" si="81"/>
        <v>No discount</v>
      </c>
      <c r="P1304" s="9">
        <f t="shared" si="82"/>
        <v>0.40235658601823138</v>
      </c>
      <c r="Q1304" s="3" t="str">
        <f t="shared" si="83"/>
        <v>No</v>
      </c>
    </row>
    <row r="1305" spans="1:17" ht="21" customHeight="1">
      <c r="A1305" s="3" t="s">
        <v>1958</v>
      </c>
      <c r="B1305" s="5">
        <v>45632</v>
      </c>
      <c r="C1305" s="3" t="s">
        <v>368</v>
      </c>
      <c r="D1305" s="3" t="s">
        <v>44</v>
      </c>
      <c r="E1305" s="3" t="s">
        <v>38</v>
      </c>
      <c r="F1305" s="3" t="s">
        <v>142</v>
      </c>
      <c r="G1305" s="3" t="s">
        <v>245</v>
      </c>
      <c r="H1305" s="3">
        <v>2</v>
      </c>
      <c r="I1305" s="7">
        <v>5247.03</v>
      </c>
      <c r="J1305" s="9">
        <v>0</v>
      </c>
      <c r="K1305" s="7">
        <v>10494.06</v>
      </c>
      <c r="L1305" s="7">
        <v>1752.52</v>
      </c>
      <c r="M1305" s="3" t="s">
        <v>60</v>
      </c>
      <c r="N1305" s="3" t="str">
        <f t="shared" si="80"/>
        <v>2024-12</v>
      </c>
      <c r="O1305" s="3" t="str">
        <f t="shared" si="81"/>
        <v>No discount</v>
      </c>
      <c r="P1305" s="9">
        <f t="shared" si="82"/>
        <v>0.16700114159819937</v>
      </c>
      <c r="Q1305" s="3" t="str">
        <f t="shared" si="83"/>
        <v>No</v>
      </c>
    </row>
    <row r="1306" spans="1:17" ht="21" customHeight="1">
      <c r="A1306" s="3" t="s">
        <v>1959</v>
      </c>
      <c r="B1306" s="5">
        <v>45633</v>
      </c>
      <c r="C1306" s="3" t="s">
        <v>420</v>
      </c>
      <c r="D1306" s="3" t="s">
        <v>44</v>
      </c>
      <c r="E1306" s="3" t="s">
        <v>38</v>
      </c>
      <c r="F1306" s="3" t="s">
        <v>98</v>
      </c>
      <c r="G1306" s="3" t="s">
        <v>99</v>
      </c>
      <c r="H1306" s="3">
        <v>1</v>
      </c>
      <c r="I1306" s="7">
        <v>26064.83</v>
      </c>
      <c r="J1306" s="9">
        <v>0.05</v>
      </c>
      <c r="K1306" s="7">
        <v>24761.59</v>
      </c>
      <c r="L1306" s="7">
        <v>2085.4</v>
      </c>
      <c r="M1306" s="3" t="s">
        <v>57</v>
      </c>
      <c r="N1306" s="3" t="str">
        <f t="shared" si="80"/>
        <v>2024-12</v>
      </c>
      <c r="O1306" s="3" t="str">
        <f t="shared" si="81"/>
        <v>1-10%</v>
      </c>
      <c r="P1306" s="9">
        <f t="shared" si="82"/>
        <v>8.4219147478009293E-2</v>
      </c>
      <c r="Q1306" s="3" t="str">
        <f t="shared" si="83"/>
        <v>No</v>
      </c>
    </row>
    <row r="1307" spans="1:17" ht="21" customHeight="1">
      <c r="A1307" s="3" t="s">
        <v>1960</v>
      </c>
      <c r="B1307" s="5">
        <v>45633</v>
      </c>
      <c r="C1307" s="3" t="s">
        <v>1645</v>
      </c>
      <c r="D1307" s="3" t="s">
        <v>45</v>
      </c>
      <c r="E1307" s="3" t="s">
        <v>39</v>
      </c>
      <c r="F1307" s="3" t="s">
        <v>164</v>
      </c>
      <c r="G1307" s="3" t="s">
        <v>200</v>
      </c>
      <c r="H1307" s="3">
        <v>5</v>
      </c>
      <c r="I1307" s="7">
        <v>1284.06</v>
      </c>
      <c r="J1307" s="9">
        <v>0</v>
      </c>
      <c r="K1307" s="7">
        <v>6420.3</v>
      </c>
      <c r="L1307" s="7">
        <v>2603.7199999999998</v>
      </c>
      <c r="M1307" s="3" t="s">
        <v>57</v>
      </c>
      <c r="N1307" s="3" t="str">
        <f t="shared" si="80"/>
        <v>2024-12</v>
      </c>
      <c r="O1307" s="3" t="str">
        <f t="shared" si="81"/>
        <v>No discount</v>
      </c>
      <c r="P1307" s="9">
        <f t="shared" si="82"/>
        <v>0.40554491223151562</v>
      </c>
      <c r="Q1307" s="3" t="str">
        <f t="shared" si="83"/>
        <v>No</v>
      </c>
    </row>
    <row r="1308" spans="1:17" ht="21" customHeight="1">
      <c r="A1308" s="3" t="s">
        <v>1961</v>
      </c>
      <c r="B1308" s="5">
        <v>45633</v>
      </c>
      <c r="C1308" s="3" t="s">
        <v>888</v>
      </c>
      <c r="D1308" s="3" t="s">
        <v>44</v>
      </c>
      <c r="E1308" s="3" t="s">
        <v>42</v>
      </c>
      <c r="F1308" s="3" t="s">
        <v>90</v>
      </c>
      <c r="G1308" s="3" t="s">
        <v>106</v>
      </c>
      <c r="H1308" s="3">
        <v>1</v>
      </c>
      <c r="I1308" s="7">
        <v>913.88</v>
      </c>
      <c r="J1308" s="9">
        <v>0.15</v>
      </c>
      <c r="K1308" s="7">
        <v>776.8</v>
      </c>
      <c r="L1308" s="7">
        <v>321.83</v>
      </c>
      <c r="M1308" s="3" t="s">
        <v>59</v>
      </c>
      <c r="N1308" s="3" t="str">
        <f t="shared" si="80"/>
        <v>2024-12</v>
      </c>
      <c r="O1308" s="3" t="str">
        <f t="shared" si="81"/>
        <v>11-15%</v>
      </c>
      <c r="P1308" s="9">
        <f t="shared" si="82"/>
        <v>0.41430226570545831</v>
      </c>
      <c r="Q1308" s="3" t="str">
        <f t="shared" si="83"/>
        <v>No</v>
      </c>
    </row>
    <row r="1309" spans="1:17" ht="21" customHeight="1">
      <c r="A1309" s="3" t="s">
        <v>1962</v>
      </c>
      <c r="B1309" s="5">
        <v>45634</v>
      </c>
      <c r="C1309" s="3" t="s">
        <v>188</v>
      </c>
      <c r="D1309" s="3" t="s">
        <v>46</v>
      </c>
      <c r="E1309" s="3" t="s">
        <v>38</v>
      </c>
      <c r="F1309" s="3" t="s">
        <v>94</v>
      </c>
      <c r="G1309" s="3" t="s">
        <v>213</v>
      </c>
      <c r="H1309" s="3">
        <v>2</v>
      </c>
      <c r="I1309" s="7">
        <v>56724.97</v>
      </c>
      <c r="J1309" s="9">
        <v>0</v>
      </c>
      <c r="K1309" s="7">
        <v>113449.94</v>
      </c>
      <c r="L1309" s="7">
        <v>20208.060000000001</v>
      </c>
      <c r="M1309" s="3" t="s">
        <v>57</v>
      </c>
      <c r="N1309" s="3" t="str">
        <f t="shared" si="80"/>
        <v>2024-12</v>
      </c>
      <c r="O1309" s="3" t="str">
        <f t="shared" si="81"/>
        <v>No discount</v>
      </c>
      <c r="P1309" s="9">
        <f t="shared" si="82"/>
        <v>0.17812314400518856</v>
      </c>
      <c r="Q1309" s="3" t="str">
        <f t="shared" si="83"/>
        <v>No</v>
      </c>
    </row>
    <row r="1310" spans="1:17" ht="21" customHeight="1">
      <c r="A1310" s="3" t="s">
        <v>1963</v>
      </c>
      <c r="B1310" s="5">
        <v>45634</v>
      </c>
      <c r="C1310" s="3" t="s">
        <v>122</v>
      </c>
      <c r="D1310" s="3" t="s">
        <v>45</v>
      </c>
      <c r="E1310" s="3" t="s">
        <v>42</v>
      </c>
      <c r="F1310" s="3" t="s">
        <v>126</v>
      </c>
      <c r="G1310" s="3" t="s">
        <v>151</v>
      </c>
      <c r="H1310" s="3">
        <v>3</v>
      </c>
      <c r="I1310" s="7">
        <v>1484.69</v>
      </c>
      <c r="J1310" s="9">
        <v>0.15</v>
      </c>
      <c r="K1310" s="7">
        <v>3785.96</v>
      </c>
      <c r="L1310" s="7">
        <v>1337.52</v>
      </c>
      <c r="M1310" s="3" t="s">
        <v>56</v>
      </c>
      <c r="N1310" s="3" t="str">
        <f t="shared" si="80"/>
        <v>2024-12</v>
      </c>
      <c r="O1310" s="3" t="str">
        <f t="shared" si="81"/>
        <v>11-15%</v>
      </c>
      <c r="P1310" s="9">
        <f t="shared" si="82"/>
        <v>0.35328423966444439</v>
      </c>
      <c r="Q1310" s="3" t="str">
        <f t="shared" si="83"/>
        <v>No</v>
      </c>
    </row>
    <row r="1311" spans="1:17" ht="21" customHeight="1">
      <c r="A1311" s="3" t="s">
        <v>1964</v>
      </c>
      <c r="B1311" s="5">
        <v>45634</v>
      </c>
      <c r="C1311" s="3" t="s">
        <v>197</v>
      </c>
      <c r="D1311" s="3" t="s">
        <v>47</v>
      </c>
      <c r="E1311" s="3" t="s">
        <v>38</v>
      </c>
      <c r="F1311" s="3" t="s">
        <v>94</v>
      </c>
      <c r="G1311" s="3" t="s">
        <v>95</v>
      </c>
      <c r="H1311" s="3">
        <v>1</v>
      </c>
      <c r="I1311" s="7">
        <v>76303.61</v>
      </c>
      <c r="J1311" s="9">
        <v>0</v>
      </c>
      <c r="K1311" s="7">
        <v>76303.61</v>
      </c>
      <c r="L1311" s="7">
        <v>16418.439999999999</v>
      </c>
      <c r="M1311" s="3" t="s">
        <v>56</v>
      </c>
      <c r="N1311" s="3" t="str">
        <f t="shared" si="80"/>
        <v>2024-12</v>
      </c>
      <c r="O1311" s="3" t="str">
        <f t="shared" si="81"/>
        <v>No discount</v>
      </c>
      <c r="P1311" s="9">
        <f t="shared" si="82"/>
        <v>0.21517251936048634</v>
      </c>
      <c r="Q1311" s="3" t="str">
        <f t="shared" si="83"/>
        <v>No</v>
      </c>
    </row>
    <row r="1312" spans="1:17" ht="21" customHeight="1">
      <c r="A1312" s="3" t="s">
        <v>1965</v>
      </c>
      <c r="B1312" s="5">
        <v>45634</v>
      </c>
      <c r="C1312" s="3" t="s">
        <v>135</v>
      </c>
      <c r="D1312" s="3" t="s">
        <v>44</v>
      </c>
      <c r="E1312" s="3" t="s">
        <v>41</v>
      </c>
      <c r="F1312" s="3" t="s">
        <v>119</v>
      </c>
      <c r="G1312" s="3" t="s">
        <v>120</v>
      </c>
      <c r="H1312" s="3">
        <v>1</v>
      </c>
      <c r="I1312" s="7">
        <v>1284.3499999999999</v>
      </c>
      <c r="J1312" s="9">
        <v>0.3</v>
      </c>
      <c r="K1312" s="7">
        <v>899.04</v>
      </c>
      <c r="L1312" s="7">
        <v>10.039999999999999</v>
      </c>
      <c r="M1312" s="3" t="s">
        <v>56</v>
      </c>
      <c r="N1312" s="3" t="str">
        <f t="shared" si="80"/>
        <v>2024-12</v>
      </c>
      <c r="O1312" s="3" t="str">
        <f t="shared" si="81"/>
        <v>21%+</v>
      </c>
      <c r="P1312" s="9">
        <f t="shared" si="82"/>
        <v>1.1167467520911193E-2</v>
      </c>
      <c r="Q1312" s="3" t="str">
        <f t="shared" si="83"/>
        <v>No</v>
      </c>
    </row>
    <row r="1313" spans="1:17" ht="21" customHeight="1">
      <c r="A1313" s="3" t="s">
        <v>1966</v>
      </c>
      <c r="B1313" s="5">
        <v>45634</v>
      </c>
      <c r="C1313" s="3" t="s">
        <v>1967</v>
      </c>
      <c r="D1313" s="3" t="s">
        <v>46</v>
      </c>
      <c r="E1313" s="3" t="s">
        <v>40</v>
      </c>
      <c r="F1313" s="3" t="s">
        <v>221</v>
      </c>
      <c r="G1313" s="3" t="s">
        <v>222</v>
      </c>
      <c r="H1313" s="3">
        <v>3</v>
      </c>
      <c r="I1313" s="7">
        <v>988.27</v>
      </c>
      <c r="J1313" s="9">
        <v>0</v>
      </c>
      <c r="K1313" s="7">
        <v>2964.81</v>
      </c>
      <c r="L1313" s="7">
        <v>968.54</v>
      </c>
      <c r="M1313" s="3" t="s">
        <v>58</v>
      </c>
      <c r="N1313" s="3" t="str">
        <f t="shared" si="80"/>
        <v>2024-12</v>
      </c>
      <c r="O1313" s="3" t="str">
        <f t="shared" si="81"/>
        <v>No discount</v>
      </c>
      <c r="P1313" s="9">
        <f t="shared" si="82"/>
        <v>0.32667860672353372</v>
      </c>
      <c r="Q1313" s="3" t="str">
        <f t="shared" si="83"/>
        <v>No</v>
      </c>
    </row>
    <row r="1314" spans="1:17" ht="21" customHeight="1">
      <c r="A1314" s="3" t="s">
        <v>1968</v>
      </c>
      <c r="B1314" s="5">
        <v>45634</v>
      </c>
      <c r="C1314" s="3" t="s">
        <v>1938</v>
      </c>
      <c r="D1314" s="3" t="s">
        <v>46</v>
      </c>
      <c r="E1314" s="3" t="s">
        <v>39</v>
      </c>
      <c r="F1314" s="3" t="s">
        <v>130</v>
      </c>
      <c r="G1314" s="3" t="s">
        <v>193</v>
      </c>
      <c r="H1314" s="3">
        <v>1</v>
      </c>
      <c r="I1314" s="7">
        <v>1814.21</v>
      </c>
      <c r="J1314" s="9">
        <v>0</v>
      </c>
      <c r="K1314" s="7">
        <v>1814.21</v>
      </c>
      <c r="L1314" s="7">
        <v>798.32</v>
      </c>
      <c r="M1314" s="3" t="s">
        <v>57</v>
      </c>
      <c r="N1314" s="3" t="str">
        <f t="shared" si="80"/>
        <v>2024-12</v>
      </c>
      <c r="O1314" s="3" t="str">
        <f t="shared" si="81"/>
        <v>No discount</v>
      </c>
      <c r="P1314" s="9">
        <f t="shared" si="82"/>
        <v>0.44003726139752292</v>
      </c>
      <c r="Q1314" s="3" t="str">
        <f t="shared" si="83"/>
        <v>No</v>
      </c>
    </row>
    <row r="1315" spans="1:17" ht="21" customHeight="1">
      <c r="A1315" s="3" t="s">
        <v>1969</v>
      </c>
      <c r="B1315" s="5">
        <v>45635</v>
      </c>
      <c r="C1315" s="3" t="s">
        <v>771</v>
      </c>
      <c r="D1315" s="3" t="s">
        <v>44</v>
      </c>
      <c r="E1315" s="3" t="s">
        <v>39</v>
      </c>
      <c r="F1315" s="3" t="s">
        <v>109</v>
      </c>
      <c r="G1315" s="3" t="s">
        <v>355</v>
      </c>
      <c r="H1315" s="3">
        <v>3</v>
      </c>
      <c r="I1315" s="7">
        <v>3581.56</v>
      </c>
      <c r="J1315" s="9">
        <v>0.3</v>
      </c>
      <c r="K1315" s="7">
        <v>7521.28</v>
      </c>
      <c r="L1315" s="7">
        <v>659.68</v>
      </c>
      <c r="M1315" s="3" t="s">
        <v>57</v>
      </c>
      <c r="N1315" s="3" t="str">
        <f t="shared" si="80"/>
        <v>2024-12</v>
      </c>
      <c r="O1315" s="3" t="str">
        <f t="shared" si="81"/>
        <v>21%+</v>
      </c>
      <c r="P1315" s="9">
        <f t="shared" si="82"/>
        <v>8.7708475153165419E-2</v>
      </c>
      <c r="Q1315" s="3" t="str">
        <f t="shared" si="83"/>
        <v>No</v>
      </c>
    </row>
    <row r="1316" spans="1:17" ht="21" customHeight="1">
      <c r="A1316" s="3" t="s">
        <v>1970</v>
      </c>
      <c r="B1316" s="5">
        <v>45635</v>
      </c>
      <c r="C1316" s="3" t="s">
        <v>1971</v>
      </c>
      <c r="D1316" s="3" t="s">
        <v>44</v>
      </c>
      <c r="E1316" s="3" t="s">
        <v>38</v>
      </c>
      <c r="F1316" s="3" t="s">
        <v>94</v>
      </c>
      <c r="G1316" s="3" t="s">
        <v>95</v>
      </c>
      <c r="H1316" s="3">
        <v>1</v>
      </c>
      <c r="I1316" s="7">
        <v>81940.06</v>
      </c>
      <c r="J1316" s="9">
        <v>0.15</v>
      </c>
      <c r="K1316" s="7">
        <v>69649.05</v>
      </c>
      <c r="L1316" s="7">
        <v>-650.71</v>
      </c>
      <c r="M1316" s="3" t="s">
        <v>56</v>
      </c>
      <c r="N1316" s="3" t="str">
        <f t="shared" si="80"/>
        <v>2024-12</v>
      </c>
      <c r="O1316" s="3" t="str">
        <f t="shared" si="81"/>
        <v>11-15%</v>
      </c>
      <c r="P1316" s="9">
        <f t="shared" si="82"/>
        <v>-9.3426974237265266E-3</v>
      </c>
      <c r="Q1316" s="3" t="str">
        <f t="shared" si="83"/>
        <v>Yes</v>
      </c>
    </row>
    <row r="1317" spans="1:17" ht="21" customHeight="1">
      <c r="A1317" s="3" t="s">
        <v>1972</v>
      </c>
      <c r="B1317" s="5">
        <v>45635</v>
      </c>
      <c r="C1317" s="3" t="s">
        <v>1973</v>
      </c>
      <c r="D1317" s="3" t="s">
        <v>47</v>
      </c>
      <c r="E1317" s="3" t="s">
        <v>42</v>
      </c>
      <c r="F1317" s="3" t="s">
        <v>90</v>
      </c>
      <c r="G1317" s="3" t="s">
        <v>106</v>
      </c>
      <c r="H1317" s="3">
        <v>4</v>
      </c>
      <c r="I1317" s="7">
        <v>921.06</v>
      </c>
      <c r="J1317" s="9">
        <v>0</v>
      </c>
      <c r="K1317" s="7">
        <v>3684.24</v>
      </c>
      <c r="L1317" s="7">
        <v>1949.11</v>
      </c>
      <c r="M1317" s="3" t="s">
        <v>56</v>
      </c>
      <c r="N1317" s="3" t="str">
        <f t="shared" si="80"/>
        <v>2024-12</v>
      </c>
      <c r="O1317" s="3" t="str">
        <f t="shared" si="81"/>
        <v>No discount</v>
      </c>
      <c r="P1317" s="9">
        <f t="shared" si="82"/>
        <v>0.52903991053785859</v>
      </c>
      <c r="Q1317" s="3" t="str">
        <f t="shared" si="83"/>
        <v>No</v>
      </c>
    </row>
    <row r="1318" spans="1:17" ht="21" customHeight="1">
      <c r="A1318" s="3" t="s">
        <v>1974</v>
      </c>
      <c r="B1318" s="5">
        <v>45635</v>
      </c>
      <c r="C1318" s="3" t="s">
        <v>1736</v>
      </c>
      <c r="D1318" s="3" t="s">
        <v>46</v>
      </c>
      <c r="E1318" s="3" t="s">
        <v>42</v>
      </c>
      <c r="F1318" s="3" t="s">
        <v>90</v>
      </c>
      <c r="G1318" s="3" t="s">
        <v>91</v>
      </c>
      <c r="H1318" s="3">
        <v>1</v>
      </c>
      <c r="I1318" s="7">
        <v>1170.06</v>
      </c>
      <c r="J1318" s="9">
        <v>0</v>
      </c>
      <c r="K1318" s="7">
        <v>1170.06</v>
      </c>
      <c r="L1318" s="7">
        <v>672.4</v>
      </c>
      <c r="M1318" s="3" t="s">
        <v>56</v>
      </c>
      <c r="N1318" s="3" t="str">
        <f t="shared" si="80"/>
        <v>2024-12</v>
      </c>
      <c r="O1318" s="3" t="str">
        <f t="shared" si="81"/>
        <v>No discount</v>
      </c>
      <c r="P1318" s="9">
        <f t="shared" si="82"/>
        <v>0.57467138437345089</v>
      </c>
      <c r="Q1318" s="3" t="str">
        <f t="shared" si="83"/>
        <v>No</v>
      </c>
    </row>
    <row r="1319" spans="1:17" ht="21" customHeight="1">
      <c r="A1319" s="3" t="s">
        <v>1975</v>
      </c>
      <c r="B1319" s="5">
        <v>45635</v>
      </c>
      <c r="C1319" s="3" t="s">
        <v>285</v>
      </c>
      <c r="D1319" s="3" t="s">
        <v>44</v>
      </c>
      <c r="E1319" s="3" t="s">
        <v>41</v>
      </c>
      <c r="F1319" s="3" t="s">
        <v>119</v>
      </c>
      <c r="G1319" s="3" t="s">
        <v>120</v>
      </c>
      <c r="H1319" s="3">
        <v>3</v>
      </c>
      <c r="I1319" s="7">
        <v>1259.3499999999999</v>
      </c>
      <c r="J1319" s="9">
        <v>0.1</v>
      </c>
      <c r="K1319" s="7">
        <v>3400.24</v>
      </c>
      <c r="L1319" s="7">
        <v>794.54</v>
      </c>
      <c r="M1319" s="3" t="s">
        <v>57</v>
      </c>
      <c r="N1319" s="3" t="str">
        <f t="shared" si="80"/>
        <v>2024-12</v>
      </c>
      <c r="O1319" s="3" t="str">
        <f t="shared" si="81"/>
        <v>1-10%</v>
      </c>
      <c r="P1319" s="9">
        <f t="shared" si="82"/>
        <v>0.23367174081829517</v>
      </c>
      <c r="Q1319" s="3" t="str">
        <f t="shared" si="83"/>
        <v>No</v>
      </c>
    </row>
    <row r="1320" spans="1:17" ht="21" customHeight="1">
      <c r="A1320" s="3" t="s">
        <v>1976</v>
      </c>
      <c r="B1320" s="5">
        <v>45635</v>
      </c>
      <c r="C1320" s="3" t="s">
        <v>752</v>
      </c>
      <c r="D1320" s="3" t="s">
        <v>44</v>
      </c>
      <c r="E1320" s="3" t="s">
        <v>40</v>
      </c>
      <c r="F1320" s="3" t="s">
        <v>102</v>
      </c>
      <c r="G1320" s="3" t="s">
        <v>146</v>
      </c>
      <c r="H1320" s="3">
        <v>5</v>
      </c>
      <c r="I1320" s="7">
        <v>8194.4</v>
      </c>
      <c r="J1320" s="9">
        <v>0.15</v>
      </c>
      <c r="K1320" s="7">
        <v>34826.199999999997</v>
      </c>
      <c r="L1320" s="7">
        <v>4711.82</v>
      </c>
      <c r="M1320" s="3" t="s">
        <v>56</v>
      </c>
      <c r="N1320" s="3" t="str">
        <f t="shared" si="80"/>
        <v>2024-12</v>
      </c>
      <c r="O1320" s="3" t="str">
        <f t="shared" si="81"/>
        <v>11-15%</v>
      </c>
      <c r="P1320" s="9">
        <f t="shared" si="82"/>
        <v>0.1352952662076253</v>
      </c>
      <c r="Q1320" s="3" t="str">
        <f t="shared" si="83"/>
        <v>No</v>
      </c>
    </row>
    <row r="1321" spans="1:17" ht="21" customHeight="1">
      <c r="A1321" s="3" t="s">
        <v>1977</v>
      </c>
      <c r="B1321" s="5">
        <v>45635</v>
      </c>
      <c r="C1321" s="3" t="s">
        <v>568</v>
      </c>
      <c r="D1321" s="3" t="s">
        <v>47</v>
      </c>
      <c r="E1321" s="3" t="s">
        <v>38</v>
      </c>
      <c r="F1321" s="3" t="s">
        <v>98</v>
      </c>
      <c r="G1321" s="3" t="s">
        <v>182</v>
      </c>
      <c r="H1321" s="3">
        <v>1</v>
      </c>
      <c r="I1321" s="7">
        <v>67943.62</v>
      </c>
      <c r="J1321" s="9">
        <v>0.05</v>
      </c>
      <c r="K1321" s="7">
        <v>64546.44</v>
      </c>
      <c r="L1321" s="7">
        <v>6872.7</v>
      </c>
      <c r="M1321" s="3" t="s">
        <v>59</v>
      </c>
      <c r="N1321" s="3" t="str">
        <f t="shared" si="80"/>
        <v>2024-12</v>
      </c>
      <c r="O1321" s="3" t="str">
        <f t="shared" si="81"/>
        <v>1-10%</v>
      </c>
      <c r="P1321" s="9">
        <f t="shared" si="82"/>
        <v>0.10647682505805121</v>
      </c>
      <c r="Q1321" s="3" t="str">
        <f t="shared" si="83"/>
        <v>No</v>
      </c>
    </row>
    <row r="1322" spans="1:17" ht="21" customHeight="1">
      <c r="A1322" s="3" t="s">
        <v>1978</v>
      </c>
      <c r="B1322" s="5">
        <v>45635</v>
      </c>
      <c r="C1322" s="3" t="s">
        <v>733</v>
      </c>
      <c r="D1322" s="3" t="s">
        <v>46</v>
      </c>
      <c r="E1322" s="3" t="s">
        <v>40</v>
      </c>
      <c r="F1322" s="3" t="s">
        <v>160</v>
      </c>
      <c r="G1322" s="3" t="s">
        <v>161</v>
      </c>
      <c r="H1322" s="3">
        <v>2</v>
      </c>
      <c r="I1322" s="7">
        <v>12718.17</v>
      </c>
      <c r="J1322" s="9">
        <v>0</v>
      </c>
      <c r="K1322" s="7">
        <v>25436.34</v>
      </c>
      <c r="L1322" s="7">
        <v>7473.98</v>
      </c>
      <c r="M1322" s="3" t="s">
        <v>56</v>
      </c>
      <c r="N1322" s="3" t="str">
        <f t="shared" si="80"/>
        <v>2024-12</v>
      </c>
      <c r="O1322" s="3" t="str">
        <f t="shared" si="81"/>
        <v>No discount</v>
      </c>
      <c r="P1322" s="9">
        <f t="shared" si="82"/>
        <v>0.29383079483919461</v>
      </c>
      <c r="Q1322" s="3" t="str">
        <f t="shared" si="83"/>
        <v>No</v>
      </c>
    </row>
    <row r="1323" spans="1:17" ht="21" customHeight="1">
      <c r="A1323" s="3" t="s">
        <v>1979</v>
      </c>
      <c r="B1323" s="5">
        <v>45635</v>
      </c>
      <c r="C1323" s="3" t="s">
        <v>224</v>
      </c>
      <c r="D1323" s="3" t="s">
        <v>47</v>
      </c>
      <c r="E1323" s="3" t="s">
        <v>39</v>
      </c>
      <c r="F1323" s="3" t="s">
        <v>109</v>
      </c>
      <c r="G1323" s="3" t="s">
        <v>110</v>
      </c>
      <c r="H1323" s="3">
        <v>1</v>
      </c>
      <c r="I1323" s="7">
        <v>3046.82</v>
      </c>
      <c r="J1323" s="9">
        <v>0.05</v>
      </c>
      <c r="K1323" s="7">
        <v>2894.48</v>
      </c>
      <c r="L1323" s="7">
        <v>955.3</v>
      </c>
      <c r="M1323" s="3" t="s">
        <v>58</v>
      </c>
      <c r="N1323" s="3" t="str">
        <f t="shared" si="80"/>
        <v>2024-12</v>
      </c>
      <c r="O1323" s="3" t="str">
        <f t="shared" si="81"/>
        <v>1-10%</v>
      </c>
      <c r="P1323" s="9">
        <f t="shared" si="82"/>
        <v>0.33004201100024871</v>
      </c>
      <c r="Q1323" s="3" t="str">
        <f t="shared" si="83"/>
        <v>No</v>
      </c>
    </row>
    <row r="1324" spans="1:17" ht="21" customHeight="1">
      <c r="A1324" s="3" t="s">
        <v>1980</v>
      </c>
      <c r="B1324" s="5">
        <v>45636</v>
      </c>
      <c r="C1324" s="3" t="s">
        <v>976</v>
      </c>
      <c r="D1324" s="3" t="s">
        <v>47</v>
      </c>
      <c r="E1324" s="3" t="s">
        <v>39</v>
      </c>
      <c r="F1324" s="3" t="s">
        <v>164</v>
      </c>
      <c r="G1324" s="3" t="s">
        <v>200</v>
      </c>
      <c r="H1324" s="3">
        <v>3</v>
      </c>
      <c r="I1324" s="7">
        <v>1334.19</v>
      </c>
      <c r="J1324" s="9">
        <v>0</v>
      </c>
      <c r="K1324" s="7">
        <v>4002.57</v>
      </c>
      <c r="L1324" s="7">
        <v>1788.39</v>
      </c>
      <c r="M1324" s="3" t="s">
        <v>56</v>
      </c>
      <c r="N1324" s="3" t="str">
        <f t="shared" si="80"/>
        <v>2024-12</v>
      </c>
      <c r="O1324" s="3" t="str">
        <f t="shared" si="81"/>
        <v>No discount</v>
      </c>
      <c r="P1324" s="9">
        <f t="shared" si="82"/>
        <v>0.44681042430238571</v>
      </c>
      <c r="Q1324" s="3" t="str">
        <f t="shared" si="83"/>
        <v>No</v>
      </c>
    </row>
    <row r="1325" spans="1:17" ht="21" customHeight="1">
      <c r="A1325" s="3" t="s">
        <v>1981</v>
      </c>
      <c r="B1325" s="5">
        <v>45636</v>
      </c>
      <c r="C1325" s="3" t="s">
        <v>301</v>
      </c>
      <c r="D1325" s="3" t="s">
        <v>45</v>
      </c>
      <c r="E1325" s="3" t="s">
        <v>39</v>
      </c>
      <c r="F1325" s="3" t="s">
        <v>164</v>
      </c>
      <c r="G1325" s="3" t="s">
        <v>200</v>
      </c>
      <c r="H1325" s="3">
        <v>1</v>
      </c>
      <c r="I1325" s="7">
        <v>1240.8399999999999</v>
      </c>
      <c r="J1325" s="9">
        <v>0.05</v>
      </c>
      <c r="K1325" s="7">
        <v>1178.8</v>
      </c>
      <c r="L1325" s="7">
        <v>408.94</v>
      </c>
      <c r="M1325" s="3" t="s">
        <v>56</v>
      </c>
      <c r="N1325" s="3" t="str">
        <f t="shared" si="80"/>
        <v>2024-12</v>
      </c>
      <c r="O1325" s="3" t="str">
        <f t="shared" si="81"/>
        <v>1-10%</v>
      </c>
      <c r="P1325" s="9">
        <f t="shared" si="82"/>
        <v>0.34691211401425182</v>
      </c>
      <c r="Q1325" s="3" t="str">
        <f t="shared" si="83"/>
        <v>No</v>
      </c>
    </row>
    <row r="1326" spans="1:17" ht="21" customHeight="1">
      <c r="A1326" s="3" t="s">
        <v>1982</v>
      </c>
      <c r="B1326" s="5">
        <v>45636</v>
      </c>
      <c r="C1326" s="3" t="s">
        <v>1983</v>
      </c>
      <c r="D1326" s="3" t="s">
        <v>44</v>
      </c>
      <c r="E1326" s="3" t="s">
        <v>41</v>
      </c>
      <c r="F1326" s="3" t="s">
        <v>113</v>
      </c>
      <c r="G1326" s="3" t="s">
        <v>123</v>
      </c>
      <c r="H1326" s="3">
        <v>2</v>
      </c>
      <c r="I1326" s="7">
        <v>3547.69</v>
      </c>
      <c r="J1326" s="9">
        <v>0.05</v>
      </c>
      <c r="K1326" s="7">
        <v>6740.61</v>
      </c>
      <c r="L1326" s="7">
        <v>2024.35</v>
      </c>
      <c r="M1326" s="3" t="s">
        <v>56</v>
      </c>
      <c r="N1326" s="3" t="str">
        <f t="shared" si="80"/>
        <v>2024-12</v>
      </c>
      <c r="O1326" s="3" t="str">
        <f t="shared" si="81"/>
        <v>1-10%</v>
      </c>
      <c r="P1326" s="9">
        <f t="shared" si="82"/>
        <v>0.30032148425735949</v>
      </c>
      <c r="Q1326" s="3" t="str">
        <f t="shared" si="83"/>
        <v>No</v>
      </c>
    </row>
    <row r="1327" spans="1:17" ht="21" customHeight="1">
      <c r="A1327" s="3" t="s">
        <v>1984</v>
      </c>
      <c r="B1327" s="5">
        <v>45637</v>
      </c>
      <c r="C1327" s="3" t="s">
        <v>145</v>
      </c>
      <c r="D1327" s="3" t="s">
        <v>46</v>
      </c>
      <c r="E1327" s="3" t="s">
        <v>40</v>
      </c>
      <c r="F1327" s="3" t="s">
        <v>160</v>
      </c>
      <c r="G1327" s="3" t="s">
        <v>173</v>
      </c>
      <c r="H1327" s="3">
        <v>2</v>
      </c>
      <c r="I1327" s="7">
        <v>9125.8700000000008</v>
      </c>
      <c r="J1327" s="9">
        <v>0</v>
      </c>
      <c r="K1327" s="7">
        <v>18251.740000000002</v>
      </c>
      <c r="L1327" s="7">
        <v>6157.13</v>
      </c>
      <c r="M1327" s="3" t="s">
        <v>56</v>
      </c>
      <c r="N1327" s="3" t="str">
        <f t="shared" si="80"/>
        <v>2024-12</v>
      </c>
      <c r="O1327" s="3" t="str">
        <f t="shared" si="81"/>
        <v>No discount</v>
      </c>
      <c r="P1327" s="9">
        <f t="shared" si="82"/>
        <v>0.33734482301413454</v>
      </c>
      <c r="Q1327" s="3" t="str">
        <f t="shared" si="83"/>
        <v>No</v>
      </c>
    </row>
    <row r="1328" spans="1:17" ht="21" customHeight="1">
      <c r="A1328" s="3" t="s">
        <v>1985</v>
      </c>
      <c r="B1328" s="5">
        <v>45637</v>
      </c>
      <c r="C1328" s="3" t="s">
        <v>391</v>
      </c>
      <c r="D1328" s="3" t="s">
        <v>44</v>
      </c>
      <c r="E1328" s="3" t="s">
        <v>41</v>
      </c>
      <c r="F1328" s="3" t="s">
        <v>113</v>
      </c>
      <c r="G1328" s="3" t="s">
        <v>123</v>
      </c>
      <c r="H1328" s="3">
        <v>1</v>
      </c>
      <c r="I1328" s="7">
        <v>3545.09</v>
      </c>
      <c r="J1328" s="9">
        <v>0</v>
      </c>
      <c r="K1328" s="7">
        <v>3545.09</v>
      </c>
      <c r="L1328" s="7">
        <v>1246.4100000000001</v>
      </c>
      <c r="M1328" s="3" t="s">
        <v>58</v>
      </c>
      <c r="N1328" s="3" t="str">
        <f t="shared" si="80"/>
        <v>2024-12</v>
      </c>
      <c r="O1328" s="3" t="str">
        <f t="shared" si="81"/>
        <v>No discount</v>
      </c>
      <c r="P1328" s="9">
        <f t="shared" si="82"/>
        <v>0.35158768888801134</v>
      </c>
      <c r="Q1328" s="3" t="str">
        <f t="shared" si="83"/>
        <v>No</v>
      </c>
    </row>
    <row r="1329" spans="1:17" ht="21" customHeight="1">
      <c r="A1329" s="3" t="s">
        <v>1986</v>
      </c>
      <c r="B1329" s="5">
        <v>45637</v>
      </c>
      <c r="C1329" s="3" t="s">
        <v>1415</v>
      </c>
      <c r="D1329" s="3" t="s">
        <v>44</v>
      </c>
      <c r="E1329" s="3" t="s">
        <v>38</v>
      </c>
      <c r="F1329" s="3" t="s">
        <v>98</v>
      </c>
      <c r="G1329" s="3" t="s">
        <v>99</v>
      </c>
      <c r="H1329" s="3">
        <v>1</v>
      </c>
      <c r="I1329" s="7">
        <v>25645.09</v>
      </c>
      <c r="J1329" s="9">
        <v>0.15</v>
      </c>
      <c r="K1329" s="7">
        <v>21798.33</v>
      </c>
      <c r="L1329" s="7">
        <v>-237.51</v>
      </c>
      <c r="M1329" s="3" t="s">
        <v>58</v>
      </c>
      <c r="N1329" s="3" t="str">
        <f t="shared" si="80"/>
        <v>2024-12</v>
      </c>
      <c r="O1329" s="3" t="str">
        <f t="shared" si="81"/>
        <v>11-15%</v>
      </c>
      <c r="P1329" s="9">
        <f t="shared" si="82"/>
        <v>-1.0895788805839713E-2</v>
      </c>
      <c r="Q1329" s="3" t="str">
        <f t="shared" si="83"/>
        <v>Yes</v>
      </c>
    </row>
    <row r="1330" spans="1:17" ht="21" customHeight="1">
      <c r="A1330" s="3" t="s">
        <v>1987</v>
      </c>
      <c r="B1330" s="5">
        <v>45637</v>
      </c>
      <c r="C1330" s="3" t="s">
        <v>985</v>
      </c>
      <c r="D1330" s="3" t="s">
        <v>44</v>
      </c>
      <c r="E1330" s="3" t="s">
        <v>42</v>
      </c>
      <c r="F1330" s="3" t="s">
        <v>126</v>
      </c>
      <c r="G1330" s="3" t="s">
        <v>127</v>
      </c>
      <c r="H1330" s="3">
        <v>1</v>
      </c>
      <c r="I1330" s="7">
        <v>1024.93</v>
      </c>
      <c r="J1330" s="9">
        <v>0.2</v>
      </c>
      <c r="K1330" s="7">
        <v>819.94</v>
      </c>
      <c r="L1330" s="7">
        <v>275.48</v>
      </c>
      <c r="M1330" s="3" t="s">
        <v>56</v>
      </c>
      <c r="N1330" s="3" t="str">
        <f t="shared" si="80"/>
        <v>2024-12</v>
      </c>
      <c r="O1330" s="3" t="str">
        <f t="shared" si="81"/>
        <v>16-20%</v>
      </c>
      <c r="P1330" s="9">
        <f t="shared" si="82"/>
        <v>0.33597580310754444</v>
      </c>
      <c r="Q1330" s="3" t="str">
        <f t="shared" si="83"/>
        <v>No</v>
      </c>
    </row>
    <row r="1331" spans="1:17" ht="21" customHeight="1">
      <c r="A1331" s="3" t="s">
        <v>1988</v>
      </c>
      <c r="B1331" s="5">
        <v>45637</v>
      </c>
      <c r="C1331" s="3" t="s">
        <v>1269</v>
      </c>
      <c r="D1331" s="3" t="s">
        <v>45</v>
      </c>
      <c r="E1331" s="3" t="s">
        <v>39</v>
      </c>
      <c r="F1331" s="3" t="s">
        <v>109</v>
      </c>
      <c r="G1331" s="3" t="s">
        <v>355</v>
      </c>
      <c r="H1331" s="3">
        <v>1</v>
      </c>
      <c r="I1331" s="7">
        <v>3448.7</v>
      </c>
      <c r="J1331" s="9">
        <v>0.05</v>
      </c>
      <c r="K1331" s="7">
        <v>3276.26</v>
      </c>
      <c r="L1331" s="7">
        <v>1241.8900000000001</v>
      </c>
      <c r="M1331" s="3" t="s">
        <v>56</v>
      </c>
      <c r="N1331" s="3" t="str">
        <f t="shared" si="80"/>
        <v>2024-12</v>
      </c>
      <c r="O1331" s="3" t="str">
        <f t="shared" si="81"/>
        <v>1-10%</v>
      </c>
      <c r="P1331" s="9">
        <f t="shared" si="82"/>
        <v>0.37905721768113643</v>
      </c>
      <c r="Q1331" s="3" t="str">
        <f t="shared" si="83"/>
        <v>No</v>
      </c>
    </row>
    <row r="1332" spans="1:17" ht="21" customHeight="1">
      <c r="A1332" s="3" t="s">
        <v>1989</v>
      </c>
      <c r="B1332" s="5">
        <v>45638</v>
      </c>
      <c r="C1332" s="3" t="s">
        <v>1365</v>
      </c>
      <c r="D1332" s="3" t="s">
        <v>46</v>
      </c>
      <c r="E1332" s="3" t="s">
        <v>38</v>
      </c>
      <c r="F1332" s="3" t="s">
        <v>94</v>
      </c>
      <c r="G1332" s="3" t="s">
        <v>95</v>
      </c>
      <c r="H1332" s="3">
        <v>1</v>
      </c>
      <c r="I1332" s="7">
        <v>77531.5</v>
      </c>
      <c r="J1332" s="9">
        <v>0</v>
      </c>
      <c r="K1332" s="7">
        <v>77531.5</v>
      </c>
      <c r="L1332" s="7">
        <v>15224.51</v>
      </c>
      <c r="M1332" s="3" t="s">
        <v>58</v>
      </c>
      <c r="N1332" s="3" t="str">
        <f t="shared" si="80"/>
        <v>2024-12</v>
      </c>
      <c r="O1332" s="3" t="str">
        <f t="shared" si="81"/>
        <v>No discount</v>
      </c>
      <c r="P1332" s="9">
        <f t="shared" si="82"/>
        <v>0.19636547725763076</v>
      </c>
      <c r="Q1332" s="3" t="str">
        <f t="shared" si="83"/>
        <v>No</v>
      </c>
    </row>
    <row r="1333" spans="1:17" ht="21" customHeight="1">
      <c r="A1333" s="3" t="s">
        <v>1990</v>
      </c>
      <c r="B1333" s="5">
        <v>45639</v>
      </c>
      <c r="C1333" s="3" t="s">
        <v>1171</v>
      </c>
      <c r="D1333" s="3" t="s">
        <v>46</v>
      </c>
      <c r="E1333" s="3" t="s">
        <v>41</v>
      </c>
      <c r="F1333" s="3" t="s">
        <v>113</v>
      </c>
      <c r="G1333" s="3" t="s">
        <v>114</v>
      </c>
      <c r="H1333" s="3">
        <v>1</v>
      </c>
      <c r="I1333" s="7">
        <v>11464.05</v>
      </c>
      <c r="J1333" s="9">
        <v>0.2</v>
      </c>
      <c r="K1333" s="7">
        <v>9171.24</v>
      </c>
      <c r="L1333" s="7">
        <v>1488.28</v>
      </c>
      <c r="M1333" s="3" t="s">
        <v>56</v>
      </c>
      <c r="N1333" s="3" t="str">
        <f t="shared" si="80"/>
        <v>2024-12</v>
      </c>
      <c r="O1333" s="3" t="str">
        <f t="shared" si="81"/>
        <v>16-20%</v>
      </c>
      <c r="P1333" s="9">
        <f t="shared" si="82"/>
        <v>0.16227685678272513</v>
      </c>
      <c r="Q1333" s="3" t="str">
        <f t="shared" si="83"/>
        <v>No</v>
      </c>
    </row>
    <row r="1334" spans="1:17" ht="21" customHeight="1">
      <c r="A1334" s="3" t="s">
        <v>1991</v>
      </c>
      <c r="B1334" s="5">
        <v>45639</v>
      </c>
      <c r="C1334" s="3" t="s">
        <v>1303</v>
      </c>
      <c r="D1334" s="3" t="s">
        <v>45</v>
      </c>
      <c r="E1334" s="3" t="s">
        <v>41</v>
      </c>
      <c r="F1334" s="3" t="s">
        <v>113</v>
      </c>
      <c r="G1334" s="3" t="s">
        <v>123</v>
      </c>
      <c r="H1334" s="3">
        <v>1</v>
      </c>
      <c r="I1334" s="7">
        <v>3488.24</v>
      </c>
      <c r="J1334" s="9">
        <v>0.15</v>
      </c>
      <c r="K1334" s="7">
        <v>2965</v>
      </c>
      <c r="L1334" s="7">
        <v>600.55999999999995</v>
      </c>
      <c r="M1334" s="3" t="s">
        <v>57</v>
      </c>
      <c r="N1334" s="3" t="str">
        <f t="shared" si="80"/>
        <v>2024-12</v>
      </c>
      <c r="O1334" s="3" t="str">
        <f t="shared" si="81"/>
        <v>11-15%</v>
      </c>
      <c r="P1334" s="9">
        <f t="shared" si="82"/>
        <v>0.20254974704890386</v>
      </c>
      <c r="Q1334" s="3" t="str">
        <f t="shared" si="83"/>
        <v>No</v>
      </c>
    </row>
    <row r="1335" spans="1:17" ht="21" customHeight="1">
      <c r="A1335" s="3" t="s">
        <v>1992</v>
      </c>
      <c r="B1335" s="5">
        <v>45639</v>
      </c>
      <c r="C1335" s="3" t="s">
        <v>1645</v>
      </c>
      <c r="D1335" s="3" t="s">
        <v>47</v>
      </c>
      <c r="E1335" s="3" t="s">
        <v>39</v>
      </c>
      <c r="F1335" s="3" t="s">
        <v>109</v>
      </c>
      <c r="G1335" s="3" t="s">
        <v>355</v>
      </c>
      <c r="H1335" s="3">
        <v>1</v>
      </c>
      <c r="I1335" s="7">
        <v>3393.27</v>
      </c>
      <c r="J1335" s="9">
        <v>0</v>
      </c>
      <c r="K1335" s="7">
        <v>3393.27</v>
      </c>
      <c r="L1335" s="7">
        <v>1336.72</v>
      </c>
      <c r="M1335" s="3" t="s">
        <v>58</v>
      </c>
      <c r="N1335" s="3" t="str">
        <f t="shared" si="80"/>
        <v>2024-12</v>
      </c>
      <c r="O1335" s="3" t="str">
        <f t="shared" si="81"/>
        <v>No discount</v>
      </c>
      <c r="P1335" s="9">
        <f t="shared" si="82"/>
        <v>0.39393269618981103</v>
      </c>
      <c r="Q1335" s="3" t="str">
        <f t="shared" si="83"/>
        <v>No</v>
      </c>
    </row>
    <row r="1336" spans="1:17" ht="21" customHeight="1">
      <c r="A1336" s="3" t="s">
        <v>1993</v>
      </c>
      <c r="B1336" s="5">
        <v>45639</v>
      </c>
      <c r="C1336" s="3" t="s">
        <v>483</v>
      </c>
      <c r="D1336" s="3" t="s">
        <v>45</v>
      </c>
      <c r="E1336" s="3" t="s">
        <v>42</v>
      </c>
      <c r="F1336" s="3" t="s">
        <v>126</v>
      </c>
      <c r="G1336" s="3" t="s">
        <v>127</v>
      </c>
      <c r="H1336" s="3">
        <v>1</v>
      </c>
      <c r="I1336" s="7">
        <v>982.54</v>
      </c>
      <c r="J1336" s="9">
        <v>0.05</v>
      </c>
      <c r="K1336" s="7">
        <v>933.41</v>
      </c>
      <c r="L1336" s="7">
        <v>441.72</v>
      </c>
      <c r="M1336" s="3" t="s">
        <v>57</v>
      </c>
      <c r="N1336" s="3" t="str">
        <f t="shared" si="80"/>
        <v>2024-12</v>
      </c>
      <c r="O1336" s="3" t="str">
        <f t="shared" si="81"/>
        <v>1-10%</v>
      </c>
      <c r="P1336" s="9">
        <f t="shared" si="82"/>
        <v>0.47323255589719421</v>
      </c>
      <c r="Q1336" s="3" t="str">
        <f t="shared" si="83"/>
        <v>No</v>
      </c>
    </row>
    <row r="1337" spans="1:17" ht="21" customHeight="1">
      <c r="A1337" s="3" t="s">
        <v>1994</v>
      </c>
      <c r="B1337" s="5">
        <v>45640</v>
      </c>
      <c r="C1337" s="3" t="s">
        <v>733</v>
      </c>
      <c r="D1337" s="3" t="s">
        <v>44</v>
      </c>
      <c r="E1337" s="3" t="s">
        <v>42</v>
      </c>
      <c r="F1337" s="3" t="s">
        <v>126</v>
      </c>
      <c r="G1337" s="3" t="s">
        <v>127</v>
      </c>
      <c r="H1337" s="3">
        <v>2</v>
      </c>
      <c r="I1337" s="7">
        <v>959.3</v>
      </c>
      <c r="J1337" s="9">
        <v>0.15</v>
      </c>
      <c r="K1337" s="7">
        <v>1630.81</v>
      </c>
      <c r="L1337" s="7">
        <v>552</v>
      </c>
      <c r="M1337" s="3" t="s">
        <v>57</v>
      </c>
      <c r="N1337" s="3" t="str">
        <f t="shared" si="80"/>
        <v>2024-12</v>
      </c>
      <c r="O1337" s="3" t="str">
        <f t="shared" si="81"/>
        <v>11-15%</v>
      </c>
      <c r="P1337" s="9">
        <f t="shared" si="82"/>
        <v>0.33848210398513623</v>
      </c>
      <c r="Q1337" s="3" t="str">
        <f t="shared" si="83"/>
        <v>No</v>
      </c>
    </row>
    <row r="1338" spans="1:17" ht="21" customHeight="1">
      <c r="A1338" s="3" t="s">
        <v>1995</v>
      </c>
      <c r="B1338" s="5">
        <v>45640</v>
      </c>
      <c r="C1338" s="3" t="s">
        <v>865</v>
      </c>
      <c r="D1338" s="3" t="s">
        <v>47</v>
      </c>
      <c r="E1338" s="3" t="s">
        <v>40</v>
      </c>
      <c r="F1338" s="3" t="s">
        <v>102</v>
      </c>
      <c r="G1338" s="3" t="s">
        <v>103</v>
      </c>
      <c r="H1338" s="3">
        <v>1</v>
      </c>
      <c r="I1338" s="7">
        <v>6577.56</v>
      </c>
      <c r="J1338" s="9">
        <v>0.05</v>
      </c>
      <c r="K1338" s="7">
        <v>6248.68</v>
      </c>
      <c r="L1338" s="7">
        <v>1726.73</v>
      </c>
      <c r="M1338" s="3" t="s">
        <v>56</v>
      </c>
      <c r="N1338" s="3" t="str">
        <f t="shared" si="80"/>
        <v>2024-12</v>
      </c>
      <c r="O1338" s="3" t="str">
        <f t="shared" si="81"/>
        <v>1-10%</v>
      </c>
      <c r="P1338" s="9">
        <f t="shared" si="82"/>
        <v>0.2763351619862115</v>
      </c>
      <c r="Q1338" s="3" t="str">
        <f t="shared" si="83"/>
        <v>No</v>
      </c>
    </row>
    <row r="1339" spans="1:17" ht="21" customHeight="1">
      <c r="A1339" s="3" t="s">
        <v>1996</v>
      </c>
      <c r="B1339" s="5">
        <v>45640</v>
      </c>
      <c r="C1339" s="3" t="s">
        <v>337</v>
      </c>
      <c r="D1339" s="3" t="s">
        <v>47</v>
      </c>
      <c r="E1339" s="3" t="s">
        <v>38</v>
      </c>
      <c r="F1339" s="3" t="s">
        <v>98</v>
      </c>
      <c r="G1339" s="3" t="s">
        <v>362</v>
      </c>
      <c r="H1339" s="3">
        <v>1</v>
      </c>
      <c r="I1339" s="7">
        <v>34466.06</v>
      </c>
      <c r="J1339" s="9">
        <v>0</v>
      </c>
      <c r="K1339" s="7">
        <v>34466.06</v>
      </c>
      <c r="L1339" s="7">
        <v>6723.04</v>
      </c>
      <c r="M1339" s="3" t="s">
        <v>59</v>
      </c>
      <c r="N1339" s="3" t="str">
        <f t="shared" si="80"/>
        <v>2024-12</v>
      </c>
      <c r="O1339" s="3" t="str">
        <f t="shared" si="81"/>
        <v>No discount</v>
      </c>
      <c r="P1339" s="9">
        <f t="shared" si="82"/>
        <v>0.1950626210248575</v>
      </c>
      <c r="Q1339" s="3" t="str">
        <f t="shared" si="83"/>
        <v>No</v>
      </c>
    </row>
    <row r="1340" spans="1:17" ht="21" customHeight="1">
      <c r="A1340" s="3" t="s">
        <v>1997</v>
      </c>
      <c r="B1340" s="5">
        <v>45640</v>
      </c>
      <c r="C1340" s="3" t="s">
        <v>833</v>
      </c>
      <c r="D1340" s="3" t="s">
        <v>47</v>
      </c>
      <c r="E1340" s="3" t="s">
        <v>40</v>
      </c>
      <c r="F1340" s="3" t="s">
        <v>102</v>
      </c>
      <c r="G1340" s="3" t="s">
        <v>103</v>
      </c>
      <c r="H1340" s="3">
        <v>1</v>
      </c>
      <c r="I1340" s="7">
        <v>6706.18</v>
      </c>
      <c r="J1340" s="9">
        <v>0.3</v>
      </c>
      <c r="K1340" s="7">
        <v>4694.33</v>
      </c>
      <c r="L1340" s="7">
        <v>72.290000000000006</v>
      </c>
      <c r="M1340" s="3" t="s">
        <v>57</v>
      </c>
      <c r="N1340" s="3" t="str">
        <f t="shared" si="80"/>
        <v>2024-12</v>
      </c>
      <c r="O1340" s="3" t="str">
        <f t="shared" si="81"/>
        <v>21%+</v>
      </c>
      <c r="P1340" s="9">
        <f t="shared" si="82"/>
        <v>1.5399428672462313E-2</v>
      </c>
      <c r="Q1340" s="3" t="str">
        <f t="shared" si="83"/>
        <v>No</v>
      </c>
    </row>
    <row r="1341" spans="1:17" ht="21" customHeight="1">
      <c r="A1341" s="3" t="s">
        <v>1998</v>
      </c>
      <c r="B1341" s="5">
        <v>45640</v>
      </c>
      <c r="C1341" s="3" t="s">
        <v>473</v>
      </c>
      <c r="D1341" s="3" t="s">
        <v>45</v>
      </c>
      <c r="E1341" s="3" t="s">
        <v>38</v>
      </c>
      <c r="F1341" s="3" t="s">
        <v>94</v>
      </c>
      <c r="G1341" s="3" t="s">
        <v>95</v>
      </c>
      <c r="H1341" s="3">
        <v>3</v>
      </c>
      <c r="I1341" s="7">
        <v>78355.53</v>
      </c>
      <c r="J1341" s="9">
        <v>0.1</v>
      </c>
      <c r="K1341" s="7">
        <v>211559.93</v>
      </c>
      <c r="L1341" s="7">
        <v>5742.31</v>
      </c>
      <c r="M1341" s="3" t="s">
        <v>56</v>
      </c>
      <c r="N1341" s="3" t="str">
        <f t="shared" si="80"/>
        <v>2024-12</v>
      </c>
      <c r="O1341" s="3" t="str">
        <f t="shared" si="81"/>
        <v>1-10%</v>
      </c>
      <c r="P1341" s="9">
        <f t="shared" si="82"/>
        <v>2.7142710814850434E-2</v>
      </c>
      <c r="Q1341" s="3" t="str">
        <f t="shared" si="83"/>
        <v>No</v>
      </c>
    </row>
    <row r="1342" spans="1:17" ht="21" customHeight="1">
      <c r="A1342" s="3" t="s">
        <v>1999</v>
      </c>
      <c r="B1342" s="5">
        <v>45640</v>
      </c>
      <c r="C1342" s="3" t="s">
        <v>1631</v>
      </c>
      <c r="D1342" s="3" t="s">
        <v>45</v>
      </c>
      <c r="E1342" s="3" t="s">
        <v>40</v>
      </c>
      <c r="F1342" s="3" t="s">
        <v>160</v>
      </c>
      <c r="G1342" s="3" t="s">
        <v>161</v>
      </c>
      <c r="H1342" s="3">
        <v>1</v>
      </c>
      <c r="I1342" s="7">
        <v>12732.39</v>
      </c>
      <c r="J1342" s="9">
        <v>0.05</v>
      </c>
      <c r="K1342" s="7">
        <v>12095.77</v>
      </c>
      <c r="L1342" s="7">
        <v>2954.2</v>
      </c>
      <c r="M1342" s="3" t="s">
        <v>56</v>
      </c>
      <c r="N1342" s="3" t="str">
        <f t="shared" si="80"/>
        <v>2024-12</v>
      </c>
      <c r="O1342" s="3" t="str">
        <f t="shared" si="81"/>
        <v>1-10%</v>
      </c>
      <c r="P1342" s="9">
        <f t="shared" si="82"/>
        <v>0.24423414135685448</v>
      </c>
      <c r="Q1342" s="3" t="str">
        <f t="shared" si="83"/>
        <v>No</v>
      </c>
    </row>
    <row r="1343" spans="1:17" ht="21" customHeight="1">
      <c r="A1343" s="3" t="s">
        <v>2000</v>
      </c>
      <c r="B1343" s="5">
        <v>45641</v>
      </c>
      <c r="C1343" s="3" t="s">
        <v>159</v>
      </c>
      <c r="D1343" s="3" t="s">
        <v>45</v>
      </c>
      <c r="E1343" s="3" t="s">
        <v>42</v>
      </c>
      <c r="F1343" s="3" t="s">
        <v>126</v>
      </c>
      <c r="G1343" s="3" t="s">
        <v>151</v>
      </c>
      <c r="H1343" s="3">
        <v>1</v>
      </c>
      <c r="I1343" s="7">
        <v>1430.81</v>
      </c>
      <c r="J1343" s="9">
        <v>0</v>
      </c>
      <c r="K1343" s="7">
        <v>1430.81</v>
      </c>
      <c r="L1343" s="7">
        <v>825.51</v>
      </c>
      <c r="M1343" s="3" t="s">
        <v>58</v>
      </c>
      <c r="N1343" s="3" t="str">
        <f t="shared" si="80"/>
        <v>2024-12</v>
      </c>
      <c r="O1343" s="3" t="str">
        <f t="shared" si="81"/>
        <v>No discount</v>
      </c>
      <c r="P1343" s="9">
        <f t="shared" si="82"/>
        <v>0.57695291478253574</v>
      </c>
      <c r="Q1343" s="3" t="str">
        <f t="shared" si="83"/>
        <v>No</v>
      </c>
    </row>
    <row r="1344" spans="1:17" ht="21" customHeight="1">
      <c r="A1344" s="3" t="s">
        <v>2001</v>
      </c>
      <c r="B1344" s="5">
        <v>45641</v>
      </c>
      <c r="C1344" s="3" t="s">
        <v>529</v>
      </c>
      <c r="D1344" s="3" t="s">
        <v>47</v>
      </c>
      <c r="E1344" s="3" t="s">
        <v>38</v>
      </c>
      <c r="F1344" s="3" t="s">
        <v>98</v>
      </c>
      <c r="G1344" s="3" t="s">
        <v>182</v>
      </c>
      <c r="H1344" s="3">
        <v>3</v>
      </c>
      <c r="I1344" s="7">
        <v>66881.3</v>
      </c>
      <c r="J1344" s="9">
        <v>0.1</v>
      </c>
      <c r="K1344" s="7">
        <v>180579.51</v>
      </c>
      <c r="L1344" s="7">
        <v>9481.3799999999992</v>
      </c>
      <c r="M1344" s="3" t="s">
        <v>57</v>
      </c>
      <c r="N1344" s="3" t="str">
        <f t="shared" si="80"/>
        <v>2024-12</v>
      </c>
      <c r="O1344" s="3" t="str">
        <f t="shared" si="81"/>
        <v>1-10%</v>
      </c>
      <c r="P1344" s="9">
        <f t="shared" si="82"/>
        <v>5.2505292543987954E-2</v>
      </c>
      <c r="Q1344" s="3" t="str">
        <f t="shared" si="83"/>
        <v>No</v>
      </c>
    </row>
    <row r="1345" spans="1:17" ht="21" customHeight="1">
      <c r="A1345" s="3" t="s">
        <v>2002</v>
      </c>
      <c r="B1345" s="5">
        <v>45641</v>
      </c>
      <c r="C1345" s="3" t="s">
        <v>851</v>
      </c>
      <c r="D1345" s="3" t="s">
        <v>47</v>
      </c>
      <c r="E1345" s="3" t="s">
        <v>42</v>
      </c>
      <c r="F1345" s="3" t="s">
        <v>126</v>
      </c>
      <c r="G1345" s="3" t="s">
        <v>127</v>
      </c>
      <c r="H1345" s="3">
        <v>2</v>
      </c>
      <c r="I1345" s="7">
        <v>1000.45</v>
      </c>
      <c r="J1345" s="9">
        <v>0.1</v>
      </c>
      <c r="K1345" s="7">
        <v>1800.81</v>
      </c>
      <c r="L1345" s="7">
        <v>759.92</v>
      </c>
      <c r="M1345" s="3" t="s">
        <v>56</v>
      </c>
      <c r="N1345" s="3" t="str">
        <f t="shared" si="80"/>
        <v>2024-12</v>
      </c>
      <c r="O1345" s="3" t="str">
        <f t="shared" si="81"/>
        <v>1-10%</v>
      </c>
      <c r="P1345" s="9">
        <f t="shared" si="82"/>
        <v>0.4219878832303241</v>
      </c>
      <c r="Q1345" s="3" t="str">
        <f t="shared" si="83"/>
        <v>No</v>
      </c>
    </row>
    <row r="1346" spans="1:17" ht="21" customHeight="1">
      <c r="A1346" s="3" t="s">
        <v>2003</v>
      </c>
      <c r="B1346" s="5">
        <v>45641</v>
      </c>
      <c r="C1346" s="3" t="s">
        <v>112</v>
      </c>
      <c r="D1346" s="3" t="s">
        <v>44</v>
      </c>
      <c r="E1346" s="3" t="s">
        <v>39</v>
      </c>
      <c r="F1346" s="3" t="s">
        <v>109</v>
      </c>
      <c r="G1346" s="3" t="s">
        <v>355</v>
      </c>
      <c r="H1346" s="3">
        <v>1</v>
      </c>
      <c r="I1346" s="7">
        <v>3583.99</v>
      </c>
      <c r="J1346" s="9">
        <v>0</v>
      </c>
      <c r="K1346" s="7">
        <v>3583.99</v>
      </c>
      <c r="L1346" s="7">
        <v>1492.19</v>
      </c>
      <c r="M1346" s="3" t="s">
        <v>60</v>
      </c>
      <c r="N1346" s="3" t="str">
        <f t="shared" ref="N1346:N1409" si="84">TEXT(B1346,"yyyy-mm")</f>
        <v>2024-12</v>
      </c>
      <c r="O1346" s="3" t="str">
        <f t="shared" ref="O1346:O1409" si="85">IF(J1346=0,"No discount",IF(J1346&lt;=0.1,"1-10%",IF(J1346&lt;=0.15,"11-15%",IF(J1346&lt;=0.2,"16-20%","21%+"))))</f>
        <v>No discount</v>
      </c>
      <c r="P1346" s="9">
        <f t="shared" ref="P1346:P1409" si="86">IF(K1346=0,0,L1346/K1346)</f>
        <v>0.41634881793755008</v>
      </c>
      <c r="Q1346" s="3" t="str">
        <f t="shared" ref="Q1346:Q1409" si="87">IF(L1346&lt;0,"Yes","No")</f>
        <v>No</v>
      </c>
    </row>
    <row r="1347" spans="1:17" ht="21" customHeight="1">
      <c r="A1347" s="3" t="s">
        <v>2004</v>
      </c>
      <c r="B1347" s="5">
        <v>45642</v>
      </c>
      <c r="C1347" s="3" t="s">
        <v>253</v>
      </c>
      <c r="D1347" s="3" t="s">
        <v>45</v>
      </c>
      <c r="E1347" s="3" t="s">
        <v>38</v>
      </c>
      <c r="F1347" s="3" t="s">
        <v>142</v>
      </c>
      <c r="G1347" s="3" t="s">
        <v>245</v>
      </c>
      <c r="H1347" s="3">
        <v>1</v>
      </c>
      <c r="I1347" s="7">
        <v>5248.01</v>
      </c>
      <c r="J1347" s="9">
        <v>0.1</v>
      </c>
      <c r="K1347" s="7">
        <v>4723.21</v>
      </c>
      <c r="L1347" s="7">
        <v>298.83999999999997</v>
      </c>
      <c r="M1347" s="3" t="s">
        <v>60</v>
      </c>
      <c r="N1347" s="3" t="str">
        <f t="shared" si="84"/>
        <v>2024-12</v>
      </c>
      <c r="O1347" s="3" t="str">
        <f t="shared" si="85"/>
        <v>1-10%</v>
      </c>
      <c r="P1347" s="9">
        <f t="shared" si="86"/>
        <v>6.3270529999724753E-2</v>
      </c>
      <c r="Q1347" s="3" t="str">
        <f t="shared" si="87"/>
        <v>No</v>
      </c>
    </row>
    <row r="1348" spans="1:17" ht="21" customHeight="1">
      <c r="A1348" s="3" t="s">
        <v>2005</v>
      </c>
      <c r="B1348" s="5">
        <v>45642</v>
      </c>
      <c r="C1348" s="3" t="s">
        <v>312</v>
      </c>
      <c r="D1348" s="3" t="s">
        <v>44</v>
      </c>
      <c r="E1348" s="3" t="s">
        <v>41</v>
      </c>
      <c r="F1348" s="3" t="s">
        <v>119</v>
      </c>
      <c r="G1348" s="3" t="s">
        <v>120</v>
      </c>
      <c r="H1348" s="3">
        <v>1</v>
      </c>
      <c r="I1348" s="7">
        <v>1238.3900000000001</v>
      </c>
      <c r="J1348" s="9">
        <v>0.15</v>
      </c>
      <c r="K1348" s="7">
        <v>1052.6300000000001</v>
      </c>
      <c r="L1348" s="7">
        <v>178.01</v>
      </c>
      <c r="M1348" s="3" t="s">
        <v>56</v>
      </c>
      <c r="N1348" s="3" t="str">
        <f t="shared" si="84"/>
        <v>2024-12</v>
      </c>
      <c r="O1348" s="3" t="str">
        <f t="shared" si="85"/>
        <v>11-15%</v>
      </c>
      <c r="P1348" s="9">
        <f t="shared" si="86"/>
        <v>0.16910975366463046</v>
      </c>
      <c r="Q1348" s="3" t="str">
        <f t="shared" si="87"/>
        <v>No</v>
      </c>
    </row>
    <row r="1349" spans="1:17" ht="21" customHeight="1">
      <c r="A1349" s="3" t="s">
        <v>2006</v>
      </c>
      <c r="B1349" s="5">
        <v>45642</v>
      </c>
      <c r="C1349" s="3" t="s">
        <v>620</v>
      </c>
      <c r="D1349" s="3" t="s">
        <v>46</v>
      </c>
      <c r="E1349" s="3" t="s">
        <v>41</v>
      </c>
      <c r="F1349" s="3" t="s">
        <v>113</v>
      </c>
      <c r="G1349" s="3" t="s">
        <v>123</v>
      </c>
      <c r="H1349" s="3">
        <v>1</v>
      </c>
      <c r="I1349" s="7">
        <v>3330.13</v>
      </c>
      <c r="J1349" s="9">
        <v>0</v>
      </c>
      <c r="K1349" s="7">
        <v>3330.13</v>
      </c>
      <c r="L1349" s="7">
        <v>1225.01</v>
      </c>
      <c r="M1349" s="3" t="s">
        <v>56</v>
      </c>
      <c r="N1349" s="3" t="str">
        <f t="shared" si="84"/>
        <v>2024-12</v>
      </c>
      <c r="O1349" s="3" t="str">
        <f t="shared" si="85"/>
        <v>No discount</v>
      </c>
      <c r="P1349" s="9">
        <f t="shared" si="86"/>
        <v>0.36785651010621206</v>
      </c>
      <c r="Q1349" s="3" t="str">
        <f t="shared" si="87"/>
        <v>No</v>
      </c>
    </row>
    <row r="1350" spans="1:17" ht="21" customHeight="1">
      <c r="A1350" s="3" t="s">
        <v>2007</v>
      </c>
      <c r="B1350" s="5">
        <v>45642</v>
      </c>
      <c r="C1350" s="3" t="s">
        <v>116</v>
      </c>
      <c r="D1350" s="3" t="s">
        <v>47</v>
      </c>
      <c r="E1350" s="3" t="s">
        <v>40</v>
      </c>
      <c r="F1350" s="3" t="s">
        <v>221</v>
      </c>
      <c r="G1350" s="3" t="s">
        <v>279</v>
      </c>
      <c r="H1350" s="3">
        <v>1</v>
      </c>
      <c r="I1350" s="7">
        <v>1507.17</v>
      </c>
      <c r="J1350" s="9">
        <v>0.05</v>
      </c>
      <c r="K1350" s="7">
        <v>1431.81</v>
      </c>
      <c r="L1350" s="7">
        <v>423.82</v>
      </c>
      <c r="M1350" s="3" t="s">
        <v>58</v>
      </c>
      <c r="N1350" s="3" t="str">
        <f t="shared" si="84"/>
        <v>2024-12</v>
      </c>
      <c r="O1350" s="3" t="str">
        <f t="shared" si="85"/>
        <v>1-10%</v>
      </c>
      <c r="P1350" s="9">
        <f t="shared" si="86"/>
        <v>0.2960029612867629</v>
      </c>
      <c r="Q1350" s="3" t="str">
        <f t="shared" si="87"/>
        <v>No</v>
      </c>
    </row>
    <row r="1351" spans="1:17" ht="21" customHeight="1">
      <c r="A1351" s="3" t="s">
        <v>2008</v>
      </c>
      <c r="B1351" s="5">
        <v>45642</v>
      </c>
      <c r="C1351" s="3" t="s">
        <v>1324</v>
      </c>
      <c r="D1351" s="3" t="s">
        <v>46</v>
      </c>
      <c r="E1351" s="3" t="s">
        <v>38</v>
      </c>
      <c r="F1351" s="3" t="s">
        <v>98</v>
      </c>
      <c r="G1351" s="3" t="s">
        <v>182</v>
      </c>
      <c r="H1351" s="3">
        <v>1</v>
      </c>
      <c r="I1351" s="7">
        <v>67926.27</v>
      </c>
      <c r="J1351" s="9">
        <v>0</v>
      </c>
      <c r="K1351" s="7">
        <v>67926.27</v>
      </c>
      <c r="L1351" s="7">
        <v>10874.88</v>
      </c>
      <c r="M1351" s="3" t="s">
        <v>59</v>
      </c>
      <c r="N1351" s="3" t="str">
        <f t="shared" si="84"/>
        <v>2024-12</v>
      </c>
      <c r="O1351" s="3" t="str">
        <f t="shared" si="85"/>
        <v>No discount</v>
      </c>
      <c r="P1351" s="9">
        <f t="shared" si="86"/>
        <v>0.16009829481289048</v>
      </c>
      <c r="Q1351" s="3" t="str">
        <f t="shared" si="87"/>
        <v>No</v>
      </c>
    </row>
    <row r="1352" spans="1:17" ht="21" customHeight="1">
      <c r="A1352" s="3" t="s">
        <v>2009</v>
      </c>
      <c r="B1352" s="5">
        <v>45643</v>
      </c>
      <c r="C1352" s="3" t="s">
        <v>150</v>
      </c>
      <c r="D1352" s="3" t="s">
        <v>46</v>
      </c>
      <c r="E1352" s="3" t="s">
        <v>38</v>
      </c>
      <c r="F1352" s="3" t="s">
        <v>142</v>
      </c>
      <c r="G1352" s="3" t="s">
        <v>143</v>
      </c>
      <c r="H1352" s="3">
        <v>3</v>
      </c>
      <c r="I1352" s="7">
        <v>8871.82</v>
      </c>
      <c r="J1352" s="9">
        <v>0.05</v>
      </c>
      <c r="K1352" s="7">
        <v>25284.69</v>
      </c>
      <c r="L1352" s="7">
        <v>3029.72</v>
      </c>
      <c r="M1352" s="3" t="s">
        <v>59</v>
      </c>
      <c r="N1352" s="3" t="str">
        <f t="shared" si="84"/>
        <v>2024-12</v>
      </c>
      <c r="O1352" s="3" t="str">
        <f t="shared" si="85"/>
        <v>1-10%</v>
      </c>
      <c r="P1352" s="9">
        <f t="shared" si="86"/>
        <v>0.11982428892741022</v>
      </c>
      <c r="Q1352" s="3" t="str">
        <f t="shared" si="87"/>
        <v>No</v>
      </c>
    </row>
    <row r="1353" spans="1:17" ht="21" customHeight="1">
      <c r="A1353" s="3" t="s">
        <v>2010</v>
      </c>
      <c r="B1353" s="5">
        <v>45643</v>
      </c>
      <c r="C1353" s="3" t="s">
        <v>1107</v>
      </c>
      <c r="D1353" s="3" t="s">
        <v>46</v>
      </c>
      <c r="E1353" s="3" t="s">
        <v>39</v>
      </c>
      <c r="F1353" s="3" t="s">
        <v>109</v>
      </c>
      <c r="G1353" s="3" t="s">
        <v>355</v>
      </c>
      <c r="H1353" s="3">
        <v>4</v>
      </c>
      <c r="I1353" s="7">
        <v>3576.25</v>
      </c>
      <c r="J1353" s="9">
        <v>0.25</v>
      </c>
      <c r="K1353" s="7">
        <v>10728.75</v>
      </c>
      <c r="L1353" s="7">
        <v>1351.07</v>
      </c>
      <c r="M1353" s="3" t="s">
        <v>57</v>
      </c>
      <c r="N1353" s="3" t="str">
        <f t="shared" si="84"/>
        <v>2024-12</v>
      </c>
      <c r="O1353" s="3" t="str">
        <f t="shared" si="85"/>
        <v>21%+</v>
      </c>
      <c r="P1353" s="9">
        <f t="shared" si="86"/>
        <v>0.12592986135383899</v>
      </c>
      <c r="Q1353" s="3" t="str">
        <f t="shared" si="87"/>
        <v>No</v>
      </c>
    </row>
    <row r="1354" spans="1:17" ht="21" customHeight="1">
      <c r="A1354" s="3" t="s">
        <v>2011</v>
      </c>
      <c r="B1354" s="5">
        <v>45644</v>
      </c>
      <c r="C1354" s="3" t="s">
        <v>195</v>
      </c>
      <c r="D1354" s="3" t="s">
        <v>45</v>
      </c>
      <c r="E1354" s="3" t="s">
        <v>39</v>
      </c>
      <c r="F1354" s="3" t="s">
        <v>164</v>
      </c>
      <c r="G1354" s="3" t="s">
        <v>165</v>
      </c>
      <c r="H1354" s="3">
        <v>1</v>
      </c>
      <c r="I1354" s="7">
        <v>2006.43</v>
      </c>
      <c r="J1354" s="9">
        <v>0.1</v>
      </c>
      <c r="K1354" s="7">
        <v>1805.79</v>
      </c>
      <c r="L1354" s="7">
        <v>615.34</v>
      </c>
      <c r="M1354" s="3" t="s">
        <v>58</v>
      </c>
      <c r="N1354" s="3" t="str">
        <f t="shared" si="84"/>
        <v>2024-12</v>
      </c>
      <c r="O1354" s="3" t="str">
        <f t="shared" si="85"/>
        <v>1-10%</v>
      </c>
      <c r="P1354" s="9">
        <f t="shared" si="86"/>
        <v>0.34075944600424196</v>
      </c>
      <c r="Q1354" s="3" t="str">
        <f t="shared" si="87"/>
        <v>No</v>
      </c>
    </row>
    <row r="1355" spans="1:17" ht="21" customHeight="1">
      <c r="A1355" s="3" t="s">
        <v>2012</v>
      </c>
      <c r="B1355" s="5">
        <v>45644</v>
      </c>
      <c r="C1355" s="3" t="s">
        <v>1415</v>
      </c>
      <c r="D1355" s="3" t="s">
        <v>47</v>
      </c>
      <c r="E1355" s="3" t="s">
        <v>38</v>
      </c>
      <c r="F1355" s="3" t="s">
        <v>94</v>
      </c>
      <c r="G1355" s="3" t="s">
        <v>95</v>
      </c>
      <c r="H1355" s="3">
        <v>1</v>
      </c>
      <c r="I1355" s="7">
        <v>77447.25</v>
      </c>
      <c r="J1355" s="9">
        <v>0</v>
      </c>
      <c r="K1355" s="7">
        <v>77447.25</v>
      </c>
      <c r="L1355" s="7">
        <v>10843.19</v>
      </c>
      <c r="M1355" s="3" t="s">
        <v>58</v>
      </c>
      <c r="N1355" s="3" t="str">
        <f t="shared" si="84"/>
        <v>2024-12</v>
      </c>
      <c r="O1355" s="3" t="str">
        <f t="shared" si="85"/>
        <v>No discount</v>
      </c>
      <c r="P1355" s="9">
        <f t="shared" si="86"/>
        <v>0.14000742440822625</v>
      </c>
      <c r="Q1355" s="3" t="str">
        <f t="shared" si="87"/>
        <v>No</v>
      </c>
    </row>
    <row r="1356" spans="1:17" ht="21" customHeight="1">
      <c r="A1356" s="3" t="s">
        <v>2013</v>
      </c>
      <c r="B1356" s="5">
        <v>45644</v>
      </c>
      <c r="C1356" s="3" t="s">
        <v>979</v>
      </c>
      <c r="D1356" s="3" t="s">
        <v>45</v>
      </c>
      <c r="E1356" s="3" t="s">
        <v>41</v>
      </c>
      <c r="F1356" s="3" t="s">
        <v>119</v>
      </c>
      <c r="G1356" s="3" t="s">
        <v>120</v>
      </c>
      <c r="H1356" s="3">
        <v>2</v>
      </c>
      <c r="I1356" s="7">
        <v>1308.1300000000001</v>
      </c>
      <c r="J1356" s="9">
        <v>0.05</v>
      </c>
      <c r="K1356" s="7">
        <v>2485.4499999999998</v>
      </c>
      <c r="L1356" s="7">
        <v>883.72</v>
      </c>
      <c r="M1356" s="3" t="s">
        <v>60</v>
      </c>
      <c r="N1356" s="3" t="str">
        <f t="shared" si="84"/>
        <v>2024-12</v>
      </c>
      <c r="O1356" s="3" t="str">
        <f t="shared" si="85"/>
        <v>1-10%</v>
      </c>
      <c r="P1356" s="9">
        <f t="shared" si="86"/>
        <v>0.35555734374057013</v>
      </c>
      <c r="Q1356" s="3" t="str">
        <f t="shared" si="87"/>
        <v>No</v>
      </c>
    </row>
    <row r="1357" spans="1:17" ht="21" customHeight="1">
      <c r="A1357" s="3" t="s">
        <v>2014</v>
      </c>
      <c r="B1357" s="5">
        <v>45644</v>
      </c>
      <c r="C1357" s="3" t="s">
        <v>1384</v>
      </c>
      <c r="D1357" s="3" t="s">
        <v>47</v>
      </c>
      <c r="E1357" s="3" t="s">
        <v>38</v>
      </c>
      <c r="F1357" s="3" t="s">
        <v>142</v>
      </c>
      <c r="G1357" s="3" t="s">
        <v>143</v>
      </c>
      <c r="H1357" s="3">
        <v>1</v>
      </c>
      <c r="I1357" s="7">
        <v>9270.68</v>
      </c>
      <c r="J1357" s="9">
        <v>0.25</v>
      </c>
      <c r="K1357" s="7">
        <v>6953.01</v>
      </c>
      <c r="L1357" s="7">
        <v>-620.04</v>
      </c>
      <c r="M1357" s="3" t="s">
        <v>56</v>
      </c>
      <c r="N1357" s="3" t="str">
        <f t="shared" si="84"/>
        <v>2024-12</v>
      </c>
      <c r="O1357" s="3" t="str">
        <f t="shared" si="85"/>
        <v>21%+</v>
      </c>
      <c r="P1357" s="9">
        <f t="shared" si="86"/>
        <v>-8.9175767041899834E-2</v>
      </c>
      <c r="Q1357" s="3" t="str">
        <f t="shared" si="87"/>
        <v>Yes</v>
      </c>
    </row>
    <row r="1358" spans="1:17" ht="21" customHeight="1">
      <c r="A1358" s="3" t="s">
        <v>2015</v>
      </c>
      <c r="B1358" s="5">
        <v>45644</v>
      </c>
      <c r="C1358" s="3" t="s">
        <v>341</v>
      </c>
      <c r="D1358" s="3" t="s">
        <v>44</v>
      </c>
      <c r="E1358" s="3" t="s">
        <v>39</v>
      </c>
      <c r="F1358" s="3" t="s">
        <v>109</v>
      </c>
      <c r="G1358" s="3" t="s">
        <v>110</v>
      </c>
      <c r="H1358" s="3">
        <v>2</v>
      </c>
      <c r="I1358" s="7">
        <v>2854.3</v>
      </c>
      <c r="J1358" s="9">
        <v>0.1</v>
      </c>
      <c r="K1358" s="7">
        <v>5137.74</v>
      </c>
      <c r="L1358" s="7">
        <v>1698.03</v>
      </c>
      <c r="M1358" s="3" t="s">
        <v>56</v>
      </c>
      <c r="N1358" s="3" t="str">
        <f t="shared" si="84"/>
        <v>2024-12</v>
      </c>
      <c r="O1358" s="3" t="str">
        <f t="shared" si="85"/>
        <v>1-10%</v>
      </c>
      <c r="P1358" s="9">
        <f t="shared" si="86"/>
        <v>0.33050134884209792</v>
      </c>
      <c r="Q1358" s="3" t="str">
        <f t="shared" si="87"/>
        <v>No</v>
      </c>
    </row>
    <row r="1359" spans="1:17" ht="21" customHeight="1">
      <c r="A1359" s="3" t="s">
        <v>2016</v>
      </c>
      <c r="B1359" s="5">
        <v>45644</v>
      </c>
      <c r="C1359" s="3" t="s">
        <v>428</v>
      </c>
      <c r="D1359" s="3" t="s">
        <v>44</v>
      </c>
      <c r="E1359" s="3" t="s">
        <v>41</v>
      </c>
      <c r="F1359" s="3" t="s">
        <v>113</v>
      </c>
      <c r="G1359" s="3" t="s">
        <v>114</v>
      </c>
      <c r="H1359" s="3">
        <v>1</v>
      </c>
      <c r="I1359" s="7">
        <v>11852.41</v>
      </c>
      <c r="J1359" s="9">
        <v>0.25</v>
      </c>
      <c r="K1359" s="7">
        <v>8889.31</v>
      </c>
      <c r="L1359" s="7">
        <v>1026.6400000000001</v>
      </c>
      <c r="M1359" s="3" t="s">
        <v>56</v>
      </c>
      <c r="N1359" s="3" t="str">
        <f t="shared" si="84"/>
        <v>2024-12</v>
      </c>
      <c r="O1359" s="3" t="str">
        <f t="shared" si="85"/>
        <v>21%+</v>
      </c>
      <c r="P1359" s="9">
        <f t="shared" si="86"/>
        <v>0.11549152858883312</v>
      </c>
      <c r="Q1359" s="3" t="str">
        <f t="shared" si="87"/>
        <v>No</v>
      </c>
    </row>
    <row r="1360" spans="1:17" ht="21" customHeight="1">
      <c r="A1360" s="3" t="s">
        <v>2017</v>
      </c>
      <c r="B1360" s="5">
        <v>45644</v>
      </c>
      <c r="C1360" s="3" t="s">
        <v>1060</v>
      </c>
      <c r="D1360" s="3" t="s">
        <v>44</v>
      </c>
      <c r="E1360" s="3" t="s">
        <v>42</v>
      </c>
      <c r="F1360" s="3" t="s">
        <v>90</v>
      </c>
      <c r="G1360" s="3" t="s">
        <v>106</v>
      </c>
      <c r="H1360" s="3">
        <v>1</v>
      </c>
      <c r="I1360" s="7">
        <v>903.99</v>
      </c>
      <c r="J1360" s="9">
        <v>0.05</v>
      </c>
      <c r="K1360" s="7">
        <v>858.79</v>
      </c>
      <c r="L1360" s="7">
        <v>430.53</v>
      </c>
      <c r="M1360" s="3" t="s">
        <v>56</v>
      </c>
      <c r="N1360" s="3" t="str">
        <f t="shared" si="84"/>
        <v>2024-12</v>
      </c>
      <c r="O1360" s="3" t="str">
        <f t="shared" si="85"/>
        <v>1-10%</v>
      </c>
      <c r="P1360" s="9">
        <f t="shared" si="86"/>
        <v>0.50132162694022986</v>
      </c>
      <c r="Q1360" s="3" t="str">
        <f t="shared" si="87"/>
        <v>No</v>
      </c>
    </row>
    <row r="1361" spans="1:17" ht="21" customHeight="1">
      <c r="A1361" s="3" t="s">
        <v>2018</v>
      </c>
      <c r="B1361" s="5">
        <v>45644</v>
      </c>
      <c r="C1361" s="3" t="s">
        <v>733</v>
      </c>
      <c r="D1361" s="3" t="s">
        <v>46</v>
      </c>
      <c r="E1361" s="3" t="s">
        <v>41</v>
      </c>
      <c r="F1361" s="3" t="s">
        <v>113</v>
      </c>
      <c r="G1361" s="3" t="s">
        <v>123</v>
      </c>
      <c r="H1361" s="3">
        <v>3</v>
      </c>
      <c r="I1361" s="7">
        <v>3376.18</v>
      </c>
      <c r="J1361" s="9">
        <v>0.15</v>
      </c>
      <c r="K1361" s="7">
        <v>8609.26</v>
      </c>
      <c r="L1361" s="7">
        <v>1741.05</v>
      </c>
      <c r="M1361" s="3" t="s">
        <v>59</v>
      </c>
      <c r="N1361" s="3" t="str">
        <f t="shared" si="84"/>
        <v>2024-12</v>
      </c>
      <c r="O1361" s="3" t="str">
        <f t="shared" si="85"/>
        <v>11-15%</v>
      </c>
      <c r="P1361" s="9">
        <f t="shared" si="86"/>
        <v>0.20222992452312974</v>
      </c>
      <c r="Q1361" s="3" t="str">
        <f t="shared" si="87"/>
        <v>No</v>
      </c>
    </row>
    <row r="1362" spans="1:17" ht="21" customHeight="1">
      <c r="A1362" s="3" t="s">
        <v>2019</v>
      </c>
      <c r="B1362" s="5">
        <v>45645</v>
      </c>
      <c r="C1362" s="3" t="s">
        <v>175</v>
      </c>
      <c r="D1362" s="3" t="s">
        <v>46</v>
      </c>
      <c r="E1362" s="3" t="s">
        <v>40</v>
      </c>
      <c r="F1362" s="3" t="s">
        <v>102</v>
      </c>
      <c r="G1362" s="3" t="s">
        <v>103</v>
      </c>
      <c r="H1362" s="3">
        <v>2</v>
      </c>
      <c r="I1362" s="7">
        <v>6585.17</v>
      </c>
      <c r="J1362" s="9">
        <v>0.25</v>
      </c>
      <c r="K1362" s="7">
        <v>9877.76</v>
      </c>
      <c r="L1362" s="7">
        <v>183.44</v>
      </c>
      <c r="M1362" s="3" t="s">
        <v>56</v>
      </c>
      <c r="N1362" s="3" t="str">
        <f t="shared" si="84"/>
        <v>2024-12</v>
      </c>
      <c r="O1362" s="3" t="str">
        <f t="shared" si="85"/>
        <v>21%+</v>
      </c>
      <c r="P1362" s="9">
        <f t="shared" si="86"/>
        <v>1.8571012051315276E-2</v>
      </c>
      <c r="Q1362" s="3" t="str">
        <f t="shared" si="87"/>
        <v>No</v>
      </c>
    </row>
    <row r="1363" spans="1:17" ht="21" customHeight="1">
      <c r="A1363" s="3" t="s">
        <v>2020</v>
      </c>
      <c r="B1363" s="5">
        <v>45645</v>
      </c>
      <c r="C1363" s="3" t="s">
        <v>587</v>
      </c>
      <c r="D1363" s="3" t="s">
        <v>45</v>
      </c>
      <c r="E1363" s="3" t="s">
        <v>42</v>
      </c>
      <c r="F1363" s="3" t="s">
        <v>90</v>
      </c>
      <c r="G1363" s="3" t="s">
        <v>91</v>
      </c>
      <c r="H1363" s="3">
        <v>1</v>
      </c>
      <c r="I1363" s="7">
        <v>1238.73</v>
      </c>
      <c r="J1363" s="9">
        <v>0</v>
      </c>
      <c r="K1363" s="7">
        <v>1238.73</v>
      </c>
      <c r="L1363" s="7">
        <v>632.47</v>
      </c>
      <c r="M1363" s="3" t="s">
        <v>57</v>
      </c>
      <c r="N1363" s="3" t="str">
        <f t="shared" si="84"/>
        <v>2024-12</v>
      </c>
      <c r="O1363" s="3" t="str">
        <f t="shared" si="85"/>
        <v>No discount</v>
      </c>
      <c r="P1363" s="9">
        <f t="shared" si="86"/>
        <v>0.51057938372365241</v>
      </c>
      <c r="Q1363" s="3" t="str">
        <f t="shared" si="87"/>
        <v>No</v>
      </c>
    </row>
    <row r="1364" spans="1:17" ht="21" customHeight="1">
      <c r="A1364" s="3" t="s">
        <v>2021</v>
      </c>
      <c r="B1364" s="5">
        <v>45645</v>
      </c>
      <c r="C1364" s="3" t="s">
        <v>1062</v>
      </c>
      <c r="D1364" s="3" t="s">
        <v>46</v>
      </c>
      <c r="E1364" s="3" t="s">
        <v>42</v>
      </c>
      <c r="F1364" s="3" t="s">
        <v>126</v>
      </c>
      <c r="G1364" s="3" t="s">
        <v>151</v>
      </c>
      <c r="H1364" s="3">
        <v>1</v>
      </c>
      <c r="I1364" s="7">
        <v>1513.16</v>
      </c>
      <c r="J1364" s="9">
        <v>0.1</v>
      </c>
      <c r="K1364" s="7">
        <v>1361.84</v>
      </c>
      <c r="L1364" s="7">
        <v>545.20000000000005</v>
      </c>
      <c r="M1364" s="3" t="s">
        <v>59</v>
      </c>
      <c r="N1364" s="3" t="str">
        <f t="shared" si="84"/>
        <v>2024-12</v>
      </c>
      <c r="O1364" s="3" t="str">
        <f t="shared" si="85"/>
        <v>1-10%</v>
      </c>
      <c r="P1364" s="9">
        <f t="shared" si="86"/>
        <v>0.4003407155025554</v>
      </c>
      <c r="Q1364" s="3" t="str">
        <f t="shared" si="87"/>
        <v>No</v>
      </c>
    </row>
    <row r="1365" spans="1:17" ht="21" customHeight="1">
      <c r="A1365" s="3" t="s">
        <v>2022</v>
      </c>
      <c r="B1365" s="5">
        <v>45645</v>
      </c>
      <c r="C1365" s="3" t="s">
        <v>307</v>
      </c>
      <c r="D1365" s="3" t="s">
        <v>44</v>
      </c>
      <c r="E1365" s="3" t="s">
        <v>39</v>
      </c>
      <c r="F1365" s="3" t="s">
        <v>164</v>
      </c>
      <c r="G1365" s="3" t="s">
        <v>200</v>
      </c>
      <c r="H1365" s="3">
        <v>2</v>
      </c>
      <c r="I1365" s="7">
        <v>1312.19</v>
      </c>
      <c r="J1365" s="9">
        <v>0.1</v>
      </c>
      <c r="K1365" s="7">
        <v>2361.94</v>
      </c>
      <c r="L1365" s="7">
        <v>721.65</v>
      </c>
      <c r="M1365" s="3" t="s">
        <v>57</v>
      </c>
      <c r="N1365" s="3" t="str">
        <f t="shared" si="84"/>
        <v>2024-12</v>
      </c>
      <c r="O1365" s="3" t="str">
        <f t="shared" si="85"/>
        <v>1-10%</v>
      </c>
      <c r="P1365" s="9">
        <f t="shared" si="86"/>
        <v>0.30553274003573333</v>
      </c>
      <c r="Q1365" s="3" t="str">
        <f t="shared" si="87"/>
        <v>No</v>
      </c>
    </row>
    <row r="1366" spans="1:17" ht="21" customHeight="1">
      <c r="A1366" s="3" t="s">
        <v>2023</v>
      </c>
      <c r="B1366" s="5">
        <v>45646</v>
      </c>
      <c r="C1366" s="3" t="s">
        <v>471</v>
      </c>
      <c r="D1366" s="3" t="s">
        <v>44</v>
      </c>
      <c r="E1366" s="3" t="s">
        <v>42</v>
      </c>
      <c r="F1366" s="3" t="s">
        <v>126</v>
      </c>
      <c r="G1366" s="3" t="s">
        <v>151</v>
      </c>
      <c r="H1366" s="3">
        <v>1</v>
      </c>
      <c r="I1366" s="7">
        <v>1542.55</v>
      </c>
      <c r="J1366" s="9">
        <v>0.15</v>
      </c>
      <c r="K1366" s="7">
        <v>1311.17</v>
      </c>
      <c r="L1366" s="7">
        <v>514.82000000000005</v>
      </c>
      <c r="M1366" s="3" t="s">
        <v>58</v>
      </c>
      <c r="N1366" s="3" t="str">
        <f t="shared" si="84"/>
        <v>2024-12</v>
      </c>
      <c r="O1366" s="3" t="str">
        <f t="shared" si="85"/>
        <v>11-15%</v>
      </c>
      <c r="P1366" s="9">
        <f t="shared" si="86"/>
        <v>0.39264168643272807</v>
      </c>
      <c r="Q1366" s="3" t="str">
        <f t="shared" si="87"/>
        <v>No</v>
      </c>
    </row>
    <row r="1367" spans="1:17" ht="21" customHeight="1">
      <c r="A1367" s="3" t="s">
        <v>2024</v>
      </c>
      <c r="B1367" s="5">
        <v>45646</v>
      </c>
      <c r="C1367" s="3" t="s">
        <v>2025</v>
      </c>
      <c r="D1367" s="3" t="s">
        <v>46</v>
      </c>
      <c r="E1367" s="3" t="s">
        <v>42</v>
      </c>
      <c r="F1367" s="3" t="s">
        <v>126</v>
      </c>
      <c r="G1367" s="3" t="s">
        <v>151</v>
      </c>
      <c r="H1367" s="3">
        <v>2</v>
      </c>
      <c r="I1367" s="7">
        <v>1442.07</v>
      </c>
      <c r="J1367" s="9">
        <v>0</v>
      </c>
      <c r="K1367" s="7">
        <v>2884.14</v>
      </c>
      <c r="L1367" s="7">
        <v>1678.51</v>
      </c>
      <c r="M1367" s="3" t="s">
        <v>56</v>
      </c>
      <c r="N1367" s="3" t="str">
        <f t="shared" si="84"/>
        <v>2024-12</v>
      </c>
      <c r="O1367" s="3" t="str">
        <f t="shared" si="85"/>
        <v>No discount</v>
      </c>
      <c r="P1367" s="9">
        <f t="shared" si="86"/>
        <v>0.58197937686797452</v>
      </c>
      <c r="Q1367" s="3" t="str">
        <f t="shared" si="87"/>
        <v>No</v>
      </c>
    </row>
    <row r="1368" spans="1:17" ht="21" customHeight="1">
      <c r="A1368" s="3" t="s">
        <v>2026</v>
      </c>
      <c r="B1368" s="5">
        <v>45647</v>
      </c>
      <c r="C1368" s="3" t="s">
        <v>1773</v>
      </c>
      <c r="D1368" s="3" t="s">
        <v>47</v>
      </c>
      <c r="E1368" s="3" t="s">
        <v>40</v>
      </c>
      <c r="F1368" s="3" t="s">
        <v>221</v>
      </c>
      <c r="G1368" s="3" t="s">
        <v>279</v>
      </c>
      <c r="H1368" s="3">
        <v>2</v>
      </c>
      <c r="I1368" s="7">
        <v>1502.86</v>
      </c>
      <c r="J1368" s="9">
        <v>0</v>
      </c>
      <c r="K1368" s="7">
        <v>3005.72</v>
      </c>
      <c r="L1368" s="7">
        <v>973.41</v>
      </c>
      <c r="M1368" s="3" t="s">
        <v>56</v>
      </c>
      <c r="N1368" s="3" t="str">
        <f t="shared" si="84"/>
        <v>2024-12</v>
      </c>
      <c r="O1368" s="3" t="str">
        <f t="shared" si="85"/>
        <v>No discount</v>
      </c>
      <c r="P1368" s="9">
        <f t="shared" si="86"/>
        <v>0.32385252119292551</v>
      </c>
      <c r="Q1368" s="3" t="str">
        <f t="shared" si="87"/>
        <v>No</v>
      </c>
    </row>
    <row r="1369" spans="1:17" ht="21" customHeight="1">
      <c r="A1369" s="3" t="s">
        <v>2027</v>
      </c>
      <c r="B1369" s="5">
        <v>45647</v>
      </c>
      <c r="C1369" s="3" t="s">
        <v>1816</v>
      </c>
      <c r="D1369" s="3" t="s">
        <v>46</v>
      </c>
      <c r="E1369" s="3" t="s">
        <v>42</v>
      </c>
      <c r="F1369" s="3" t="s">
        <v>90</v>
      </c>
      <c r="G1369" s="3" t="s">
        <v>91</v>
      </c>
      <c r="H1369" s="3">
        <v>2</v>
      </c>
      <c r="I1369" s="7">
        <v>1206.67</v>
      </c>
      <c r="J1369" s="9">
        <v>0.1</v>
      </c>
      <c r="K1369" s="7">
        <v>2172.0100000000002</v>
      </c>
      <c r="L1369" s="7">
        <v>948.9</v>
      </c>
      <c r="M1369" s="3" t="s">
        <v>56</v>
      </c>
      <c r="N1369" s="3" t="str">
        <f t="shared" si="84"/>
        <v>2024-12</v>
      </c>
      <c r="O1369" s="3" t="str">
        <f t="shared" si="85"/>
        <v>1-10%</v>
      </c>
      <c r="P1369" s="9">
        <f t="shared" si="86"/>
        <v>0.43687644163700901</v>
      </c>
      <c r="Q1369" s="3" t="str">
        <f t="shared" si="87"/>
        <v>No</v>
      </c>
    </row>
    <row r="1370" spans="1:17" ht="21" customHeight="1">
      <c r="A1370" s="3" t="s">
        <v>2028</v>
      </c>
      <c r="B1370" s="5">
        <v>45647</v>
      </c>
      <c r="C1370" s="3" t="s">
        <v>384</v>
      </c>
      <c r="D1370" s="3" t="s">
        <v>46</v>
      </c>
      <c r="E1370" s="3" t="s">
        <v>41</v>
      </c>
      <c r="F1370" s="3" t="s">
        <v>119</v>
      </c>
      <c r="G1370" s="3" t="s">
        <v>120</v>
      </c>
      <c r="H1370" s="3">
        <v>3</v>
      </c>
      <c r="I1370" s="7">
        <v>1271.6199999999999</v>
      </c>
      <c r="J1370" s="9">
        <v>0.05</v>
      </c>
      <c r="K1370" s="7">
        <v>3624.12</v>
      </c>
      <c r="L1370" s="7">
        <v>1055.24</v>
      </c>
      <c r="M1370" s="3" t="s">
        <v>57</v>
      </c>
      <c r="N1370" s="3" t="str">
        <f t="shared" si="84"/>
        <v>2024-12</v>
      </c>
      <c r="O1370" s="3" t="str">
        <f t="shared" si="85"/>
        <v>1-10%</v>
      </c>
      <c r="P1370" s="9">
        <f t="shared" si="86"/>
        <v>0.29117137401631293</v>
      </c>
      <c r="Q1370" s="3" t="str">
        <f t="shared" si="87"/>
        <v>No</v>
      </c>
    </row>
    <row r="1371" spans="1:17" ht="21" customHeight="1">
      <c r="A1371" s="3" t="s">
        <v>2029</v>
      </c>
      <c r="B1371" s="5">
        <v>45647</v>
      </c>
      <c r="C1371" s="3" t="s">
        <v>247</v>
      </c>
      <c r="D1371" s="3" t="s">
        <v>45</v>
      </c>
      <c r="E1371" s="3" t="s">
        <v>41</v>
      </c>
      <c r="F1371" s="3" t="s">
        <v>119</v>
      </c>
      <c r="G1371" s="3" t="s">
        <v>120</v>
      </c>
      <c r="H1371" s="3">
        <v>2</v>
      </c>
      <c r="I1371" s="7">
        <v>1340.62</v>
      </c>
      <c r="J1371" s="9">
        <v>0.2</v>
      </c>
      <c r="K1371" s="7">
        <v>2144.9899999999998</v>
      </c>
      <c r="L1371" s="7">
        <v>277.02999999999997</v>
      </c>
      <c r="M1371" s="3" t="s">
        <v>56</v>
      </c>
      <c r="N1371" s="3" t="str">
        <f t="shared" si="84"/>
        <v>2024-12</v>
      </c>
      <c r="O1371" s="3" t="str">
        <f t="shared" si="85"/>
        <v>16-20%</v>
      </c>
      <c r="P1371" s="9">
        <f t="shared" si="86"/>
        <v>0.12915211725928794</v>
      </c>
      <c r="Q1371" s="3" t="str">
        <f t="shared" si="87"/>
        <v>No</v>
      </c>
    </row>
    <row r="1372" spans="1:17" ht="21" customHeight="1">
      <c r="A1372" s="3" t="s">
        <v>2030</v>
      </c>
      <c r="B1372" s="5">
        <v>45647</v>
      </c>
      <c r="C1372" s="3" t="s">
        <v>1624</v>
      </c>
      <c r="D1372" s="3" t="s">
        <v>47</v>
      </c>
      <c r="E1372" s="3" t="s">
        <v>42</v>
      </c>
      <c r="F1372" s="3" t="s">
        <v>90</v>
      </c>
      <c r="G1372" s="3" t="s">
        <v>91</v>
      </c>
      <c r="H1372" s="3">
        <v>2</v>
      </c>
      <c r="I1372" s="7">
        <v>1221.55</v>
      </c>
      <c r="J1372" s="9">
        <v>0.3</v>
      </c>
      <c r="K1372" s="7">
        <v>1710.17</v>
      </c>
      <c r="L1372" s="7">
        <v>398.93</v>
      </c>
      <c r="M1372" s="3" t="s">
        <v>56</v>
      </c>
      <c r="N1372" s="3" t="str">
        <f t="shared" si="84"/>
        <v>2024-12</v>
      </c>
      <c r="O1372" s="3" t="str">
        <f t="shared" si="85"/>
        <v>21%+</v>
      </c>
      <c r="P1372" s="9">
        <f t="shared" si="86"/>
        <v>0.23326920715484425</v>
      </c>
      <c r="Q1372" s="3" t="str">
        <f t="shared" si="87"/>
        <v>No</v>
      </c>
    </row>
    <row r="1373" spans="1:17" ht="21" customHeight="1">
      <c r="A1373" s="3" t="s">
        <v>2031</v>
      </c>
      <c r="B1373" s="5">
        <v>45648</v>
      </c>
      <c r="C1373" s="3" t="s">
        <v>2032</v>
      </c>
      <c r="D1373" s="3" t="s">
        <v>47</v>
      </c>
      <c r="E1373" s="3" t="s">
        <v>39</v>
      </c>
      <c r="F1373" s="3" t="s">
        <v>130</v>
      </c>
      <c r="G1373" s="3" t="s">
        <v>193</v>
      </c>
      <c r="H1373" s="3">
        <v>1</v>
      </c>
      <c r="I1373" s="7">
        <v>1874.66</v>
      </c>
      <c r="J1373" s="9">
        <v>0</v>
      </c>
      <c r="K1373" s="7">
        <v>1874.66</v>
      </c>
      <c r="L1373" s="7">
        <v>725.25</v>
      </c>
      <c r="M1373" s="3" t="s">
        <v>58</v>
      </c>
      <c r="N1373" s="3" t="str">
        <f t="shared" si="84"/>
        <v>2024-12</v>
      </c>
      <c r="O1373" s="3" t="str">
        <f t="shared" si="85"/>
        <v>No discount</v>
      </c>
      <c r="P1373" s="9">
        <f t="shared" si="86"/>
        <v>0.38687015245431172</v>
      </c>
      <c r="Q1373" s="3" t="str">
        <f t="shared" si="87"/>
        <v>No</v>
      </c>
    </row>
    <row r="1374" spans="1:17" ht="21" customHeight="1">
      <c r="A1374" s="3" t="s">
        <v>2033</v>
      </c>
      <c r="B1374" s="5">
        <v>45648</v>
      </c>
      <c r="C1374" s="3" t="s">
        <v>2034</v>
      </c>
      <c r="D1374" s="3" t="s">
        <v>44</v>
      </c>
      <c r="E1374" s="3" t="s">
        <v>38</v>
      </c>
      <c r="F1374" s="3" t="s">
        <v>98</v>
      </c>
      <c r="G1374" s="3" t="s">
        <v>182</v>
      </c>
      <c r="H1374" s="3">
        <v>1</v>
      </c>
      <c r="I1374" s="7">
        <v>67792.5</v>
      </c>
      <c r="J1374" s="9">
        <v>0.25</v>
      </c>
      <c r="K1374" s="7">
        <v>50844.38</v>
      </c>
      <c r="L1374" s="7">
        <v>-6069.67</v>
      </c>
      <c r="M1374" s="3" t="s">
        <v>58</v>
      </c>
      <c r="N1374" s="3" t="str">
        <f t="shared" si="84"/>
        <v>2024-12</v>
      </c>
      <c r="O1374" s="3" t="str">
        <f t="shared" si="85"/>
        <v>21%+</v>
      </c>
      <c r="P1374" s="9">
        <f t="shared" si="86"/>
        <v>-0.11937740218289614</v>
      </c>
      <c r="Q1374" s="3" t="str">
        <f t="shared" si="87"/>
        <v>Yes</v>
      </c>
    </row>
    <row r="1375" spans="1:17" ht="21" customHeight="1">
      <c r="A1375" s="3" t="s">
        <v>2035</v>
      </c>
      <c r="B1375" s="5">
        <v>45648</v>
      </c>
      <c r="C1375" s="3" t="s">
        <v>1067</v>
      </c>
      <c r="D1375" s="3" t="s">
        <v>47</v>
      </c>
      <c r="E1375" s="3" t="s">
        <v>39</v>
      </c>
      <c r="F1375" s="3" t="s">
        <v>164</v>
      </c>
      <c r="G1375" s="3" t="s">
        <v>165</v>
      </c>
      <c r="H1375" s="3">
        <v>1</v>
      </c>
      <c r="I1375" s="7">
        <v>1904.29</v>
      </c>
      <c r="J1375" s="9">
        <v>0</v>
      </c>
      <c r="K1375" s="7">
        <v>1904.29</v>
      </c>
      <c r="L1375" s="7">
        <v>815.33</v>
      </c>
      <c r="M1375" s="3" t="s">
        <v>58</v>
      </c>
      <c r="N1375" s="3" t="str">
        <f t="shared" si="84"/>
        <v>2024-12</v>
      </c>
      <c r="O1375" s="3" t="str">
        <f t="shared" si="85"/>
        <v>No discount</v>
      </c>
      <c r="P1375" s="9">
        <f t="shared" si="86"/>
        <v>0.42815432523407676</v>
      </c>
      <c r="Q1375" s="3" t="str">
        <f t="shared" si="87"/>
        <v>No</v>
      </c>
    </row>
    <row r="1376" spans="1:17" ht="21" customHeight="1">
      <c r="A1376" s="3" t="s">
        <v>2036</v>
      </c>
      <c r="B1376" s="5">
        <v>45648</v>
      </c>
      <c r="C1376" s="3" t="s">
        <v>274</v>
      </c>
      <c r="D1376" s="3" t="s">
        <v>44</v>
      </c>
      <c r="E1376" s="3" t="s">
        <v>39</v>
      </c>
      <c r="F1376" s="3" t="s">
        <v>164</v>
      </c>
      <c r="G1376" s="3" t="s">
        <v>165</v>
      </c>
      <c r="H1376" s="3">
        <v>1</v>
      </c>
      <c r="I1376" s="7">
        <v>1996.82</v>
      </c>
      <c r="J1376" s="9">
        <v>0.05</v>
      </c>
      <c r="K1376" s="7">
        <v>1896.98</v>
      </c>
      <c r="L1376" s="7">
        <v>624.20000000000005</v>
      </c>
      <c r="M1376" s="3" t="s">
        <v>56</v>
      </c>
      <c r="N1376" s="3" t="str">
        <f t="shared" si="84"/>
        <v>2024-12</v>
      </c>
      <c r="O1376" s="3" t="str">
        <f t="shared" si="85"/>
        <v>1-10%</v>
      </c>
      <c r="P1376" s="9">
        <f t="shared" si="86"/>
        <v>0.32904933104197198</v>
      </c>
      <c r="Q1376" s="3" t="str">
        <f t="shared" si="87"/>
        <v>No</v>
      </c>
    </row>
    <row r="1377" spans="1:17" ht="21" customHeight="1">
      <c r="A1377" s="3" t="s">
        <v>2037</v>
      </c>
      <c r="B1377" s="5">
        <v>45648</v>
      </c>
      <c r="C1377" s="3" t="s">
        <v>2038</v>
      </c>
      <c r="D1377" s="3" t="s">
        <v>47</v>
      </c>
      <c r="E1377" s="3" t="s">
        <v>42</v>
      </c>
      <c r="F1377" s="3" t="s">
        <v>90</v>
      </c>
      <c r="G1377" s="3" t="s">
        <v>91</v>
      </c>
      <c r="H1377" s="3">
        <v>1</v>
      </c>
      <c r="I1377" s="7">
        <v>1167.99</v>
      </c>
      <c r="J1377" s="9">
        <v>0.1</v>
      </c>
      <c r="K1377" s="7">
        <v>1051.19</v>
      </c>
      <c r="L1377" s="7">
        <v>432.15</v>
      </c>
      <c r="M1377" s="3" t="s">
        <v>58</v>
      </c>
      <c r="N1377" s="3" t="str">
        <f t="shared" si="84"/>
        <v>2024-12</v>
      </c>
      <c r="O1377" s="3" t="str">
        <f t="shared" si="85"/>
        <v>1-10%</v>
      </c>
      <c r="P1377" s="9">
        <f t="shared" si="86"/>
        <v>0.41110550899456799</v>
      </c>
      <c r="Q1377" s="3" t="str">
        <f t="shared" si="87"/>
        <v>No</v>
      </c>
    </row>
    <row r="1378" spans="1:17" ht="21" customHeight="1">
      <c r="A1378" s="3" t="s">
        <v>2039</v>
      </c>
      <c r="B1378" s="5">
        <v>45650</v>
      </c>
      <c r="C1378" s="3" t="s">
        <v>1314</v>
      </c>
      <c r="D1378" s="3" t="s">
        <v>47</v>
      </c>
      <c r="E1378" s="3" t="s">
        <v>39</v>
      </c>
      <c r="F1378" s="3" t="s">
        <v>164</v>
      </c>
      <c r="G1378" s="3" t="s">
        <v>200</v>
      </c>
      <c r="H1378" s="3">
        <v>1</v>
      </c>
      <c r="I1378" s="7">
        <v>1340.99</v>
      </c>
      <c r="J1378" s="9">
        <v>0</v>
      </c>
      <c r="K1378" s="7">
        <v>1340.99</v>
      </c>
      <c r="L1378" s="7">
        <v>530.35</v>
      </c>
      <c r="M1378" s="3" t="s">
        <v>60</v>
      </c>
      <c r="N1378" s="3" t="str">
        <f t="shared" si="84"/>
        <v>2024-12</v>
      </c>
      <c r="O1378" s="3" t="str">
        <f t="shared" si="85"/>
        <v>No discount</v>
      </c>
      <c r="P1378" s="9">
        <f t="shared" si="86"/>
        <v>0.3954913906889686</v>
      </c>
      <c r="Q1378" s="3" t="str">
        <f t="shared" si="87"/>
        <v>No</v>
      </c>
    </row>
    <row r="1379" spans="1:17" ht="21" customHeight="1">
      <c r="A1379" s="3" t="s">
        <v>2040</v>
      </c>
      <c r="B1379" s="5">
        <v>45650</v>
      </c>
      <c r="C1379" s="3" t="s">
        <v>992</v>
      </c>
      <c r="D1379" s="3" t="s">
        <v>44</v>
      </c>
      <c r="E1379" s="3" t="s">
        <v>38</v>
      </c>
      <c r="F1379" s="3" t="s">
        <v>94</v>
      </c>
      <c r="G1379" s="3" t="s">
        <v>213</v>
      </c>
      <c r="H1379" s="3">
        <v>1</v>
      </c>
      <c r="I1379" s="7">
        <v>55436.55</v>
      </c>
      <c r="J1379" s="9">
        <v>0.1</v>
      </c>
      <c r="K1379" s="7">
        <v>49892.9</v>
      </c>
      <c r="L1379" s="7">
        <v>3375.72</v>
      </c>
      <c r="M1379" s="3" t="s">
        <v>57</v>
      </c>
      <c r="N1379" s="3" t="str">
        <f t="shared" si="84"/>
        <v>2024-12</v>
      </c>
      <c r="O1379" s="3" t="str">
        <f t="shared" si="85"/>
        <v>1-10%</v>
      </c>
      <c r="P1379" s="9">
        <f t="shared" si="86"/>
        <v>6.7659326276885076E-2</v>
      </c>
      <c r="Q1379" s="3" t="str">
        <f t="shared" si="87"/>
        <v>No</v>
      </c>
    </row>
    <row r="1380" spans="1:17" ht="21" customHeight="1">
      <c r="A1380" s="3" t="s">
        <v>2041</v>
      </c>
      <c r="B1380" s="5">
        <v>45651</v>
      </c>
      <c r="C1380" s="3" t="s">
        <v>746</v>
      </c>
      <c r="D1380" s="3" t="s">
        <v>44</v>
      </c>
      <c r="E1380" s="3" t="s">
        <v>40</v>
      </c>
      <c r="F1380" s="3" t="s">
        <v>160</v>
      </c>
      <c r="G1380" s="3" t="s">
        <v>173</v>
      </c>
      <c r="H1380" s="3">
        <v>3</v>
      </c>
      <c r="I1380" s="7">
        <v>9118.89</v>
      </c>
      <c r="J1380" s="9">
        <v>0</v>
      </c>
      <c r="K1380" s="7">
        <v>27356.67</v>
      </c>
      <c r="L1380" s="7">
        <v>9094.68</v>
      </c>
      <c r="M1380" s="3" t="s">
        <v>58</v>
      </c>
      <c r="N1380" s="3" t="str">
        <f t="shared" si="84"/>
        <v>2024-12</v>
      </c>
      <c r="O1380" s="3" t="str">
        <f t="shared" si="85"/>
        <v>No discount</v>
      </c>
      <c r="P1380" s="9">
        <f t="shared" si="86"/>
        <v>0.33244835720136995</v>
      </c>
      <c r="Q1380" s="3" t="str">
        <f t="shared" si="87"/>
        <v>No</v>
      </c>
    </row>
    <row r="1381" spans="1:17" ht="21" customHeight="1">
      <c r="A1381" s="3" t="s">
        <v>2042</v>
      </c>
      <c r="B1381" s="5">
        <v>45651</v>
      </c>
      <c r="C1381" s="3" t="s">
        <v>2043</v>
      </c>
      <c r="D1381" s="3" t="s">
        <v>45</v>
      </c>
      <c r="E1381" s="3" t="s">
        <v>39</v>
      </c>
      <c r="F1381" s="3" t="s">
        <v>164</v>
      </c>
      <c r="G1381" s="3" t="s">
        <v>165</v>
      </c>
      <c r="H1381" s="3">
        <v>1</v>
      </c>
      <c r="I1381" s="7">
        <v>2043.06</v>
      </c>
      <c r="J1381" s="9">
        <v>0.15</v>
      </c>
      <c r="K1381" s="7">
        <v>1736.6</v>
      </c>
      <c r="L1381" s="7">
        <v>367.03</v>
      </c>
      <c r="M1381" s="3" t="s">
        <v>56</v>
      </c>
      <c r="N1381" s="3" t="str">
        <f t="shared" si="84"/>
        <v>2024-12</v>
      </c>
      <c r="O1381" s="3" t="str">
        <f t="shared" si="85"/>
        <v>11-15%</v>
      </c>
      <c r="P1381" s="9">
        <f t="shared" si="86"/>
        <v>0.21134976390648394</v>
      </c>
      <c r="Q1381" s="3" t="str">
        <f t="shared" si="87"/>
        <v>No</v>
      </c>
    </row>
    <row r="1382" spans="1:17" ht="21" customHeight="1">
      <c r="A1382" s="3" t="s">
        <v>2044</v>
      </c>
      <c r="B1382" s="5">
        <v>45651</v>
      </c>
      <c r="C1382" s="3" t="s">
        <v>1394</v>
      </c>
      <c r="D1382" s="3" t="s">
        <v>47</v>
      </c>
      <c r="E1382" s="3" t="s">
        <v>42</v>
      </c>
      <c r="F1382" s="3" t="s">
        <v>126</v>
      </c>
      <c r="G1382" s="3" t="s">
        <v>127</v>
      </c>
      <c r="H1382" s="3">
        <v>1</v>
      </c>
      <c r="I1382" s="7">
        <v>997.22</v>
      </c>
      <c r="J1382" s="9">
        <v>0.25</v>
      </c>
      <c r="K1382" s="7">
        <v>747.91</v>
      </c>
      <c r="L1382" s="7">
        <v>202.18</v>
      </c>
      <c r="M1382" s="3" t="s">
        <v>56</v>
      </c>
      <c r="N1382" s="3" t="str">
        <f t="shared" si="84"/>
        <v>2024-12</v>
      </c>
      <c r="O1382" s="3" t="str">
        <f t="shared" si="85"/>
        <v>21%+</v>
      </c>
      <c r="P1382" s="9">
        <f t="shared" si="86"/>
        <v>0.27032664358010994</v>
      </c>
      <c r="Q1382" s="3" t="str">
        <f t="shared" si="87"/>
        <v>No</v>
      </c>
    </row>
    <row r="1383" spans="1:17" ht="21" customHeight="1">
      <c r="A1383" s="3" t="s">
        <v>2045</v>
      </c>
      <c r="B1383" s="5">
        <v>45651</v>
      </c>
      <c r="C1383" s="3" t="s">
        <v>1085</v>
      </c>
      <c r="D1383" s="3" t="s">
        <v>44</v>
      </c>
      <c r="E1383" s="3" t="s">
        <v>39</v>
      </c>
      <c r="F1383" s="3" t="s">
        <v>130</v>
      </c>
      <c r="G1383" s="3" t="s">
        <v>131</v>
      </c>
      <c r="H1383" s="3">
        <v>1</v>
      </c>
      <c r="I1383" s="7">
        <v>2230.64</v>
      </c>
      <c r="J1383" s="9">
        <v>0.05</v>
      </c>
      <c r="K1383" s="7">
        <v>2119.11</v>
      </c>
      <c r="L1383" s="7">
        <v>735</v>
      </c>
      <c r="M1383" s="3" t="s">
        <v>56</v>
      </c>
      <c r="N1383" s="3" t="str">
        <f t="shared" si="84"/>
        <v>2024-12</v>
      </c>
      <c r="O1383" s="3" t="str">
        <f t="shared" si="85"/>
        <v>1-10%</v>
      </c>
      <c r="P1383" s="9">
        <f t="shared" si="86"/>
        <v>0.34684372212862946</v>
      </c>
      <c r="Q1383" s="3" t="str">
        <f t="shared" si="87"/>
        <v>No</v>
      </c>
    </row>
    <row r="1384" spans="1:17" ht="21" customHeight="1">
      <c r="A1384" s="3" t="s">
        <v>2046</v>
      </c>
      <c r="B1384" s="5">
        <v>45651</v>
      </c>
      <c r="C1384" s="3" t="s">
        <v>1293</v>
      </c>
      <c r="D1384" s="3" t="s">
        <v>46</v>
      </c>
      <c r="E1384" s="3" t="s">
        <v>38</v>
      </c>
      <c r="F1384" s="3" t="s">
        <v>94</v>
      </c>
      <c r="G1384" s="3" t="s">
        <v>95</v>
      </c>
      <c r="H1384" s="3">
        <v>3</v>
      </c>
      <c r="I1384" s="7">
        <v>79307.23</v>
      </c>
      <c r="J1384" s="9">
        <v>0.05</v>
      </c>
      <c r="K1384" s="7">
        <v>226025.61</v>
      </c>
      <c r="L1384" s="7">
        <v>20419.28</v>
      </c>
      <c r="M1384" s="3" t="s">
        <v>57</v>
      </c>
      <c r="N1384" s="3" t="str">
        <f t="shared" si="84"/>
        <v>2024-12</v>
      </c>
      <c r="O1384" s="3" t="str">
        <f t="shared" si="85"/>
        <v>1-10%</v>
      </c>
      <c r="P1384" s="9">
        <f t="shared" si="86"/>
        <v>9.0340559195924749E-2</v>
      </c>
      <c r="Q1384" s="3" t="str">
        <f t="shared" si="87"/>
        <v>No</v>
      </c>
    </row>
    <row r="1385" spans="1:17" ht="21" customHeight="1">
      <c r="A1385" s="3" t="s">
        <v>2047</v>
      </c>
      <c r="B1385" s="5">
        <v>45651</v>
      </c>
      <c r="C1385" s="3" t="s">
        <v>1099</v>
      </c>
      <c r="D1385" s="3" t="s">
        <v>46</v>
      </c>
      <c r="E1385" s="3" t="s">
        <v>38</v>
      </c>
      <c r="F1385" s="3" t="s">
        <v>142</v>
      </c>
      <c r="G1385" s="3" t="s">
        <v>245</v>
      </c>
      <c r="H1385" s="3">
        <v>5</v>
      </c>
      <c r="I1385" s="7">
        <v>4920.07</v>
      </c>
      <c r="J1385" s="9">
        <v>0</v>
      </c>
      <c r="K1385" s="7">
        <v>24600.35</v>
      </c>
      <c r="L1385" s="7">
        <v>4471.53</v>
      </c>
      <c r="M1385" s="3" t="s">
        <v>56</v>
      </c>
      <c r="N1385" s="3" t="str">
        <f t="shared" si="84"/>
        <v>2024-12</v>
      </c>
      <c r="O1385" s="3" t="str">
        <f t="shared" si="85"/>
        <v>No discount</v>
      </c>
      <c r="P1385" s="9">
        <f t="shared" si="86"/>
        <v>0.18176692608032</v>
      </c>
      <c r="Q1385" s="3" t="str">
        <f t="shared" si="87"/>
        <v>No</v>
      </c>
    </row>
    <row r="1386" spans="1:17" ht="21" customHeight="1">
      <c r="A1386" s="3" t="s">
        <v>2048</v>
      </c>
      <c r="B1386" s="5">
        <v>45651</v>
      </c>
      <c r="C1386" s="3" t="s">
        <v>997</v>
      </c>
      <c r="D1386" s="3" t="s">
        <v>45</v>
      </c>
      <c r="E1386" s="3" t="s">
        <v>40</v>
      </c>
      <c r="F1386" s="3" t="s">
        <v>160</v>
      </c>
      <c r="G1386" s="3" t="s">
        <v>173</v>
      </c>
      <c r="H1386" s="3">
        <v>1</v>
      </c>
      <c r="I1386" s="7">
        <v>8973.5400000000009</v>
      </c>
      <c r="J1386" s="9">
        <v>0</v>
      </c>
      <c r="K1386" s="7">
        <v>8973.5400000000009</v>
      </c>
      <c r="L1386" s="7">
        <v>2723.29</v>
      </c>
      <c r="M1386" s="3" t="s">
        <v>56</v>
      </c>
      <c r="N1386" s="3" t="str">
        <f t="shared" si="84"/>
        <v>2024-12</v>
      </c>
      <c r="O1386" s="3" t="str">
        <f t="shared" si="85"/>
        <v>No discount</v>
      </c>
      <c r="P1386" s="9">
        <f t="shared" si="86"/>
        <v>0.30348000900425026</v>
      </c>
      <c r="Q1386" s="3" t="str">
        <f t="shared" si="87"/>
        <v>No</v>
      </c>
    </row>
    <row r="1387" spans="1:17" ht="21" customHeight="1">
      <c r="A1387" s="3" t="s">
        <v>2049</v>
      </c>
      <c r="B1387" s="5">
        <v>45652</v>
      </c>
      <c r="C1387" s="3" t="s">
        <v>215</v>
      </c>
      <c r="D1387" s="3" t="s">
        <v>46</v>
      </c>
      <c r="E1387" s="3" t="s">
        <v>40</v>
      </c>
      <c r="F1387" s="3" t="s">
        <v>160</v>
      </c>
      <c r="G1387" s="3" t="s">
        <v>161</v>
      </c>
      <c r="H1387" s="3">
        <v>4</v>
      </c>
      <c r="I1387" s="7">
        <v>13431.66</v>
      </c>
      <c r="J1387" s="9">
        <v>0.15</v>
      </c>
      <c r="K1387" s="7">
        <v>45667.64</v>
      </c>
      <c r="L1387" s="7">
        <v>8664.74</v>
      </c>
      <c r="M1387" s="3" t="s">
        <v>56</v>
      </c>
      <c r="N1387" s="3" t="str">
        <f t="shared" si="84"/>
        <v>2024-12</v>
      </c>
      <c r="O1387" s="3" t="str">
        <f t="shared" si="85"/>
        <v>11-15%</v>
      </c>
      <c r="P1387" s="9">
        <f t="shared" si="86"/>
        <v>0.18973478813444267</v>
      </c>
      <c r="Q1387" s="3" t="str">
        <f t="shared" si="87"/>
        <v>No</v>
      </c>
    </row>
    <row r="1388" spans="1:17" ht="21" customHeight="1">
      <c r="A1388" s="3" t="s">
        <v>2050</v>
      </c>
      <c r="B1388" s="5">
        <v>45652</v>
      </c>
      <c r="C1388" s="3" t="s">
        <v>2051</v>
      </c>
      <c r="D1388" s="3" t="s">
        <v>45</v>
      </c>
      <c r="E1388" s="3" t="s">
        <v>38</v>
      </c>
      <c r="F1388" s="3" t="s">
        <v>94</v>
      </c>
      <c r="G1388" s="3" t="s">
        <v>95</v>
      </c>
      <c r="H1388" s="3">
        <v>1</v>
      </c>
      <c r="I1388" s="7">
        <v>80573.59</v>
      </c>
      <c r="J1388" s="9">
        <v>0.2</v>
      </c>
      <c r="K1388" s="7">
        <v>64458.87</v>
      </c>
      <c r="L1388" s="7">
        <v>-2455.0500000000002</v>
      </c>
      <c r="M1388" s="3" t="s">
        <v>56</v>
      </c>
      <c r="N1388" s="3" t="str">
        <f t="shared" si="84"/>
        <v>2024-12</v>
      </c>
      <c r="O1388" s="3" t="str">
        <f t="shared" si="85"/>
        <v>16-20%</v>
      </c>
      <c r="P1388" s="9">
        <f t="shared" si="86"/>
        <v>-3.8087077852900615E-2</v>
      </c>
      <c r="Q1388" s="3" t="str">
        <f t="shared" si="87"/>
        <v>Yes</v>
      </c>
    </row>
    <row r="1389" spans="1:17" ht="21" customHeight="1">
      <c r="A1389" s="3" t="s">
        <v>2052</v>
      </c>
      <c r="B1389" s="5">
        <v>45652</v>
      </c>
      <c r="C1389" s="3" t="s">
        <v>314</v>
      </c>
      <c r="D1389" s="3" t="s">
        <v>44</v>
      </c>
      <c r="E1389" s="3" t="s">
        <v>38</v>
      </c>
      <c r="F1389" s="3" t="s">
        <v>94</v>
      </c>
      <c r="G1389" s="3" t="s">
        <v>95</v>
      </c>
      <c r="H1389" s="3">
        <v>1</v>
      </c>
      <c r="I1389" s="7">
        <v>79565.08</v>
      </c>
      <c r="J1389" s="9">
        <v>0.1</v>
      </c>
      <c r="K1389" s="7">
        <v>71608.570000000007</v>
      </c>
      <c r="L1389" s="7">
        <v>7251.93</v>
      </c>
      <c r="M1389" s="3" t="s">
        <v>60</v>
      </c>
      <c r="N1389" s="3" t="str">
        <f t="shared" si="84"/>
        <v>2024-12</v>
      </c>
      <c r="O1389" s="3" t="str">
        <f t="shared" si="85"/>
        <v>1-10%</v>
      </c>
      <c r="P1389" s="9">
        <f t="shared" si="86"/>
        <v>0.10127181704647921</v>
      </c>
      <c r="Q1389" s="3" t="str">
        <f t="shared" si="87"/>
        <v>No</v>
      </c>
    </row>
    <row r="1390" spans="1:17" ht="21" customHeight="1">
      <c r="A1390" s="3" t="s">
        <v>2053</v>
      </c>
      <c r="B1390" s="5">
        <v>45653</v>
      </c>
      <c r="C1390" s="3" t="s">
        <v>238</v>
      </c>
      <c r="D1390" s="3" t="s">
        <v>46</v>
      </c>
      <c r="E1390" s="3" t="s">
        <v>38</v>
      </c>
      <c r="F1390" s="3" t="s">
        <v>98</v>
      </c>
      <c r="G1390" s="3" t="s">
        <v>362</v>
      </c>
      <c r="H1390" s="3">
        <v>2</v>
      </c>
      <c r="I1390" s="7">
        <v>33337.64</v>
      </c>
      <c r="J1390" s="9">
        <v>0.05</v>
      </c>
      <c r="K1390" s="7">
        <v>63341.52</v>
      </c>
      <c r="L1390" s="7">
        <v>7384.94</v>
      </c>
      <c r="M1390" s="3" t="s">
        <v>56</v>
      </c>
      <c r="N1390" s="3" t="str">
        <f t="shared" si="84"/>
        <v>2024-12</v>
      </c>
      <c r="O1390" s="3" t="str">
        <f t="shared" si="85"/>
        <v>1-10%</v>
      </c>
      <c r="P1390" s="9">
        <f t="shared" si="86"/>
        <v>0.11658924509547608</v>
      </c>
      <c r="Q1390" s="3" t="str">
        <f t="shared" si="87"/>
        <v>No</v>
      </c>
    </row>
    <row r="1391" spans="1:17" ht="21" customHeight="1">
      <c r="A1391" s="3" t="s">
        <v>2054</v>
      </c>
      <c r="B1391" s="5">
        <v>45653</v>
      </c>
      <c r="C1391" s="3" t="s">
        <v>204</v>
      </c>
      <c r="D1391" s="3" t="s">
        <v>46</v>
      </c>
      <c r="E1391" s="3" t="s">
        <v>40</v>
      </c>
      <c r="F1391" s="3" t="s">
        <v>221</v>
      </c>
      <c r="G1391" s="3" t="s">
        <v>222</v>
      </c>
      <c r="H1391" s="3">
        <v>2</v>
      </c>
      <c r="I1391" s="7">
        <v>1048.8599999999999</v>
      </c>
      <c r="J1391" s="9">
        <v>0.05</v>
      </c>
      <c r="K1391" s="7">
        <v>1992.83</v>
      </c>
      <c r="L1391" s="7">
        <v>493.67</v>
      </c>
      <c r="M1391" s="3" t="s">
        <v>56</v>
      </c>
      <c r="N1391" s="3" t="str">
        <f t="shared" si="84"/>
        <v>2024-12</v>
      </c>
      <c r="O1391" s="3" t="str">
        <f t="shared" si="85"/>
        <v>1-10%</v>
      </c>
      <c r="P1391" s="9">
        <f t="shared" si="86"/>
        <v>0.24772308726785527</v>
      </c>
      <c r="Q1391" s="3" t="str">
        <f t="shared" si="87"/>
        <v>No</v>
      </c>
    </row>
    <row r="1392" spans="1:17" ht="21" customHeight="1">
      <c r="A1392" s="3" t="s">
        <v>2055</v>
      </c>
      <c r="B1392" s="5">
        <v>45653</v>
      </c>
      <c r="C1392" s="3" t="s">
        <v>159</v>
      </c>
      <c r="D1392" s="3" t="s">
        <v>45</v>
      </c>
      <c r="E1392" s="3" t="s">
        <v>41</v>
      </c>
      <c r="F1392" s="3" t="s">
        <v>113</v>
      </c>
      <c r="G1392" s="3" t="s">
        <v>114</v>
      </c>
      <c r="H1392" s="3">
        <v>2</v>
      </c>
      <c r="I1392" s="7">
        <v>11808.01</v>
      </c>
      <c r="J1392" s="9">
        <v>0.2</v>
      </c>
      <c r="K1392" s="7">
        <v>18892.82</v>
      </c>
      <c r="L1392" s="7">
        <v>2396.08</v>
      </c>
      <c r="M1392" s="3" t="s">
        <v>56</v>
      </c>
      <c r="N1392" s="3" t="str">
        <f t="shared" si="84"/>
        <v>2024-12</v>
      </c>
      <c r="O1392" s="3" t="str">
        <f t="shared" si="85"/>
        <v>16-20%</v>
      </c>
      <c r="P1392" s="9">
        <f t="shared" si="86"/>
        <v>0.1268248996179501</v>
      </c>
      <c r="Q1392" s="3" t="str">
        <f t="shared" si="87"/>
        <v>No</v>
      </c>
    </row>
    <row r="1393" spans="1:17" ht="21" customHeight="1">
      <c r="A1393" s="3" t="s">
        <v>2056</v>
      </c>
      <c r="B1393" s="5">
        <v>45654</v>
      </c>
      <c r="C1393" s="3" t="s">
        <v>1476</v>
      </c>
      <c r="D1393" s="3" t="s">
        <v>44</v>
      </c>
      <c r="E1393" s="3" t="s">
        <v>38</v>
      </c>
      <c r="F1393" s="3" t="s">
        <v>98</v>
      </c>
      <c r="G1393" s="3" t="s">
        <v>99</v>
      </c>
      <c r="H1393" s="3">
        <v>1</v>
      </c>
      <c r="I1393" s="7">
        <v>24441.96</v>
      </c>
      <c r="J1393" s="9">
        <v>0.1</v>
      </c>
      <c r="K1393" s="7">
        <v>21997.759999999998</v>
      </c>
      <c r="L1393" s="7">
        <v>1306.32</v>
      </c>
      <c r="M1393" s="3" t="s">
        <v>57</v>
      </c>
      <c r="N1393" s="3" t="str">
        <f t="shared" si="84"/>
        <v>2024-12</v>
      </c>
      <c r="O1393" s="3" t="str">
        <f t="shared" si="85"/>
        <v>1-10%</v>
      </c>
      <c r="P1393" s="9">
        <f t="shared" si="86"/>
        <v>5.9384228212327077E-2</v>
      </c>
      <c r="Q1393" s="3" t="str">
        <f t="shared" si="87"/>
        <v>No</v>
      </c>
    </row>
    <row r="1394" spans="1:17" ht="21" customHeight="1">
      <c r="A1394" s="3" t="s">
        <v>2057</v>
      </c>
      <c r="B1394" s="5">
        <v>45654</v>
      </c>
      <c r="C1394" s="3" t="s">
        <v>636</v>
      </c>
      <c r="D1394" s="3" t="s">
        <v>44</v>
      </c>
      <c r="E1394" s="3" t="s">
        <v>38</v>
      </c>
      <c r="F1394" s="3" t="s">
        <v>142</v>
      </c>
      <c r="G1394" s="3" t="s">
        <v>245</v>
      </c>
      <c r="H1394" s="3">
        <v>3</v>
      </c>
      <c r="I1394" s="7">
        <v>4768.33</v>
      </c>
      <c r="J1394" s="9">
        <v>0</v>
      </c>
      <c r="K1394" s="7">
        <v>14304.99</v>
      </c>
      <c r="L1394" s="7">
        <v>2018.9</v>
      </c>
      <c r="M1394" s="3" t="s">
        <v>56</v>
      </c>
      <c r="N1394" s="3" t="str">
        <f t="shared" si="84"/>
        <v>2024-12</v>
      </c>
      <c r="O1394" s="3" t="str">
        <f t="shared" si="85"/>
        <v>No discount</v>
      </c>
      <c r="P1394" s="9">
        <f t="shared" si="86"/>
        <v>0.14113256982353711</v>
      </c>
      <c r="Q1394" s="3" t="str">
        <f t="shared" si="87"/>
        <v>No</v>
      </c>
    </row>
    <row r="1395" spans="1:17" ht="21" customHeight="1">
      <c r="A1395" s="3" t="s">
        <v>2058</v>
      </c>
      <c r="B1395" s="5">
        <v>45654</v>
      </c>
      <c r="C1395" s="3" t="s">
        <v>628</v>
      </c>
      <c r="D1395" s="3" t="s">
        <v>45</v>
      </c>
      <c r="E1395" s="3" t="s">
        <v>38</v>
      </c>
      <c r="F1395" s="3" t="s">
        <v>142</v>
      </c>
      <c r="G1395" s="3" t="s">
        <v>245</v>
      </c>
      <c r="H1395" s="3">
        <v>2</v>
      </c>
      <c r="I1395" s="7">
        <v>5096.95</v>
      </c>
      <c r="J1395" s="9">
        <v>0.05</v>
      </c>
      <c r="K1395" s="7">
        <v>9684.2000000000007</v>
      </c>
      <c r="L1395" s="7">
        <v>1435.76</v>
      </c>
      <c r="M1395" s="3" t="s">
        <v>58</v>
      </c>
      <c r="N1395" s="3" t="str">
        <f t="shared" si="84"/>
        <v>2024-12</v>
      </c>
      <c r="O1395" s="3" t="str">
        <f t="shared" si="85"/>
        <v>1-10%</v>
      </c>
      <c r="P1395" s="9">
        <f t="shared" si="86"/>
        <v>0.14825798723694264</v>
      </c>
      <c r="Q1395" s="3" t="str">
        <f t="shared" si="87"/>
        <v>No</v>
      </c>
    </row>
    <row r="1396" spans="1:17" ht="21" customHeight="1">
      <c r="A1396" s="3" t="s">
        <v>2059</v>
      </c>
      <c r="B1396" s="5">
        <v>45655</v>
      </c>
      <c r="C1396" s="3" t="s">
        <v>768</v>
      </c>
      <c r="D1396" s="3" t="s">
        <v>46</v>
      </c>
      <c r="E1396" s="3" t="s">
        <v>38</v>
      </c>
      <c r="F1396" s="3" t="s">
        <v>98</v>
      </c>
      <c r="G1396" s="3" t="s">
        <v>99</v>
      </c>
      <c r="H1396" s="3">
        <v>1</v>
      </c>
      <c r="I1396" s="7">
        <v>25887.9</v>
      </c>
      <c r="J1396" s="9">
        <v>0</v>
      </c>
      <c r="K1396" s="7">
        <v>25887.9</v>
      </c>
      <c r="L1396" s="7">
        <v>4834.57</v>
      </c>
      <c r="M1396" s="3" t="s">
        <v>57</v>
      </c>
      <c r="N1396" s="3" t="str">
        <f t="shared" si="84"/>
        <v>2024-12</v>
      </c>
      <c r="O1396" s="3" t="str">
        <f t="shared" si="85"/>
        <v>No discount</v>
      </c>
      <c r="P1396" s="9">
        <f t="shared" si="86"/>
        <v>0.18675018058629705</v>
      </c>
      <c r="Q1396" s="3" t="str">
        <f t="shared" si="87"/>
        <v>No</v>
      </c>
    </row>
    <row r="1397" spans="1:17" ht="21" customHeight="1">
      <c r="A1397" s="3" t="s">
        <v>2060</v>
      </c>
      <c r="B1397" s="5">
        <v>45655</v>
      </c>
      <c r="C1397" s="3" t="s">
        <v>2061</v>
      </c>
      <c r="D1397" s="3" t="s">
        <v>47</v>
      </c>
      <c r="E1397" s="3" t="s">
        <v>40</v>
      </c>
      <c r="F1397" s="3" t="s">
        <v>160</v>
      </c>
      <c r="G1397" s="3" t="s">
        <v>173</v>
      </c>
      <c r="H1397" s="3">
        <v>2</v>
      </c>
      <c r="I1397" s="7">
        <v>9316.6299999999992</v>
      </c>
      <c r="J1397" s="9">
        <v>0</v>
      </c>
      <c r="K1397" s="7">
        <v>18633.259999999998</v>
      </c>
      <c r="L1397" s="7">
        <v>5759.64</v>
      </c>
      <c r="M1397" s="3" t="s">
        <v>56</v>
      </c>
      <c r="N1397" s="3" t="str">
        <f t="shared" si="84"/>
        <v>2024-12</v>
      </c>
      <c r="O1397" s="3" t="str">
        <f t="shared" si="85"/>
        <v>No discount</v>
      </c>
      <c r="P1397" s="9">
        <f t="shared" si="86"/>
        <v>0.30910533100488058</v>
      </c>
      <c r="Q1397" s="3" t="str">
        <f t="shared" si="87"/>
        <v>No</v>
      </c>
    </row>
    <row r="1398" spans="1:17" ht="21" customHeight="1">
      <c r="A1398" s="3" t="s">
        <v>2062</v>
      </c>
      <c r="B1398" s="5">
        <v>45655</v>
      </c>
      <c r="C1398" s="3" t="s">
        <v>733</v>
      </c>
      <c r="D1398" s="3" t="s">
        <v>47</v>
      </c>
      <c r="E1398" s="3" t="s">
        <v>38</v>
      </c>
      <c r="F1398" s="3" t="s">
        <v>142</v>
      </c>
      <c r="G1398" s="3" t="s">
        <v>143</v>
      </c>
      <c r="H1398" s="3">
        <v>2</v>
      </c>
      <c r="I1398" s="7">
        <v>8590.07</v>
      </c>
      <c r="J1398" s="9">
        <v>0.1</v>
      </c>
      <c r="K1398" s="7">
        <v>15462.13</v>
      </c>
      <c r="L1398" s="7">
        <v>1313.31</v>
      </c>
      <c r="M1398" s="3" t="s">
        <v>58</v>
      </c>
      <c r="N1398" s="3" t="str">
        <f t="shared" si="84"/>
        <v>2024-12</v>
      </c>
      <c r="O1398" s="3" t="str">
        <f t="shared" si="85"/>
        <v>1-10%</v>
      </c>
      <c r="P1398" s="9">
        <f t="shared" si="86"/>
        <v>8.4937198173860917E-2</v>
      </c>
      <c r="Q1398" s="3" t="str">
        <f t="shared" si="87"/>
        <v>No</v>
      </c>
    </row>
    <row r="1399" spans="1:17" ht="21" customHeight="1">
      <c r="A1399" s="3" t="s">
        <v>2063</v>
      </c>
      <c r="B1399" s="5">
        <v>45656</v>
      </c>
      <c r="C1399" s="3" t="s">
        <v>1459</v>
      </c>
      <c r="D1399" s="3" t="s">
        <v>46</v>
      </c>
      <c r="E1399" s="3" t="s">
        <v>38</v>
      </c>
      <c r="F1399" s="3" t="s">
        <v>94</v>
      </c>
      <c r="G1399" s="3" t="s">
        <v>95</v>
      </c>
      <c r="H1399" s="3">
        <v>2</v>
      </c>
      <c r="I1399" s="7">
        <v>78062.87</v>
      </c>
      <c r="J1399" s="9">
        <v>0.2</v>
      </c>
      <c r="K1399" s="7">
        <v>124900.59</v>
      </c>
      <c r="L1399" s="7">
        <v>-10600.68</v>
      </c>
      <c r="M1399" s="3" t="s">
        <v>56</v>
      </c>
      <c r="N1399" s="3" t="str">
        <f t="shared" si="84"/>
        <v>2024-12</v>
      </c>
      <c r="O1399" s="3" t="str">
        <f t="shared" si="85"/>
        <v>16-20%</v>
      </c>
      <c r="P1399" s="9">
        <f t="shared" si="86"/>
        <v>-8.4872937749933777E-2</v>
      </c>
      <c r="Q1399" s="3" t="str">
        <f t="shared" si="87"/>
        <v>Yes</v>
      </c>
    </row>
    <row r="1400" spans="1:17" ht="21" customHeight="1">
      <c r="A1400" s="3" t="s">
        <v>2064</v>
      </c>
      <c r="B1400" s="5">
        <v>45656</v>
      </c>
      <c r="C1400" s="3" t="s">
        <v>1421</v>
      </c>
      <c r="D1400" s="3" t="s">
        <v>44</v>
      </c>
      <c r="E1400" s="3" t="s">
        <v>38</v>
      </c>
      <c r="F1400" s="3" t="s">
        <v>98</v>
      </c>
      <c r="G1400" s="3" t="s">
        <v>182</v>
      </c>
      <c r="H1400" s="3">
        <v>1</v>
      </c>
      <c r="I1400" s="7">
        <v>68350.58</v>
      </c>
      <c r="J1400" s="9">
        <v>0</v>
      </c>
      <c r="K1400" s="7">
        <v>68350.58</v>
      </c>
      <c r="L1400" s="7">
        <v>10481.469999999999</v>
      </c>
      <c r="M1400" s="3" t="s">
        <v>56</v>
      </c>
      <c r="N1400" s="3" t="str">
        <f t="shared" si="84"/>
        <v>2024-12</v>
      </c>
      <c r="O1400" s="3" t="str">
        <f t="shared" si="85"/>
        <v>No discount</v>
      </c>
      <c r="P1400" s="9">
        <f t="shared" si="86"/>
        <v>0.15334866214741702</v>
      </c>
      <c r="Q1400" s="3" t="str">
        <f t="shared" si="87"/>
        <v>No</v>
      </c>
    </row>
    <row r="1401" spans="1:17" ht="21" customHeight="1">
      <c r="A1401" s="3" t="s">
        <v>2065</v>
      </c>
      <c r="B1401" s="5">
        <v>45656</v>
      </c>
      <c r="C1401" s="3" t="s">
        <v>2066</v>
      </c>
      <c r="D1401" s="3" t="s">
        <v>47</v>
      </c>
      <c r="E1401" s="3" t="s">
        <v>41</v>
      </c>
      <c r="F1401" s="3" t="s">
        <v>113</v>
      </c>
      <c r="G1401" s="3" t="s">
        <v>123</v>
      </c>
      <c r="H1401" s="3">
        <v>4</v>
      </c>
      <c r="I1401" s="7">
        <v>3441.71</v>
      </c>
      <c r="J1401" s="9">
        <v>0</v>
      </c>
      <c r="K1401" s="7">
        <v>13766.84</v>
      </c>
      <c r="L1401" s="7">
        <v>5382.5</v>
      </c>
      <c r="M1401" s="3" t="s">
        <v>57</v>
      </c>
      <c r="N1401" s="3" t="str">
        <f t="shared" si="84"/>
        <v>2024-12</v>
      </c>
      <c r="O1401" s="3" t="str">
        <f t="shared" si="85"/>
        <v>No discount</v>
      </c>
      <c r="P1401" s="9">
        <f t="shared" si="86"/>
        <v>0.39097570684340049</v>
      </c>
      <c r="Q1401" s="3" t="str">
        <f t="shared" si="87"/>
        <v>No</v>
      </c>
    </row>
    <row r="1402" spans="1:17" ht="21" customHeight="1">
      <c r="A1402" s="3" t="s">
        <v>2067</v>
      </c>
      <c r="B1402" s="5">
        <v>45656</v>
      </c>
      <c r="C1402" s="3" t="s">
        <v>1019</v>
      </c>
      <c r="D1402" s="3" t="s">
        <v>44</v>
      </c>
      <c r="E1402" s="3" t="s">
        <v>38</v>
      </c>
      <c r="F1402" s="3" t="s">
        <v>142</v>
      </c>
      <c r="G1402" s="3" t="s">
        <v>245</v>
      </c>
      <c r="H1402" s="3">
        <v>2</v>
      </c>
      <c r="I1402" s="7">
        <v>4790.88</v>
      </c>
      <c r="J1402" s="9">
        <v>0</v>
      </c>
      <c r="K1402" s="7">
        <v>9581.76</v>
      </c>
      <c r="L1402" s="7">
        <v>1648.66</v>
      </c>
      <c r="M1402" s="3" t="s">
        <v>56</v>
      </c>
      <c r="N1402" s="3" t="str">
        <f t="shared" si="84"/>
        <v>2024-12</v>
      </c>
      <c r="O1402" s="3" t="str">
        <f t="shared" si="85"/>
        <v>No discount</v>
      </c>
      <c r="P1402" s="9">
        <f t="shared" si="86"/>
        <v>0.17206233510336305</v>
      </c>
      <c r="Q1402" s="3" t="str">
        <f t="shared" si="87"/>
        <v>No</v>
      </c>
    </row>
    <row r="1403" spans="1:17" ht="21" customHeight="1">
      <c r="A1403" s="3" t="s">
        <v>2068</v>
      </c>
      <c r="B1403" s="5">
        <v>45656</v>
      </c>
      <c r="C1403" s="3" t="s">
        <v>487</v>
      </c>
      <c r="D1403" s="3" t="s">
        <v>47</v>
      </c>
      <c r="E1403" s="3" t="s">
        <v>39</v>
      </c>
      <c r="F1403" s="3" t="s">
        <v>164</v>
      </c>
      <c r="G1403" s="3" t="s">
        <v>165</v>
      </c>
      <c r="H1403" s="3">
        <v>2</v>
      </c>
      <c r="I1403" s="7">
        <v>1983.45</v>
      </c>
      <c r="J1403" s="9">
        <v>0</v>
      </c>
      <c r="K1403" s="7">
        <v>3966.9</v>
      </c>
      <c r="L1403" s="7">
        <v>1581.3</v>
      </c>
      <c r="M1403" s="3" t="s">
        <v>58</v>
      </c>
      <c r="N1403" s="3" t="str">
        <f t="shared" si="84"/>
        <v>2024-12</v>
      </c>
      <c r="O1403" s="3" t="str">
        <f t="shared" si="85"/>
        <v>No discount</v>
      </c>
      <c r="P1403" s="9">
        <f t="shared" si="86"/>
        <v>0.39862361037586025</v>
      </c>
      <c r="Q1403" s="3" t="str">
        <f t="shared" si="87"/>
        <v>No</v>
      </c>
    </row>
    <row r="1404" spans="1:17" ht="21" customHeight="1">
      <c r="A1404" s="3" t="s">
        <v>2069</v>
      </c>
      <c r="B1404" s="5">
        <v>45657</v>
      </c>
      <c r="C1404" s="3" t="s">
        <v>739</v>
      </c>
      <c r="D1404" s="3" t="s">
        <v>44</v>
      </c>
      <c r="E1404" s="3" t="s">
        <v>38</v>
      </c>
      <c r="F1404" s="3" t="s">
        <v>142</v>
      </c>
      <c r="G1404" s="3" t="s">
        <v>245</v>
      </c>
      <c r="H1404" s="3">
        <v>3</v>
      </c>
      <c r="I1404" s="7">
        <v>4753.38</v>
      </c>
      <c r="J1404" s="9">
        <v>0</v>
      </c>
      <c r="K1404" s="7">
        <v>14260.14</v>
      </c>
      <c r="L1404" s="7">
        <v>2980.08</v>
      </c>
      <c r="M1404" s="3" t="s">
        <v>59</v>
      </c>
      <c r="N1404" s="3" t="str">
        <f t="shared" si="84"/>
        <v>2024-12</v>
      </c>
      <c r="O1404" s="3" t="str">
        <f t="shared" si="85"/>
        <v>No discount</v>
      </c>
      <c r="P1404" s="9">
        <f t="shared" si="86"/>
        <v>0.20897971548666422</v>
      </c>
      <c r="Q1404" s="3" t="str">
        <f t="shared" si="87"/>
        <v>No</v>
      </c>
    </row>
    <row r="1405" spans="1:17" ht="21" customHeight="1">
      <c r="A1405" s="3" t="s">
        <v>2070</v>
      </c>
      <c r="B1405" s="5">
        <v>45657</v>
      </c>
      <c r="C1405" s="3" t="s">
        <v>827</v>
      </c>
      <c r="D1405" s="3" t="s">
        <v>47</v>
      </c>
      <c r="E1405" s="3" t="s">
        <v>41</v>
      </c>
      <c r="F1405" s="3" t="s">
        <v>119</v>
      </c>
      <c r="G1405" s="3" t="s">
        <v>120</v>
      </c>
      <c r="H1405" s="3">
        <v>5</v>
      </c>
      <c r="I1405" s="7">
        <v>1257.1199999999999</v>
      </c>
      <c r="J1405" s="9">
        <v>0</v>
      </c>
      <c r="K1405" s="7">
        <v>6285.6</v>
      </c>
      <c r="L1405" s="7">
        <v>2204.23</v>
      </c>
      <c r="M1405" s="3" t="s">
        <v>56</v>
      </c>
      <c r="N1405" s="3" t="str">
        <f t="shared" si="84"/>
        <v>2024-12</v>
      </c>
      <c r="O1405" s="3" t="str">
        <f t="shared" si="85"/>
        <v>No discount</v>
      </c>
      <c r="P1405" s="9">
        <f t="shared" si="86"/>
        <v>0.35067933053328243</v>
      </c>
      <c r="Q1405" s="3" t="str">
        <f t="shared" si="87"/>
        <v>No</v>
      </c>
    </row>
    <row r="1406" spans="1:17" ht="21" customHeight="1">
      <c r="A1406" s="3" t="s">
        <v>2071</v>
      </c>
      <c r="B1406" s="5">
        <v>45657</v>
      </c>
      <c r="C1406" s="3" t="s">
        <v>192</v>
      </c>
      <c r="D1406" s="3" t="s">
        <v>47</v>
      </c>
      <c r="E1406" s="3" t="s">
        <v>41</v>
      </c>
      <c r="F1406" s="3" t="s">
        <v>119</v>
      </c>
      <c r="G1406" s="3" t="s">
        <v>120</v>
      </c>
      <c r="H1406" s="3">
        <v>1</v>
      </c>
      <c r="I1406" s="7">
        <v>1333.31</v>
      </c>
      <c r="J1406" s="9">
        <v>0.05</v>
      </c>
      <c r="K1406" s="7">
        <v>1266.6400000000001</v>
      </c>
      <c r="L1406" s="7">
        <v>383.28</v>
      </c>
      <c r="M1406" s="3" t="s">
        <v>57</v>
      </c>
      <c r="N1406" s="3" t="str">
        <f t="shared" si="84"/>
        <v>2024-12</v>
      </c>
      <c r="O1406" s="3" t="str">
        <f t="shared" si="85"/>
        <v>1-10%</v>
      </c>
      <c r="P1406" s="9">
        <f t="shared" si="86"/>
        <v>0.30259584412303414</v>
      </c>
      <c r="Q1406" s="3" t="str">
        <f t="shared" si="87"/>
        <v>No</v>
      </c>
    </row>
    <row r="1407" spans="1:17" ht="21" customHeight="1">
      <c r="A1407" s="3" t="s">
        <v>2072</v>
      </c>
      <c r="B1407" s="5">
        <v>45657</v>
      </c>
      <c r="C1407" s="3" t="s">
        <v>473</v>
      </c>
      <c r="D1407" s="3" t="s">
        <v>45</v>
      </c>
      <c r="E1407" s="3" t="s">
        <v>41</v>
      </c>
      <c r="F1407" s="3" t="s">
        <v>113</v>
      </c>
      <c r="G1407" s="3" t="s">
        <v>123</v>
      </c>
      <c r="H1407" s="3">
        <v>2</v>
      </c>
      <c r="I1407" s="7">
        <v>3437.39</v>
      </c>
      <c r="J1407" s="9">
        <v>0.05</v>
      </c>
      <c r="K1407" s="7">
        <v>6531.04</v>
      </c>
      <c r="L1407" s="7">
        <v>1943.4</v>
      </c>
      <c r="M1407" s="3" t="s">
        <v>56</v>
      </c>
      <c r="N1407" s="3" t="str">
        <f t="shared" si="84"/>
        <v>2024-12</v>
      </c>
      <c r="O1407" s="3" t="str">
        <f t="shared" si="85"/>
        <v>1-10%</v>
      </c>
      <c r="P1407" s="9">
        <f t="shared" si="86"/>
        <v>0.29756363458193491</v>
      </c>
      <c r="Q1407" s="3" t="str">
        <f t="shared" si="87"/>
        <v>No</v>
      </c>
    </row>
    <row r="1408" spans="1:17" ht="21" customHeight="1">
      <c r="A1408" s="3" t="s">
        <v>2073</v>
      </c>
      <c r="B1408" s="5">
        <v>45657</v>
      </c>
      <c r="C1408" s="3" t="s">
        <v>1193</v>
      </c>
      <c r="D1408" s="3" t="s">
        <v>47</v>
      </c>
      <c r="E1408" s="3" t="s">
        <v>41</v>
      </c>
      <c r="F1408" s="3" t="s">
        <v>113</v>
      </c>
      <c r="G1408" s="3" t="s">
        <v>114</v>
      </c>
      <c r="H1408" s="3">
        <v>3</v>
      </c>
      <c r="I1408" s="7">
        <v>12198.64</v>
      </c>
      <c r="J1408" s="9">
        <v>0</v>
      </c>
      <c r="K1408" s="7">
        <v>36595.919999999998</v>
      </c>
      <c r="L1408" s="7">
        <v>12500.94</v>
      </c>
      <c r="M1408" s="3" t="s">
        <v>57</v>
      </c>
      <c r="N1408" s="3" t="str">
        <f t="shared" si="84"/>
        <v>2024-12</v>
      </c>
      <c r="O1408" s="3" t="str">
        <f t="shared" si="85"/>
        <v>No discount</v>
      </c>
      <c r="P1408" s="9">
        <f t="shared" si="86"/>
        <v>0.34159381701566738</v>
      </c>
      <c r="Q1408" s="3" t="str">
        <f t="shared" si="87"/>
        <v>No</v>
      </c>
    </row>
    <row r="1409" spans="1:17" ht="21" customHeight="1">
      <c r="A1409" s="3" t="s">
        <v>2074</v>
      </c>
      <c r="B1409" s="5">
        <v>45658</v>
      </c>
      <c r="C1409" s="3" t="s">
        <v>1736</v>
      </c>
      <c r="D1409" s="3" t="s">
        <v>45</v>
      </c>
      <c r="E1409" s="3" t="s">
        <v>41</v>
      </c>
      <c r="F1409" s="3" t="s">
        <v>119</v>
      </c>
      <c r="G1409" s="3" t="s">
        <v>120</v>
      </c>
      <c r="H1409" s="3">
        <v>1</v>
      </c>
      <c r="I1409" s="7">
        <v>1353.64</v>
      </c>
      <c r="J1409" s="9">
        <v>0.15</v>
      </c>
      <c r="K1409" s="7">
        <v>1150.5899999999999</v>
      </c>
      <c r="L1409" s="7">
        <v>199.97</v>
      </c>
      <c r="M1409" s="3" t="s">
        <v>58</v>
      </c>
      <c r="N1409" s="3" t="str">
        <f t="shared" si="84"/>
        <v>2025-01</v>
      </c>
      <c r="O1409" s="3" t="str">
        <f t="shared" si="85"/>
        <v>11-15%</v>
      </c>
      <c r="P1409" s="9">
        <f t="shared" si="86"/>
        <v>0.17379779069868503</v>
      </c>
      <c r="Q1409" s="3" t="str">
        <f t="shared" si="87"/>
        <v>No</v>
      </c>
    </row>
    <row r="1410" spans="1:17" ht="21" customHeight="1">
      <c r="A1410" s="3" t="s">
        <v>2075</v>
      </c>
      <c r="B1410" s="5">
        <v>45658</v>
      </c>
      <c r="C1410" s="3" t="s">
        <v>186</v>
      </c>
      <c r="D1410" s="3" t="s">
        <v>46</v>
      </c>
      <c r="E1410" s="3" t="s">
        <v>41</v>
      </c>
      <c r="F1410" s="3" t="s">
        <v>119</v>
      </c>
      <c r="G1410" s="3" t="s">
        <v>168</v>
      </c>
      <c r="H1410" s="3">
        <v>3</v>
      </c>
      <c r="I1410" s="7">
        <v>9595.08</v>
      </c>
      <c r="J1410" s="9">
        <v>0.2</v>
      </c>
      <c r="K1410" s="7">
        <v>23028.19</v>
      </c>
      <c r="L1410" s="7">
        <v>3503.18</v>
      </c>
      <c r="M1410" s="3" t="s">
        <v>57</v>
      </c>
      <c r="N1410" s="3" t="str">
        <f t="shared" ref="N1410:N1473" si="88">TEXT(B1410,"yyyy-mm")</f>
        <v>2025-01</v>
      </c>
      <c r="O1410" s="3" t="str">
        <f t="shared" ref="O1410:O1473" si="89">IF(J1410=0,"No discount",IF(J1410&lt;=0.1,"1-10%",IF(J1410&lt;=0.15,"11-15%",IF(J1410&lt;=0.2,"16-20%","21%+"))))</f>
        <v>16-20%</v>
      </c>
      <c r="P1410" s="9">
        <f t="shared" ref="P1410:P1473" si="90">IF(K1410=0,0,L1410/K1410)</f>
        <v>0.15212572069276831</v>
      </c>
      <c r="Q1410" s="3" t="str">
        <f t="shared" ref="Q1410:Q1473" si="91">IF(L1410&lt;0,"Yes","No")</f>
        <v>No</v>
      </c>
    </row>
    <row r="1411" spans="1:17" ht="21" customHeight="1">
      <c r="A1411" s="3" t="s">
        <v>2076</v>
      </c>
      <c r="B1411" s="5">
        <v>45658</v>
      </c>
      <c r="C1411" s="3" t="s">
        <v>2077</v>
      </c>
      <c r="D1411" s="3" t="s">
        <v>46</v>
      </c>
      <c r="E1411" s="3" t="s">
        <v>40</v>
      </c>
      <c r="F1411" s="3" t="s">
        <v>102</v>
      </c>
      <c r="G1411" s="3" t="s">
        <v>103</v>
      </c>
      <c r="H1411" s="3">
        <v>2</v>
      </c>
      <c r="I1411" s="7">
        <v>6558.9</v>
      </c>
      <c r="J1411" s="9">
        <v>0.05</v>
      </c>
      <c r="K1411" s="7">
        <v>12461.91</v>
      </c>
      <c r="L1411" s="7">
        <v>3764.18</v>
      </c>
      <c r="M1411" s="3" t="s">
        <v>57</v>
      </c>
      <c r="N1411" s="3" t="str">
        <f t="shared" si="88"/>
        <v>2025-01</v>
      </c>
      <c r="O1411" s="3" t="str">
        <f t="shared" si="89"/>
        <v>1-10%</v>
      </c>
      <c r="P1411" s="9">
        <f t="shared" si="90"/>
        <v>0.3020548214519283</v>
      </c>
      <c r="Q1411" s="3" t="str">
        <f t="shared" si="91"/>
        <v>No</v>
      </c>
    </row>
    <row r="1412" spans="1:17" ht="21" customHeight="1">
      <c r="A1412" s="3" t="s">
        <v>2078</v>
      </c>
      <c r="B1412" s="5">
        <v>45658</v>
      </c>
      <c r="C1412" s="3" t="s">
        <v>739</v>
      </c>
      <c r="D1412" s="3" t="s">
        <v>45</v>
      </c>
      <c r="E1412" s="3" t="s">
        <v>40</v>
      </c>
      <c r="F1412" s="3" t="s">
        <v>160</v>
      </c>
      <c r="G1412" s="3" t="s">
        <v>161</v>
      </c>
      <c r="H1412" s="3">
        <v>1</v>
      </c>
      <c r="I1412" s="7">
        <v>12552.99</v>
      </c>
      <c r="J1412" s="9">
        <v>0</v>
      </c>
      <c r="K1412" s="7">
        <v>12552.99</v>
      </c>
      <c r="L1412" s="7">
        <v>3685.72</v>
      </c>
      <c r="M1412" s="3" t="s">
        <v>60</v>
      </c>
      <c r="N1412" s="3" t="str">
        <f t="shared" si="88"/>
        <v>2025-01</v>
      </c>
      <c r="O1412" s="3" t="str">
        <f t="shared" si="89"/>
        <v>No discount</v>
      </c>
      <c r="P1412" s="9">
        <f t="shared" si="90"/>
        <v>0.2936129161259588</v>
      </c>
      <c r="Q1412" s="3" t="str">
        <f t="shared" si="91"/>
        <v>No</v>
      </c>
    </row>
    <row r="1413" spans="1:17" ht="21" customHeight="1">
      <c r="A1413" s="3" t="s">
        <v>2079</v>
      </c>
      <c r="B1413" s="5">
        <v>45658</v>
      </c>
      <c r="C1413" s="3" t="s">
        <v>1013</v>
      </c>
      <c r="D1413" s="3" t="s">
        <v>45</v>
      </c>
      <c r="E1413" s="3" t="s">
        <v>40</v>
      </c>
      <c r="F1413" s="3" t="s">
        <v>102</v>
      </c>
      <c r="G1413" s="3" t="s">
        <v>103</v>
      </c>
      <c r="H1413" s="3">
        <v>3</v>
      </c>
      <c r="I1413" s="7">
        <v>6306.18</v>
      </c>
      <c r="J1413" s="9">
        <v>0.25</v>
      </c>
      <c r="K1413" s="7">
        <v>14188.91</v>
      </c>
      <c r="L1413" s="7">
        <v>397.17</v>
      </c>
      <c r="M1413" s="3" t="s">
        <v>58</v>
      </c>
      <c r="N1413" s="3" t="str">
        <f t="shared" si="88"/>
        <v>2025-01</v>
      </c>
      <c r="O1413" s="3" t="str">
        <f t="shared" si="89"/>
        <v>21%+</v>
      </c>
      <c r="P1413" s="9">
        <f t="shared" si="90"/>
        <v>2.7991579339075378E-2</v>
      </c>
      <c r="Q1413" s="3" t="str">
        <f t="shared" si="91"/>
        <v>No</v>
      </c>
    </row>
    <row r="1414" spans="1:17" ht="21" customHeight="1">
      <c r="A1414" s="3" t="s">
        <v>2080</v>
      </c>
      <c r="B1414" s="5">
        <v>45658</v>
      </c>
      <c r="C1414" s="3" t="s">
        <v>444</v>
      </c>
      <c r="D1414" s="3" t="s">
        <v>47</v>
      </c>
      <c r="E1414" s="3" t="s">
        <v>38</v>
      </c>
      <c r="F1414" s="3" t="s">
        <v>142</v>
      </c>
      <c r="G1414" s="3" t="s">
        <v>245</v>
      </c>
      <c r="H1414" s="3">
        <v>2</v>
      </c>
      <c r="I1414" s="7">
        <v>4788.24</v>
      </c>
      <c r="J1414" s="9">
        <v>0.05</v>
      </c>
      <c r="K1414" s="7">
        <v>9097.66</v>
      </c>
      <c r="L1414" s="7">
        <v>1234.96</v>
      </c>
      <c r="M1414" s="3" t="s">
        <v>56</v>
      </c>
      <c r="N1414" s="3" t="str">
        <f t="shared" si="88"/>
        <v>2025-01</v>
      </c>
      <c r="O1414" s="3" t="str">
        <f t="shared" si="89"/>
        <v>1-10%</v>
      </c>
      <c r="P1414" s="9">
        <f t="shared" si="90"/>
        <v>0.13574479591455385</v>
      </c>
      <c r="Q1414" s="3" t="str">
        <f t="shared" si="91"/>
        <v>No</v>
      </c>
    </row>
    <row r="1415" spans="1:17" ht="21" customHeight="1">
      <c r="A1415" s="3" t="s">
        <v>2081</v>
      </c>
      <c r="B1415" s="5">
        <v>45659</v>
      </c>
      <c r="C1415" s="3" t="s">
        <v>686</v>
      </c>
      <c r="D1415" s="3" t="s">
        <v>47</v>
      </c>
      <c r="E1415" s="3" t="s">
        <v>38</v>
      </c>
      <c r="F1415" s="3" t="s">
        <v>142</v>
      </c>
      <c r="G1415" s="3" t="s">
        <v>143</v>
      </c>
      <c r="H1415" s="3">
        <v>1</v>
      </c>
      <c r="I1415" s="7">
        <v>8761.5300000000007</v>
      </c>
      <c r="J1415" s="9">
        <v>0.05</v>
      </c>
      <c r="K1415" s="7">
        <v>8323.4500000000007</v>
      </c>
      <c r="L1415" s="7">
        <v>928.19</v>
      </c>
      <c r="M1415" s="3" t="s">
        <v>56</v>
      </c>
      <c r="N1415" s="3" t="str">
        <f t="shared" si="88"/>
        <v>2025-01</v>
      </c>
      <c r="O1415" s="3" t="str">
        <f t="shared" si="89"/>
        <v>1-10%</v>
      </c>
      <c r="P1415" s="9">
        <f t="shared" si="90"/>
        <v>0.11151505685743292</v>
      </c>
      <c r="Q1415" s="3" t="str">
        <f t="shared" si="91"/>
        <v>No</v>
      </c>
    </row>
    <row r="1416" spans="1:17" ht="21" customHeight="1">
      <c r="A1416" s="3" t="s">
        <v>2082</v>
      </c>
      <c r="B1416" s="5">
        <v>45659</v>
      </c>
      <c r="C1416" s="3" t="s">
        <v>285</v>
      </c>
      <c r="D1416" s="3" t="s">
        <v>47</v>
      </c>
      <c r="E1416" s="3" t="s">
        <v>38</v>
      </c>
      <c r="F1416" s="3" t="s">
        <v>142</v>
      </c>
      <c r="G1416" s="3" t="s">
        <v>143</v>
      </c>
      <c r="H1416" s="3">
        <v>3</v>
      </c>
      <c r="I1416" s="7">
        <v>8605.2099999999991</v>
      </c>
      <c r="J1416" s="9">
        <v>0.2</v>
      </c>
      <c r="K1416" s="7">
        <v>20652.5</v>
      </c>
      <c r="L1416" s="7">
        <v>-369.97</v>
      </c>
      <c r="M1416" s="3" t="s">
        <v>56</v>
      </c>
      <c r="N1416" s="3" t="str">
        <f t="shared" si="88"/>
        <v>2025-01</v>
      </c>
      <c r="O1416" s="3" t="str">
        <f t="shared" si="89"/>
        <v>16-20%</v>
      </c>
      <c r="P1416" s="9">
        <f t="shared" si="90"/>
        <v>-1.7914053988621233E-2</v>
      </c>
      <c r="Q1416" s="3" t="str">
        <f t="shared" si="91"/>
        <v>Yes</v>
      </c>
    </row>
    <row r="1417" spans="1:17" ht="21" customHeight="1">
      <c r="A1417" s="3" t="s">
        <v>2083</v>
      </c>
      <c r="B1417" s="5">
        <v>45659</v>
      </c>
      <c r="C1417" s="3" t="s">
        <v>1859</v>
      </c>
      <c r="D1417" s="3" t="s">
        <v>47</v>
      </c>
      <c r="E1417" s="3" t="s">
        <v>40</v>
      </c>
      <c r="F1417" s="3" t="s">
        <v>102</v>
      </c>
      <c r="G1417" s="3" t="s">
        <v>146</v>
      </c>
      <c r="H1417" s="3">
        <v>4</v>
      </c>
      <c r="I1417" s="7">
        <v>7868.46</v>
      </c>
      <c r="J1417" s="9">
        <v>0.4</v>
      </c>
      <c r="K1417" s="7">
        <v>18884.3</v>
      </c>
      <c r="L1417" s="7">
        <v>-2280.66</v>
      </c>
      <c r="M1417" s="3" t="s">
        <v>60</v>
      </c>
      <c r="N1417" s="3" t="str">
        <f t="shared" si="88"/>
        <v>2025-01</v>
      </c>
      <c r="O1417" s="3" t="str">
        <f t="shared" si="89"/>
        <v>21%+</v>
      </c>
      <c r="P1417" s="9">
        <f t="shared" si="90"/>
        <v>-0.12077016357503323</v>
      </c>
      <c r="Q1417" s="3" t="str">
        <f t="shared" si="91"/>
        <v>Yes</v>
      </c>
    </row>
    <row r="1418" spans="1:17" ht="21" customHeight="1">
      <c r="A1418" s="3" t="s">
        <v>2084</v>
      </c>
      <c r="B1418" s="5">
        <v>45659</v>
      </c>
      <c r="C1418" s="3" t="s">
        <v>722</v>
      </c>
      <c r="D1418" s="3" t="s">
        <v>44</v>
      </c>
      <c r="E1418" s="3" t="s">
        <v>40</v>
      </c>
      <c r="F1418" s="3" t="s">
        <v>221</v>
      </c>
      <c r="G1418" s="3" t="s">
        <v>279</v>
      </c>
      <c r="H1418" s="3">
        <v>4</v>
      </c>
      <c r="I1418" s="7">
        <v>1505.42</v>
      </c>
      <c r="J1418" s="9">
        <v>0.05</v>
      </c>
      <c r="K1418" s="7">
        <v>5720.6</v>
      </c>
      <c r="L1418" s="7">
        <v>1652.58</v>
      </c>
      <c r="M1418" s="3" t="s">
        <v>57</v>
      </c>
      <c r="N1418" s="3" t="str">
        <f t="shared" si="88"/>
        <v>2025-01</v>
      </c>
      <c r="O1418" s="3" t="str">
        <f t="shared" si="89"/>
        <v>1-10%</v>
      </c>
      <c r="P1418" s="9">
        <f t="shared" si="90"/>
        <v>0.28888228507499208</v>
      </c>
      <c r="Q1418" s="3" t="str">
        <f t="shared" si="91"/>
        <v>No</v>
      </c>
    </row>
    <row r="1419" spans="1:17" ht="21" customHeight="1">
      <c r="A1419" s="3" t="s">
        <v>2085</v>
      </c>
      <c r="B1419" s="5">
        <v>45660</v>
      </c>
      <c r="C1419" s="3" t="s">
        <v>1278</v>
      </c>
      <c r="D1419" s="3" t="s">
        <v>44</v>
      </c>
      <c r="E1419" s="3" t="s">
        <v>38</v>
      </c>
      <c r="F1419" s="3" t="s">
        <v>94</v>
      </c>
      <c r="G1419" s="3" t="s">
        <v>95</v>
      </c>
      <c r="H1419" s="3">
        <v>1</v>
      </c>
      <c r="I1419" s="7">
        <v>80676.33</v>
      </c>
      <c r="J1419" s="9">
        <v>0</v>
      </c>
      <c r="K1419" s="7">
        <v>80676.33</v>
      </c>
      <c r="L1419" s="7">
        <v>15016.46</v>
      </c>
      <c r="M1419" s="3" t="s">
        <v>57</v>
      </c>
      <c r="N1419" s="3" t="str">
        <f t="shared" si="88"/>
        <v>2025-01</v>
      </c>
      <c r="O1419" s="3" t="str">
        <f t="shared" si="89"/>
        <v>No discount</v>
      </c>
      <c r="P1419" s="9">
        <f t="shared" si="90"/>
        <v>0.18613216540712746</v>
      </c>
      <c r="Q1419" s="3" t="str">
        <f t="shared" si="91"/>
        <v>No</v>
      </c>
    </row>
    <row r="1420" spans="1:17" ht="21" customHeight="1">
      <c r="A1420" s="3" t="s">
        <v>2086</v>
      </c>
      <c r="B1420" s="5">
        <v>45661</v>
      </c>
      <c r="C1420" s="3" t="s">
        <v>2087</v>
      </c>
      <c r="D1420" s="3" t="s">
        <v>45</v>
      </c>
      <c r="E1420" s="3" t="s">
        <v>38</v>
      </c>
      <c r="F1420" s="3" t="s">
        <v>94</v>
      </c>
      <c r="G1420" s="3" t="s">
        <v>213</v>
      </c>
      <c r="H1420" s="3">
        <v>2</v>
      </c>
      <c r="I1420" s="7">
        <v>54784.75</v>
      </c>
      <c r="J1420" s="9">
        <v>0</v>
      </c>
      <c r="K1420" s="7">
        <v>109569.5</v>
      </c>
      <c r="L1420" s="7">
        <v>21416.74</v>
      </c>
      <c r="M1420" s="3" t="s">
        <v>56</v>
      </c>
      <c r="N1420" s="3" t="str">
        <f t="shared" si="88"/>
        <v>2025-01</v>
      </c>
      <c r="O1420" s="3" t="str">
        <f t="shared" si="89"/>
        <v>No discount</v>
      </c>
      <c r="P1420" s="9">
        <f t="shared" si="90"/>
        <v>0.19546260592591919</v>
      </c>
      <c r="Q1420" s="3" t="str">
        <f t="shared" si="91"/>
        <v>No</v>
      </c>
    </row>
    <row r="1421" spans="1:17" ht="21" customHeight="1">
      <c r="A1421" s="3" t="s">
        <v>2088</v>
      </c>
      <c r="B1421" s="5">
        <v>45661</v>
      </c>
      <c r="C1421" s="3" t="s">
        <v>1167</v>
      </c>
      <c r="D1421" s="3" t="s">
        <v>47</v>
      </c>
      <c r="E1421" s="3" t="s">
        <v>39</v>
      </c>
      <c r="F1421" s="3" t="s">
        <v>130</v>
      </c>
      <c r="G1421" s="3" t="s">
        <v>131</v>
      </c>
      <c r="H1421" s="3">
        <v>1</v>
      </c>
      <c r="I1421" s="7">
        <v>2203.83</v>
      </c>
      <c r="J1421" s="9">
        <v>0.3</v>
      </c>
      <c r="K1421" s="7">
        <v>1542.68</v>
      </c>
      <c r="L1421" s="7">
        <v>122.99</v>
      </c>
      <c r="M1421" s="3" t="s">
        <v>56</v>
      </c>
      <c r="N1421" s="3" t="str">
        <f t="shared" si="88"/>
        <v>2025-01</v>
      </c>
      <c r="O1421" s="3" t="str">
        <f t="shared" si="89"/>
        <v>21%+</v>
      </c>
      <c r="P1421" s="9">
        <f t="shared" si="90"/>
        <v>7.9724894339720478E-2</v>
      </c>
      <c r="Q1421" s="3" t="str">
        <f t="shared" si="91"/>
        <v>No</v>
      </c>
    </row>
    <row r="1422" spans="1:17" ht="21" customHeight="1">
      <c r="A1422" s="3" t="s">
        <v>2089</v>
      </c>
      <c r="B1422" s="5">
        <v>45662</v>
      </c>
      <c r="C1422" s="3" t="s">
        <v>295</v>
      </c>
      <c r="D1422" s="3" t="s">
        <v>45</v>
      </c>
      <c r="E1422" s="3" t="s">
        <v>41</v>
      </c>
      <c r="F1422" s="3" t="s">
        <v>113</v>
      </c>
      <c r="G1422" s="3" t="s">
        <v>114</v>
      </c>
      <c r="H1422" s="3">
        <v>4</v>
      </c>
      <c r="I1422" s="7">
        <v>11447.74</v>
      </c>
      <c r="J1422" s="9">
        <v>0.2</v>
      </c>
      <c r="K1422" s="7">
        <v>36632.769999999997</v>
      </c>
      <c r="L1422" s="7">
        <v>4714.9799999999996</v>
      </c>
      <c r="M1422" s="3" t="s">
        <v>56</v>
      </c>
      <c r="N1422" s="3" t="str">
        <f t="shared" si="88"/>
        <v>2025-01</v>
      </c>
      <c r="O1422" s="3" t="str">
        <f t="shared" si="89"/>
        <v>16-20%</v>
      </c>
      <c r="P1422" s="9">
        <f t="shared" si="90"/>
        <v>0.12870934957962502</v>
      </c>
      <c r="Q1422" s="3" t="str">
        <f t="shared" si="91"/>
        <v>No</v>
      </c>
    </row>
    <row r="1423" spans="1:17" ht="21" customHeight="1">
      <c r="A1423" s="3" t="s">
        <v>2090</v>
      </c>
      <c r="B1423" s="5">
        <v>45662</v>
      </c>
      <c r="C1423" s="3" t="s">
        <v>234</v>
      </c>
      <c r="D1423" s="3" t="s">
        <v>46</v>
      </c>
      <c r="E1423" s="3" t="s">
        <v>42</v>
      </c>
      <c r="F1423" s="3" t="s">
        <v>126</v>
      </c>
      <c r="G1423" s="3" t="s">
        <v>151</v>
      </c>
      <c r="H1423" s="3">
        <v>3</v>
      </c>
      <c r="I1423" s="7">
        <v>1552.4</v>
      </c>
      <c r="J1423" s="9">
        <v>0.05</v>
      </c>
      <c r="K1423" s="7">
        <v>4424.34</v>
      </c>
      <c r="L1423" s="7">
        <v>2097.42</v>
      </c>
      <c r="M1423" s="3" t="s">
        <v>57</v>
      </c>
      <c r="N1423" s="3" t="str">
        <f t="shared" si="88"/>
        <v>2025-01</v>
      </c>
      <c r="O1423" s="3" t="str">
        <f t="shared" si="89"/>
        <v>1-10%</v>
      </c>
      <c r="P1423" s="9">
        <f t="shared" si="90"/>
        <v>0.47406392817911824</v>
      </c>
      <c r="Q1423" s="3" t="str">
        <f t="shared" si="91"/>
        <v>No</v>
      </c>
    </row>
    <row r="1424" spans="1:17" ht="21" customHeight="1">
      <c r="A1424" s="3" t="s">
        <v>2091</v>
      </c>
      <c r="B1424" s="5">
        <v>45662</v>
      </c>
      <c r="C1424" s="3" t="s">
        <v>135</v>
      </c>
      <c r="D1424" s="3" t="s">
        <v>44</v>
      </c>
      <c r="E1424" s="3" t="s">
        <v>42</v>
      </c>
      <c r="F1424" s="3" t="s">
        <v>126</v>
      </c>
      <c r="G1424" s="3" t="s">
        <v>127</v>
      </c>
      <c r="H1424" s="3">
        <v>3</v>
      </c>
      <c r="I1424" s="7">
        <v>1012.8</v>
      </c>
      <c r="J1424" s="9">
        <v>0</v>
      </c>
      <c r="K1424" s="7">
        <v>3038.4</v>
      </c>
      <c r="L1424" s="7">
        <v>1570.59</v>
      </c>
      <c r="M1424" s="3" t="s">
        <v>56</v>
      </c>
      <c r="N1424" s="3" t="str">
        <f t="shared" si="88"/>
        <v>2025-01</v>
      </c>
      <c r="O1424" s="3" t="str">
        <f t="shared" si="89"/>
        <v>No discount</v>
      </c>
      <c r="P1424" s="9">
        <f t="shared" si="90"/>
        <v>0.51691350710900474</v>
      </c>
      <c r="Q1424" s="3" t="str">
        <f t="shared" si="91"/>
        <v>No</v>
      </c>
    </row>
    <row r="1425" spans="1:17" ht="21" customHeight="1">
      <c r="A1425" s="3" t="s">
        <v>2092</v>
      </c>
      <c r="B1425" s="5">
        <v>45664</v>
      </c>
      <c r="C1425" s="3" t="s">
        <v>238</v>
      </c>
      <c r="D1425" s="3" t="s">
        <v>47</v>
      </c>
      <c r="E1425" s="3" t="s">
        <v>38</v>
      </c>
      <c r="F1425" s="3" t="s">
        <v>98</v>
      </c>
      <c r="G1425" s="3" t="s">
        <v>182</v>
      </c>
      <c r="H1425" s="3">
        <v>3</v>
      </c>
      <c r="I1425" s="7">
        <v>69981.600000000006</v>
      </c>
      <c r="J1425" s="9">
        <v>0.25</v>
      </c>
      <c r="K1425" s="7">
        <v>157458.6</v>
      </c>
      <c r="L1425" s="7">
        <v>-21212.7</v>
      </c>
      <c r="M1425" s="3" t="s">
        <v>56</v>
      </c>
      <c r="N1425" s="3" t="str">
        <f t="shared" si="88"/>
        <v>2025-01</v>
      </c>
      <c r="O1425" s="3" t="str">
        <f t="shared" si="89"/>
        <v>21%+</v>
      </c>
      <c r="P1425" s="9">
        <f t="shared" si="90"/>
        <v>-0.13471922143344345</v>
      </c>
      <c r="Q1425" s="3" t="str">
        <f t="shared" si="91"/>
        <v>Yes</v>
      </c>
    </row>
    <row r="1426" spans="1:17" ht="21" customHeight="1">
      <c r="A1426" s="3" t="s">
        <v>2093</v>
      </c>
      <c r="B1426" s="5">
        <v>45664</v>
      </c>
      <c r="C1426" s="3" t="s">
        <v>1555</v>
      </c>
      <c r="D1426" s="3" t="s">
        <v>46</v>
      </c>
      <c r="E1426" s="3" t="s">
        <v>38</v>
      </c>
      <c r="F1426" s="3" t="s">
        <v>98</v>
      </c>
      <c r="G1426" s="3" t="s">
        <v>362</v>
      </c>
      <c r="H1426" s="3">
        <v>1</v>
      </c>
      <c r="I1426" s="7">
        <v>32806.01</v>
      </c>
      <c r="J1426" s="9">
        <v>0</v>
      </c>
      <c r="K1426" s="7">
        <v>32806.01</v>
      </c>
      <c r="L1426" s="7">
        <v>5920.56</v>
      </c>
      <c r="M1426" s="3" t="s">
        <v>56</v>
      </c>
      <c r="N1426" s="3" t="str">
        <f t="shared" si="88"/>
        <v>2025-01</v>
      </c>
      <c r="O1426" s="3" t="str">
        <f t="shared" si="89"/>
        <v>No discount</v>
      </c>
      <c r="P1426" s="9">
        <f t="shared" si="90"/>
        <v>0.18047180989093156</v>
      </c>
      <c r="Q1426" s="3" t="str">
        <f t="shared" si="91"/>
        <v>No</v>
      </c>
    </row>
    <row r="1427" spans="1:17" ht="21" customHeight="1">
      <c r="A1427" s="3" t="s">
        <v>2094</v>
      </c>
      <c r="B1427" s="5">
        <v>45664</v>
      </c>
      <c r="C1427" s="3" t="s">
        <v>192</v>
      </c>
      <c r="D1427" s="3" t="s">
        <v>46</v>
      </c>
      <c r="E1427" s="3" t="s">
        <v>40</v>
      </c>
      <c r="F1427" s="3" t="s">
        <v>160</v>
      </c>
      <c r="G1427" s="3" t="s">
        <v>161</v>
      </c>
      <c r="H1427" s="3">
        <v>3</v>
      </c>
      <c r="I1427" s="7">
        <v>12453.7</v>
      </c>
      <c r="J1427" s="9">
        <v>0.1</v>
      </c>
      <c r="K1427" s="7">
        <v>33624.99</v>
      </c>
      <c r="L1427" s="7">
        <v>6596.77</v>
      </c>
      <c r="M1427" s="3" t="s">
        <v>56</v>
      </c>
      <c r="N1427" s="3" t="str">
        <f t="shared" si="88"/>
        <v>2025-01</v>
      </c>
      <c r="O1427" s="3" t="str">
        <f t="shared" si="89"/>
        <v>1-10%</v>
      </c>
      <c r="P1427" s="9">
        <f t="shared" si="90"/>
        <v>0.19618652674692247</v>
      </c>
      <c r="Q1427" s="3" t="str">
        <f t="shared" si="91"/>
        <v>No</v>
      </c>
    </row>
    <row r="1428" spans="1:17" ht="21" customHeight="1">
      <c r="A1428" s="3" t="s">
        <v>2095</v>
      </c>
      <c r="B1428" s="5">
        <v>45665</v>
      </c>
      <c r="C1428" s="3" t="s">
        <v>1731</v>
      </c>
      <c r="D1428" s="3" t="s">
        <v>45</v>
      </c>
      <c r="E1428" s="3" t="s">
        <v>42</v>
      </c>
      <c r="F1428" s="3" t="s">
        <v>126</v>
      </c>
      <c r="G1428" s="3" t="s">
        <v>127</v>
      </c>
      <c r="H1428" s="3">
        <v>3</v>
      </c>
      <c r="I1428" s="7">
        <v>1045.19</v>
      </c>
      <c r="J1428" s="9">
        <v>0.15</v>
      </c>
      <c r="K1428" s="7">
        <v>2665.23</v>
      </c>
      <c r="L1428" s="7">
        <v>959.59</v>
      </c>
      <c r="M1428" s="3" t="s">
        <v>60</v>
      </c>
      <c r="N1428" s="3" t="str">
        <f t="shared" si="88"/>
        <v>2025-01</v>
      </c>
      <c r="O1428" s="3" t="str">
        <f t="shared" si="89"/>
        <v>11-15%</v>
      </c>
      <c r="P1428" s="9">
        <f t="shared" si="90"/>
        <v>0.3600402216694244</v>
      </c>
      <c r="Q1428" s="3" t="str">
        <f t="shared" si="91"/>
        <v>No</v>
      </c>
    </row>
    <row r="1429" spans="1:17" ht="21" customHeight="1">
      <c r="A1429" s="3" t="s">
        <v>2096</v>
      </c>
      <c r="B1429" s="5">
        <v>45665</v>
      </c>
      <c r="C1429" s="3" t="s">
        <v>218</v>
      </c>
      <c r="D1429" s="3" t="s">
        <v>44</v>
      </c>
      <c r="E1429" s="3" t="s">
        <v>39</v>
      </c>
      <c r="F1429" s="3" t="s">
        <v>109</v>
      </c>
      <c r="G1429" s="3" t="s">
        <v>110</v>
      </c>
      <c r="H1429" s="3">
        <v>2</v>
      </c>
      <c r="I1429" s="7">
        <v>2969.7</v>
      </c>
      <c r="J1429" s="9">
        <v>0.2</v>
      </c>
      <c r="K1429" s="7">
        <v>4751.5200000000004</v>
      </c>
      <c r="L1429" s="7">
        <v>762.79</v>
      </c>
      <c r="M1429" s="3" t="s">
        <v>57</v>
      </c>
      <c r="N1429" s="3" t="str">
        <f t="shared" si="88"/>
        <v>2025-01</v>
      </c>
      <c r="O1429" s="3" t="str">
        <f t="shared" si="89"/>
        <v>16-20%</v>
      </c>
      <c r="P1429" s="9">
        <f t="shared" si="90"/>
        <v>0.16053599690204395</v>
      </c>
      <c r="Q1429" s="3" t="str">
        <f t="shared" si="91"/>
        <v>No</v>
      </c>
    </row>
    <row r="1430" spans="1:17" ht="21" customHeight="1">
      <c r="A1430" s="3" t="s">
        <v>2097</v>
      </c>
      <c r="B1430" s="5">
        <v>45665</v>
      </c>
      <c r="C1430" s="3" t="s">
        <v>1479</v>
      </c>
      <c r="D1430" s="3" t="s">
        <v>47</v>
      </c>
      <c r="E1430" s="3" t="s">
        <v>39</v>
      </c>
      <c r="F1430" s="3" t="s">
        <v>130</v>
      </c>
      <c r="G1430" s="3" t="s">
        <v>131</v>
      </c>
      <c r="H1430" s="3">
        <v>1</v>
      </c>
      <c r="I1430" s="7">
        <v>2169.6799999999998</v>
      </c>
      <c r="J1430" s="9">
        <v>0.1</v>
      </c>
      <c r="K1430" s="7">
        <v>1952.71</v>
      </c>
      <c r="L1430" s="7">
        <v>542.69000000000005</v>
      </c>
      <c r="M1430" s="3" t="s">
        <v>56</v>
      </c>
      <c r="N1430" s="3" t="str">
        <f t="shared" si="88"/>
        <v>2025-01</v>
      </c>
      <c r="O1430" s="3" t="str">
        <f t="shared" si="89"/>
        <v>1-10%</v>
      </c>
      <c r="P1430" s="9">
        <f t="shared" si="90"/>
        <v>0.27791633166215157</v>
      </c>
      <c r="Q1430" s="3" t="str">
        <f t="shared" si="91"/>
        <v>No</v>
      </c>
    </row>
    <row r="1431" spans="1:17" ht="21" customHeight="1">
      <c r="A1431" s="3" t="s">
        <v>2098</v>
      </c>
      <c r="B1431" s="5">
        <v>45666</v>
      </c>
      <c r="C1431" s="3" t="s">
        <v>756</v>
      </c>
      <c r="D1431" s="3" t="s">
        <v>44</v>
      </c>
      <c r="E1431" s="3" t="s">
        <v>40</v>
      </c>
      <c r="F1431" s="3" t="s">
        <v>102</v>
      </c>
      <c r="G1431" s="3" t="s">
        <v>103</v>
      </c>
      <c r="H1431" s="3">
        <v>3</v>
      </c>
      <c r="I1431" s="7">
        <v>6222.99</v>
      </c>
      <c r="J1431" s="9">
        <v>0.05</v>
      </c>
      <c r="K1431" s="7">
        <v>17735.52</v>
      </c>
      <c r="L1431" s="7">
        <v>5193.53</v>
      </c>
      <c r="M1431" s="3" t="s">
        <v>57</v>
      </c>
      <c r="N1431" s="3" t="str">
        <f t="shared" si="88"/>
        <v>2025-01</v>
      </c>
      <c r="O1431" s="3" t="str">
        <f t="shared" si="89"/>
        <v>1-10%</v>
      </c>
      <c r="P1431" s="9">
        <f t="shared" si="90"/>
        <v>0.29283212445984103</v>
      </c>
      <c r="Q1431" s="3" t="str">
        <f t="shared" si="91"/>
        <v>No</v>
      </c>
    </row>
    <row r="1432" spans="1:17" ht="21" customHeight="1">
      <c r="A1432" s="3" t="s">
        <v>2099</v>
      </c>
      <c r="B1432" s="5">
        <v>45666</v>
      </c>
      <c r="C1432" s="3" t="s">
        <v>1707</v>
      </c>
      <c r="D1432" s="3" t="s">
        <v>44</v>
      </c>
      <c r="E1432" s="3" t="s">
        <v>38</v>
      </c>
      <c r="F1432" s="3" t="s">
        <v>94</v>
      </c>
      <c r="G1432" s="3" t="s">
        <v>95</v>
      </c>
      <c r="H1432" s="3">
        <v>1</v>
      </c>
      <c r="I1432" s="7">
        <v>79496.710000000006</v>
      </c>
      <c r="J1432" s="9">
        <v>0.05</v>
      </c>
      <c r="K1432" s="7">
        <v>75521.87</v>
      </c>
      <c r="L1432" s="7">
        <v>7655.21</v>
      </c>
      <c r="M1432" s="3" t="s">
        <v>56</v>
      </c>
      <c r="N1432" s="3" t="str">
        <f t="shared" si="88"/>
        <v>2025-01</v>
      </c>
      <c r="O1432" s="3" t="str">
        <f t="shared" si="89"/>
        <v>1-10%</v>
      </c>
      <c r="P1432" s="9">
        <f t="shared" si="90"/>
        <v>0.10136414789517262</v>
      </c>
      <c r="Q1432" s="3" t="str">
        <f t="shared" si="91"/>
        <v>No</v>
      </c>
    </row>
    <row r="1433" spans="1:17" ht="21" customHeight="1">
      <c r="A1433" s="3" t="s">
        <v>2100</v>
      </c>
      <c r="B1433" s="5">
        <v>45666</v>
      </c>
      <c r="C1433" s="3" t="s">
        <v>579</v>
      </c>
      <c r="D1433" s="3" t="s">
        <v>46</v>
      </c>
      <c r="E1433" s="3" t="s">
        <v>41</v>
      </c>
      <c r="F1433" s="3" t="s">
        <v>119</v>
      </c>
      <c r="G1433" s="3" t="s">
        <v>120</v>
      </c>
      <c r="H1433" s="3">
        <v>2</v>
      </c>
      <c r="I1433" s="7">
        <v>1263.1400000000001</v>
      </c>
      <c r="J1433" s="9">
        <v>0</v>
      </c>
      <c r="K1433" s="7">
        <v>2526.2800000000002</v>
      </c>
      <c r="L1433" s="7">
        <v>929.53</v>
      </c>
      <c r="M1433" s="3" t="s">
        <v>56</v>
      </c>
      <c r="N1433" s="3" t="str">
        <f t="shared" si="88"/>
        <v>2025-01</v>
      </c>
      <c r="O1433" s="3" t="str">
        <f t="shared" si="89"/>
        <v>No discount</v>
      </c>
      <c r="P1433" s="9">
        <f t="shared" si="90"/>
        <v>0.36794417087575404</v>
      </c>
      <c r="Q1433" s="3" t="str">
        <f t="shared" si="91"/>
        <v>No</v>
      </c>
    </row>
    <row r="1434" spans="1:17" ht="21" customHeight="1">
      <c r="A1434" s="3" t="s">
        <v>2101</v>
      </c>
      <c r="B1434" s="5">
        <v>45667</v>
      </c>
      <c r="C1434" s="3" t="s">
        <v>1299</v>
      </c>
      <c r="D1434" s="3" t="s">
        <v>44</v>
      </c>
      <c r="E1434" s="3" t="s">
        <v>40</v>
      </c>
      <c r="F1434" s="3" t="s">
        <v>160</v>
      </c>
      <c r="G1434" s="3" t="s">
        <v>161</v>
      </c>
      <c r="H1434" s="3">
        <v>1</v>
      </c>
      <c r="I1434" s="7">
        <v>13518.53</v>
      </c>
      <c r="J1434" s="9">
        <v>0.1</v>
      </c>
      <c r="K1434" s="7">
        <v>12166.68</v>
      </c>
      <c r="L1434" s="7">
        <v>3002.97</v>
      </c>
      <c r="M1434" s="3" t="s">
        <v>60</v>
      </c>
      <c r="N1434" s="3" t="str">
        <f t="shared" si="88"/>
        <v>2025-01</v>
      </c>
      <c r="O1434" s="3" t="str">
        <f t="shared" si="89"/>
        <v>1-10%</v>
      </c>
      <c r="P1434" s="9">
        <f t="shared" si="90"/>
        <v>0.24681918156802019</v>
      </c>
      <c r="Q1434" s="3" t="str">
        <f t="shared" si="91"/>
        <v>No</v>
      </c>
    </row>
    <row r="1435" spans="1:17" ht="21" customHeight="1">
      <c r="A1435" s="3" t="s">
        <v>2102</v>
      </c>
      <c r="B1435" s="5">
        <v>45667</v>
      </c>
      <c r="C1435" s="3" t="s">
        <v>1835</v>
      </c>
      <c r="D1435" s="3" t="s">
        <v>45</v>
      </c>
      <c r="E1435" s="3" t="s">
        <v>41</v>
      </c>
      <c r="F1435" s="3" t="s">
        <v>119</v>
      </c>
      <c r="G1435" s="3" t="s">
        <v>120</v>
      </c>
      <c r="H1435" s="3">
        <v>2</v>
      </c>
      <c r="I1435" s="7">
        <v>1260.42</v>
      </c>
      <c r="J1435" s="9">
        <v>0.15</v>
      </c>
      <c r="K1435" s="7">
        <v>2142.71</v>
      </c>
      <c r="L1435" s="7">
        <v>379.22</v>
      </c>
      <c r="M1435" s="3" t="s">
        <v>57</v>
      </c>
      <c r="N1435" s="3" t="str">
        <f t="shared" si="88"/>
        <v>2025-01</v>
      </c>
      <c r="O1435" s="3" t="str">
        <f t="shared" si="89"/>
        <v>11-15%</v>
      </c>
      <c r="P1435" s="9">
        <f t="shared" si="90"/>
        <v>0.17698148606204295</v>
      </c>
      <c r="Q1435" s="3" t="str">
        <f t="shared" si="91"/>
        <v>No</v>
      </c>
    </row>
    <row r="1436" spans="1:17" ht="21" customHeight="1">
      <c r="A1436" s="3" t="s">
        <v>2103</v>
      </c>
      <c r="B1436" s="5">
        <v>45668</v>
      </c>
      <c r="C1436" s="3" t="s">
        <v>750</v>
      </c>
      <c r="D1436" s="3" t="s">
        <v>44</v>
      </c>
      <c r="E1436" s="3" t="s">
        <v>38</v>
      </c>
      <c r="F1436" s="3" t="s">
        <v>94</v>
      </c>
      <c r="G1436" s="3" t="s">
        <v>95</v>
      </c>
      <c r="H1436" s="3">
        <v>1</v>
      </c>
      <c r="I1436" s="7">
        <v>76729.67</v>
      </c>
      <c r="J1436" s="9">
        <v>0.1</v>
      </c>
      <c r="K1436" s="7">
        <v>69056.7</v>
      </c>
      <c r="L1436" s="7">
        <v>5354.58</v>
      </c>
      <c r="M1436" s="3" t="s">
        <v>56</v>
      </c>
      <c r="N1436" s="3" t="str">
        <f t="shared" si="88"/>
        <v>2025-01</v>
      </c>
      <c r="O1436" s="3" t="str">
        <f t="shared" si="89"/>
        <v>1-10%</v>
      </c>
      <c r="P1436" s="9">
        <f t="shared" si="90"/>
        <v>7.7538891954003014E-2</v>
      </c>
      <c r="Q1436" s="3" t="str">
        <f t="shared" si="91"/>
        <v>No</v>
      </c>
    </row>
    <row r="1437" spans="1:17" ht="21" customHeight="1">
      <c r="A1437" s="3" t="s">
        <v>2104</v>
      </c>
      <c r="B1437" s="5">
        <v>45668</v>
      </c>
      <c r="C1437" s="3" t="s">
        <v>1142</v>
      </c>
      <c r="D1437" s="3" t="s">
        <v>47</v>
      </c>
      <c r="E1437" s="3" t="s">
        <v>41</v>
      </c>
      <c r="F1437" s="3" t="s">
        <v>119</v>
      </c>
      <c r="G1437" s="3" t="s">
        <v>168</v>
      </c>
      <c r="H1437" s="3">
        <v>1</v>
      </c>
      <c r="I1437" s="7">
        <v>9687.82</v>
      </c>
      <c r="J1437" s="9">
        <v>0.2</v>
      </c>
      <c r="K1437" s="7">
        <v>7750.26</v>
      </c>
      <c r="L1437" s="7">
        <v>895.69</v>
      </c>
      <c r="M1437" s="3" t="s">
        <v>57</v>
      </c>
      <c r="N1437" s="3" t="str">
        <f t="shared" si="88"/>
        <v>2025-01</v>
      </c>
      <c r="O1437" s="3" t="str">
        <f t="shared" si="89"/>
        <v>16-20%</v>
      </c>
      <c r="P1437" s="9">
        <f t="shared" si="90"/>
        <v>0.11556902607138342</v>
      </c>
      <c r="Q1437" s="3" t="str">
        <f t="shared" si="91"/>
        <v>No</v>
      </c>
    </row>
    <row r="1438" spans="1:17" ht="21" customHeight="1">
      <c r="A1438" s="3" t="s">
        <v>2105</v>
      </c>
      <c r="B1438" s="5">
        <v>45669</v>
      </c>
      <c r="C1438" s="3" t="s">
        <v>2106</v>
      </c>
      <c r="D1438" s="3" t="s">
        <v>47</v>
      </c>
      <c r="E1438" s="3" t="s">
        <v>41</v>
      </c>
      <c r="F1438" s="3" t="s">
        <v>113</v>
      </c>
      <c r="G1438" s="3" t="s">
        <v>114</v>
      </c>
      <c r="H1438" s="3">
        <v>1</v>
      </c>
      <c r="I1438" s="7">
        <v>11847.41</v>
      </c>
      <c r="J1438" s="9">
        <v>0.25</v>
      </c>
      <c r="K1438" s="7">
        <v>8885.56</v>
      </c>
      <c r="L1438" s="7">
        <v>673.07</v>
      </c>
      <c r="M1438" s="3" t="s">
        <v>56</v>
      </c>
      <c r="N1438" s="3" t="str">
        <f t="shared" si="88"/>
        <v>2025-01</v>
      </c>
      <c r="O1438" s="3" t="str">
        <f t="shared" si="89"/>
        <v>21%+</v>
      </c>
      <c r="P1438" s="9">
        <f t="shared" si="90"/>
        <v>7.5748742904217639E-2</v>
      </c>
      <c r="Q1438" s="3" t="str">
        <f t="shared" si="91"/>
        <v>No</v>
      </c>
    </row>
    <row r="1439" spans="1:17" ht="21" customHeight="1">
      <c r="A1439" s="3" t="s">
        <v>2107</v>
      </c>
      <c r="B1439" s="5">
        <v>45669</v>
      </c>
      <c r="C1439" s="3" t="s">
        <v>1232</v>
      </c>
      <c r="D1439" s="3" t="s">
        <v>46</v>
      </c>
      <c r="E1439" s="3" t="s">
        <v>40</v>
      </c>
      <c r="F1439" s="3" t="s">
        <v>102</v>
      </c>
      <c r="G1439" s="3" t="s">
        <v>103</v>
      </c>
      <c r="H1439" s="3">
        <v>1</v>
      </c>
      <c r="I1439" s="7">
        <v>6412.1</v>
      </c>
      <c r="J1439" s="9">
        <v>0</v>
      </c>
      <c r="K1439" s="7">
        <v>6412.1</v>
      </c>
      <c r="L1439" s="7">
        <v>2123.85</v>
      </c>
      <c r="M1439" s="3" t="s">
        <v>56</v>
      </c>
      <c r="N1439" s="3" t="str">
        <f t="shared" si="88"/>
        <v>2025-01</v>
      </c>
      <c r="O1439" s="3" t="str">
        <f t="shared" si="89"/>
        <v>No discount</v>
      </c>
      <c r="P1439" s="9">
        <f t="shared" si="90"/>
        <v>0.33122533959233319</v>
      </c>
      <c r="Q1439" s="3" t="str">
        <f t="shared" si="91"/>
        <v>No</v>
      </c>
    </row>
    <row r="1440" spans="1:17" ht="21" customHeight="1">
      <c r="A1440" s="3" t="s">
        <v>2108</v>
      </c>
      <c r="B1440" s="5">
        <v>45669</v>
      </c>
      <c r="C1440" s="3" t="s">
        <v>1451</v>
      </c>
      <c r="D1440" s="3" t="s">
        <v>44</v>
      </c>
      <c r="E1440" s="3" t="s">
        <v>40</v>
      </c>
      <c r="F1440" s="3" t="s">
        <v>160</v>
      </c>
      <c r="G1440" s="3" t="s">
        <v>161</v>
      </c>
      <c r="H1440" s="3">
        <v>1</v>
      </c>
      <c r="I1440" s="7">
        <v>13455.37</v>
      </c>
      <c r="J1440" s="9">
        <v>0.1</v>
      </c>
      <c r="K1440" s="7">
        <v>12109.83</v>
      </c>
      <c r="L1440" s="7">
        <v>2408.96</v>
      </c>
      <c r="M1440" s="3" t="s">
        <v>57</v>
      </c>
      <c r="N1440" s="3" t="str">
        <f t="shared" si="88"/>
        <v>2025-01</v>
      </c>
      <c r="O1440" s="3" t="str">
        <f t="shared" si="89"/>
        <v>1-10%</v>
      </c>
      <c r="P1440" s="9">
        <f t="shared" si="90"/>
        <v>0.19892599648384826</v>
      </c>
      <c r="Q1440" s="3" t="str">
        <f t="shared" si="91"/>
        <v>No</v>
      </c>
    </row>
    <row r="1441" spans="1:17" ht="21" customHeight="1">
      <c r="A1441" s="3" t="s">
        <v>2109</v>
      </c>
      <c r="B1441" s="5">
        <v>45670</v>
      </c>
      <c r="C1441" s="3" t="s">
        <v>418</v>
      </c>
      <c r="D1441" s="3" t="s">
        <v>45</v>
      </c>
      <c r="E1441" s="3" t="s">
        <v>41</v>
      </c>
      <c r="F1441" s="3" t="s">
        <v>113</v>
      </c>
      <c r="G1441" s="3" t="s">
        <v>123</v>
      </c>
      <c r="H1441" s="3">
        <v>1</v>
      </c>
      <c r="I1441" s="7">
        <v>3521.04</v>
      </c>
      <c r="J1441" s="9">
        <v>0.1</v>
      </c>
      <c r="K1441" s="7">
        <v>3168.94</v>
      </c>
      <c r="L1441" s="7">
        <v>738.36</v>
      </c>
      <c r="M1441" s="3" t="s">
        <v>57</v>
      </c>
      <c r="N1441" s="3" t="str">
        <f t="shared" si="88"/>
        <v>2025-01</v>
      </c>
      <c r="O1441" s="3" t="str">
        <f t="shared" si="89"/>
        <v>1-10%</v>
      </c>
      <c r="P1441" s="9">
        <f t="shared" si="90"/>
        <v>0.2329990469999432</v>
      </c>
      <c r="Q1441" s="3" t="str">
        <f t="shared" si="91"/>
        <v>No</v>
      </c>
    </row>
    <row r="1442" spans="1:17" ht="21" customHeight="1">
      <c r="A1442" s="3" t="s">
        <v>2110</v>
      </c>
      <c r="B1442" s="5">
        <v>45670</v>
      </c>
      <c r="C1442" s="3" t="s">
        <v>775</v>
      </c>
      <c r="D1442" s="3" t="s">
        <v>47</v>
      </c>
      <c r="E1442" s="3" t="s">
        <v>41</v>
      </c>
      <c r="F1442" s="3" t="s">
        <v>119</v>
      </c>
      <c r="G1442" s="3" t="s">
        <v>168</v>
      </c>
      <c r="H1442" s="3">
        <v>4</v>
      </c>
      <c r="I1442" s="7">
        <v>10445.56</v>
      </c>
      <c r="J1442" s="9">
        <v>0.3</v>
      </c>
      <c r="K1442" s="7">
        <v>29247.57</v>
      </c>
      <c r="L1442" s="7">
        <v>1179.92</v>
      </c>
      <c r="M1442" s="3" t="s">
        <v>60</v>
      </c>
      <c r="N1442" s="3" t="str">
        <f t="shared" si="88"/>
        <v>2025-01</v>
      </c>
      <c r="O1442" s="3" t="str">
        <f t="shared" si="89"/>
        <v>21%+</v>
      </c>
      <c r="P1442" s="9">
        <f t="shared" si="90"/>
        <v>4.0342496829651152E-2</v>
      </c>
      <c r="Q1442" s="3" t="str">
        <f t="shared" si="91"/>
        <v>No</v>
      </c>
    </row>
    <row r="1443" spans="1:17" ht="21" customHeight="1">
      <c r="A1443" s="3" t="s">
        <v>2111</v>
      </c>
      <c r="B1443" s="5">
        <v>45670</v>
      </c>
      <c r="C1443" s="3" t="s">
        <v>1783</v>
      </c>
      <c r="D1443" s="3" t="s">
        <v>46</v>
      </c>
      <c r="E1443" s="3" t="s">
        <v>42</v>
      </c>
      <c r="F1443" s="3" t="s">
        <v>126</v>
      </c>
      <c r="G1443" s="3" t="s">
        <v>151</v>
      </c>
      <c r="H1443" s="3">
        <v>2</v>
      </c>
      <c r="I1443" s="7">
        <v>1452.87</v>
      </c>
      <c r="J1443" s="9">
        <v>0.3</v>
      </c>
      <c r="K1443" s="7">
        <v>2034.02</v>
      </c>
      <c r="L1443" s="7">
        <v>418.02</v>
      </c>
      <c r="M1443" s="3" t="s">
        <v>57</v>
      </c>
      <c r="N1443" s="3" t="str">
        <f t="shared" si="88"/>
        <v>2025-01</v>
      </c>
      <c r="O1443" s="3" t="str">
        <f t="shared" si="89"/>
        <v>21%+</v>
      </c>
      <c r="P1443" s="9">
        <f t="shared" si="90"/>
        <v>0.20551420340016321</v>
      </c>
      <c r="Q1443" s="3" t="str">
        <f t="shared" si="91"/>
        <v>No</v>
      </c>
    </row>
    <row r="1444" spans="1:17" ht="21" customHeight="1">
      <c r="A1444" s="3" t="s">
        <v>2112</v>
      </c>
      <c r="B1444" s="5">
        <v>45670</v>
      </c>
      <c r="C1444" s="3" t="s">
        <v>795</v>
      </c>
      <c r="D1444" s="3" t="s">
        <v>45</v>
      </c>
      <c r="E1444" s="3" t="s">
        <v>39</v>
      </c>
      <c r="F1444" s="3" t="s">
        <v>130</v>
      </c>
      <c r="G1444" s="3" t="s">
        <v>193</v>
      </c>
      <c r="H1444" s="3">
        <v>1</v>
      </c>
      <c r="I1444" s="7">
        <v>1721.1</v>
      </c>
      <c r="J1444" s="9">
        <v>0.1</v>
      </c>
      <c r="K1444" s="7">
        <v>1548.99</v>
      </c>
      <c r="L1444" s="7">
        <v>453.58</v>
      </c>
      <c r="M1444" s="3" t="s">
        <v>58</v>
      </c>
      <c r="N1444" s="3" t="str">
        <f t="shared" si="88"/>
        <v>2025-01</v>
      </c>
      <c r="O1444" s="3" t="str">
        <f t="shared" si="89"/>
        <v>1-10%</v>
      </c>
      <c r="P1444" s="9">
        <f t="shared" si="90"/>
        <v>0.29282306535226177</v>
      </c>
      <c r="Q1444" s="3" t="str">
        <f t="shared" si="91"/>
        <v>No</v>
      </c>
    </row>
    <row r="1445" spans="1:17" ht="21" customHeight="1">
      <c r="A1445" s="3" t="s">
        <v>2113</v>
      </c>
      <c r="B1445" s="5">
        <v>45671</v>
      </c>
      <c r="C1445" s="3" t="s">
        <v>450</v>
      </c>
      <c r="D1445" s="3" t="s">
        <v>47</v>
      </c>
      <c r="E1445" s="3" t="s">
        <v>39</v>
      </c>
      <c r="F1445" s="3" t="s">
        <v>130</v>
      </c>
      <c r="G1445" s="3" t="s">
        <v>193</v>
      </c>
      <c r="H1445" s="3">
        <v>1</v>
      </c>
      <c r="I1445" s="7">
        <v>1841.13</v>
      </c>
      <c r="J1445" s="9">
        <v>0.15</v>
      </c>
      <c r="K1445" s="7">
        <v>1564.96</v>
      </c>
      <c r="L1445" s="7">
        <v>432.5</v>
      </c>
      <c r="M1445" s="3" t="s">
        <v>56</v>
      </c>
      <c r="N1445" s="3" t="str">
        <f t="shared" si="88"/>
        <v>2025-01</v>
      </c>
      <c r="O1445" s="3" t="str">
        <f t="shared" si="89"/>
        <v>11-15%</v>
      </c>
      <c r="P1445" s="9">
        <f t="shared" si="90"/>
        <v>0.27636489111542789</v>
      </c>
      <c r="Q1445" s="3" t="str">
        <f t="shared" si="91"/>
        <v>No</v>
      </c>
    </row>
    <row r="1446" spans="1:17" ht="21" customHeight="1">
      <c r="A1446" s="3" t="s">
        <v>2114</v>
      </c>
      <c r="B1446" s="5">
        <v>45671</v>
      </c>
      <c r="C1446" s="3" t="s">
        <v>1099</v>
      </c>
      <c r="D1446" s="3" t="s">
        <v>45</v>
      </c>
      <c r="E1446" s="3" t="s">
        <v>38</v>
      </c>
      <c r="F1446" s="3" t="s">
        <v>142</v>
      </c>
      <c r="G1446" s="3" t="s">
        <v>143</v>
      </c>
      <c r="H1446" s="3">
        <v>4</v>
      </c>
      <c r="I1446" s="7">
        <v>8773.9699999999993</v>
      </c>
      <c r="J1446" s="9">
        <v>0.05</v>
      </c>
      <c r="K1446" s="7">
        <v>33341.089999999997</v>
      </c>
      <c r="L1446" s="7">
        <v>4269.1400000000003</v>
      </c>
      <c r="M1446" s="3" t="s">
        <v>56</v>
      </c>
      <c r="N1446" s="3" t="str">
        <f t="shared" si="88"/>
        <v>2025-01</v>
      </c>
      <c r="O1446" s="3" t="str">
        <f t="shared" si="89"/>
        <v>1-10%</v>
      </c>
      <c r="P1446" s="9">
        <f t="shared" si="90"/>
        <v>0.1280444040671736</v>
      </c>
      <c r="Q1446" s="3" t="str">
        <f t="shared" si="91"/>
        <v>No</v>
      </c>
    </row>
    <row r="1447" spans="1:17" ht="21" customHeight="1">
      <c r="A1447" s="3" t="s">
        <v>2115</v>
      </c>
      <c r="B1447" s="5">
        <v>45671</v>
      </c>
      <c r="C1447" s="3" t="s">
        <v>910</v>
      </c>
      <c r="D1447" s="3" t="s">
        <v>45</v>
      </c>
      <c r="E1447" s="3" t="s">
        <v>42</v>
      </c>
      <c r="F1447" s="3" t="s">
        <v>90</v>
      </c>
      <c r="G1447" s="3" t="s">
        <v>91</v>
      </c>
      <c r="H1447" s="3">
        <v>3</v>
      </c>
      <c r="I1447" s="7">
        <v>1230.42</v>
      </c>
      <c r="J1447" s="9">
        <v>0.2</v>
      </c>
      <c r="K1447" s="7">
        <v>2953.01</v>
      </c>
      <c r="L1447" s="7">
        <v>920.9</v>
      </c>
      <c r="M1447" s="3" t="s">
        <v>59</v>
      </c>
      <c r="N1447" s="3" t="str">
        <f t="shared" si="88"/>
        <v>2025-01</v>
      </c>
      <c r="O1447" s="3" t="str">
        <f t="shared" si="89"/>
        <v>16-20%</v>
      </c>
      <c r="P1447" s="9">
        <f t="shared" si="90"/>
        <v>0.31185129748967999</v>
      </c>
      <c r="Q1447" s="3" t="str">
        <f t="shared" si="91"/>
        <v>No</v>
      </c>
    </row>
    <row r="1448" spans="1:17" ht="21" customHeight="1">
      <c r="A1448" s="3" t="s">
        <v>2116</v>
      </c>
      <c r="B1448" s="5">
        <v>45671</v>
      </c>
      <c r="C1448" s="3" t="s">
        <v>2117</v>
      </c>
      <c r="D1448" s="3" t="s">
        <v>44</v>
      </c>
      <c r="E1448" s="3" t="s">
        <v>38</v>
      </c>
      <c r="F1448" s="3" t="s">
        <v>142</v>
      </c>
      <c r="G1448" s="3" t="s">
        <v>245</v>
      </c>
      <c r="H1448" s="3">
        <v>2</v>
      </c>
      <c r="I1448" s="7">
        <v>4867.8</v>
      </c>
      <c r="J1448" s="9">
        <v>0.15</v>
      </c>
      <c r="K1448" s="7">
        <v>8275.26</v>
      </c>
      <c r="L1448" s="7">
        <v>-105.88</v>
      </c>
      <c r="M1448" s="3" t="s">
        <v>56</v>
      </c>
      <c r="N1448" s="3" t="str">
        <f t="shared" si="88"/>
        <v>2025-01</v>
      </c>
      <c r="O1448" s="3" t="str">
        <f t="shared" si="89"/>
        <v>11-15%</v>
      </c>
      <c r="P1448" s="9">
        <f t="shared" si="90"/>
        <v>-1.2794764152425421E-2</v>
      </c>
      <c r="Q1448" s="3" t="str">
        <f t="shared" si="91"/>
        <v>Yes</v>
      </c>
    </row>
    <row r="1449" spans="1:17" ht="21" customHeight="1">
      <c r="A1449" s="3" t="s">
        <v>2118</v>
      </c>
      <c r="B1449" s="5">
        <v>45672</v>
      </c>
      <c r="C1449" s="3" t="s">
        <v>2119</v>
      </c>
      <c r="D1449" s="3" t="s">
        <v>46</v>
      </c>
      <c r="E1449" s="3" t="s">
        <v>41</v>
      </c>
      <c r="F1449" s="3" t="s">
        <v>113</v>
      </c>
      <c r="G1449" s="3" t="s">
        <v>123</v>
      </c>
      <c r="H1449" s="3">
        <v>1</v>
      </c>
      <c r="I1449" s="7">
        <v>3427</v>
      </c>
      <c r="J1449" s="9">
        <v>0.05</v>
      </c>
      <c r="K1449" s="7">
        <v>3255.65</v>
      </c>
      <c r="L1449" s="7">
        <v>1159.8499999999999</v>
      </c>
      <c r="M1449" s="3" t="s">
        <v>57</v>
      </c>
      <c r="N1449" s="3" t="str">
        <f t="shared" si="88"/>
        <v>2025-01</v>
      </c>
      <c r="O1449" s="3" t="str">
        <f t="shared" si="89"/>
        <v>1-10%</v>
      </c>
      <c r="P1449" s="9">
        <f t="shared" si="90"/>
        <v>0.35625758297114246</v>
      </c>
      <c r="Q1449" s="3" t="str">
        <f t="shared" si="91"/>
        <v>No</v>
      </c>
    </row>
    <row r="1450" spans="1:17" ht="21" customHeight="1">
      <c r="A1450" s="3" t="s">
        <v>2120</v>
      </c>
      <c r="B1450" s="5">
        <v>45673</v>
      </c>
      <c r="C1450" s="3" t="s">
        <v>295</v>
      </c>
      <c r="D1450" s="3" t="s">
        <v>46</v>
      </c>
      <c r="E1450" s="3" t="s">
        <v>41</v>
      </c>
      <c r="F1450" s="3" t="s">
        <v>119</v>
      </c>
      <c r="G1450" s="3" t="s">
        <v>168</v>
      </c>
      <c r="H1450" s="3">
        <v>1</v>
      </c>
      <c r="I1450" s="7">
        <v>9830.51</v>
      </c>
      <c r="J1450" s="9">
        <v>0.2</v>
      </c>
      <c r="K1450" s="7">
        <v>7864.41</v>
      </c>
      <c r="L1450" s="7">
        <v>1014.56</v>
      </c>
      <c r="M1450" s="3" t="s">
        <v>59</v>
      </c>
      <c r="N1450" s="3" t="str">
        <f t="shared" si="88"/>
        <v>2025-01</v>
      </c>
      <c r="O1450" s="3" t="str">
        <f t="shared" si="89"/>
        <v>16-20%</v>
      </c>
      <c r="P1450" s="9">
        <f t="shared" si="90"/>
        <v>0.12900649889820087</v>
      </c>
      <c r="Q1450" s="3" t="str">
        <f t="shared" si="91"/>
        <v>No</v>
      </c>
    </row>
    <row r="1451" spans="1:17" ht="21" customHeight="1">
      <c r="A1451" s="3" t="s">
        <v>2121</v>
      </c>
      <c r="B1451" s="5">
        <v>45673</v>
      </c>
      <c r="C1451" s="3" t="s">
        <v>1191</v>
      </c>
      <c r="D1451" s="3" t="s">
        <v>44</v>
      </c>
      <c r="E1451" s="3" t="s">
        <v>38</v>
      </c>
      <c r="F1451" s="3" t="s">
        <v>94</v>
      </c>
      <c r="G1451" s="3" t="s">
        <v>213</v>
      </c>
      <c r="H1451" s="3">
        <v>1</v>
      </c>
      <c r="I1451" s="7">
        <v>55027.19</v>
      </c>
      <c r="J1451" s="9">
        <v>0.2</v>
      </c>
      <c r="K1451" s="7">
        <v>44021.75</v>
      </c>
      <c r="L1451" s="7">
        <v>-1724.21</v>
      </c>
      <c r="M1451" s="3" t="s">
        <v>56</v>
      </c>
      <c r="N1451" s="3" t="str">
        <f t="shared" si="88"/>
        <v>2025-01</v>
      </c>
      <c r="O1451" s="3" t="str">
        <f t="shared" si="89"/>
        <v>16-20%</v>
      </c>
      <c r="P1451" s="9">
        <f t="shared" si="90"/>
        <v>-3.9167229835251893E-2</v>
      </c>
      <c r="Q1451" s="3" t="str">
        <f t="shared" si="91"/>
        <v>Yes</v>
      </c>
    </row>
    <row r="1452" spans="1:17" ht="21" customHeight="1">
      <c r="A1452" s="3" t="s">
        <v>2122</v>
      </c>
      <c r="B1452" s="5">
        <v>45673</v>
      </c>
      <c r="C1452" s="3" t="s">
        <v>2123</v>
      </c>
      <c r="D1452" s="3" t="s">
        <v>45</v>
      </c>
      <c r="E1452" s="3" t="s">
        <v>41</v>
      </c>
      <c r="F1452" s="3" t="s">
        <v>119</v>
      </c>
      <c r="G1452" s="3" t="s">
        <v>168</v>
      </c>
      <c r="H1452" s="3">
        <v>2</v>
      </c>
      <c r="I1452" s="7">
        <v>10415.209999999999</v>
      </c>
      <c r="J1452" s="9">
        <v>0.05</v>
      </c>
      <c r="K1452" s="7">
        <v>19788.900000000001</v>
      </c>
      <c r="L1452" s="7">
        <v>5756.96</v>
      </c>
      <c r="M1452" s="3" t="s">
        <v>57</v>
      </c>
      <c r="N1452" s="3" t="str">
        <f t="shared" si="88"/>
        <v>2025-01</v>
      </c>
      <c r="O1452" s="3" t="str">
        <f t="shared" si="89"/>
        <v>1-10%</v>
      </c>
      <c r="P1452" s="9">
        <f t="shared" si="90"/>
        <v>0.29091864631182124</v>
      </c>
      <c r="Q1452" s="3" t="str">
        <f t="shared" si="91"/>
        <v>No</v>
      </c>
    </row>
    <row r="1453" spans="1:17" ht="21" customHeight="1">
      <c r="A1453" s="3" t="s">
        <v>2124</v>
      </c>
      <c r="B1453" s="5">
        <v>45674</v>
      </c>
      <c r="C1453" s="3" t="s">
        <v>446</v>
      </c>
      <c r="D1453" s="3" t="s">
        <v>46</v>
      </c>
      <c r="E1453" s="3" t="s">
        <v>42</v>
      </c>
      <c r="F1453" s="3" t="s">
        <v>126</v>
      </c>
      <c r="G1453" s="3" t="s">
        <v>127</v>
      </c>
      <c r="H1453" s="3">
        <v>2</v>
      </c>
      <c r="I1453" s="7">
        <v>951.66</v>
      </c>
      <c r="J1453" s="9">
        <v>0</v>
      </c>
      <c r="K1453" s="7">
        <v>1903.32</v>
      </c>
      <c r="L1453" s="7">
        <v>982.79</v>
      </c>
      <c r="M1453" s="3" t="s">
        <v>56</v>
      </c>
      <c r="N1453" s="3" t="str">
        <f t="shared" si="88"/>
        <v>2025-01</v>
      </c>
      <c r="O1453" s="3" t="str">
        <f t="shared" si="89"/>
        <v>No discount</v>
      </c>
      <c r="P1453" s="9">
        <f t="shared" si="90"/>
        <v>0.51635563121282813</v>
      </c>
      <c r="Q1453" s="3" t="str">
        <f t="shared" si="91"/>
        <v>No</v>
      </c>
    </row>
    <row r="1454" spans="1:17" ht="21" customHeight="1">
      <c r="A1454" s="3" t="s">
        <v>2125</v>
      </c>
      <c r="B1454" s="5">
        <v>45674</v>
      </c>
      <c r="C1454" s="3" t="s">
        <v>471</v>
      </c>
      <c r="D1454" s="3" t="s">
        <v>44</v>
      </c>
      <c r="E1454" s="3" t="s">
        <v>39</v>
      </c>
      <c r="F1454" s="3" t="s">
        <v>164</v>
      </c>
      <c r="G1454" s="3" t="s">
        <v>200</v>
      </c>
      <c r="H1454" s="3">
        <v>1</v>
      </c>
      <c r="I1454" s="7">
        <v>1337.72</v>
      </c>
      <c r="J1454" s="9">
        <v>0.15</v>
      </c>
      <c r="K1454" s="7">
        <v>1137.06</v>
      </c>
      <c r="L1454" s="7">
        <v>311.58999999999997</v>
      </c>
      <c r="M1454" s="3" t="s">
        <v>60</v>
      </c>
      <c r="N1454" s="3" t="str">
        <f t="shared" si="88"/>
        <v>2025-01</v>
      </c>
      <c r="O1454" s="3" t="str">
        <f t="shared" si="89"/>
        <v>11-15%</v>
      </c>
      <c r="P1454" s="9">
        <f t="shared" si="90"/>
        <v>0.27403127363551616</v>
      </c>
      <c r="Q1454" s="3" t="str">
        <f t="shared" si="91"/>
        <v>No</v>
      </c>
    </row>
    <row r="1455" spans="1:17" ht="21" customHeight="1">
      <c r="A1455" s="3" t="s">
        <v>2126</v>
      </c>
      <c r="B1455" s="5">
        <v>45674</v>
      </c>
      <c r="C1455" s="3" t="s">
        <v>1156</v>
      </c>
      <c r="D1455" s="3" t="s">
        <v>46</v>
      </c>
      <c r="E1455" s="3" t="s">
        <v>41</v>
      </c>
      <c r="F1455" s="3" t="s">
        <v>113</v>
      </c>
      <c r="G1455" s="3" t="s">
        <v>123</v>
      </c>
      <c r="H1455" s="3">
        <v>4</v>
      </c>
      <c r="I1455" s="7">
        <v>3366.39</v>
      </c>
      <c r="J1455" s="9">
        <v>0.2</v>
      </c>
      <c r="K1455" s="7">
        <v>10772.45</v>
      </c>
      <c r="L1455" s="7">
        <v>1324.58</v>
      </c>
      <c r="M1455" s="3" t="s">
        <v>57</v>
      </c>
      <c r="N1455" s="3" t="str">
        <f t="shared" si="88"/>
        <v>2025-01</v>
      </c>
      <c r="O1455" s="3" t="str">
        <f t="shared" si="89"/>
        <v>16-20%</v>
      </c>
      <c r="P1455" s="9">
        <f t="shared" si="90"/>
        <v>0.12295995804111412</v>
      </c>
      <c r="Q1455" s="3" t="str">
        <f t="shared" si="91"/>
        <v>No</v>
      </c>
    </row>
    <row r="1456" spans="1:17" ht="21" customHeight="1">
      <c r="A1456" s="3" t="s">
        <v>2127</v>
      </c>
      <c r="B1456" s="5">
        <v>45674</v>
      </c>
      <c r="C1456" s="3" t="s">
        <v>527</v>
      </c>
      <c r="D1456" s="3" t="s">
        <v>44</v>
      </c>
      <c r="E1456" s="3" t="s">
        <v>41</v>
      </c>
      <c r="F1456" s="3" t="s">
        <v>119</v>
      </c>
      <c r="G1456" s="3" t="s">
        <v>120</v>
      </c>
      <c r="H1456" s="3">
        <v>1</v>
      </c>
      <c r="I1456" s="7">
        <v>1358.44</v>
      </c>
      <c r="J1456" s="9">
        <v>0.15</v>
      </c>
      <c r="K1456" s="7">
        <v>1154.67</v>
      </c>
      <c r="L1456" s="7">
        <v>254.55</v>
      </c>
      <c r="M1456" s="3" t="s">
        <v>56</v>
      </c>
      <c r="N1456" s="3" t="str">
        <f t="shared" si="88"/>
        <v>2025-01</v>
      </c>
      <c r="O1456" s="3" t="str">
        <f t="shared" si="89"/>
        <v>11-15%</v>
      </c>
      <c r="P1456" s="9">
        <f t="shared" si="90"/>
        <v>0.22045259684585206</v>
      </c>
      <c r="Q1456" s="3" t="str">
        <f t="shared" si="91"/>
        <v>No</v>
      </c>
    </row>
    <row r="1457" spans="1:17" ht="21" customHeight="1">
      <c r="A1457" s="3" t="s">
        <v>2128</v>
      </c>
      <c r="B1457" s="5">
        <v>45674</v>
      </c>
      <c r="C1457" s="3" t="s">
        <v>1044</v>
      </c>
      <c r="D1457" s="3" t="s">
        <v>45</v>
      </c>
      <c r="E1457" s="3" t="s">
        <v>38</v>
      </c>
      <c r="F1457" s="3" t="s">
        <v>142</v>
      </c>
      <c r="G1457" s="3" t="s">
        <v>143</v>
      </c>
      <c r="H1457" s="3">
        <v>1</v>
      </c>
      <c r="I1457" s="7">
        <v>8779.2099999999991</v>
      </c>
      <c r="J1457" s="9">
        <v>0.05</v>
      </c>
      <c r="K1457" s="7">
        <v>8340.25</v>
      </c>
      <c r="L1457" s="7">
        <v>1310.79</v>
      </c>
      <c r="M1457" s="3" t="s">
        <v>56</v>
      </c>
      <c r="N1457" s="3" t="str">
        <f t="shared" si="88"/>
        <v>2025-01</v>
      </c>
      <c r="O1457" s="3" t="str">
        <f t="shared" si="89"/>
        <v>1-10%</v>
      </c>
      <c r="P1457" s="9">
        <f t="shared" si="90"/>
        <v>0.15716435358652317</v>
      </c>
      <c r="Q1457" s="3" t="str">
        <f t="shared" si="91"/>
        <v>No</v>
      </c>
    </row>
    <row r="1458" spans="1:17" ht="21" customHeight="1">
      <c r="A1458" s="3" t="s">
        <v>2129</v>
      </c>
      <c r="B1458" s="5">
        <v>45674</v>
      </c>
      <c r="C1458" s="3" t="s">
        <v>2130</v>
      </c>
      <c r="D1458" s="3" t="s">
        <v>45</v>
      </c>
      <c r="E1458" s="3" t="s">
        <v>38</v>
      </c>
      <c r="F1458" s="3" t="s">
        <v>94</v>
      </c>
      <c r="G1458" s="3" t="s">
        <v>213</v>
      </c>
      <c r="H1458" s="3">
        <v>2</v>
      </c>
      <c r="I1458" s="7">
        <v>54673.47</v>
      </c>
      <c r="J1458" s="9">
        <v>0</v>
      </c>
      <c r="K1458" s="7">
        <v>109346.94</v>
      </c>
      <c r="L1458" s="7">
        <v>21000.14</v>
      </c>
      <c r="M1458" s="3" t="s">
        <v>57</v>
      </c>
      <c r="N1458" s="3" t="str">
        <f t="shared" si="88"/>
        <v>2025-01</v>
      </c>
      <c r="O1458" s="3" t="str">
        <f t="shared" si="89"/>
        <v>No discount</v>
      </c>
      <c r="P1458" s="9">
        <f t="shared" si="90"/>
        <v>0.19205055029432008</v>
      </c>
      <c r="Q1458" s="3" t="str">
        <f t="shared" si="91"/>
        <v>No</v>
      </c>
    </row>
    <row r="1459" spans="1:17" ht="21" customHeight="1">
      <c r="A1459" s="3" t="s">
        <v>2131</v>
      </c>
      <c r="B1459" s="5">
        <v>45675</v>
      </c>
      <c r="C1459" s="3" t="s">
        <v>545</v>
      </c>
      <c r="D1459" s="3" t="s">
        <v>45</v>
      </c>
      <c r="E1459" s="3" t="s">
        <v>42</v>
      </c>
      <c r="F1459" s="3" t="s">
        <v>90</v>
      </c>
      <c r="G1459" s="3" t="s">
        <v>106</v>
      </c>
      <c r="H1459" s="3">
        <v>1</v>
      </c>
      <c r="I1459" s="7">
        <v>931.65</v>
      </c>
      <c r="J1459" s="9">
        <v>0</v>
      </c>
      <c r="K1459" s="7">
        <v>931.65</v>
      </c>
      <c r="L1459" s="7">
        <v>504.65</v>
      </c>
      <c r="M1459" s="3" t="s">
        <v>59</v>
      </c>
      <c r="N1459" s="3" t="str">
        <f t="shared" si="88"/>
        <v>2025-01</v>
      </c>
      <c r="O1459" s="3" t="str">
        <f t="shared" si="89"/>
        <v>No discount</v>
      </c>
      <c r="P1459" s="9">
        <f t="shared" si="90"/>
        <v>0.54167337519454728</v>
      </c>
      <c r="Q1459" s="3" t="str">
        <f t="shared" si="91"/>
        <v>No</v>
      </c>
    </row>
    <row r="1460" spans="1:17" ht="21" customHeight="1">
      <c r="A1460" s="3" t="s">
        <v>2132</v>
      </c>
      <c r="B1460" s="5">
        <v>45675</v>
      </c>
      <c r="C1460" s="3" t="s">
        <v>555</v>
      </c>
      <c r="D1460" s="3" t="s">
        <v>47</v>
      </c>
      <c r="E1460" s="3" t="s">
        <v>38</v>
      </c>
      <c r="F1460" s="3" t="s">
        <v>94</v>
      </c>
      <c r="G1460" s="3" t="s">
        <v>213</v>
      </c>
      <c r="H1460" s="3">
        <v>2</v>
      </c>
      <c r="I1460" s="7">
        <v>57287.68</v>
      </c>
      <c r="J1460" s="9">
        <v>0</v>
      </c>
      <c r="K1460" s="7">
        <v>114575.36</v>
      </c>
      <c r="L1460" s="7">
        <v>16078.87</v>
      </c>
      <c r="M1460" s="3" t="s">
        <v>58</v>
      </c>
      <c r="N1460" s="3" t="str">
        <f t="shared" si="88"/>
        <v>2025-01</v>
      </c>
      <c r="O1460" s="3" t="str">
        <f t="shared" si="89"/>
        <v>No discount</v>
      </c>
      <c r="P1460" s="9">
        <f t="shared" si="90"/>
        <v>0.14033444887277685</v>
      </c>
      <c r="Q1460" s="3" t="str">
        <f t="shared" si="91"/>
        <v>No</v>
      </c>
    </row>
    <row r="1461" spans="1:17" ht="21" customHeight="1">
      <c r="A1461" s="3" t="s">
        <v>2133</v>
      </c>
      <c r="B1461" s="5">
        <v>45675</v>
      </c>
      <c r="C1461" s="3" t="s">
        <v>1451</v>
      </c>
      <c r="D1461" s="3" t="s">
        <v>46</v>
      </c>
      <c r="E1461" s="3" t="s">
        <v>42</v>
      </c>
      <c r="F1461" s="3" t="s">
        <v>126</v>
      </c>
      <c r="G1461" s="3" t="s">
        <v>151</v>
      </c>
      <c r="H1461" s="3">
        <v>1</v>
      </c>
      <c r="I1461" s="7">
        <v>1466.48</v>
      </c>
      <c r="J1461" s="9">
        <v>0.05</v>
      </c>
      <c r="K1461" s="7">
        <v>1393.16</v>
      </c>
      <c r="L1461" s="7">
        <v>633.16</v>
      </c>
      <c r="M1461" s="3" t="s">
        <v>56</v>
      </c>
      <c r="N1461" s="3" t="str">
        <f t="shared" si="88"/>
        <v>2025-01</v>
      </c>
      <c r="O1461" s="3" t="str">
        <f t="shared" si="89"/>
        <v>1-10%</v>
      </c>
      <c r="P1461" s="9">
        <f t="shared" si="90"/>
        <v>0.45447759051365239</v>
      </c>
      <c r="Q1461" s="3" t="str">
        <f t="shared" si="91"/>
        <v>No</v>
      </c>
    </row>
    <row r="1462" spans="1:17" ht="21" customHeight="1">
      <c r="A1462" s="3" t="s">
        <v>2134</v>
      </c>
      <c r="B1462" s="5">
        <v>45675</v>
      </c>
      <c r="C1462" s="3" t="s">
        <v>1085</v>
      </c>
      <c r="D1462" s="3" t="s">
        <v>46</v>
      </c>
      <c r="E1462" s="3" t="s">
        <v>39</v>
      </c>
      <c r="F1462" s="3" t="s">
        <v>109</v>
      </c>
      <c r="G1462" s="3" t="s">
        <v>110</v>
      </c>
      <c r="H1462" s="3">
        <v>1</v>
      </c>
      <c r="I1462" s="7">
        <v>3138.68</v>
      </c>
      <c r="J1462" s="9">
        <v>0.1</v>
      </c>
      <c r="K1462" s="7">
        <v>2824.81</v>
      </c>
      <c r="L1462" s="7">
        <v>921.84</v>
      </c>
      <c r="M1462" s="3" t="s">
        <v>56</v>
      </c>
      <c r="N1462" s="3" t="str">
        <f t="shared" si="88"/>
        <v>2025-01</v>
      </c>
      <c r="O1462" s="3" t="str">
        <f t="shared" si="89"/>
        <v>1-10%</v>
      </c>
      <c r="P1462" s="9">
        <f t="shared" si="90"/>
        <v>0.3263369925764919</v>
      </c>
      <c r="Q1462" s="3" t="str">
        <f t="shared" si="91"/>
        <v>No</v>
      </c>
    </row>
    <row r="1463" spans="1:17" ht="21" customHeight="1">
      <c r="A1463" s="3" t="s">
        <v>2135</v>
      </c>
      <c r="B1463" s="5">
        <v>45675</v>
      </c>
      <c r="C1463" s="3" t="s">
        <v>1953</v>
      </c>
      <c r="D1463" s="3" t="s">
        <v>44</v>
      </c>
      <c r="E1463" s="3" t="s">
        <v>39</v>
      </c>
      <c r="F1463" s="3" t="s">
        <v>164</v>
      </c>
      <c r="G1463" s="3" t="s">
        <v>165</v>
      </c>
      <c r="H1463" s="3">
        <v>1</v>
      </c>
      <c r="I1463" s="7">
        <v>1946.26</v>
      </c>
      <c r="J1463" s="9">
        <v>0</v>
      </c>
      <c r="K1463" s="7">
        <v>1946.26</v>
      </c>
      <c r="L1463" s="7">
        <v>771.24</v>
      </c>
      <c r="M1463" s="3" t="s">
        <v>56</v>
      </c>
      <c r="N1463" s="3" t="str">
        <f t="shared" si="88"/>
        <v>2025-01</v>
      </c>
      <c r="O1463" s="3" t="str">
        <f t="shared" si="89"/>
        <v>No discount</v>
      </c>
      <c r="P1463" s="9">
        <f t="shared" si="90"/>
        <v>0.39626771346068873</v>
      </c>
      <c r="Q1463" s="3" t="str">
        <f t="shared" si="91"/>
        <v>No</v>
      </c>
    </row>
    <row r="1464" spans="1:17" ht="21" customHeight="1">
      <c r="A1464" s="3" t="s">
        <v>2136</v>
      </c>
      <c r="B1464" s="5">
        <v>45675</v>
      </c>
      <c r="C1464" s="3" t="s">
        <v>1427</v>
      </c>
      <c r="D1464" s="3" t="s">
        <v>44</v>
      </c>
      <c r="E1464" s="3" t="s">
        <v>38</v>
      </c>
      <c r="F1464" s="3" t="s">
        <v>94</v>
      </c>
      <c r="G1464" s="3" t="s">
        <v>213</v>
      </c>
      <c r="H1464" s="3">
        <v>1</v>
      </c>
      <c r="I1464" s="7">
        <v>56534.22</v>
      </c>
      <c r="J1464" s="9">
        <v>0.05</v>
      </c>
      <c r="K1464" s="7">
        <v>53707.51</v>
      </c>
      <c r="L1464" s="7">
        <v>7370.59</v>
      </c>
      <c r="M1464" s="3" t="s">
        <v>57</v>
      </c>
      <c r="N1464" s="3" t="str">
        <f t="shared" si="88"/>
        <v>2025-01</v>
      </c>
      <c r="O1464" s="3" t="str">
        <f t="shared" si="89"/>
        <v>1-10%</v>
      </c>
      <c r="P1464" s="9">
        <f t="shared" si="90"/>
        <v>0.13723574226397761</v>
      </c>
      <c r="Q1464" s="3" t="str">
        <f t="shared" si="91"/>
        <v>No</v>
      </c>
    </row>
    <row r="1465" spans="1:17" ht="21" customHeight="1">
      <c r="A1465" s="3" t="s">
        <v>2137</v>
      </c>
      <c r="B1465" s="5">
        <v>45676</v>
      </c>
      <c r="C1465" s="3" t="s">
        <v>2138</v>
      </c>
      <c r="D1465" s="3" t="s">
        <v>45</v>
      </c>
      <c r="E1465" s="3" t="s">
        <v>41</v>
      </c>
      <c r="F1465" s="3" t="s">
        <v>119</v>
      </c>
      <c r="G1465" s="3" t="s">
        <v>168</v>
      </c>
      <c r="H1465" s="3">
        <v>2</v>
      </c>
      <c r="I1465" s="7">
        <v>10225.629999999999</v>
      </c>
      <c r="J1465" s="9">
        <v>0</v>
      </c>
      <c r="K1465" s="7">
        <v>20451.259999999998</v>
      </c>
      <c r="L1465" s="7">
        <v>7374.38</v>
      </c>
      <c r="M1465" s="3" t="s">
        <v>57</v>
      </c>
      <c r="N1465" s="3" t="str">
        <f t="shared" si="88"/>
        <v>2025-01</v>
      </c>
      <c r="O1465" s="3" t="str">
        <f t="shared" si="89"/>
        <v>No discount</v>
      </c>
      <c r="P1465" s="9">
        <f t="shared" si="90"/>
        <v>0.36058316211323904</v>
      </c>
      <c r="Q1465" s="3" t="str">
        <f t="shared" si="91"/>
        <v>No</v>
      </c>
    </row>
    <row r="1466" spans="1:17" ht="21" customHeight="1">
      <c r="A1466" s="3" t="s">
        <v>2139</v>
      </c>
      <c r="B1466" s="5">
        <v>45676</v>
      </c>
      <c r="C1466" s="3" t="s">
        <v>195</v>
      </c>
      <c r="D1466" s="3" t="s">
        <v>46</v>
      </c>
      <c r="E1466" s="3" t="s">
        <v>42</v>
      </c>
      <c r="F1466" s="3" t="s">
        <v>90</v>
      </c>
      <c r="G1466" s="3" t="s">
        <v>106</v>
      </c>
      <c r="H1466" s="3">
        <v>1</v>
      </c>
      <c r="I1466" s="7">
        <v>896.31</v>
      </c>
      <c r="J1466" s="9">
        <v>0</v>
      </c>
      <c r="K1466" s="7">
        <v>896.31</v>
      </c>
      <c r="L1466" s="7">
        <v>484.97</v>
      </c>
      <c r="M1466" s="3" t="s">
        <v>56</v>
      </c>
      <c r="N1466" s="3" t="str">
        <f t="shared" si="88"/>
        <v>2025-01</v>
      </c>
      <c r="O1466" s="3" t="str">
        <f t="shared" si="89"/>
        <v>No discount</v>
      </c>
      <c r="P1466" s="9">
        <f t="shared" si="90"/>
        <v>0.5410739587865806</v>
      </c>
      <c r="Q1466" s="3" t="str">
        <f t="shared" si="91"/>
        <v>No</v>
      </c>
    </row>
    <row r="1467" spans="1:17" ht="21" customHeight="1">
      <c r="A1467" s="3" t="s">
        <v>2140</v>
      </c>
      <c r="B1467" s="5">
        <v>45677</v>
      </c>
      <c r="C1467" s="3" t="s">
        <v>1967</v>
      </c>
      <c r="D1467" s="3" t="s">
        <v>45</v>
      </c>
      <c r="E1467" s="3" t="s">
        <v>39</v>
      </c>
      <c r="F1467" s="3" t="s">
        <v>130</v>
      </c>
      <c r="G1467" s="3" t="s">
        <v>193</v>
      </c>
      <c r="H1467" s="3">
        <v>3</v>
      </c>
      <c r="I1467" s="7">
        <v>1766.21</v>
      </c>
      <c r="J1467" s="9">
        <v>0.3</v>
      </c>
      <c r="K1467" s="7">
        <v>3709.04</v>
      </c>
      <c r="L1467" s="7">
        <v>268.60000000000002</v>
      </c>
      <c r="M1467" s="3" t="s">
        <v>60</v>
      </c>
      <c r="N1467" s="3" t="str">
        <f t="shared" si="88"/>
        <v>2025-01</v>
      </c>
      <c r="O1467" s="3" t="str">
        <f t="shared" si="89"/>
        <v>21%+</v>
      </c>
      <c r="P1467" s="9">
        <f t="shared" si="90"/>
        <v>7.2417660634557735E-2</v>
      </c>
      <c r="Q1467" s="3" t="str">
        <f t="shared" si="91"/>
        <v>No</v>
      </c>
    </row>
    <row r="1468" spans="1:17" ht="21" customHeight="1">
      <c r="A1468" s="3" t="s">
        <v>2141</v>
      </c>
      <c r="B1468" s="5">
        <v>45678</v>
      </c>
      <c r="C1468" s="3" t="s">
        <v>891</v>
      </c>
      <c r="D1468" s="3" t="s">
        <v>44</v>
      </c>
      <c r="E1468" s="3" t="s">
        <v>42</v>
      </c>
      <c r="F1468" s="3" t="s">
        <v>126</v>
      </c>
      <c r="G1468" s="3" t="s">
        <v>127</v>
      </c>
      <c r="H1468" s="3">
        <v>1</v>
      </c>
      <c r="I1468" s="7">
        <v>1005.8</v>
      </c>
      <c r="J1468" s="9">
        <v>0.2</v>
      </c>
      <c r="K1468" s="7">
        <v>804.64</v>
      </c>
      <c r="L1468" s="7">
        <v>283.32</v>
      </c>
      <c r="M1468" s="3" t="s">
        <v>57</v>
      </c>
      <c r="N1468" s="3" t="str">
        <f t="shared" si="88"/>
        <v>2025-01</v>
      </c>
      <c r="O1468" s="3" t="str">
        <f t="shared" si="89"/>
        <v>16-20%</v>
      </c>
      <c r="P1468" s="9">
        <f t="shared" si="90"/>
        <v>0.35210777490554784</v>
      </c>
      <c r="Q1468" s="3" t="str">
        <f t="shared" si="91"/>
        <v>No</v>
      </c>
    </row>
    <row r="1469" spans="1:17" ht="21" customHeight="1">
      <c r="A1469" s="3" t="s">
        <v>2142</v>
      </c>
      <c r="B1469" s="5">
        <v>45678</v>
      </c>
      <c r="C1469" s="3" t="s">
        <v>1138</v>
      </c>
      <c r="D1469" s="3" t="s">
        <v>46</v>
      </c>
      <c r="E1469" s="3" t="s">
        <v>42</v>
      </c>
      <c r="F1469" s="3" t="s">
        <v>126</v>
      </c>
      <c r="G1469" s="3" t="s">
        <v>127</v>
      </c>
      <c r="H1469" s="3">
        <v>1</v>
      </c>
      <c r="I1469" s="7">
        <v>1025.33</v>
      </c>
      <c r="J1469" s="9">
        <v>0</v>
      </c>
      <c r="K1469" s="7">
        <v>1025.33</v>
      </c>
      <c r="L1469" s="7">
        <v>546.95000000000005</v>
      </c>
      <c r="M1469" s="3" t="s">
        <v>56</v>
      </c>
      <c r="N1469" s="3" t="str">
        <f t="shared" si="88"/>
        <v>2025-01</v>
      </c>
      <c r="O1469" s="3" t="str">
        <f t="shared" si="89"/>
        <v>No discount</v>
      </c>
      <c r="P1469" s="9">
        <f t="shared" si="90"/>
        <v>0.53343801507807254</v>
      </c>
      <c r="Q1469" s="3" t="str">
        <f t="shared" si="91"/>
        <v>No</v>
      </c>
    </row>
    <row r="1470" spans="1:17" ht="21" customHeight="1">
      <c r="A1470" s="3" t="s">
        <v>2143</v>
      </c>
      <c r="B1470" s="5">
        <v>45678</v>
      </c>
      <c r="C1470" s="3" t="s">
        <v>771</v>
      </c>
      <c r="D1470" s="3" t="s">
        <v>46</v>
      </c>
      <c r="E1470" s="3" t="s">
        <v>42</v>
      </c>
      <c r="F1470" s="3" t="s">
        <v>126</v>
      </c>
      <c r="G1470" s="3" t="s">
        <v>151</v>
      </c>
      <c r="H1470" s="3">
        <v>3</v>
      </c>
      <c r="I1470" s="7">
        <v>1492.29</v>
      </c>
      <c r="J1470" s="9">
        <v>0.05</v>
      </c>
      <c r="K1470" s="7">
        <v>4253.03</v>
      </c>
      <c r="L1470" s="7">
        <v>2025.21</v>
      </c>
      <c r="M1470" s="3" t="s">
        <v>58</v>
      </c>
      <c r="N1470" s="3" t="str">
        <f t="shared" si="88"/>
        <v>2025-01</v>
      </c>
      <c r="O1470" s="3" t="str">
        <f t="shared" si="89"/>
        <v>1-10%</v>
      </c>
      <c r="P1470" s="9">
        <f t="shared" si="90"/>
        <v>0.47618051130605715</v>
      </c>
      <c r="Q1470" s="3" t="str">
        <f t="shared" si="91"/>
        <v>No</v>
      </c>
    </row>
    <row r="1471" spans="1:17" ht="21" customHeight="1">
      <c r="A1471" s="3" t="s">
        <v>2144</v>
      </c>
      <c r="B1471" s="5">
        <v>45679</v>
      </c>
      <c r="C1471" s="3" t="s">
        <v>2145</v>
      </c>
      <c r="D1471" s="3" t="s">
        <v>47</v>
      </c>
      <c r="E1471" s="3" t="s">
        <v>40</v>
      </c>
      <c r="F1471" s="3" t="s">
        <v>160</v>
      </c>
      <c r="G1471" s="3" t="s">
        <v>161</v>
      </c>
      <c r="H1471" s="3">
        <v>4</v>
      </c>
      <c r="I1471" s="7">
        <v>12469.61</v>
      </c>
      <c r="J1471" s="9">
        <v>0.05</v>
      </c>
      <c r="K1471" s="7">
        <v>47384.52</v>
      </c>
      <c r="L1471" s="7">
        <v>11383.53</v>
      </c>
      <c r="M1471" s="3" t="s">
        <v>57</v>
      </c>
      <c r="N1471" s="3" t="str">
        <f t="shared" si="88"/>
        <v>2025-01</v>
      </c>
      <c r="O1471" s="3" t="str">
        <f t="shared" si="89"/>
        <v>1-10%</v>
      </c>
      <c r="P1471" s="9">
        <f t="shared" si="90"/>
        <v>0.24023731801018564</v>
      </c>
      <c r="Q1471" s="3" t="str">
        <f t="shared" si="91"/>
        <v>No</v>
      </c>
    </row>
    <row r="1472" spans="1:17" ht="21" customHeight="1">
      <c r="A1472" s="3" t="s">
        <v>2146</v>
      </c>
      <c r="B1472" s="5">
        <v>45679</v>
      </c>
      <c r="C1472" s="3" t="s">
        <v>432</v>
      </c>
      <c r="D1472" s="3" t="s">
        <v>44</v>
      </c>
      <c r="E1472" s="3" t="s">
        <v>39</v>
      </c>
      <c r="F1472" s="3" t="s">
        <v>130</v>
      </c>
      <c r="G1472" s="3" t="s">
        <v>131</v>
      </c>
      <c r="H1472" s="3">
        <v>1</v>
      </c>
      <c r="I1472" s="7">
        <v>2091.14</v>
      </c>
      <c r="J1472" s="9">
        <v>0</v>
      </c>
      <c r="K1472" s="7">
        <v>2091.14</v>
      </c>
      <c r="L1472" s="7">
        <v>880.55</v>
      </c>
      <c r="M1472" s="3" t="s">
        <v>56</v>
      </c>
      <c r="N1472" s="3" t="str">
        <f t="shared" si="88"/>
        <v>2025-01</v>
      </c>
      <c r="O1472" s="3" t="str">
        <f t="shared" si="89"/>
        <v>No discount</v>
      </c>
      <c r="P1472" s="9">
        <f t="shared" si="90"/>
        <v>0.42108610614306075</v>
      </c>
      <c r="Q1472" s="3" t="str">
        <f t="shared" si="91"/>
        <v>No</v>
      </c>
    </row>
    <row r="1473" spans="1:17" ht="21" customHeight="1">
      <c r="A1473" s="3" t="s">
        <v>2147</v>
      </c>
      <c r="B1473" s="5">
        <v>45680</v>
      </c>
      <c r="C1473" s="3" t="s">
        <v>2148</v>
      </c>
      <c r="D1473" s="3" t="s">
        <v>44</v>
      </c>
      <c r="E1473" s="3" t="s">
        <v>42</v>
      </c>
      <c r="F1473" s="3" t="s">
        <v>90</v>
      </c>
      <c r="G1473" s="3" t="s">
        <v>106</v>
      </c>
      <c r="H1473" s="3">
        <v>4</v>
      </c>
      <c r="I1473" s="7">
        <v>883.69</v>
      </c>
      <c r="J1473" s="9">
        <v>0.1</v>
      </c>
      <c r="K1473" s="7">
        <v>3181.28</v>
      </c>
      <c r="L1473" s="7">
        <v>1410.57</v>
      </c>
      <c r="M1473" s="3" t="s">
        <v>58</v>
      </c>
      <c r="N1473" s="3" t="str">
        <f t="shared" si="88"/>
        <v>2025-01</v>
      </c>
      <c r="O1473" s="3" t="str">
        <f t="shared" si="89"/>
        <v>1-10%</v>
      </c>
      <c r="P1473" s="9">
        <f t="shared" si="90"/>
        <v>0.44339699743499467</v>
      </c>
      <c r="Q1473" s="3" t="str">
        <f t="shared" si="91"/>
        <v>No</v>
      </c>
    </row>
    <row r="1474" spans="1:17" ht="21" customHeight="1">
      <c r="A1474" s="3" t="s">
        <v>2149</v>
      </c>
      <c r="B1474" s="5">
        <v>45680</v>
      </c>
      <c r="C1474" s="3" t="s">
        <v>2038</v>
      </c>
      <c r="D1474" s="3" t="s">
        <v>45</v>
      </c>
      <c r="E1474" s="3" t="s">
        <v>38</v>
      </c>
      <c r="F1474" s="3" t="s">
        <v>98</v>
      </c>
      <c r="G1474" s="3" t="s">
        <v>99</v>
      </c>
      <c r="H1474" s="3">
        <v>1</v>
      </c>
      <c r="I1474" s="7">
        <v>23754.33</v>
      </c>
      <c r="J1474" s="9">
        <v>0</v>
      </c>
      <c r="K1474" s="7">
        <v>23754.33</v>
      </c>
      <c r="L1474" s="7">
        <v>3445.39</v>
      </c>
      <c r="M1474" s="3" t="s">
        <v>57</v>
      </c>
      <c r="N1474" s="3" t="str">
        <f t="shared" ref="N1474:N1537" si="92">TEXT(B1474,"yyyy-mm")</f>
        <v>2025-01</v>
      </c>
      <c r="O1474" s="3" t="str">
        <f t="shared" ref="O1474:O1537" si="93">IF(J1474=0,"No discount",IF(J1474&lt;=0.1,"1-10%",IF(J1474&lt;=0.15,"11-15%",IF(J1474&lt;=0.2,"16-20%","21%+"))))</f>
        <v>No discount</v>
      </c>
      <c r="P1474" s="9">
        <f t="shared" ref="P1474:P1537" si="94">IF(K1474=0,0,L1474/K1474)</f>
        <v>0.14504260907379832</v>
      </c>
      <c r="Q1474" s="3" t="str">
        <f t="shared" ref="Q1474:Q1537" si="95">IF(L1474&lt;0,"Yes","No")</f>
        <v>No</v>
      </c>
    </row>
    <row r="1475" spans="1:17" ht="21" customHeight="1">
      <c r="A1475" s="3" t="s">
        <v>2150</v>
      </c>
      <c r="B1475" s="5">
        <v>45680</v>
      </c>
      <c r="C1475" s="3" t="s">
        <v>1599</v>
      </c>
      <c r="D1475" s="3" t="s">
        <v>47</v>
      </c>
      <c r="E1475" s="3" t="s">
        <v>38</v>
      </c>
      <c r="F1475" s="3" t="s">
        <v>98</v>
      </c>
      <c r="G1475" s="3" t="s">
        <v>99</v>
      </c>
      <c r="H1475" s="3">
        <v>2</v>
      </c>
      <c r="I1475" s="7">
        <v>24891.61</v>
      </c>
      <c r="J1475" s="9">
        <v>0.4</v>
      </c>
      <c r="K1475" s="7">
        <v>29869.93</v>
      </c>
      <c r="L1475" s="7">
        <v>-7762.37</v>
      </c>
      <c r="M1475" s="3" t="s">
        <v>56</v>
      </c>
      <c r="N1475" s="3" t="str">
        <f t="shared" si="92"/>
        <v>2025-01</v>
      </c>
      <c r="O1475" s="3" t="str">
        <f t="shared" si="93"/>
        <v>21%+</v>
      </c>
      <c r="P1475" s="9">
        <f t="shared" si="94"/>
        <v>-0.25987238671131802</v>
      </c>
      <c r="Q1475" s="3" t="str">
        <f t="shared" si="95"/>
        <v>Yes</v>
      </c>
    </row>
    <row r="1476" spans="1:17" ht="21" customHeight="1">
      <c r="A1476" s="3" t="s">
        <v>2151</v>
      </c>
      <c r="B1476" s="5">
        <v>45680</v>
      </c>
      <c r="C1476" s="3" t="s">
        <v>728</v>
      </c>
      <c r="D1476" s="3" t="s">
        <v>45</v>
      </c>
      <c r="E1476" s="3" t="s">
        <v>41</v>
      </c>
      <c r="F1476" s="3" t="s">
        <v>119</v>
      </c>
      <c r="G1476" s="3" t="s">
        <v>120</v>
      </c>
      <c r="H1476" s="3">
        <v>1</v>
      </c>
      <c r="I1476" s="7">
        <v>1244.4000000000001</v>
      </c>
      <c r="J1476" s="9">
        <v>0.15</v>
      </c>
      <c r="K1476" s="7">
        <v>1057.74</v>
      </c>
      <c r="L1476" s="7">
        <v>254.85</v>
      </c>
      <c r="M1476" s="3" t="s">
        <v>57</v>
      </c>
      <c r="N1476" s="3" t="str">
        <f t="shared" si="92"/>
        <v>2025-01</v>
      </c>
      <c r="O1476" s="3" t="str">
        <f t="shared" si="93"/>
        <v>11-15%</v>
      </c>
      <c r="P1476" s="9">
        <f t="shared" si="94"/>
        <v>0.24093822678541041</v>
      </c>
      <c r="Q1476" s="3" t="str">
        <f t="shared" si="95"/>
        <v>No</v>
      </c>
    </row>
    <row r="1477" spans="1:17" ht="21" customHeight="1">
      <c r="A1477" s="3" t="s">
        <v>2152</v>
      </c>
      <c r="B1477" s="5">
        <v>45681</v>
      </c>
      <c r="C1477" s="3" t="s">
        <v>1624</v>
      </c>
      <c r="D1477" s="3" t="s">
        <v>46</v>
      </c>
      <c r="E1477" s="3" t="s">
        <v>40</v>
      </c>
      <c r="F1477" s="3" t="s">
        <v>102</v>
      </c>
      <c r="G1477" s="3" t="s">
        <v>103</v>
      </c>
      <c r="H1477" s="3">
        <v>1</v>
      </c>
      <c r="I1477" s="7">
        <v>6447.1</v>
      </c>
      <c r="J1477" s="9">
        <v>0</v>
      </c>
      <c r="K1477" s="7">
        <v>6447.1</v>
      </c>
      <c r="L1477" s="7">
        <v>2336.35</v>
      </c>
      <c r="M1477" s="3" t="s">
        <v>57</v>
      </c>
      <c r="N1477" s="3" t="str">
        <f t="shared" si="92"/>
        <v>2025-01</v>
      </c>
      <c r="O1477" s="3" t="str">
        <f t="shared" si="93"/>
        <v>No discount</v>
      </c>
      <c r="P1477" s="9">
        <f t="shared" si="94"/>
        <v>0.36238774022428688</v>
      </c>
      <c r="Q1477" s="3" t="str">
        <f t="shared" si="95"/>
        <v>No</v>
      </c>
    </row>
    <row r="1478" spans="1:17" ht="21" customHeight="1">
      <c r="A1478" s="3" t="s">
        <v>2153</v>
      </c>
      <c r="B1478" s="5">
        <v>45681</v>
      </c>
      <c r="C1478" s="3" t="s">
        <v>1466</v>
      </c>
      <c r="D1478" s="3" t="s">
        <v>45</v>
      </c>
      <c r="E1478" s="3" t="s">
        <v>40</v>
      </c>
      <c r="F1478" s="3" t="s">
        <v>221</v>
      </c>
      <c r="G1478" s="3" t="s">
        <v>222</v>
      </c>
      <c r="H1478" s="3">
        <v>1</v>
      </c>
      <c r="I1478" s="7">
        <v>1033.69</v>
      </c>
      <c r="J1478" s="9">
        <v>0</v>
      </c>
      <c r="K1478" s="7">
        <v>1033.69</v>
      </c>
      <c r="L1478" s="7">
        <v>333.55</v>
      </c>
      <c r="M1478" s="3" t="s">
        <v>56</v>
      </c>
      <c r="N1478" s="3" t="str">
        <f t="shared" si="92"/>
        <v>2025-01</v>
      </c>
      <c r="O1478" s="3" t="str">
        <f t="shared" si="93"/>
        <v>No discount</v>
      </c>
      <c r="P1478" s="9">
        <f t="shared" si="94"/>
        <v>0.32267894629918059</v>
      </c>
      <c r="Q1478" s="3" t="str">
        <f t="shared" si="95"/>
        <v>No</v>
      </c>
    </row>
    <row r="1479" spans="1:17" ht="21" customHeight="1">
      <c r="A1479" s="3" t="s">
        <v>2154</v>
      </c>
      <c r="B1479" s="5">
        <v>45681</v>
      </c>
      <c r="C1479" s="3" t="s">
        <v>1878</v>
      </c>
      <c r="D1479" s="3" t="s">
        <v>45</v>
      </c>
      <c r="E1479" s="3" t="s">
        <v>42</v>
      </c>
      <c r="F1479" s="3" t="s">
        <v>90</v>
      </c>
      <c r="G1479" s="3" t="s">
        <v>106</v>
      </c>
      <c r="H1479" s="3">
        <v>3</v>
      </c>
      <c r="I1479" s="7">
        <v>858.26</v>
      </c>
      <c r="J1479" s="9">
        <v>0</v>
      </c>
      <c r="K1479" s="7">
        <v>2574.7800000000002</v>
      </c>
      <c r="L1479" s="7">
        <v>1410.84</v>
      </c>
      <c r="M1479" s="3" t="s">
        <v>56</v>
      </c>
      <c r="N1479" s="3" t="str">
        <f t="shared" si="92"/>
        <v>2025-01</v>
      </c>
      <c r="O1479" s="3" t="str">
        <f t="shared" si="93"/>
        <v>No discount</v>
      </c>
      <c r="P1479" s="9">
        <f t="shared" si="94"/>
        <v>0.54794584391676171</v>
      </c>
      <c r="Q1479" s="3" t="str">
        <f t="shared" si="95"/>
        <v>No</v>
      </c>
    </row>
    <row r="1480" spans="1:17" ht="21" customHeight="1">
      <c r="A1480" s="3" t="s">
        <v>2155</v>
      </c>
      <c r="B1480" s="5">
        <v>45681</v>
      </c>
      <c r="C1480" s="3" t="s">
        <v>1734</v>
      </c>
      <c r="D1480" s="3" t="s">
        <v>45</v>
      </c>
      <c r="E1480" s="3" t="s">
        <v>42</v>
      </c>
      <c r="F1480" s="3" t="s">
        <v>126</v>
      </c>
      <c r="G1480" s="3" t="s">
        <v>127</v>
      </c>
      <c r="H1480" s="3">
        <v>2</v>
      </c>
      <c r="I1480" s="7">
        <v>963.79</v>
      </c>
      <c r="J1480" s="9">
        <v>0.25</v>
      </c>
      <c r="K1480" s="7">
        <v>1445.68</v>
      </c>
      <c r="L1480" s="7">
        <v>349.43</v>
      </c>
      <c r="M1480" s="3" t="s">
        <v>58</v>
      </c>
      <c r="N1480" s="3" t="str">
        <f t="shared" si="92"/>
        <v>2025-01</v>
      </c>
      <c r="O1480" s="3" t="str">
        <f t="shared" si="93"/>
        <v>21%+</v>
      </c>
      <c r="P1480" s="9">
        <f t="shared" si="94"/>
        <v>0.24170632505118697</v>
      </c>
      <c r="Q1480" s="3" t="str">
        <f t="shared" si="95"/>
        <v>No</v>
      </c>
    </row>
    <row r="1481" spans="1:17" ht="21" customHeight="1">
      <c r="A1481" s="3" t="s">
        <v>2156</v>
      </c>
      <c r="B1481" s="5">
        <v>45681</v>
      </c>
      <c r="C1481" s="3" t="s">
        <v>129</v>
      </c>
      <c r="D1481" s="3" t="s">
        <v>44</v>
      </c>
      <c r="E1481" s="3" t="s">
        <v>39</v>
      </c>
      <c r="F1481" s="3" t="s">
        <v>109</v>
      </c>
      <c r="G1481" s="3" t="s">
        <v>355</v>
      </c>
      <c r="H1481" s="3">
        <v>1</v>
      </c>
      <c r="I1481" s="7">
        <v>3336.16</v>
      </c>
      <c r="J1481" s="9">
        <v>0.15</v>
      </c>
      <c r="K1481" s="7">
        <v>2835.74</v>
      </c>
      <c r="L1481" s="7">
        <v>690.84</v>
      </c>
      <c r="M1481" s="3" t="s">
        <v>56</v>
      </c>
      <c r="N1481" s="3" t="str">
        <f t="shared" si="92"/>
        <v>2025-01</v>
      </c>
      <c r="O1481" s="3" t="str">
        <f t="shared" si="93"/>
        <v>11-15%</v>
      </c>
      <c r="P1481" s="9">
        <f t="shared" si="94"/>
        <v>0.24361894955108723</v>
      </c>
      <c r="Q1481" s="3" t="str">
        <f t="shared" si="95"/>
        <v>No</v>
      </c>
    </row>
    <row r="1482" spans="1:17" ht="21" customHeight="1">
      <c r="A1482" s="3" t="s">
        <v>2157</v>
      </c>
      <c r="B1482" s="5">
        <v>45682</v>
      </c>
      <c r="C1482" s="3" t="s">
        <v>1663</v>
      </c>
      <c r="D1482" s="3" t="s">
        <v>44</v>
      </c>
      <c r="E1482" s="3" t="s">
        <v>42</v>
      </c>
      <c r="F1482" s="3" t="s">
        <v>90</v>
      </c>
      <c r="G1482" s="3" t="s">
        <v>106</v>
      </c>
      <c r="H1482" s="3">
        <v>1</v>
      </c>
      <c r="I1482" s="7">
        <v>886.08</v>
      </c>
      <c r="J1482" s="9">
        <v>0.2</v>
      </c>
      <c r="K1482" s="7">
        <v>708.86</v>
      </c>
      <c r="L1482" s="7">
        <v>237.36</v>
      </c>
      <c r="M1482" s="3" t="s">
        <v>56</v>
      </c>
      <c r="N1482" s="3" t="str">
        <f t="shared" si="92"/>
        <v>2025-01</v>
      </c>
      <c r="O1482" s="3" t="str">
        <f t="shared" si="93"/>
        <v>16-20%</v>
      </c>
      <c r="P1482" s="9">
        <f t="shared" si="94"/>
        <v>0.33484750162232318</v>
      </c>
      <c r="Q1482" s="3" t="str">
        <f t="shared" si="95"/>
        <v>No</v>
      </c>
    </row>
    <row r="1483" spans="1:17" ht="21" customHeight="1">
      <c r="A1483" s="3" t="s">
        <v>2158</v>
      </c>
      <c r="B1483" s="5">
        <v>45682</v>
      </c>
      <c r="C1483" s="3" t="s">
        <v>129</v>
      </c>
      <c r="D1483" s="3" t="s">
        <v>44</v>
      </c>
      <c r="E1483" s="3" t="s">
        <v>39</v>
      </c>
      <c r="F1483" s="3" t="s">
        <v>130</v>
      </c>
      <c r="G1483" s="3" t="s">
        <v>131</v>
      </c>
      <c r="H1483" s="3">
        <v>3</v>
      </c>
      <c r="I1483" s="7">
        <v>2133.81</v>
      </c>
      <c r="J1483" s="9">
        <v>0.2</v>
      </c>
      <c r="K1483" s="7">
        <v>5121.1400000000003</v>
      </c>
      <c r="L1483" s="7">
        <v>1174.93</v>
      </c>
      <c r="M1483" s="3" t="s">
        <v>58</v>
      </c>
      <c r="N1483" s="3" t="str">
        <f t="shared" si="92"/>
        <v>2025-01</v>
      </c>
      <c r="O1483" s="3" t="str">
        <f t="shared" si="93"/>
        <v>16-20%</v>
      </c>
      <c r="P1483" s="9">
        <f t="shared" si="94"/>
        <v>0.22942743217330516</v>
      </c>
      <c r="Q1483" s="3" t="str">
        <f t="shared" si="95"/>
        <v>No</v>
      </c>
    </row>
    <row r="1484" spans="1:17" ht="21" customHeight="1">
      <c r="A1484" s="3" t="s">
        <v>2159</v>
      </c>
      <c r="B1484" s="5">
        <v>45682</v>
      </c>
      <c r="C1484" s="3" t="s">
        <v>748</v>
      </c>
      <c r="D1484" s="3" t="s">
        <v>44</v>
      </c>
      <c r="E1484" s="3" t="s">
        <v>40</v>
      </c>
      <c r="F1484" s="3" t="s">
        <v>102</v>
      </c>
      <c r="G1484" s="3" t="s">
        <v>146</v>
      </c>
      <c r="H1484" s="3">
        <v>1</v>
      </c>
      <c r="I1484" s="7">
        <v>7880.83</v>
      </c>
      <c r="J1484" s="9">
        <v>0.05</v>
      </c>
      <c r="K1484" s="7">
        <v>7486.79</v>
      </c>
      <c r="L1484" s="7">
        <v>1770.59</v>
      </c>
      <c r="M1484" s="3" t="s">
        <v>57</v>
      </c>
      <c r="N1484" s="3" t="str">
        <f t="shared" si="92"/>
        <v>2025-01</v>
      </c>
      <c r="O1484" s="3" t="str">
        <f t="shared" si="93"/>
        <v>1-10%</v>
      </c>
      <c r="P1484" s="9">
        <f t="shared" si="94"/>
        <v>0.2364952135695004</v>
      </c>
      <c r="Q1484" s="3" t="str">
        <f t="shared" si="95"/>
        <v>No</v>
      </c>
    </row>
    <row r="1485" spans="1:17" ht="21" customHeight="1">
      <c r="A1485" s="3" t="s">
        <v>2160</v>
      </c>
      <c r="B1485" s="5">
        <v>45683</v>
      </c>
      <c r="C1485" s="3" t="s">
        <v>1567</v>
      </c>
      <c r="D1485" s="3" t="s">
        <v>47</v>
      </c>
      <c r="E1485" s="3" t="s">
        <v>38</v>
      </c>
      <c r="F1485" s="3" t="s">
        <v>142</v>
      </c>
      <c r="G1485" s="3" t="s">
        <v>143</v>
      </c>
      <c r="H1485" s="3">
        <v>1</v>
      </c>
      <c r="I1485" s="7">
        <v>9242.7800000000007</v>
      </c>
      <c r="J1485" s="9">
        <v>0</v>
      </c>
      <c r="K1485" s="7">
        <v>9242.7800000000007</v>
      </c>
      <c r="L1485" s="7">
        <v>1551.26</v>
      </c>
      <c r="M1485" s="3" t="s">
        <v>56</v>
      </c>
      <c r="N1485" s="3" t="str">
        <f t="shared" si="92"/>
        <v>2025-01</v>
      </c>
      <c r="O1485" s="3" t="str">
        <f t="shared" si="93"/>
        <v>No discount</v>
      </c>
      <c r="P1485" s="9">
        <f t="shared" si="94"/>
        <v>0.16783478563808724</v>
      </c>
      <c r="Q1485" s="3" t="str">
        <f t="shared" si="95"/>
        <v>No</v>
      </c>
    </row>
    <row r="1486" spans="1:17" ht="21" customHeight="1">
      <c r="A1486" s="3" t="s">
        <v>2161</v>
      </c>
      <c r="B1486" s="5">
        <v>45683</v>
      </c>
      <c r="C1486" s="3" t="s">
        <v>741</v>
      </c>
      <c r="D1486" s="3" t="s">
        <v>46</v>
      </c>
      <c r="E1486" s="3" t="s">
        <v>39</v>
      </c>
      <c r="F1486" s="3" t="s">
        <v>130</v>
      </c>
      <c r="G1486" s="3" t="s">
        <v>131</v>
      </c>
      <c r="H1486" s="3">
        <v>1</v>
      </c>
      <c r="I1486" s="7">
        <v>2126.98</v>
      </c>
      <c r="J1486" s="9">
        <v>0.1</v>
      </c>
      <c r="K1486" s="7">
        <v>1914.28</v>
      </c>
      <c r="L1486" s="7">
        <v>621.41</v>
      </c>
      <c r="M1486" s="3" t="s">
        <v>60</v>
      </c>
      <c r="N1486" s="3" t="str">
        <f t="shared" si="92"/>
        <v>2025-01</v>
      </c>
      <c r="O1486" s="3" t="str">
        <f t="shared" si="93"/>
        <v>1-10%</v>
      </c>
      <c r="P1486" s="9">
        <f t="shared" si="94"/>
        <v>0.32461813318845728</v>
      </c>
      <c r="Q1486" s="3" t="str">
        <f t="shared" si="95"/>
        <v>No</v>
      </c>
    </row>
    <row r="1487" spans="1:17" ht="21" customHeight="1">
      <c r="A1487" s="3" t="s">
        <v>2162</v>
      </c>
      <c r="B1487" s="5">
        <v>45683</v>
      </c>
      <c r="C1487" s="3" t="s">
        <v>902</v>
      </c>
      <c r="D1487" s="3" t="s">
        <v>45</v>
      </c>
      <c r="E1487" s="3" t="s">
        <v>40</v>
      </c>
      <c r="F1487" s="3" t="s">
        <v>221</v>
      </c>
      <c r="G1487" s="3" t="s">
        <v>222</v>
      </c>
      <c r="H1487" s="3">
        <v>1</v>
      </c>
      <c r="I1487" s="7">
        <v>955.02</v>
      </c>
      <c r="J1487" s="9">
        <v>0.3</v>
      </c>
      <c r="K1487" s="7">
        <v>668.51</v>
      </c>
      <c r="L1487" s="7">
        <v>8.94</v>
      </c>
      <c r="M1487" s="3" t="s">
        <v>56</v>
      </c>
      <c r="N1487" s="3" t="str">
        <f t="shared" si="92"/>
        <v>2025-01</v>
      </c>
      <c r="O1487" s="3" t="str">
        <f t="shared" si="93"/>
        <v>21%+</v>
      </c>
      <c r="P1487" s="9">
        <f t="shared" si="94"/>
        <v>1.3373023589774274E-2</v>
      </c>
      <c r="Q1487" s="3" t="str">
        <f t="shared" si="95"/>
        <v>No</v>
      </c>
    </row>
    <row r="1488" spans="1:17" ht="21" customHeight="1">
      <c r="A1488" s="3" t="s">
        <v>2163</v>
      </c>
      <c r="B1488" s="5">
        <v>45685</v>
      </c>
      <c r="C1488" s="3" t="s">
        <v>1859</v>
      </c>
      <c r="D1488" s="3" t="s">
        <v>46</v>
      </c>
      <c r="E1488" s="3" t="s">
        <v>40</v>
      </c>
      <c r="F1488" s="3" t="s">
        <v>160</v>
      </c>
      <c r="G1488" s="3" t="s">
        <v>161</v>
      </c>
      <c r="H1488" s="3">
        <v>1</v>
      </c>
      <c r="I1488" s="7">
        <v>13628.07</v>
      </c>
      <c r="J1488" s="9">
        <v>0</v>
      </c>
      <c r="K1488" s="7">
        <v>13628.07</v>
      </c>
      <c r="L1488" s="7">
        <v>4618.58</v>
      </c>
      <c r="M1488" s="3" t="s">
        <v>57</v>
      </c>
      <c r="N1488" s="3" t="str">
        <f t="shared" si="92"/>
        <v>2025-01</v>
      </c>
      <c r="O1488" s="3" t="str">
        <f t="shared" si="93"/>
        <v>No discount</v>
      </c>
      <c r="P1488" s="9">
        <f t="shared" si="94"/>
        <v>0.33890198685507195</v>
      </c>
      <c r="Q1488" s="3" t="str">
        <f t="shared" si="95"/>
        <v>No</v>
      </c>
    </row>
    <row r="1489" spans="1:17" ht="21" customHeight="1">
      <c r="A1489" s="3" t="s">
        <v>2164</v>
      </c>
      <c r="B1489" s="5">
        <v>45685</v>
      </c>
      <c r="C1489" s="3" t="s">
        <v>249</v>
      </c>
      <c r="D1489" s="3" t="s">
        <v>46</v>
      </c>
      <c r="E1489" s="3" t="s">
        <v>40</v>
      </c>
      <c r="F1489" s="3" t="s">
        <v>160</v>
      </c>
      <c r="G1489" s="3" t="s">
        <v>161</v>
      </c>
      <c r="H1489" s="3">
        <v>3</v>
      </c>
      <c r="I1489" s="7">
        <v>13572.06</v>
      </c>
      <c r="J1489" s="9">
        <v>0.1</v>
      </c>
      <c r="K1489" s="7">
        <v>36644.559999999998</v>
      </c>
      <c r="L1489" s="7">
        <v>8437.58</v>
      </c>
      <c r="M1489" s="3" t="s">
        <v>56</v>
      </c>
      <c r="N1489" s="3" t="str">
        <f t="shared" si="92"/>
        <v>2025-01</v>
      </c>
      <c r="O1489" s="3" t="str">
        <f t="shared" si="93"/>
        <v>1-10%</v>
      </c>
      <c r="P1489" s="9">
        <f t="shared" si="94"/>
        <v>0.2302546407979793</v>
      </c>
      <c r="Q1489" s="3" t="str">
        <f t="shared" si="95"/>
        <v>No</v>
      </c>
    </row>
    <row r="1490" spans="1:17" ht="21" customHeight="1">
      <c r="A1490" s="3" t="s">
        <v>2165</v>
      </c>
      <c r="B1490" s="5">
        <v>45685</v>
      </c>
      <c r="C1490" s="3" t="s">
        <v>502</v>
      </c>
      <c r="D1490" s="3" t="s">
        <v>44</v>
      </c>
      <c r="E1490" s="3" t="s">
        <v>42</v>
      </c>
      <c r="F1490" s="3" t="s">
        <v>126</v>
      </c>
      <c r="G1490" s="3" t="s">
        <v>151</v>
      </c>
      <c r="H1490" s="3">
        <v>2</v>
      </c>
      <c r="I1490" s="7">
        <v>1447.2</v>
      </c>
      <c r="J1490" s="9">
        <v>0.1</v>
      </c>
      <c r="K1490" s="7">
        <v>2604.96</v>
      </c>
      <c r="L1490" s="7">
        <v>1196.76</v>
      </c>
      <c r="M1490" s="3" t="s">
        <v>57</v>
      </c>
      <c r="N1490" s="3" t="str">
        <f t="shared" si="92"/>
        <v>2025-01</v>
      </c>
      <c r="O1490" s="3" t="str">
        <f t="shared" si="93"/>
        <v>1-10%</v>
      </c>
      <c r="P1490" s="9">
        <f t="shared" si="94"/>
        <v>0.45941588354523677</v>
      </c>
      <c r="Q1490" s="3" t="str">
        <f t="shared" si="95"/>
        <v>No</v>
      </c>
    </row>
    <row r="1491" spans="1:17" ht="21" customHeight="1">
      <c r="A1491" s="3" t="s">
        <v>2166</v>
      </c>
      <c r="B1491" s="5">
        <v>45686</v>
      </c>
      <c r="C1491" s="3" t="s">
        <v>1303</v>
      </c>
      <c r="D1491" s="3" t="s">
        <v>46</v>
      </c>
      <c r="E1491" s="3" t="s">
        <v>42</v>
      </c>
      <c r="F1491" s="3" t="s">
        <v>126</v>
      </c>
      <c r="G1491" s="3" t="s">
        <v>127</v>
      </c>
      <c r="H1491" s="3">
        <v>2</v>
      </c>
      <c r="I1491" s="7">
        <v>964.32</v>
      </c>
      <c r="J1491" s="9">
        <v>0.2</v>
      </c>
      <c r="K1491" s="7">
        <v>1542.91</v>
      </c>
      <c r="L1491" s="7">
        <v>451.76</v>
      </c>
      <c r="M1491" s="3" t="s">
        <v>57</v>
      </c>
      <c r="N1491" s="3" t="str">
        <f t="shared" si="92"/>
        <v>2025-01</v>
      </c>
      <c r="O1491" s="3" t="str">
        <f t="shared" si="93"/>
        <v>16-20%</v>
      </c>
      <c r="P1491" s="9">
        <f t="shared" si="94"/>
        <v>0.29279737638617936</v>
      </c>
      <c r="Q1491" s="3" t="str">
        <f t="shared" si="95"/>
        <v>No</v>
      </c>
    </row>
    <row r="1492" spans="1:17" ht="21" customHeight="1">
      <c r="A1492" s="3" t="s">
        <v>2167</v>
      </c>
      <c r="B1492" s="5">
        <v>45686</v>
      </c>
      <c r="C1492" s="3" t="s">
        <v>408</v>
      </c>
      <c r="D1492" s="3" t="s">
        <v>47</v>
      </c>
      <c r="E1492" s="3" t="s">
        <v>42</v>
      </c>
      <c r="F1492" s="3" t="s">
        <v>126</v>
      </c>
      <c r="G1492" s="3" t="s">
        <v>151</v>
      </c>
      <c r="H1492" s="3">
        <v>2</v>
      </c>
      <c r="I1492" s="7">
        <v>1565.1</v>
      </c>
      <c r="J1492" s="9">
        <v>0.15</v>
      </c>
      <c r="K1492" s="7">
        <v>2660.67</v>
      </c>
      <c r="L1492" s="7">
        <v>902.19</v>
      </c>
      <c r="M1492" s="3" t="s">
        <v>57</v>
      </c>
      <c r="N1492" s="3" t="str">
        <f t="shared" si="92"/>
        <v>2025-01</v>
      </c>
      <c r="O1492" s="3" t="str">
        <f t="shared" si="93"/>
        <v>11-15%</v>
      </c>
      <c r="P1492" s="9">
        <f t="shared" si="94"/>
        <v>0.33908376461567952</v>
      </c>
      <c r="Q1492" s="3" t="str">
        <f t="shared" si="95"/>
        <v>No</v>
      </c>
    </row>
    <row r="1493" spans="1:17" ht="21" customHeight="1">
      <c r="A1493" s="3" t="s">
        <v>2168</v>
      </c>
      <c r="B1493" s="5">
        <v>45686</v>
      </c>
      <c r="C1493" s="3" t="s">
        <v>381</v>
      </c>
      <c r="D1493" s="3" t="s">
        <v>44</v>
      </c>
      <c r="E1493" s="3" t="s">
        <v>41</v>
      </c>
      <c r="F1493" s="3" t="s">
        <v>119</v>
      </c>
      <c r="G1493" s="3" t="s">
        <v>168</v>
      </c>
      <c r="H1493" s="3">
        <v>1</v>
      </c>
      <c r="I1493" s="7">
        <v>10344.17</v>
      </c>
      <c r="J1493" s="9">
        <v>0</v>
      </c>
      <c r="K1493" s="7">
        <v>10344.17</v>
      </c>
      <c r="L1493" s="7">
        <v>3861.05</v>
      </c>
      <c r="M1493" s="3" t="s">
        <v>57</v>
      </c>
      <c r="N1493" s="3" t="str">
        <f t="shared" si="92"/>
        <v>2025-01</v>
      </c>
      <c r="O1493" s="3" t="str">
        <f t="shared" si="93"/>
        <v>No discount</v>
      </c>
      <c r="P1493" s="9">
        <f t="shared" si="94"/>
        <v>0.37325856013580599</v>
      </c>
      <c r="Q1493" s="3" t="str">
        <f t="shared" si="95"/>
        <v>No</v>
      </c>
    </row>
    <row r="1494" spans="1:17" ht="21" customHeight="1">
      <c r="A1494" s="3" t="s">
        <v>2169</v>
      </c>
      <c r="B1494" s="5">
        <v>45687</v>
      </c>
      <c r="C1494" s="3" t="s">
        <v>2106</v>
      </c>
      <c r="D1494" s="3" t="s">
        <v>47</v>
      </c>
      <c r="E1494" s="3" t="s">
        <v>40</v>
      </c>
      <c r="F1494" s="3" t="s">
        <v>221</v>
      </c>
      <c r="G1494" s="3" t="s">
        <v>279</v>
      </c>
      <c r="H1494" s="3">
        <v>3</v>
      </c>
      <c r="I1494" s="7">
        <v>1442.71</v>
      </c>
      <c r="J1494" s="9">
        <v>0.05</v>
      </c>
      <c r="K1494" s="7">
        <v>4111.72</v>
      </c>
      <c r="L1494" s="7">
        <v>1077.03</v>
      </c>
      <c r="M1494" s="3" t="s">
        <v>58</v>
      </c>
      <c r="N1494" s="3" t="str">
        <f t="shared" si="92"/>
        <v>2025-01</v>
      </c>
      <c r="O1494" s="3" t="str">
        <f t="shared" si="93"/>
        <v>1-10%</v>
      </c>
      <c r="P1494" s="9">
        <f t="shared" si="94"/>
        <v>0.26194147461403011</v>
      </c>
      <c r="Q1494" s="3" t="str">
        <f t="shared" si="95"/>
        <v>No</v>
      </c>
    </row>
    <row r="1495" spans="1:17" ht="21" customHeight="1">
      <c r="A1495" s="3" t="s">
        <v>2170</v>
      </c>
      <c r="B1495" s="5">
        <v>45688</v>
      </c>
      <c r="C1495" s="3" t="s">
        <v>1599</v>
      </c>
      <c r="D1495" s="3" t="s">
        <v>47</v>
      </c>
      <c r="E1495" s="3" t="s">
        <v>40</v>
      </c>
      <c r="F1495" s="3" t="s">
        <v>221</v>
      </c>
      <c r="G1495" s="3" t="s">
        <v>279</v>
      </c>
      <c r="H1495" s="3">
        <v>1</v>
      </c>
      <c r="I1495" s="7">
        <v>1552.36</v>
      </c>
      <c r="J1495" s="9">
        <v>0.05</v>
      </c>
      <c r="K1495" s="7">
        <v>1474.74</v>
      </c>
      <c r="L1495" s="7">
        <v>393.71</v>
      </c>
      <c r="M1495" s="3" t="s">
        <v>58</v>
      </c>
      <c r="N1495" s="3" t="str">
        <f t="shared" si="92"/>
        <v>2025-01</v>
      </c>
      <c r="O1495" s="3" t="str">
        <f t="shared" si="93"/>
        <v>1-10%</v>
      </c>
      <c r="P1495" s="9">
        <f t="shared" si="94"/>
        <v>0.26696909285704595</v>
      </c>
      <c r="Q1495" s="3" t="str">
        <f t="shared" si="95"/>
        <v>No</v>
      </c>
    </row>
    <row r="1496" spans="1:17" ht="21" customHeight="1">
      <c r="A1496" s="3" t="s">
        <v>2171</v>
      </c>
      <c r="B1496" s="5">
        <v>45690</v>
      </c>
      <c r="C1496" s="3" t="s">
        <v>948</v>
      </c>
      <c r="D1496" s="3" t="s">
        <v>46</v>
      </c>
      <c r="E1496" s="3" t="s">
        <v>38</v>
      </c>
      <c r="F1496" s="3" t="s">
        <v>142</v>
      </c>
      <c r="G1496" s="3" t="s">
        <v>143</v>
      </c>
      <c r="H1496" s="3">
        <v>1</v>
      </c>
      <c r="I1496" s="7">
        <v>8871.83</v>
      </c>
      <c r="J1496" s="9">
        <v>0.1</v>
      </c>
      <c r="K1496" s="7">
        <v>7984.65</v>
      </c>
      <c r="L1496" s="7">
        <v>488.72</v>
      </c>
      <c r="M1496" s="3" t="s">
        <v>57</v>
      </c>
      <c r="N1496" s="3" t="str">
        <f t="shared" si="92"/>
        <v>2025-02</v>
      </c>
      <c r="O1496" s="3" t="str">
        <f t="shared" si="93"/>
        <v>1-10%</v>
      </c>
      <c r="P1496" s="9">
        <f t="shared" si="94"/>
        <v>6.1207441778913296E-2</v>
      </c>
      <c r="Q1496" s="3" t="str">
        <f t="shared" si="95"/>
        <v>No</v>
      </c>
    </row>
    <row r="1497" spans="1:17" ht="21" customHeight="1">
      <c r="A1497" s="3" t="s">
        <v>2172</v>
      </c>
      <c r="B1497" s="5">
        <v>45690</v>
      </c>
      <c r="C1497" s="3" t="s">
        <v>1674</v>
      </c>
      <c r="D1497" s="3" t="s">
        <v>47</v>
      </c>
      <c r="E1497" s="3" t="s">
        <v>42</v>
      </c>
      <c r="F1497" s="3" t="s">
        <v>126</v>
      </c>
      <c r="G1497" s="3" t="s">
        <v>127</v>
      </c>
      <c r="H1497" s="3">
        <v>1</v>
      </c>
      <c r="I1497" s="7">
        <v>1037.1400000000001</v>
      </c>
      <c r="J1497" s="9">
        <v>0.15</v>
      </c>
      <c r="K1497" s="7">
        <v>881.57</v>
      </c>
      <c r="L1497" s="7">
        <v>332.92</v>
      </c>
      <c r="M1497" s="3" t="s">
        <v>58</v>
      </c>
      <c r="N1497" s="3" t="str">
        <f t="shared" si="92"/>
        <v>2025-02</v>
      </c>
      <c r="O1497" s="3" t="str">
        <f t="shared" si="93"/>
        <v>11-15%</v>
      </c>
      <c r="P1497" s="9">
        <f t="shared" si="94"/>
        <v>0.37764442982406388</v>
      </c>
      <c r="Q1497" s="3" t="str">
        <f t="shared" si="95"/>
        <v>No</v>
      </c>
    </row>
    <row r="1498" spans="1:17" ht="21" customHeight="1">
      <c r="A1498" s="3" t="s">
        <v>2173</v>
      </c>
      <c r="B1498" s="5">
        <v>45690</v>
      </c>
      <c r="C1498" s="3" t="s">
        <v>2034</v>
      </c>
      <c r="D1498" s="3" t="s">
        <v>46</v>
      </c>
      <c r="E1498" s="3" t="s">
        <v>38</v>
      </c>
      <c r="F1498" s="3" t="s">
        <v>142</v>
      </c>
      <c r="G1498" s="3" t="s">
        <v>245</v>
      </c>
      <c r="H1498" s="3">
        <v>4</v>
      </c>
      <c r="I1498" s="7">
        <v>5054.93</v>
      </c>
      <c r="J1498" s="9">
        <v>0.25</v>
      </c>
      <c r="K1498" s="7">
        <v>15164.79</v>
      </c>
      <c r="L1498" s="7">
        <v>-1624.29</v>
      </c>
      <c r="M1498" s="3" t="s">
        <v>56</v>
      </c>
      <c r="N1498" s="3" t="str">
        <f t="shared" si="92"/>
        <v>2025-02</v>
      </c>
      <c r="O1498" s="3" t="str">
        <f t="shared" si="93"/>
        <v>21%+</v>
      </c>
      <c r="P1498" s="9">
        <f t="shared" si="94"/>
        <v>-0.10710929726029836</v>
      </c>
      <c r="Q1498" s="3" t="str">
        <f t="shared" si="95"/>
        <v>Yes</v>
      </c>
    </row>
    <row r="1499" spans="1:17" ht="21" customHeight="1">
      <c r="A1499" s="3" t="s">
        <v>2174</v>
      </c>
      <c r="B1499" s="5">
        <v>45690</v>
      </c>
      <c r="C1499" s="3" t="s">
        <v>170</v>
      </c>
      <c r="D1499" s="3" t="s">
        <v>46</v>
      </c>
      <c r="E1499" s="3" t="s">
        <v>42</v>
      </c>
      <c r="F1499" s="3" t="s">
        <v>126</v>
      </c>
      <c r="G1499" s="3" t="s">
        <v>151</v>
      </c>
      <c r="H1499" s="3">
        <v>4</v>
      </c>
      <c r="I1499" s="7">
        <v>1437.63</v>
      </c>
      <c r="J1499" s="9">
        <v>0</v>
      </c>
      <c r="K1499" s="7">
        <v>5750.52</v>
      </c>
      <c r="L1499" s="7">
        <v>3189.21</v>
      </c>
      <c r="M1499" s="3" t="s">
        <v>56</v>
      </c>
      <c r="N1499" s="3" t="str">
        <f t="shared" si="92"/>
        <v>2025-02</v>
      </c>
      <c r="O1499" s="3" t="str">
        <f t="shared" si="93"/>
        <v>No discount</v>
      </c>
      <c r="P1499" s="9">
        <f t="shared" si="94"/>
        <v>0.55459506270737247</v>
      </c>
      <c r="Q1499" s="3" t="str">
        <f t="shared" si="95"/>
        <v>No</v>
      </c>
    </row>
    <row r="1500" spans="1:17" ht="21" customHeight="1">
      <c r="A1500" s="3" t="s">
        <v>2175</v>
      </c>
      <c r="B1500" s="5">
        <v>45690</v>
      </c>
      <c r="C1500" s="3" t="s">
        <v>170</v>
      </c>
      <c r="D1500" s="3" t="s">
        <v>44</v>
      </c>
      <c r="E1500" s="3" t="s">
        <v>41</v>
      </c>
      <c r="F1500" s="3" t="s">
        <v>119</v>
      </c>
      <c r="G1500" s="3" t="s">
        <v>168</v>
      </c>
      <c r="H1500" s="3">
        <v>2</v>
      </c>
      <c r="I1500" s="7">
        <v>9717.48</v>
      </c>
      <c r="J1500" s="9">
        <v>0.1</v>
      </c>
      <c r="K1500" s="7">
        <v>17491.46</v>
      </c>
      <c r="L1500" s="7">
        <v>4244.37</v>
      </c>
      <c r="M1500" s="3" t="s">
        <v>56</v>
      </c>
      <c r="N1500" s="3" t="str">
        <f t="shared" si="92"/>
        <v>2025-02</v>
      </c>
      <c r="O1500" s="3" t="str">
        <f t="shared" si="93"/>
        <v>1-10%</v>
      </c>
      <c r="P1500" s="9">
        <f t="shared" si="94"/>
        <v>0.24265384364712839</v>
      </c>
      <c r="Q1500" s="3" t="str">
        <f t="shared" si="95"/>
        <v>No</v>
      </c>
    </row>
    <row r="1501" spans="1:17" ht="21" customHeight="1">
      <c r="A1501" s="3" t="s">
        <v>2176</v>
      </c>
      <c r="B1501" s="5">
        <v>45691</v>
      </c>
      <c r="C1501" s="3" t="s">
        <v>609</v>
      </c>
      <c r="D1501" s="3" t="s">
        <v>44</v>
      </c>
      <c r="E1501" s="3" t="s">
        <v>38</v>
      </c>
      <c r="F1501" s="3" t="s">
        <v>98</v>
      </c>
      <c r="G1501" s="3" t="s">
        <v>99</v>
      </c>
      <c r="H1501" s="3">
        <v>1</v>
      </c>
      <c r="I1501" s="7">
        <v>24283.4</v>
      </c>
      <c r="J1501" s="9">
        <v>0.05</v>
      </c>
      <c r="K1501" s="7">
        <v>23069.23</v>
      </c>
      <c r="L1501" s="7">
        <v>2643.35</v>
      </c>
      <c r="M1501" s="3" t="s">
        <v>56</v>
      </c>
      <c r="N1501" s="3" t="str">
        <f t="shared" si="92"/>
        <v>2025-02</v>
      </c>
      <c r="O1501" s="3" t="str">
        <f t="shared" si="93"/>
        <v>1-10%</v>
      </c>
      <c r="P1501" s="9">
        <f t="shared" si="94"/>
        <v>0.11458336494109253</v>
      </c>
      <c r="Q1501" s="3" t="str">
        <f t="shared" si="95"/>
        <v>No</v>
      </c>
    </row>
    <row r="1502" spans="1:17" ht="21" customHeight="1">
      <c r="A1502" s="3" t="s">
        <v>2177</v>
      </c>
      <c r="B1502" s="5">
        <v>45691</v>
      </c>
      <c r="C1502" s="3" t="s">
        <v>410</v>
      </c>
      <c r="D1502" s="3" t="s">
        <v>46</v>
      </c>
      <c r="E1502" s="3" t="s">
        <v>41</v>
      </c>
      <c r="F1502" s="3" t="s">
        <v>119</v>
      </c>
      <c r="G1502" s="3" t="s">
        <v>168</v>
      </c>
      <c r="H1502" s="3">
        <v>3</v>
      </c>
      <c r="I1502" s="7">
        <v>10085.48</v>
      </c>
      <c r="J1502" s="9">
        <v>0.1</v>
      </c>
      <c r="K1502" s="7">
        <v>27230.799999999999</v>
      </c>
      <c r="L1502" s="7">
        <v>6884.69</v>
      </c>
      <c r="M1502" s="3" t="s">
        <v>57</v>
      </c>
      <c r="N1502" s="3" t="str">
        <f t="shared" si="92"/>
        <v>2025-02</v>
      </c>
      <c r="O1502" s="3" t="str">
        <f t="shared" si="93"/>
        <v>1-10%</v>
      </c>
      <c r="P1502" s="9">
        <f t="shared" si="94"/>
        <v>0.2528273131894766</v>
      </c>
      <c r="Q1502" s="3" t="str">
        <f t="shared" si="95"/>
        <v>No</v>
      </c>
    </row>
    <row r="1503" spans="1:17" ht="21" customHeight="1">
      <c r="A1503" s="3" t="s">
        <v>2178</v>
      </c>
      <c r="B1503" s="5">
        <v>45691</v>
      </c>
      <c r="C1503" s="3" t="s">
        <v>585</v>
      </c>
      <c r="D1503" s="3" t="s">
        <v>47</v>
      </c>
      <c r="E1503" s="3" t="s">
        <v>42</v>
      </c>
      <c r="F1503" s="3" t="s">
        <v>126</v>
      </c>
      <c r="G1503" s="3" t="s">
        <v>127</v>
      </c>
      <c r="H1503" s="3">
        <v>2</v>
      </c>
      <c r="I1503" s="7">
        <v>984.71</v>
      </c>
      <c r="J1503" s="9">
        <v>0.05</v>
      </c>
      <c r="K1503" s="7">
        <v>1870.95</v>
      </c>
      <c r="L1503" s="7">
        <v>873.4</v>
      </c>
      <c r="M1503" s="3" t="s">
        <v>56</v>
      </c>
      <c r="N1503" s="3" t="str">
        <f t="shared" si="92"/>
        <v>2025-02</v>
      </c>
      <c r="O1503" s="3" t="str">
        <f t="shared" si="93"/>
        <v>1-10%</v>
      </c>
      <c r="P1503" s="9">
        <f t="shared" si="94"/>
        <v>0.46682166813650816</v>
      </c>
      <c r="Q1503" s="3" t="str">
        <f t="shared" si="95"/>
        <v>No</v>
      </c>
    </row>
    <row r="1504" spans="1:17" ht="21" customHeight="1">
      <c r="A1504" s="3" t="s">
        <v>2179</v>
      </c>
      <c r="B1504" s="5">
        <v>45691</v>
      </c>
      <c r="C1504" s="3" t="s">
        <v>337</v>
      </c>
      <c r="D1504" s="3" t="s">
        <v>47</v>
      </c>
      <c r="E1504" s="3" t="s">
        <v>38</v>
      </c>
      <c r="F1504" s="3" t="s">
        <v>94</v>
      </c>
      <c r="G1504" s="3" t="s">
        <v>213</v>
      </c>
      <c r="H1504" s="3">
        <v>2</v>
      </c>
      <c r="I1504" s="7">
        <v>54276.76</v>
      </c>
      <c r="J1504" s="9">
        <v>0.15</v>
      </c>
      <c r="K1504" s="7">
        <v>92270.49</v>
      </c>
      <c r="L1504" s="7">
        <v>2135.15</v>
      </c>
      <c r="M1504" s="3" t="s">
        <v>57</v>
      </c>
      <c r="N1504" s="3" t="str">
        <f t="shared" si="92"/>
        <v>2025-02</v>
      </c>
      <c r="O1504" s="3" t="str">
        <f t="shared" si="93"/>
        <v>11-15%</v>
      </c>
      <c r="P1504" s="9">
        <f t="shared" si="94"/>
        <v>2.314011771260779E-2</v>
      </c>
      <c r="Q1504" s="3" t="str">
        <f t="shared" si="95"/>
        <v>No</v>
      </c>
    </row>
    <row r="1505" spans="1:17" ht="21" customHeight="1">
      <c r="A1505" s="3" t="s">
        <v>2180</v>
      </c>
      <c r="B1505" s="5">
        <v>45692</v>
      </c>
      <c r="C1505" s="3" t="s">
        <v>2034</v>
      </c>
      <c r="D1505" s="3" t="s">
        <v>46</v>
      </c>
      <c r="E1505" s="3" t="s">
        <v>38</v>
      </c>
      <c r="F1505" s="3" t="s">
        <v>98</v>
      </c>
      <c r="G1505" s="3" t="s">
        <v>99</v>
      </c>
      <c r="H1505" s="3">
        <v>1</v>
      </c>
      <c r="I1505" s="7">
        <v>25045.99</v>
      </c>
      <c r="J1505" s="9">
        <v>0.05</v>
      </c>
      <c r="K1505" s="7">
        <v>23793.69</v>
      </c>
      <c r="L1505" s="7">
        <v>3067.99</v>
      </c>
      <c r="M1505" s="3" t="s">
        <v>57</v>
      </c>
      <c r="N1505" s="3" t="str">
        <f t="shared" si="92"/>
        <v>2025-02</v>
      </c>
      <c r="O1505" s="3" t="str">
        <f t="shared" si="93"/>
        <v>1-10%</v>
      </c>
      <c r="P1505" s="9">
        <f t="shared" si="94"/>
        <v>0.12894132856232052</v>
      </c>
      <c r="Q1505" s="3" t="str">
        <f t="shared" si="95"/>
        <v>No</v>
      </c>
    </row>
    <row r="1506" spans="1:17" ht="21" customHeight="1">
      <c r="A1506" s="3" t="s">
        <v>2181</v>
      </c>
      <c r="B1506" s="5">
        <v>45692</v>
      </c>
      <c r="C1506" s="3" t="s">
        <v>1140</v>
      </c>
      <c r="D1506" s="3" t="s">
        <v>47</v>
      </c>
      <c r="E1506" s="3" t="s">
        <v>41</v>
      </c>
      <c r="F1506" s="3" t="s">
        <v>119</v>
      </c>
      <c r="G1506" s="3" t="s">
        <v>168</v>
      </c>
      <c r="H1506" s="3">
        <v>2</v>
      </c>
      <c r="I1506" s="7">
        <v>10071.200000000001</v>
      </c>
      <c r="J1506" s="9">
        <v>0.1</v>
      </c>
      <c r="K1506" s="7">
        <v>18128.16</v>
      </c>
      <c r="L1506" s="7">
        <v>4769.03</v>
      </c>
      <c r="M1506" s="3" t="s">
        <v>57</v>
      </c>
      <c r="N1506" s="3" t="str">
        <f t="shared" si="92"/>
        <v>2025-02</v>
      </c>
      <c r="O1506" s="3" t="str">
        <f t="shared" si="93"/>
        <v>1-10%</v>
      </c>
      <c r="P1506" s="9">
        <f t="shared" si="94"/>
        <v>0.26307303112946928</v>
      </c>
      <c r="Q1506" s="3" t="str">
        <f t="shared" si="95"/>
        <v>No</v>
      </c>
    </row>
    <row r="1507" spans="1:17" ht="21" customHeight="1">
      <c r="A1507" s="3" t="s">
        <v>2182</v>
      </c>
      <c r="B1507" s="5">
        <v>45692</v>
      </c>
      <c r="C1507" s="3" t="s">
        <v>2183</v>
      </c>
      <c r="D1507" s="3" t="s">
        <v>45</v>
      </c>
      <c r="E1507" s="3" t="s">
        <v>39</v>
      </c>
      <c r="F1507" s="3" t="s">
        <v>164</v>
      </c>
      <c r="G1507" s="3" t="s">
        <v>200</v>
      </c>
      <c r="H1507" s="3">
        <v>2</v>
      </c>
      <c r="I1507" s="7">
        <v>1352.75</v>
      </c>
      <c r="J1507" s="9">
        <v>0.15</v>
      </c>
      <c r="K1507" s="7">
        <v>2299.67</v>
      </c>
      <c r="L1507" s="7">
        <v>582.76</v>
      </c>
      <c r="M1507" s="3" t="s">
        <v>56</v>
      </c>
      <c r="N1507" s="3" t="str">
        <f t="shared" si="92"/>
        <v>2025-02</v>
      </c>
      <c r="O1507" s="3" t="str">
        <f t="shared" si="93"/>
        <v>11-15%</v>
      </c>
      <c r="P1507" s="9">
        <f t="shared" si="94"/>
        <v>0.25341027190857818</v>
      </c>
      <c r="Q1507" s="3" t="str">
        <f t="shared" si="95"/>
        <v>No</v>
      </c>
    </row>
    <row r="1508" spans="1:17" ht="21" customHeight="1">
      <c r="A1508" s="3" t="s">
        <v>2184</v>
      </c>
      <c r="B1508" s="5">
        <v>45692</v>
      </c>
      <c r="C1508" s="3" t="s">
        <v>2130</v>
      </c>
      <c r="D1508" s="3" t="s">
        <v>45</v>
      </c>
      <c r="E1508" s="3" t="s">
        <v>38</v>
      </c>
      <c r="F1508" s="3" t="s">
        <v>142</v>
      </c>
      <c r="G1508" s="3" t="s">
        <v>245</v>
      </c>
      <c r="H1508" s="3">
        <v>2</v>
      </c>
      <c r="I1508" s="7">
        <v>4768.92</v>
      </c>
      <c r="J1508" s="9">
        <v>0</v>
      </c>
      <c r="K1508" s="7">
        <v>9537.84</v>
      </c>
      <c r="L1508" s="7">
        <v>1489.77</v>
      </c>
      <c r="M1508" s="3" t="s">
        <v>58</v>
      </c>
      <c r="N1508" s="3" t="str">
        <f t="shared" si="92"/>
        <v>2025-02</v>
      </c>
      <c r="O1508" s="3" t="str">
        <f t="shared" si="93"/>
        <v>No discount</v>
      </c>
      <c r="P1508" s="9">
        <f t="shared" si="94"/>
        <v>0.15619574243224882</v>
      </c>
      <c r="Q1508" s="3" t="str">
        <f t="shared" si="95"/>
        <v>No</v>
      </c>
    </row>
    <row r="1509" spans="1:17" ht="21" customHeight="1">
      <c r="A1509" s="3" t="s">
        <v>2185</v>
      </c>
      <c r="B1509" s="5">
        <v>45693</v>
      </c>
      <c r="C1509" s="3" t="s">
        <v>1953</v>
      </c>
      <c r="D1509" s="3" t="s">
        <v>44</v>
      </c>
      <c r="E1509" s="3" t="s">
        <v>40</v>
      </c>
      <c r="F1509" s="3" t="s">
        <v>102</v>
      </c>
      <c r="G1509" s="3" t="s">
        <v>103</v>
      </c>
      <c r="H1509" s="3">
        <v>2</v>
      </c>
      <c r="I1509" s="7">
        <v>6363.49</v>
      </c>
      <c r="J1509" s="9">
        <v>0</v>
      </c>
      <c r="K1509" s="7">
        <v>12726.98</v>
      </c>
      <c r="L1509" s="7">
        <v>4674.87</v>
      </c>
      <c r="M1509" s="3" t="s">
        <v>58</v>
      </c>
      <c r="N1509" s="3" t="str">
        <f t="shared" si="92"/>
        <v>2025-02</v>
      </c>
      <c r="O1509" s="3" t="str">
        <f t="shared" si="93"/>
        <v>No discount</v>
      </c>
      <c r="P1509" s="9">
        <f t="shared" si="94"/>
        <v>0.36731966263795496</v>
      </c>
      <c r="Q1509" s="3" t="str">
        <f t="shared" si="95"/>
        <v>No</v>
      </c>
    </row>
    <row r="1510" spans="1:17" ht="21" customHeight="1">
      <c r="A1510" s="3" t="s">
        <v>2186</v>
      </c>
      <c r="B1510" s="5">
        <v>45693</v>
      </c>
      <c r="C1510" s="3" t="s">
        <v>1360</v>
      </c>
      <c r="D1510" s="3" t="s">
        <v>46</v>
      </c>
      <c r="E1510" s="3" t="s">
        <v>42</v>
      </c>
      <c r="F1510" s="3" t="s">
        <v>90</v>
      </c>
      <c r="G1510" s="3" t="s">
        <v>91</v>
      </c>
      <c r="H1510" s="3">
        <v>1</v>
      </c>
      <c r="I1510" s="7">
        <v>1236.97</v>
      </c>
      <c r="J1510" s="9">
        <v>0</v>
      </c>
      <c r="K1510" s="7">
        <v>1236.97</v>
      </c>
      <c r="L1510" s="7">
        <v>715.45</v>
      </c>
      <c r="M1510" s="3" t="s">
        <v>56</v>
      </c>
      <c r="N1510" s="3" t="str">
        <f t="shared" si="92"/>
        <v>2025-02</v>
      </c>
      <c r="O1510" s="3" t="str">
        <f t="shared" si="93"/>
        <v>No discount</v>
      </c>
      <c r="P1510" s="9">
        <f t="shared" si="94"/>
        <v>0.57838912827311906</v>
      </c>
      <c r="Q1510" s="3" t="str">
        <f t="shared" si="95"/>
        <v>No</v>
      </c>
    </row>
    <row r="1511" spans="1:17" ht="21" customHeight="1">
      <c r="A1511" s="3" t="s">
        <v>2187</v>
      </c>
      <c r="B1511" s="5">
        <v>45693</v>
      </c>
      <c r="C1511" s="3" t="s">
        <v>259</v>
      </c>
      <c r="D1511" s="3" t="s">
        <v>46</v>
      </c>
      <c r="E1511" s="3" t="s">
        <v>42</v>
      </c>
      <c r="F1511" s="3" t="s">
        <v>90</v>
      </c>
      <c r="G1511" s="3" t="s">
        <v>91</v>
      </c>
      <c r="H1511" s="3">
        <v>1</v>
      </c>
      <c r="I1511" s="7">
        <v>1232.5899999999999</v>
      </c>
      <c r="J1511" s="9">
        <v>0</v>
      </c>
      <c r="K1511" s="7">
        <v>1232.5899999999999</v>
      </c>
      <c r="L1511" s="7">
        <v>714.89</v>
      </c>
      <c r="M1511" s="3" t="s">
        <v>56</v>
      </c>
      <c r="N1511" s="3" t="str">
        <f t="shared" si="92"/>
        <v>2025-02</v>
      </c>
      <c r="O1511" s="3" t="str">
        <f t="shared" si="93"/>
        <v>No discount</v>
      </c>
      <c r="P1511" s="9">
        <f t="shared" si="94"/>
        <v>0.57999010214264279</v>
      </c>
      <c r="Q1511" s="3" t="str">
        <f t="shared" si="95"/>
        <v>No</v>
      </c>
    </row>
    <row r="1512" spans="1:17" ht="21" customHeight="1">
      <c r="A1512" s="3" t="s">
        <v>2188</v>
      </c>
      <c r="B1512" s="5">
        <v>45694</v>
      </c>
      <c r="C1512" s="3" t="s">
        <v>145</v>
      </c>
      <c r="D1512" s="3" t="s">
        <v>45</v>
      </c>
      <c r="E1512" s="3" t="s">
        <v>41</v>
      </c>
      <c r="F1512" s="3" t="s">
        <v>113</v>
      </c>
      <c r="G1512" s="3" t="s">
        <v>114</v>
      </c>
      <c r="H1512" s="3">
        <v>2</v>
      </c>
      <c r="I1512" s="7">
        <v>12560.27</v>
      </c>
      <c r="J1512" s="9">
        <v>0.1</v>
      </c>
      <c r="K1512" s="7">
        <v>22608.49</v>
      </c>
      <c r="L1512" s="7">
        <v>6501.25</v>
      </c>
      <c r="M1512" s="3" t="s">
        <v>56</v>
      </c>
      <c r="N1512" s="3" t="str">
        <f t="shared" si="92"/>
        <v>2025-02</v>
      </c>
      <c r="O1512" s="3" t="str">
        <f t="shared" si="93"/>
        <v>1-10%</v>
      </c>
      <c r="P1512" s="9">
        <f t="shared" si="94"/>
        <v>0.28755790413247412</v>
      </c>
      <c r="Q1512" s="3" t="str">
        <f t="shared" si="95"/>
        <v>No</v>
      </c>
    </row>
    <row r="1513" spans="1:17" ht="21" customHeight="1">
      <c r="A1513" s="3" t="s">
        <v>2189</v>
      </c>
      <c r="B1513" s="5">
        <v>45694</v>
      </c>
      <c r="C1513" s="3" t="s">
        <v>1488</v>
      </c>
      <c r="D1513" s="3" t="s">
        <v>44</v>
      </c>
      <c r="E1513" s="3" t="s">
        <v>38</v>
      </c>
      <c r="F1513" s="3" t="s">
        <v>98</v>
      </c>
      <c r="G1513" s="3" t="s">
        <v>99</v>
      </c>
      <c r="H1513" s="3">
        <v>1</v>
      </c>
      <c r="I1513" s="7">
        <v>25605.25</v>
      </c>
      <c r="J1513" s="9">
        <v>0.2</v>
      </c>
      <c r="K1513" s="7">
        <v>20484.2</v>
      </c>
      <c r="L1513" s="7">
        <v>-1172.99</v>
      </c>
      <c r="M1513" s="3" t="s">
        <v>56</v>
      </c>
      <c r="N1513" s="3" t="str">
        <f t="shared" si="92"/>
        <v>2025-02</v>
      </c>
      <c r="O1513" s="3" t="str">
        <f t="shared" si="93"/>
        <v>16-20%</v>
      </c>
      <c r="P1513" s="9">
        <f t="shared" si="94"/>
        <v>-5.7263158922486596E-2</v>
      </c>
      <c r="Q1513" s="3" t="str">
        <f t="shared" si="95"/>
        <v>Yes</v>
      </c>
    </row>
    <row r="1514" spans="1:17" ht="21" customHeight="1">
      <c r="A1514" s="3" t="s">
        <v>2190</v>
      </c>
      <c r="B1514" s="5">
        <v>45694</v>
      </c>
      <c r="C1514" s="3" t="s">
        <v>456</v>
      </c>
      <c r="D1514" s="3" t="s">
        <v>45</v>
      </c>
      <c r="E1514" s="3" t="s">
        <v>40</v>
      </c>
      <c r="F1514" s="3" t="s">
        <v>221</v>
      </c>
      <c r="G1514" s="3" t="s">
        <v>222</v>
      </c>
      <c r="H1514" s="3">
        <v>2</v>
      </c>
      <c r="I1514" s="7">
        <v>950.68</v>
      </c>
      <c r="J1514" s="9">
        <v>0.15</v>
      </c>
      <c r="K1514" s="7">
        <v>1616.16</v>
      </c>
      <c r="L1514" s="7">
        <v>285.64</v>
      </c>
      <c r="M1514" s="3" t="s">
        <v>58</v>
      </c>
      <c r="N1514" s="3" t="str">
        <f t="shared" si="92"/>
        <v>2025-02</v>
      </c>
      <c r="O1514" s="3" t="str">
        <f t="shared" si="93"/>
        <v>11-15%</v>
      </c>
      <c r="P1514" s="9">
        <f t="shared" si="94"/>
        <v>0.17673992673992672</v>
      </c>
      <c r="Q1514" s="3" t="str">
        <f t="shared" si="95"/>
        <v>No</v>
      </c>
    </row>
    <row r="1515" spans="1:17" ht="21" customHeight="1">
      <c r="A1515" s="3" t="s">
        <v>2191</v>
      </c>
      <c r="B1515" s="5">
        <v>45694</v>
      </c>
      <c r="C1515" s="3" t="s">
        <v>1266</v>
      </c>
      <c r="D1515" s="3" t="s">
        <v>46</v>
      </c>
      <c r="E1515" s="3" t="s">
        <v>38</v>
      </c>
      <c r="F1515" s="3" t="s">
        <v>142</v>
      </c>
      <c r="G1515" s="3" t="s">
        <v>143</v>
      </c>
      <c r="H1515" s="3">
        <v>1</v>
      </c>
      <c r="I1515" s="7">
        <v>8705.2199999999993</v>
      </c>
      <c r="J1515" s="9">
        <v>0</v>
      </c>
      <c r="K1515" s="7">
        <v>8705.2199999999993</v>
      </c>
      <c r="L1515" s="7">
        <v>1605.79</v>
      </c>
      <c r="M1515" s="3" t="s">
        <v>57</v>
      </c>
      <c r="N1515" s="3" t="str">
        <f t="shared" si="92"/>
        <v>2025-02</v>
      </c>
      <c r="O1515" s="3" t="str">
        <f t="shared" si="93"/>
        <v>No discount</v>
      </c>
      <c r="P1515" s="9">
        <f t="shared" si="94"/>
        <v>0.18446288548709855</v>
      </c>
      <c r="Q1515" s="3" t="str">
        <f t="shared" si="95"/>
        <v>No</v>
      </c>
    </row>
    <row r="1516" spans="1:17" ht="21" customHeight="1">
      <c r="A1516" s="3" t="s">
        <v>2192</v>
      </c>
      <c r="B1516" s="5">
        <v>45694</v>
      </c>
      <c r="C1516" s="3" t="s">
        <v>516</v>
      </c>
      <c r="D1516" s="3" t="s">
        <v>45</v>
      </c>
      <c r="E1516" s="3" t="s">
        <v>42</v>
      </c>
      <c r="F1516" s="3" t="s">
        <v>126</v>
      </c>
      <c r="G1516" s="3" t="s">
        <v>151</v>
      </c>
      <c r="H1516" s="3">
        <v>4</v>
      </c>
      <c r="I1516" s="7">
        <v>1460.02</v>
      </c>
      <c r="J1516" s="9">
        <v>0.05</v>
      </c>
      <c r="K1516" s="7">
        <v>5548.08</v>
      </c>
      <c r="L1516" s="7">
        <v>2675.05</v>
      </c>
      <c r="M1516" s="3" t="s">
        <v>59</v>
      </c>
      <c r="N1516" s="3" t="str">
        <f t="shared" si="92"/>
        <v>2025-02</v>
      </c>
      <c r="O1516" s="3" t="str">
        <f t="shared" si="93"/>
        <v>1-10%</v>
      </c>
      <c r="P1516" s="9">
        <f t="shared" si="94"/>
        <v>0.48215779152427513</v>
      </c>
      <c r="Q1516" s="3" t="str">
        <f t="shared" si="95"/>
        <v>No</v>
      </c>
    </row>
    <row r="1517" spans="1:17" ht="21" customHeight="1">
      <c r="A1517" s="3" t="s">
        <v>2193</v>
      </c>
      <c r="B1517" s="5">
        <v>45695</v>
      </c>
      <c r="C1517" s="3" t="s">
        <v>322</v>
      </c>
      <c r="D1517" s="3" t="s">
        <v>47</v>
      </c>
      <c r="E1517" s="3" t="s">
        <v>42</v>
      </c>
      <c r="F1517" s="3" t="s">
        <v>90</v>
      </c>
      <c r="G1517" s="3" t="s">
        <v>91</v>
      </c>
      <c r="H1517" s="3">
        <v>1</v>
      </c>
      <c r="I1517" s="7">
        <v>1240.9000000000001</v>
      </c>
      <c r="J1517" s="9">
        <v>0</v>
      </c>
      <c r="K1517" s="7">
        <v>1240.9000000000001</v>
      </c>
      <c r="L1517" s="7">
        <v>700.07</v>
      </c>
      <c r="M1517" s="3" t="s">
        <v>60</v>
      </c>
      <c r="N1517" s="3" t="str">
        <f t="shared" si="92"/>
        <v>2025-02</v>
      </c>
      <c r="O1517" s="3" t="str">
        <f t="shared" si="93"/>
        <v>No discount</v>
      </c>
      <c r="P1517" s="9">
        <f t="shared" si="94"/>
        <v>0.56416310742203235</v>
      </c>
      <c r="Q1517" s="3" t="str">
        <f t="shared" si="95"/>
        <v>No</v>
      </c>
    </row>
    <row r="1518" spans="1:17" ht="21" customHeight="1">
      <c r="A1518" s="3" t="s">
        <v>2194</v>
      </c>
      <c r="B1518" s="5">
        <v>45696</v>
      </c>
      <c r="C1518" s="3" t="s">
        <v>959</v>
      </c>
      <c r="D1518" s="3" t="s">
        <v>46</v>
      </c>
      <c r="E1518" s="3" t="s">
        <v>41</v>
      </c>
      <c r="F1518" s="3" t="s">
        <v>113</v>
      </c>
      <c r="G1518" s="3" t="s">
        <v>114</v>
      </c>
      <c r="H1518" s="3">
        <v>1</v>
      </c>
      <c r="I1518" s="7">
        <v>12379.04</v>
      </c>
      <c r="J1518" s="9">
        <v>0.25</v>
      </c>
      <c r="K1518" s="7">
        <v>9284.2800000000007</v>
      </c>
      <c r="L1518" s="7">
        <v>850.04</v>
      </c>
      <c r="M1518" s="3" t="s">
        <v>57</v>
      </c>
      <c r="N1518" s="3" t="str">
        <f t="shared" si="92"/>
        <v>2025-02</v>
      </c>
      <c r="O1518" s="3" t="str">
        <f t="shared" si="93"/>
        <v>21%+</v>
      </c>
      <c r="P1518" s="9">
        <f t="shared" si="94"/>
        <v>9.155691125213801E-2</v>
      </c>
      <c r="Q1518" s="3" t="str">
        <f t="shared" si="95"/>
        <v>No</v>
      </c>
    </row>
    <row r="1519" spans="1:17" ht="21" customHeight="1">
      <c r="A1519" s="3" t="s">
        <v>2195</v>
      </c>
      <c r="B1519" s="5">
        <v>45696</v>
      </c>
      <c r="C1519" s="3" t="s">
        <v>1167</v>
      </c>
      <c r="D1519" s="3" t="s">
        <v>45</v>
      </c>
      <c r="E1519" s="3" t="s">
        <v>40</v>
      </c>
      <c r="F1519" s="3" t="s">
        <v>160</v>
      </c>
      <c r="G1519" s="3" t="s">
        <v>173</v>
      </c>
      <c r="H1519" s="3">
        <v>3</v>
      </c>
      <c r="I1519" s="7">
        <v>8651.09</v>
      </c>
      <c r="J1519" s="9">
        <v>0</v>
      </c>
      <c r="K1519" s="7">
        <v>25953.27</v>
      </c>
      <c r="L1519" s="7">
        <v>8511.59</v>
      </c>
      <c r="M1519" s="3" t="s">
        <v>58</v>
      </c>
      <c r="N1519" s="3" t="str">
        <f t="shared" si="92"/>
        <v>2025-02</v>
      </c>
      <c r="O1519" s="3" t="str">
        <f t="shared" si="93"/>
        <v>No discount</v>
      </c>
      <c r="P1519" s="9">
        <f t="shared" si="94"/>
        <v>0.32795828810781841</v>
      </c>
      <c r="Q1519" s="3" t="str">
        <f t="shared" si="95"/>
        <v>No</v>
      </c>
    </row>
    <row r="1520" spans="1:17" ht="21" customHeight="1">
      <c r="A1520" s="3" t="s">
        <v>2196</v>
      </c>
      <c r="B1520" s="5">
        <v>45697</v>
      </c>
      <c r="C1520" s="3" t="s">
        <v>347</v>
      </c>
      <c r="D1520" s="3" t="s">
        <v>44</v>
      </c>
      <c r="E1520" s="3" t="s">
        <v>39</v>
      </c>
      <c r="F1520" s="3" t="s">
        <v>130</v>
      </c>
      <c r="G1520" s="3" t="s">
        <v>131</v>
      </c>
      <c r="H1520" s="3">
        <v>1</v>
      </c>
      <c r="I1520" s="7">
        <v>2243.87</v>
      </c>
      <c r="J1520" s="9">
        <v>0.05</v>
      </c>
      <c r="K1520" s="7">
        <v>2131.6799999999998</v>
      </c>
      <c r="L1520" s="7">
        <v>790.82</v>
      </c>
      <c r="M1520" s="3" t="s">
        <v>60</v>
      </c>
      <c r="N1520" s="3" t="str">
        <f t="shared" si="92"/>
        <v>2025-02</v>
      </c>
      <c r="O1520" s="3" t="str">
        <f t="shared" si="93"/>
        <v>1-10%</v>
      </c>
      <c r="P1520" s="9">
        <f t="shared" si="94"/>
        <v>0.37098438790062305</v>
      </c>
      <c r="Q1520" s="3" t="str">
        <f t="shared" si="95"/>
        <v>No</v>
      </c>
    </row>
    <row r="1521" spans="1:17" ht="21" customHeight="1">
      <c r="A1521" s="3" t="s">
        <v>2197</v>
      </c>
      <c r="B1521" s="5">
        <v>45697</v>
      </c>
      <c r="C1521" s="3" t="s">
        <v>520</v>
      </c>
      <c r="D1521" s="3" t="s">
        <v>47</v>
      </c>
      <c r="E1521" s="3" t="s">
        <v>42</v>
      </c>
      <c r="F1521" s="3" t="s">
        <v>126</v>
      </c>
      <c r="G1521" s="3" t="s">
        <v>127</v>
      </c>
      <c r="H1521" s="3">
        <v>1</v>
      </c>
      <c r="I1521" s="7">
        <v>961.48</v>
      </c>
      <c r="J1521" s="9">
        <v>0.05</v>
      </c>
      <c r="K1521" s="7">
        <v>913.41</v>
      </c>
      <c r="L1521" s="7">
        <v>484.02</v>
      </c>
      <c r="M1521" s="3" t="s">
        <v>56</v>
      </c>
      <c r="N1521" s="3" t="str">
        <f t="shared" si="92"/>
        <v>2025-02</v>
      </c>
      <c r="O1521" s="3" t="str">
        <f t="shared" si="93"/>
        <v>1-10%</v>
      </c>
      <c r="P1521" s="9">
        <f t="shared" si="94"/>
        <v>0.52990442408119032</v>
      </c>
      <c r="Q1521" s="3" t="str">
        <f t="shared" si="95"/>
        <v>No</v>
      </c>
    </row>
    <row r="1522" spans="1:17" ht="21" customHeight="1">
      <c r="A1522" s="3" t="s">
        <v>2198</v>
      </c>
      <c r="B1522" s="5">
        <v>45697</v>
      </c>
      <c r="C1522" s="3" t="s">
        <v>881</v>
      </c>
      <c r="D1522" s="3" t="s">
        <v>44</v>
      </c>
      <c r="E1522" s="3" t="s">
        <v>39</v>
      </c>
      <c r="F1522" s="3" t="s">
        <v>164</v>
      </c>
      <c r="G1522" s="3" t="s">
        <v>200</v>
      </c>
      <c r="H1522" s="3">
        <v>3</v>
      </c>
      <c r="I1522" s="7">
        <v>1245.79</v>
      </c>
      <c r="J1522" s="9">
        <v>0</v>
      </c>
      <c r="K1522" s="7">
        <v>3737.37</v>
      </c>
      <c r="L1522" s="7">
        <v>1657.26</v>
      </c>
      <c r="M1522" s="3" t="s">
        <v>56</v>
      </c>
      <c r="N1522" s="3" t="str">
        <f t="shared" si="92"/>
        <v>2025-02</v>
      </c>
      <c r="O1522" s="3" t="str">
        <f t="shared" si="93"/>
        <v>No discount</v>
      </c>
      <c r="P1522" s="9">
        <f t="shared" si="94"/>
        <v>0.4434294704564975</v>
      </c>
      <c r="Q1522" s="3" t="str">
        <f t="shared" si="95"/>
        <v>No</v>
      </c>
    </row>
    <row r="1523" spans="1:17" ht="21" customHeight="1">
      <c r="A1523" s="3" t="s">
        <v>2199</v>
      </c>
      <c r="B1523" s="5">
        <v>45697</v>
      </c>
      <c r="C1523" s="3" t="s">
        <v>408</v>
      </c>
      <c r="D1523" s="3" t="s">
        <v>46</v>
      </c>
      <c r="E1523" s="3" t="s">
        <v>41</v>
      </c>
      <c r="F1523" s="3" t="s">
        <v>119</v>
      </c>
      <c r="G1523" s="3" t="s">
        <v>168</v>
      </c>
      <c r="H1523" s="3">
        <v>1</v>
      </c>
      <c r="I1523" s="7">
        <v>10224.959999999999</v>
      </c>
      <c r="J1523" s="9">
        <v>0.1</v>
      </c>
      <c r="K1523" s="7">
        <v>9202.4599999999991</v>
      </c>
      <c r="L1523" s="7">
        <v>2194.75</v>
      </c>
      <c r="M1523" s="3" t="s">
        <v>56</v>
      </c>
      <c r="N1523" s="3" t="str">
        <f t="shared" si="92"/>
        <v>2025-02</v>
      </c>
      <c r="O1523" s="3" t="str">
        <f t="shared" si="93"/>
        <v>1-10%</v>
      </c>
      <c r="P1523" s="9">
        <f t="shared" si="94"/>
        <v>0.23849601084927294</v>
      </c>
      <c r="Q1523" s="3" t="str">
        <f t="shared" si="95"/>
        <v>No</v>
      </c>
    </row>
    <row r="1524" spans="1:17" ht="21" customHeight="1">
      <c r="A1524" s="3" t="s">
        <v>2200</v>
      </c>
      <c r="B1524" s="5">
        <v>45697</v>
      </c>
      <c r="C1524" s="3" t="s">
        <v>543</v>
      </c>
      <c r="D1524" s="3" t="s">
        <v>46</v>
      </c>
      <c r="E1524" s="3" t="s">
        <v>40</v>
      </c>
      <c r="F1524" s="3" t="s">
        <v>160</v>
      </c>
      <c r="G1524" s="3" t="s">
        <v>173</v>
      </c>
      <c r="H1524" s="3">
        <v>1</v>
      </c>
      <c r="I1524" s="7">
        <v>9325.86</v>
      </c>
      <c r="J1524" s="9">
        <v>0.2</v>
      </c>
      <c r="K1524" s="7">
        <v>7460.69</v>
      </c>
      <c r="L1524" s="7">
        <v>917.87</v>
      </c>
      <c r="M1524" s="3" t="s">
        <v>57</v>
      </c>
      <c r="N1524" s="3" t="str">
        <f t="shared" si="92"/>
        <v>2025-02</v>
      </c>
      <c r="O1524" s="3" t="str">
        <f t="shared" si="93"/>
        <v>16-20%</v>
      </c>
      <c r="P1524" s="9">
        <f t="shared" si="94"/>
        <v>0.12302749477595236</v>
      </c>
      <c r="Q1524" s="3" t="str">
        <f t="shared" si="95"/>
        <v>No</v>
      </c>
    </row>
    <row r="1525" spans="1:17" ht="21" customHeight="1">
      <c r="A1525" s="3" t="s">
        <v>2201</v>
      </c>
      <c r="B1525" s="5">
        <v>45699</v>
      </c>
      <c r="C1525" s="3" t="s">
        <v>1501</v>
      </c>
      <c r="D1525" s="3" t="s">
        <v>46</v>
      </c>
      <c r="E1525" s="3" t="s">
        <v>40</v>
      </c>
      <c r="F1525" s="3" t="s">
        <v>221</v>
      </c>
      <c r="G1525" s="3" t="s">
        <v>222</v>
      </c>
      <c r="H1525" s="3">
        <v>1</v>
      </c>
      <c r="I1525" s="7">
        <v>1026.3900000000001</v>
      </c>
      <c r="J1525" s="9">
        <v>0</v>
      </c>
      <c r="K1525" s="7">
        <v>1026.3900000000001</v>
      </c>
      <c r="L1525" s="7">
        <v>357.82</v>
      </c>
      <c r="M1525" s="3" t="s">
        <v>57</v>
      </c>
      <c r="N1525" s="3" t="str">
        <f t="shared" si="92"/>
        <v>2025-02</v>
      </c>
      <c r="O1525" s="3" t="str">
        <f t="shared" si="93"/>
        <v>No discount</v>
      </c>
      <c r="P1525" s="9">
        <f t="shared" si="94"/>
        <v>0.34861992030319855</v>
      </c>
      <c r="Q1525" s="3" t="str">
        <f t="shared" si="95"/>
        <v>No</v>
      </c>
    </row>
    <row r="1526" spans="1:17" ht="21" customHeight="1">
      <c r="A1526" s="3" t="s">
        <v>2202</v>
      </c>
      <c r="B1526" s="5">
        <v>45699</v>
      </c>
      <c r="C1526" s="3" t="s">
        <v>788</v>
      </c>
      <c r="D1526" s="3" t="s">
        <v>45</v>
      </c>
      <c r="E1526" s="3" t="s">
        <v>42</v>
      </c>
      <c r="F1526" s="3" t="s">
        <v>90</v>
      </c>
      <c r="G1526" s="3" t="s">
        <v>91</v>
      </c>
      <c r="H1526" s="3">
        <v>1</v>
      </c>
      <c r="I1526" s="7">
        <v>1252.18</v>
      </c>
      <c r="J1526" s="9">
        <v>0.05</v>
      </c>
      <c r="K1526" s="7">
        <v>1189.57</v>
      </c>
      <c r="L1526" s="7">
        <v>539.09</v>
      </c>
      <c r="M1526" s="3" t="s">
        <v>56</v>
      </c>
      <c r="N1526" s="3" t="str">
        <f t="shared" si="92"/>
        <v>2025-02</v>
      </c>
      <c r="O1526" s="3" t="str">
        <f t="shared" si="93"/>
        <v>1-10%</v>
      </c>
      <c r="P1526" s="9">
        <f t="shared" si="94"/>
        <v>0.45318056104306603</v>
      </c>
      <c r="Q1526" s="3" t="str">
        <f t="shared" si="95"/>
        <v>No</v>
      </c>
    </row>
    <row r="1527" spans="1:17" ht="21" customHeight="1">
      <c r="A1527" s="3" t="s">
        <v>2203</v>
      </c>
      <c r="B1527" s="5">
        <v>45699</v>
      </c>
      <c r="C1527" s="3" t="s">
        <v>946</v>
      </c>
      <c r="D1527" s="3" t="s">
        <v>44</v>
      </c>
      <c r="E1527" s="3" t="s">
        <v>39</v>
      </c>
      <c r="F1527" s="3" t="s">
        <v>109</v>
      </c>
      <c r="G1527" s="3" t="s">
        <v>110</v>
      </c>
      <c r="H1527" s="3">
        <v>1</v>
      </c>
      <c r="I1527" s="7">
        <v>2896.71</v>
      </c>
      <c r="J1527" s="9">
        <v>0</v>
      </c>
      <c r="K1527" s="7">
        <v>2896.71</v>
      </c>
      <c r="L1527" s="7">
        <v>1284.0999999999999</v>
      </c>
      <c r="M1527" s="3" t="s">
        <v>57</v>
      </c>
      <c r="N1527" s="3" t="str">
        <f t="shared" si="92"/>
        <v>2025-02</v>
      </c>
      <c r="O1527" s="3" t="str">
        <f t="shared" si="93"/>
        <v>No discount</v>
      </c>
      <c r="P1527" s="9">
        <f t="shared" si="94"/>
        <v>0.44329601513441108</v>
      </c>
      <c r="Q1527" s="3" t="str">
        <f t="shared" si="95"/>
        <v>No</v>
      </c>
    </row>
    <row r="1528" spans="1:17" ht="21" customHeight="1">
      <c r="A1528" s="3" t="s">
        <v>2204</v>
      </c>
      <c r="B1528" s="5">
        <v>45699</v>
      </c>
      <c r="C1528" s="3" t="s">
        <v>2123</v>
      </c>
      <c r="D1528" s="3" t="s">
        <v>46</v>
      </c>
      <c r="E1528" s="3" t="s">
        <v>42</v>
      </c>
      <c r="F1528" s="3" t="s">
        <v>90</v>
      </c>
      <c r="G1528" s="3" t="s">
        <v>91</v>
      </c>
      <c r="H1528" s="3">
        <v>2</v>
      </c>
      <c r="I1528" s="7">
        <v>1232.46</v>
      </c>
      <c r="J1528" s="9">
        <v>0.05</v>
      </c>
      <c r="K1528" s="7">
        <v>2341.67</v>
      </c>
      <c r="L1528" s="7">
        <v>1145.82</v>
      </c>
      <c r="M1528" s="3" t="s">
        <v>58</v>
      </c>
      <c r="N1528" s="3" t="str">
        <f t="shared" si="92"/>
        <v>2025-02</v>
      </c>
      <c r="O1528" s="3" t="str">
        <f t="shared" si="93"/>
        <v>1-10%</v>
      </c>
      <c r="P1528" s="9">
        <f t="shared" si="94"/>
        <v>0.48931745292889256</v>
      </c>
      <c r="Q1528" s="3" t="str">
        <f t="shared" si="95"/>
        <v>No</v>
      </c>
    </row>
    <row r="1529" spans="1:17" ht="21" customHeight="1">
      <c r="A1529" s="3" t="s">
        <v>2205</v>
      </c>
      <c r="B1529" s="5">
        <v>45700</v>
      </c>
      <c r="C1529" s="3" t="s">
        <v>1555</v>
      </c>
      <c r="D1529" s="3" t="s">
        <v>46</v>
      </c>
      <c r="E1529" s="3" t="s">
        <v>41</v>
      </c>
      <c r="F1529" s="3" t="s">
        <v>113</v>
      </c>
      <c r="G1529" s="3" t="s">
        <v>123</v>
      </c>
      <c r="H1529" s="3">
        <v>1</v>
      </c>
      <c r="I1529" s="7">
        <v>3520.47</v>
      </c>
      <c r="J1529" s="9">
        <v>0</v>
      </c>
      <c r="K1529" s="7">
        <v>3520.47</v>
      </c>
      <c r="L1529" s="7">
        <v>1270.96</v>
      </c>
      <c r="M1529" s="3" t="s">
        <v>59</v>
      </c>
      <c r="N1529" s="3" t="str">
        <f t="shared" si="92"/>
        <v>2025-02</v>
      </c>
      <c r="O1529" s="3" t="str">
        <f t="shared" si="93"/>
        <v>No discount</v>
      </c>
      <c r="P1529" s="9">
        <f t="shared" si="94"/>
        <v>0.3610199774461933</v>
      </c>
      <c r="Q1529" s="3" t="str">
        <f t="shared" si="95"/>
        <v>No</v>
      </c>
    </row>
    <row r="1530" spans="1:17" ht="21" customHeight="1">
      <c r="A1530" s="3" t="s">
        <v>2206</v>
      </c>
      <c r="B1530" s="5">
        <v>45700</v>
      </c>
      <c r="C1530" s="3" t="s">
        <v>595</v>
      </c>
      <c r="D1530" s="3" t="s">
        <v>45</v>
      </c>
      <c r="E1530" s="3" t="s">
        <v>38</v>
      </c>
      <c r="F1530" s="3" t="s">
        <v>98</v>
      </c>
      <c r="G1530" s="3" t="s">
        <v>362</v>
      </c>
      <c r="H1530" s="3">
        <v>1</v>
      </c>
      <c r="I1530" s="7">
        <v>33617.870000000003</v>
      </c>
      <c r="J1530" s="9">
        <v>0.05</v>
      </c>
      <c r="K1530" s="7">
        <v>31936.98</v>
      </c>
      <c r="L1530" s="7">
        <v>3184.4</v>
      </c>
      <c r="M1530" s="3" t="s">
        <v>56</v>
      </c>
      <c r="N1530" s="3" t="str">
        <f t="shared" si="92"/>
        <v>2025-02</v>
      </c>
      <c r="O1530" s="3" t="str">
        <f t="shared" si="93"/>
        <v>1-10%</v>
      </c>
      <c r="P1530" s="9">
        <f t="shared" si="94"/>
        <v>9.9708864144324227E-2</v>
      </c>
      <c r="Q1530" s="3" t="str">
        <f t="shared" si="95"/>
        <v>No</v>
      </c>
    </row>
    <row r="1531" spans="1:17" ht="21" customHeight="1">
      <c r="A1531" s="3" t="s">
        <v>2207</v>
      </c>
      <c r="B1531" s="5">
        <v>45700</v>
      </c>
      <c r="C1531" s="3" t="s">
        <v>1274</v>
      </c>
      <c r="D1531" s="3" t="s">
        <v>44</v>
      </c>
      <c r="E1531" s="3" t="s">
        <v>39</v>
      </c>
      <c r="F1531" s="3" t="s">
        <v>130</v>
      </c>
      <c r="G1531" s="3" t="s">
        <v>193</v>
      </c>
      <c r="H1531" s="3">
        <v>1</v>
      </c>
      <c r="I1531" s="7">
        <v>1788.8</v>
      </c>
      <c r="J1531" s="9">
        <v>0.1</v>
      </c>
      <c r="K1531" s="7">
        <v>1609.92</v>
      </c>
      <c r="L1531" s="7">
        <v>453.08</v>
      </c>
      <c r="M1531" s="3" t="s">
        <v>56</v>
      </c>
      <c r="N1531" s="3" t="str">
        <f t="shared" si="92"/>
        <v>2025-02</v>
      </c>
      <c r="O1531" s="3" t="str">
        <f t="shared" si="93"/>
        <v>1-10%</v>
      </c>
      <c r="P1531" s="9">
        <f t="shared" si="94"/>
        <v>0.2814301331743192</v>
      </c>
      <c r="Q1531" s="3" t="str">
        <f t="shared" si="95"/>
        <v>No</v>
      </c>
    </row>
    <row r="1532" spans="1:17" ht="21" customHeight="1">
      <c r="A1532" s="3" t="s">
        <v>2208</v>
      </c>
      <c r="B1532" s="5">
        <v>45700</v>
      </c>
      <c r="C1532" s="3" t="s">
        <v>730</v>
      </c>
      <c r="D1532" s="3" t="s">
        <v>44</v>
      </c>
      <c r="E1532" s="3" t="s">
        <v>40</v>
      </c>
      <c r="F1532" s="3" t="s">
        <v>221</v>
      </c>
      <c r="G1532" s="3" t="s">
        <v>279</v>
      </c>
      <c r="H1532" s="3">
        <v>2</v>
      </c>
      <c r="I1532" s="7">
        <v>1548.73</v>
      </c>
      <c r="J1532" s="9">
        <v>0.3</v>
      </c>
      <c r="K1532" s="7">
        <v>2168.2199999999998</v>
      </c>
      <c r="L1532" s="7">
        <v>16.36</v>
      </c>
      <c r="M1532" s="3" t="s">
        <v>56</v>
      </c>
      <c r="N1532" s="3" t="str">
        <f t="shared" si="92"/>
        <v>2025-02</v>
      </c>
      <c r="O1532" s="3" t="str">
        <f t="shared" si="93"/>
        <v>21%+</v>
      </c>
      <c r="P1532" s="9">
        <f t="shared" si="94"/>
        <v>7.5453597882133737E-3</v>
      </c>
      <c r="Q1532" s="3" t="str">
        <f t="shared" si="95"/>
        <v>No</v>
      </c>
    </row>
    <row r="1533" spans="1:17" ht="21" customHeight="1">
      <c r="A1533" s="3" t="s">
        <v>2209</v>
      </c>
      <c r="B1533" s="5">
        <v>45702</v>
      </c>
      <c r="C1533" s="3" t="s">
        <v>771</v>
      </c>
      <c r="D1533" s="3" t="s">
        <v>45</v>
      </c>
      <c r="E1533" s="3" t="s">
        <v>38</v>
      </c>
      <c r="F1533" s="3" t="s">
        <v>94</v>
      </c>
      <c r="G1533" s="3" t="s">
        <v>95</v>
      </c>
      <c r="H1533" s="3">
        <v>2</v>
      </c>
      <c r="I1533" s="7">
        <v>81450.11</v>
      </c>
      <c r="J1533" s="9">
        <v>0.1</v>
      </c>
      <c r="K1533" s="7">
        <v>146610.20000000001</v>
      </c>
      <c r="L1533" s="7">
        <v>7872.99</v>
      </c>
      <c r="M1533" s="3" t="s">
        <v>56</v>
      </c>
      <c r="N1533" s="3" t="str">
        <f t="shared" si="92"/>
        <v>2025-02</v>
      </c>
      <c r="O1533" s="3" t="str">
        <f t="shared" si="93"/>
        <v>1-10%</v>
      </c>
      <c r="P1533" s="9">
        <f t="shared" si="94"/>
        <v>5.370015183118227E-2</v>
      </c>
      <c r="Q1533" s="3" t="str">
        <f t="shared" si="95"/>
        <v>No</v>
      </c>
    </row>
    <row r="1534" spans="1:17" ht="21" customHeight="1">
      <c r="A1534" s="3" t="s">
        <v>2210</v>
      </c>
      <c r="B1534" s="5">
        <v>45703</v>
      </c>
      <c r="C1534" s="3" t="s">
        <v>2123</v>
      </c>
      <c r="D1534" s="3" t="s">
        <v>44</v>
      </c>
      <c r="E1534" s="3" t="s">
        <v>39</v>
      </c>
      <c r="F1534" s="3" t="s">
        <v>164</v>
      </c>
      <c r="G1534" s="3" t="s">
        <v>200</v>
      </c>
      <c r="H1534" s="3">
        <v>1</v>
      </c>
      <c r="I1534" s="7">
        <v>1306.51</v>
      </c>
      <c r="J1534" s="9">
        <v>0.4</v>
      </c>
      <c r="K1534" s="7">
        <v>783.91</v>
      </c>
      <c r="L1534" s="7">
        <v>-39.78</v>
      </c>
      <c r="M1534" s="3" t="s">
        <v>57</v>
      </c>
      <c r="N1534" s="3" t="str">
        <f t="shared" si="92"/>
        <v>2025-02</v>
      </c>
      <c r="O1534" s="3" t="str">
        <f t="shared" si="93"/>
        <v>21%+</v>
      </c>
      <c r="P1534" s="9">
        <f t="shared" si="94"/>
        <v>-5.0745621308568592E-2</v>
      </c>
      <c r="Q1534" s="3" t="str">
        <f t="shared" si="95"/>
        <v>Yes</v>
      </c>
    </row>
    <row r="1535" spans="1:17" ht="21" customHeight="1">
      <c r="A1535" s="3" t="s">
        <v>2211</v>
      </c>
      <c r="B1535" s="5">
        <v>45703</v>
      </c>
      <c r="C1535" s="3" t="s">
        <v>792</v>
      </c>
      <c r="D1535" s="3" t="s">
        <v>45</v>
      </c>
      <c r="E1535" s="3" t="s">
        <v>38</v>
      </c>
      <c r="F1535" s="3" t="s">
        <v>98</v>
      </c>
      <c r="G1535" s="3" t="s">
        <v>362</v>
      </c>
      <c r="H1535" s="3">
        <v>2</v>
      </c>
      <c r="I1535" s="7">
        <v>31557.31</v>
      </c>
      <c r="J1535" s="9">
        <v>0.1</v>
      </c>
      <c r="K1535" s="7">
        <v>56803.16</v>
      </c>
      <c r="L1535" s="7">
        <v>2340.9299999999998</v>
      </c>
      <c r="M1535" s="3" t="s">
        <v>58</v>
      </c>
      <c r="N1535" s="3" t="str">
        <f t="shared" si="92"/>
        <v>2025-02</v>
      </c>
      <c r="O1535" s="3" t="str">
        <f t="shared" si="93"/>
        <v>1-10%</v>
      </c>
      <c r="P1535" s="9">
        <f t="shared" si="94"/>
        <v>4.1211263598715277E-2</v>
      </c>
      <c r="Q1535" s="3" t="str">
        <f t="shared" si="95"/>
        <v>No</v>
      </c>
    </row>
    <row r="1536" spans="1:17" ht="21" customHeight="1">
      <c r="A1536" s="3" t="s">
        <v>2212</v>
      </c>
      <c r="B1536" s="5">
        <v>45703</v>
      </c>
      <c r="C1536" s="3" t="s">
        <v>1522</v>
      </c>
      <c r="D1536" s="3" t="s">
        <v>47</v>
      </c>
      <c r="E1536" s="3" t="s">
        <v>39</v>
      </c>
      <c r="F1536" s="3" t="s">
        <v>109</v>
      </c>
      <c r="G1536" s="3" t="s">
        <v>110</v>
      </c>
      <c r="H1536" s="3">
        <v>4</v>
      </c>
      <c r="I1536" s="7">
        <v>2921.14</v>
      </c>
      <c r="J1536" s="9">
        <v>0</v>
      </c>
      <c r="K1536" s="7">
        <v>11684.56</v>
      </c>
      <c r="L1536" s="7">
        <v>5200.6899999999996</v>
      </c>
      <c r="M1536" s="3" t="s">
        <v>60</v>
      </c>
      <c r="N1536" s="3" t="str">
        <f t="shared" si="92"/>
        <v>2025-02</v>
      </c>
      <c r="O1536" s="3" t="str">
        <f t="shared" si="93"/>
        <v>No discount</v>
      </c>
      <c r="P1536" s="9">
        <f t="shared" si="94"/>
        <v>0.44509078647377393</v>
      </c>
      <c r="Q1536" s="3" t="str">
        <f t="shared" si="95"/>
        <v>No</v>
      </c>
    </row>
    <row r="1537" spans="1:17" ht="21" customHeight="1">
      <c r="A1537" s="3" t="s">
        <v>2213</v>
      </c>
      <c r="B1537" s="5">
        <v>45703</v>
      </c>
      <c r="C1537" s="3" t="s">
        <v>1619</v>
      </c>
      <c r="D1537" s="3" t="s">
        <v>44</v>
      </c>
      <c r="E1537" s="3" t="s">
        <v>41</v>
      </c>
      <c r="F1537" s="3" t="s">
        <v>119</v>
      </c>
      <c r="G1537" s="3" t="s">
        <v>120</v>
      </c>
      <c r="H1537" s="3">
        <v>1</v>
      </c>
      <c r="I1537" s="7">
        <v>1329.99</v>
      </c>
      <c r="J1537" s="9">
        <v>0</v>
      </c>
      <c r="K1537" s="7">
        <v>1329.99</v>
      </c>
      <c r="L1537" s="7">
        <v>512.46</v>
      </c>
      <c r="M1537" s="3" t="s">
        <v>60</v>
      </c>
      <c r="N1537" s="3" t="str">
        <f t="shared" si="92"/>
        <v>2025-02</v>
      </c>
      <c r="O1537" s="3" t="str">
        <f t="shared" si="93"/>
        <v>No discount</v>
      </c>
      <c r="P1537" s="9">
        <f t="shared" si="94"/>
        <v>0.385311167753141</v>
      </c>
      <c r="Q1537" s="3" t="str">
        <f t="shared" si="95"/>
        <v>No</v>
      </c>
    </row>
    <row r="1538" spans="1:17" ht="21" customHeight="1">
      <c r="A1538" s="3" t="s">
        <v>2214</v>
      </c>
      <c r="B1538" s="5">
        <v>45703</v>
      </c>
      <c r="C1538" s="3" t="s">
        <v>208</v>
      </c>
      <c r="D1538" s="3" t="s">
        <v>45</v>
      </c>
      <c r="E1538" s="3" t="s">
        <v>42</v>
      </c>
      <c r="F1538" s="3" t="s">
        <v>90</v>
      </c>
      <c r="G1538" s="3" t="s">
        <v>106</v>
      </c>
      <c r="H1538" s="3">
        <v>1</v>
      </c>
      <c r="I1538" s="7">
        <v>943.09</v>
      </c>
      <c r="J1538" s="9">
        <v>0</v>
      </c>
      <c r="K1538" s="7">
        <v>943.09</v>
      </c>
      <c r="L1538" s="7">
        <v>533.85</v>
      </c>
      <c r="M1538" s="3" t="s">
        <v>57</v>
      </c>
      <c r="N1538" s="3" t="str">
        <f t="shared" ref="N1538:N1601" si="96">TEXT(B1538,"yyyy-mm")</f>
        <v>2025-02</v>
      </c>
      <c r="O1538" s="3" t="str">
        <f t="shared" ref="O1538:O1601" si="97">IF(J1538=0,"No discount",IF(J1538&lt;=0.1,"1-10%",IF(J1538&lt;=0.15,"11-15%",IF(J1538&lt;=0.2,"16-20%","21%+"))))</f>
        <v>No discount</v>
      </c>
      <c r="P1538" s="9">
        <f t="shared" ref="P1538:P1601" si="98">IF(K1538=0,0,L1538/K1538)</f>
        <v>0.56606474461610234</v>
      </c>
      <c r="Q1538" s="3" t="str">
        <f t="shared" ref="Q1538:Q1601" si="99">IF(L1538&lt;0,"Yes","No")</f>
        <v>No</v>
      </c>
    </row>
    <row r="1539" spans="1:17" ht="21" customHeight="1">
      <c r="A1539" s="3" t="s">
        <v>2215</v>
      </c>
      <c r="B1539" s="5">
        <v>45704</v>
      </c>
      <c r="C1539" s="3" t="s">
        <v>985</v>
      </c>
      <c r="D1539" s="3" t="s">
        <v>44</v>
      </c>
      <c r="E1539" s="3" t="s">
        <v>42</v>
      </c>
      <c r="F1539" s="3" t="s">
        <v>90</v>
      </c>
      <c r="G1539" s="3" t="s">
        <v>106</v>
      </c>
      <c r="H1539" s="3">
        <v>4</v>
      </c>
      <c r="I1539" s="7">
        <v>860.41</v>
      </c>
      <c r="J1539" s="9">
        <v>0.15</v>
      </c>
      <c r="K1539" s="7">
        <v>2925.39</v>
      </c>
      <c r="L1539" s="7">
        <v>1047.6600000000001</v>
      </c>
      <c r="M1539" s="3" t="s">
        <v>56</v>
      </c>
      <c r="N1539" s="3" t="str">
        <f t="shared" si="96"/>
        <v>2025-02</v>
      </c>
      <c r="O1539" s="3" t="str">
        <f t="shared" si="97"/>
        <v>11-15%</v>
      </c>
      <c r="P1539" s="9">
        <f t="shared" si="98"/>
        <v>0.35812660875985769</v>
      </c>
      <c r="Q1539" s="3" t="str">
        <f t="shared" si="99"/>
        <v>No</v>
      </c>
    </row>
    <row r="1540" spans="1:17" ht="21" customHeight="1">
      <c r="A1540" s="3" t="s">
        <v>2216</v>
      </c>
      <c r="B1540" s="5">
        <v>45704</v>
      </c>
      <c r="C1540" s="3" t="s">
        <v>438</v>
      </c>
      <c r="D1540" s="3" t="s">
        <v>44</v>
      </c>
      <c r="E1540" s="3" t="s">
        <v>38</v>
      </c>
      <c r="F1540" s="3" t="s">
        <v>94</v>
      </c>
      <c r="G1540" s="3" t="s">
        <v>95</v>
      </c>
      <c r="H1540" s="3">
        <v>1</v>
      </c>
      <c r="I1540" s="7">
        <v>76769.679999999993</v>
      </c>
      <c r="J1540" s="9">
        <v>0</v>
      </c>
      <c r="K1540" s="7">
        <v>76769.679999999993</v>
      </c>
      <c r="L1540" s="7">
        <v>11122.14</v>
      </c>
      <c r="M1540" s="3" t="s">
        <v>57</v>
      </c>
      <c r="N1540" s="3" t="str">
        <f t="shared" si="96"/>
        <v>2025-02</v>
      </c>
      <c r="O1540" s="3" t="str">
        <f t="shared" si="97"/>
        <v>No discount</v>
      </c>
      <c r="P1540" s="9">
        <f t="shared" si="98"/>
        <v>0.14487672737466145</v>
      </c>
      <c r="Q1540" s="3" t="str">
        <f t="shared" si="99"/>
        <v>No</v>
      </c>
    </row>
    <row r="1541" spans="1:17" ht="21" customHeight="1">
      <c r="A1541" s="3" t="s">
        <v>2217</v>
      </c>
      <c r="B1541" s="5">
        <v>45705</v>
      </c>
      <c r="C1541" s="3" t="s">
        <v>2218</v>
      </c>
      <c r="D1541" s="3" t="s">
        <v>45</v>
      </c>
      <c r="E1541" s="3" t="s">
        <v>42</v>
      </c>
      <c r="F1541" s="3" t="s">
        <v>126</v>
      </c>
      <c r="G1541" s="3" t="s">
        <v>151</v>
      </c>
      <c r="H1541" s="3">
        <v>3</v>
      </c>
      <c r="I1541" s="7">
        <v>1475.43</v>
      </c>
      <c r="J1541" s="9">
        <v>0.4</v>
      </c>
      <c r="K1541" s="7">
        <v>2655.77</v>
      </c>
      <c r="L1541" s="7">
        <v>324.3</v>
      </c>
      <c r="M1541" s="3" t="s">
        <v>56</v>
      </c>
      <c r="N1541" s="3" t="str">
        <f t="shared" si="96"/>
        <v>2025-02</v>
      </c>
      <c r="O1541" s="3" t="str">
        <f t="shared" si="97"/>
        <v>21%+</v>
      </c>
      <c r="P1541" s="9">
        <f t="shared" si="98"/>
        <v>0.12211147802708819</v>
      </c>
      <c r="Q1541" s="3" t="str">
        <f t="shared" si="99"/>
        <v>No</v>
      </c>
    </row>
    <row r="1542" spans="1:17" ht="21" customHeight="1">
      <c r="A1542" s="3" t="s">
        <v>2219</v>
      </c>
      <c r="B1542" s="5">
        <v>45705</v>
      </c>
      <c r="C1542" s="3" t="s">
        <v>1193</v>
      </c>
      <c r="D1542" s="3" t="s">
        <v>45</v>
      </c>
      <c r="E1542" s="3" t="s">
        <v>39</v>
      </c>
      <c r="F1542" s="3" t="s">
        <v>164</v>
      </c>
      <c r="G1542" s="3" t="s">
        <v>165</v>
      </c>
      <c r="H1542" s="3">
        <v>1</v>
      </c>
      <c r="I1542" s="7">
        <v>2087.9699999999998</v>
      </c>
      <c r="J1542" s="9">
        <v>0.05</v>
      </c>
      <c r="K1542" s="7">
        <v>1983.57</v>
      </c>
      <c r="L1542" s="7">
        <v>658.32</v>
      </c>
      <c r="M1542" s="3" t="s">
        <v>56</v>
      </c>
      <c r="N1542" s="3" t="str">
        <f t="shared" si="96"/>
        <v>2025-02</v>
      </c>
      <c r="O1542" s="3" t="str">
        <f t="shared" si="97"/>
        <v>1-10%</v>
      </c>
      <c r="P1542" s="9">
        <f t="shared" si="98"/>
        <v>0.33188644716344778</v>
      </c>
      <c r="Q1542" s="3" t="str">
        <f t="shared" si="99"/>
        <v>No</v>
      </c>
    </row>
    <row r="1543" spans="1:17" ht="21" customHeight="1">
      <c r="A1543" s="3" t="s">
        <v>2220</v>
      </c>
      <c r="B1543" s="5">
        <v>45705</v>
      </c>
      <c r="C1543" s="3" t="s">
        <v>1010</v>
      </c>
      <c r="D1543" s="3" t="s">
        <v>45</v>
      </c>
      <c r="E1543" s="3" t="s">
        <v>41</v>
      </c>
      <c r="F1543" s="3" t="s">
        <v>113</v>
      </c>
      <c r="G1543" s="3" t="s">
        <v>114</v>
      </c>
      <c r="H1543" s="3">
        <v>1</v>
      </c>
      <c r="I1543" s="7">
        <v>11823.73</v>
      </c>
      <c r="J1543" s="9">
        <v>0.05</v>
      </c>
      <c r="K1543" s="7">
        <v>11232.54</v>
      </c>
      <c r="L1543" s="7">
        <v>3842.84</v>
      </c>
      <c r="M1543" s="3" t="s">
        <v>57</v>
      </c>
      <c r="N1543" s="3" t="str">
        <f t="shared" si="96"/>
        <v>2025-02</v>
      </c>
      <c r="O1543" s="3" t="str">
        <f t="shared" si="97"/>
        <v>1-10%</v>
      </c>
      <c r="P1543" s="9">
        <f t="shared" si="98"/>
        <v>0.3421167429628561</v>
      </c>
      <c r="Q1543" s="3" t="str">
        <f t="shared" si="99"/>
        <v>No</v>
      </c>
    </row>
    <row r="1544" spans="1:17" ht="21" customHeight="1">
      <c r="A1544" s="3" t="s">
        <v>2221</v>
      </c>
      <c r="B1544" s="5">
        <v>45705</v>
      </c>
      <c r="C1544" s="3" t="s">
        <v>1278</v>
      </c>
      <c r="D1544" s="3" t="s">
        <v>46</v>
      </c>
      <c r="E1544" s="3" t="s">
        <v>39</v>
      </c>
      <c r="F1544" s="3" t="s">
        <v>109</v>
      </c>
      <c r="G1544" s="3" t="s">
        <v>110</v>
      </c>
      <c r="H1544" s="3">
        <v>1</v>
      </c>
      <c r="I1544" s="7">
        <v>2997.84</v>
      </c>
      <c r="J1544" s="9">
        <v>0.2</v>
      </c>
      <c r="K1544" s="7">
        <v>2398.27</v>
      </c>
      <c r="L1544" s="7">
        <v>385.83</v>
      </c>
      <c r="M1544" s="3" t="s">
        <v>56</v>
      </c>
      <c r="N1544" s="3" t="str">
        <f t="shared" si="96"/>
        <v>2025-02</v>
      </c>
      <c r="O1544" s="3" t="str">
        <f t="shared" si="97"/>
        <v>16-20%</v>
      </c>
      <c r="P1544" s="9">
        <f t="shared" si="98"/>
        <v>0.16087846656131294</v>
      </c>
      <c r="Q1544" s="3" t="str">
        <f t="shared" si="99"/>
        <v>No</v>
      </c>
    </row>
    <row r="1545" spans="1:17" ht="21" customHeight="1">
      <c r="A1545" s="3" t="s">
        <v>2222</v>
      </c>
      <c r="B1545" s="5">
        <v>45705</v>
      </c>
      <c r="C1545" s="3" t="s">
        <v>278</v>
      </c>
      <c r="D1545" s="3" t="s">
        <v>46</v>
      </c>
      <c r="E1545" s="3" t="s">
        <v>40</v>
      </c>
      <c r="F1545" s="3" t="s">
        <v>102</v>
      </c>
      <c r="G1545" s="3" t="s">
        <v>103</v>
      </c>
      <c r="H1545" s="3">
        <v>1</v>
      </c>
      <c r="I1545" s="7">
        <v>6324.86</v>
      </c>
      <c r="J1545" s="9">
        <v>0.05</v>
      </c>
      <c r="K1545" s="7">
        <v>6008.62</v>
      </c>
      <c r="L1545" s="7">
        <v>1591.57</v>
      </c>
      <c r="M1545" s="3" t="s">
        <v>56</v>
      </c>
      <c r="N1545" s="3" t="str">
        <f t="shared" si="96"/>
        <v>2025-02</v>
      </c>
      <c r="O1545" s="3" t="str">
        <f t="shared" si="97"/>
        <v>1-10%</v>
      </c>
      <c r="P1545" s="9">
        <f t="shared" si="98"/>
        <v>0.26488112078979864</v>
      </c>
      <c r="Q1545" s="3" t="str">
        <f t="shared" si="99"/>
        <v>No</v>
      </c>
    </row>
    <row r="1546" spans="1:17" ht="21" customHeight="1">
      <c r="A1546" s="3" t="s">
        <v>2223</v>
      </c>
      <c r="B1546" s="5">
        <v>45706</v>
      </c>
      <c r="C1546" s="3" t="s">
        <v>1381</v>
      </c>
      <c r="D1546" s="3" t="s">
        <v>44</v>
      </c>
      <c r="E1546" s="3" t="s">
        <v>39</v>
      </c>
      <c r="F1546" s="3" t="s">
        <v>109</v>
      </c>
      <c r="G1546" s="3" t="s">
        <v>110</v>
      </c>
      <c r="H1546" s="3">
        <v>2</v>
      </c>
      <c r="I1546" s="7">
        <v>2962.31</v>
      </c>
      <c r="J1546" s="9">
        <v>0.1</v>
      </c>
      <c r="K1546" s="7">
        <v>5332.16</v>
      </c>
      <c r="L1546" s="7">
        <v>1749.19</v>
      </c>
      <c r="M1546" s="3" t="s">
        <v>56</v>
      </c>
      <c r="N1546" s="3" t="str">
        <f t="shared" si="96"/>
        <v>2025-02</v>
      </c>
      <c r="O1546" s="3" t="str">
        <f t="shared" si="97"/>
        <v>1-10%</v>
      </c>
      <c r="P1546" s="9">
        <f t="shared" si="98"/>
        <v>0.32804529496489232</v>
      </c>
      <c r="Q1546" s="3" t="str">
        <f t="shared" si="99"/>
        <v>No</v>
      </c>
    </row>
    <row r="1547" spans="1:17" ht="21" customHeight="1">
      <c r="A1547" s="3" t="s">
        <v>2224</v>
      </c>
      <c r="B1547" s="5">
        <v>45706</v>
      </c>
      <c r="C1547" s="3" t="s">
        <v>389</v>
      </c>
      <c r="D1547" s="3" t="s">
        <v>45</v>
      </c>
      <c r="E1547" s="3" t="s">
        <v>40</v>
      </c>
      <c r="F1547" s="3" t="s">
        <v>102</v>
      </c>
      <c r="G1547" s="3" t="s">
        <v>146</v>
      </c>
      <c r="H1547" s="3">
        <v>1</v>
      </c>
      <c r="I1547" s="7">
        <v>7834.38</v>
      </c>
      <c r="J1547" s="9">
        <v>0.1</v>
      </c>
      <c r="K1547" s="7">
        <v>7050.94</v>
      </c>
      <c r="L1547" s="7">
        <v>1313.35</v>
      </c>
      <c r="M1547" s="3" t="s">
        <v>57</v>
      </c>
      <c r="N1547" s="3" t="str">
        <f t="shared" si="96"/>
        <v>2025-02</v>
      </c>
      <c r="O1547" s="3" t="str">
        <f t="shared" si="97"/>
        <v>1-10%</v>
      </c>
      <c r="P1547" s="9">
        <f t="shared" si="98"/>
        <v>0.18626594468255298</v>
      </c>
      <c r="Q1547" s="3" t="str">
        <f t="shared" si="99"/>
        <v>No</v>
      </c>
    </row>
    <row r="1548" spans="1:17" ht="21" customHeight="1">
      <c r="A1548" s="3" t="s">
        <v>2225</v>
      </c>
      <c r="B1548" s="5">
        <v>45706</v>
      </c>
      <c r="C1548" s="3" t="s">
        <v>2226</v>
      </c>
      <c r="D1548" s="3" t="s">
        <v>45</v>
      </c>
      <c r="E1548" s="3" t="s">
        <v>41</v>
      </c>
      <c r="F1548" s="3" t="s">
        <v>113</v>
      </c>
      <c r="G1548" s="3" t="s">
        <v>123</v>
      </c>
      <c r="H1548" s="3">
        <v>2</v>
      </c>
      <c r="I1548" s="7">
        <v>3661.48</v>
      </c>
      <c r="J1548" s="9">
        <v>0.05</v>
      </c>
      <c r="K1548" s="7">
        <v>6956.81</v>
      </c>
      <c r="L1548" s="7">
        <v>2330.75</v>
      </c>
      <c r="M1548" s="3" t="s">
        <v>57</v>
      </c>
      <c r="N1548" s="3" t="str">
        <f t="shared" si="96"/>
        <v>2025-02</v>
      </c>
      <c r="O1548" s="3" t="str">
        <f t="shared" si="97"/>
        <v>1-10%</v>
      </c>
      <c r="P1548" s="9">
        <f t="shared" si="98"/>
        <v>0.33503142963513449</v>
      </c>
      <c r="Q1548" s="3" t="str">
        <f t="shared" si="99"/>
        <v>No</v>
      </c>
    </row>
    <row r="1549" spans="1:17" ht="21" customHeight="1">
      <c r="A1549" s="3" t="s">
        <v>2227</v>
      </c>
      <c r="B1549" s="5">
        <v>45707</v>
      </c>
      <c r="C1549" s="3" t="s">
        <v>1859</v>
      </c>
      <c r="D1549" s="3" t="s">
        <v>45</v>
      </c>
      <c r="E1549" s="3" t="s">
        <v>42</v>
      </c>
      <c r="F1549" s="3" t="s">
        <v>90</v>
      </c>
      <c r="G1549" s="3" t="s">
        <v>106</v>
      </c>
      <c r="H1549" s="3">
        <v>1</v>
      </c>
      <c r="I1549" s="7">
        <v>927.34</v>
      </c>
      <c r="J1549" s="9">
        <v>0.1</v>
      </c>
      <c r="K1549" s="7">
        <v>834.61</v>
      </c>
      <c r="L1549" s="7">
        <v>347.52</v>
      </c>
      <c r="M1549" s="3" t="s">
        <v>56</v>
      </c>
      <c r="N1549" s="3" t="str">
        <f t="shared" si="96"/>
        <v>2025-02</v>
      </c>
      <c r="O1549" s="3" t="str">
        <f t="shared" si="97"/>
        <v>1-10%</v>
      </c>
      <c r="P1549" s="9">
        <f t="shared" si="98"/>
        <v>0.41638609650016173</v>
      </c>
      <c r="Q1549" s="3" t="str">
        <f t="shared" si="99"/>
        <v>No</v>
      </c>
    </row>
    <row r="1550" spans="1:17" ht="21" customHeight="1">
      <c r="A1550" s="3" t="s">
        <v>2228</v>
      </c>
      <c r="B1550" s="5">
        <v>45707</v>
      </c>
      <c r="C1550" s="3" t="s">
        <v>148</v>
      </c>
      <c r="D1550" s="3" t="s">
        <v>46</v>
      </c>
      <c r="E1550" s="3" t="s">
        <v>38</v>
      </c>
      <c r="F1550" s="3" t="s">
        <v>98</v>
      </c>
      <c r="G1550" s="3" t="s">
        <v>362</v>
      </c>
      <c r="H1550" s="3">
        <v>2</v>
      </c>
      <c r="I1550" s="7">
        <v>32864.639999999999</v>
      </c>
      <c r="J1550" s="9">
        <v>0</v>
      </c>
      <c r="K1550" s="7">
        <v>65729.279999999999</v>
      </c>
      <c r="L1550" s="7">
        <v>12201.36</v>
      </c>
      <c r="M1550" s="3" t="s">
        <v>60</v>
      </c>
      <c r="N1550" s="3" t="str">
        <f t="shared" si="96"/>
        <v>2025-02</v>
      </c>
      <c r="O1550" s="3" t="str">
        <f t="shared" si="97"/>
        <v>No discount</v>
      </c>
      <c r="P1550" s="9">
        <f t="shared" si="98"/>
        <v>0.18563051352456622</v>
      </c>
      <c r="Q1550" s="3" t="str">
        <f t="shared" si="99"/>
        <v>No</v>
      </c>
    </row>
    <row r="1551" spans="1:17" ht="21" customHeight="1">
      <c r="A1551" s="3" t="s">
        <v>2229</v>
      </c>
      <c r="B1551" s="5">
        <v>45707</v>
      </c>
      <c r="C1551" s="3" t="s">
        <v>1707</v>
      </c>
      <c r="D1551" s="3" t="s">
        <v>46</v>
      </c>
      <c r="E1551" s="3" t="s">
        <v>38</v>
      </c>
      <c r="F1551" s="3" t="s">
        <v>98</v>
      </c>
      <c r="G1551" s="3" t="s">
        <v>182</v>
      </c>
      <c r="H1551" s="3">
        <v>1</v>
      </c>
      <c r="I1551" s="7">
        <v>68314.97</v>
      </c>
      <c r="J1551" s="9">
        <v>0.1</v>
      </c>
      <c r="K1551" s="7">
        <v>61483.47</v>
      </c>
      <c r="L1551" s="7">
        <v>5084.1400000000003</v>
      </c>
      <c r="M1551" s="3" t="s">
        <v>60</v>
      </c>
      <c r="N1551" s="3" t="str">
        <f t="shared" si="96"/>
        <v>2025-02</v>
      </c>
      <c r="O1551" s="3" t="str">
        <f t="shared" si="97"/>
        <v>1-10%</v>
      </c>
      <c r="P1551" s="9">
        <f t="shared" si="98"/>
        <v>8.2691168862134817E-2</v>
      </c>
      <c r="Q1551" s="3" t="str">
        <f t="shared" si="99"/>
        <v>No</v>
      </c>
    </row>
    <row r="1552" spans="1:17" ht="21" customHeight="1">
      <c r="A1552" s="3" t="s">
        <v>2230</v>
      </c>
      <c r="B1552" s="5">
        <v>45707</v>
      </c>
      <c r="C1552" s="3" t="s">
        <v>771</v>
      </c>
      <c r="D1552" s="3" t="s">
        <v>45</v>
      </c>
      <c r="E1552" s="3" t="s">
        <v>39</v>
      </c>
      <c r="F1552" s="3" t="s">
        <v>130</v>
      </c>
      <c r="G1552" s="3" t="s">
        <v>131</v>
      </c>
      <c r="H1552" s="3">
        <v>5</v>
      </c>
      <c r="I1552" s="7">
        <v>2170.5</v>
      </c>
      <c r="J1552" s="9">
        <v>0.05</v>
      </c>
      <c r="K1552" s="7">
        <v>10309.879999999999</v>
      </c>
      <c r="L1552" s="7">
        <v>3578.98</v>
      </c>
      <c r="M1552" s="3" t="s">
        <v>60</v>
      </c>
      <c r="N1552" s="3" t="str">
        <f t="shared" si="96"/>
        <v>2025-02</v>
      </c>
      <c r="O1552" s="3" t="str">
        <f t="shared" si="97"/>
        <v>1-10%</v>
      </c>
      <c r="P1552" s="9">
        <f t="shared" si="98"/>
        <v>0.3471408008628617</v>
      </c>
      <c r="Q1552" s="3" t="str">
        <f t="shared" si="99"/>
        <v>No</v>
      </c>
    </row>
    <row r="1553" spans="1:17" ht="21" customHeight="1">
      <c r="A1553" s="3" t="s">
        <v>2231</v>
      </c>
      <c r="B1553" s="5">
        <v>45708</v>
      </c>
      <c r="C1553" s="3" t="s">
        <v>2077</v>
      </c>
      <c r="D1553" s="3" t="s">
        <v>45</v>
      </c>
      <c r="E1553" s="3" t="s">
        <v>40</v>
      </c>
      <c r="F1553" s="3" t="s">
        <v>102</v>
      </c>
      <c r="G1553" s="3" t="s">
        <v>103</v>
      </c>
      <c r="H1553" s="3">
        <v>1</v>
      </c>
      <c r="I1553" s="7">
        <v>6782.04</v>
      </c>
      <c r="J1553" s="9">
        <v>0</v>
      </c>
      <c r="K1553" s="7">
        <v>6782.04</v>
      </c>
      <c r="L1553" s="7">
        <v>2276.62</v>
      </c>
      <c r="M1553" s="3" t="s">
        <v>58</v>
      </c>
      <c r="N1553" s="3" t="str">
        <f t="shared" si="96"/>
        <v>2025-02</v>
      </c>
      <c r="O1553" s="3" t="str">
        <f t="shared" si="97"/>
        <v>No discount</v>
      </c>
      <c r="P1553" s="9">
        <f t="shared" si="98"/>
        <v>0.3356836586041958</v>
      </c>
      <c r="Q1553" s="3" t="str">
        <f t="shared" si="99"/>
        <v>No</v>
      </c>
    </row>
    <row r="1554" spans="1:17" ht="21" customHeight="1">
      <c r="A1554" s="3" t="s">
        <v>2232</v>
      </c>
      <c r="B1554" s="5">
        <v>45708</v>
      </c>
      <c r="C1554" s="3" t="s">
        <v>680</v>
      </c>
      <c r="D1554" s="3" t="s">
        <v>47</v>
      </c>
      <c r="E1554" s="3" t="s">
        <v>40</v>
      </c>
      <c r="F1554" s="3" t="s">
        <v>221</v>
      </c>
      <c r="G1554" s="3" t="s">
        <v>222</v>
      </c>
      <c r="H1554" s="3">
        <v>3</v>
      </c>
      <c r="I1554" s="7">
        <v>976.65</v>
      </c>
      <c r="J1554" s="9">
        <v>0.15</v>
      </c>
      <c r="K1554" s="7">
        <v>2490.46</v>
      </c>
      <c r="L1554" s="7">
        <v>294.64999999999998</v>
      </c>
      <c r="M1554" s="3" t="s">
        <v>56</v>
      </c>
      <c r="N1554" s="3" t="str">
        <f t="shared" si="96"/>
        <v>2025-02</v>
      </c>
      <c r="O1554" s="3" t="str">
        <f t="shared" si="97"/>
        <v>11-15%</v>
      </c>
      <c r="P1554" s="9">
        <f t="shared" si="98"/>
        <v>0.11831147659468531</v>
      </c>
      <c r="Q1554" s="3" t="str">
        <f t="shared" si="99"/>
        <v>No</v>
      </c>
    </row>
    <row r="1555" spans="1:17" ht="21" customHeight="1">
      <c r="A1555" s="3" t="s">
        <v>2233</v>
      </c>
      <c r="B1555" s="5">
        <v>45708</v>
      </c>
      <c r="C1555" s="3" t="s">
        <v>2034</v>
      </c>
      <c r="D1555" s="3" t="s">
        <v>46</v>
      </c>
      <c r="E1555" s="3" t="s">
        <v>39</v>
      </c>
      <c r="F1555" s="3" t="s">
        <v>164</v>
      </c>
      <c r="G1555" s="3" t="s">
        <v>200</v>
      </c>
      <c r="H1555" s="3">
        <v>2</v>
      </c>
      <c r="I1555" s="7">
        <v>1247.24</v>
      </c>
      <c r="J1555" s="9">
        <v>0.1</v>
      </c>
      <c r="K1555" s="7">
        <v>2245.0300000000002</v>
      </c>
      <c r="L1555" s="7">
        <v>731.97</v>
      </c>
      <c r="M1555" s="3" t="s">
        <v>56</v>
      </c>
      <c r="N1555" s="3" t="str">
        <f t="shared" si="96"/>
        <v>2025-02</v>
      </c>
      <c r="O1555" s="3" t="str">
        <f t="shared" si="97"/>
        <v>1-10%</v>
      </c>
      <c r="P1555" s="9">
        <f t="shared" si="98"/>
        <v>0.32604018654539135</v>
      </c>
      <c r="Q1555" s="3" t="str">
        <f t="shared" si="99"/>
        <v>No</v>
      </c>
    </row>
    <row r="1556" spans="1:17" ht="21" customHeight="1">
      <c r="A1556" s="3" t="s">
        <v>2234</v>
      </c>
      <c r="B1556" s="5">
        <v>45708</v>
      </c>
      <c r="C1556" s="3" t="s">
        <v>1013</v>
      </c>
      <c r="D1556" s="3" t="s">
        <v>45</v>
      </c>
      <c r="E1556" s="3" t="s">
        <v>39</v>
      </c>
      <c r="F1556" s="3" t="s">
        <v>130</v>
      </c>
      <c r="G1556" s="3" t="s">
        <v>131</v>
      </c>
      <c r="H1556" s="3">
        <v>1</v>
      </c>
      <c r="I1556" s="7">
        <v>2143.4699999999998</v>
      </c>
      <c r="J1556" s="9">
        <v>0.3</v>
      </c>
      <c r="K1556" s="7">
        <v>1500.43</v>
      </c>
      <c r="L1556" s="7">
        <v>84.94</v>
      </c>
      <c r="M1556" s="3" t="s">
        <v>57</v>
      </c>
      <c r="N1556" s="3" t="str">
        <f t="shared" si="96"/>
        <v>2025-02</v>
      </c>
      <c r="O1556" s="3" t="str">
        <f t="shared" si="97"/>
        <v>21%+</v>
      </c>
      <c r="P1556" s="9">
        <f t="shared" si="98"/>
        <v>5.6610438341008908E-2</v>
      </c>
      <c r="Q1556" s="3" t="str">
        <f t="shared" si="99"/>
        <v>No</v>
      </c>
    </row>
    <row r="1557" spans="1:17" ht="21" customHeight="1">
      <c r="A1557" s="3" t="s">
        <v>2235</v>
      </c>
      <c r="B1557" s="5">
        <v>45708</v>
      </c>
      <c r="C1557" s="3" t="s">
        <v>616</v>
      </c>
      <c r="D1557" s="3" t="s">
        <v>47</v>
      </c>
      <c r="E1557" s="3" t="s">
        <v>39</v>
      </c>
      <c r="F1557" s="3" t="s">
        <v>164</v>
      </c>
      <c r="G1557" s="3" t="s">
        <v>200</v>
      </c>
      <c r="H1557" s="3">
        <v>1</v>
      </c>
      <c r="I1557" s="7">
        <v>1247.33</v>
      </c>
      <c r="J1557" s="9">
        <v>0.1</v>
      </c>
      <c r="K1557" s="7">
        <v>1122.5999999999999</v>
      </c>
      <c r="L1557" s="7">
        <v>310.27</v>
      </c>
      <c r="M1557" s="3" t="s">
        <v>56</v>
      </c>
      <c r="N1557" s="3" t="str">
        <f t="shared" si="96"/>
        <v>2025-02</v>
      </c>
      <c r="O1557" s="3" t="str">
        <f t="shared" si="97"/>
        <v>1-10%</v>
      </c>
      <c r="P1557" s="9">
        <f t="shared" si="98"/>
        <v>0.27638517726705863</v>
      </c>
      <c r="Q1557" s="3" t="str">
        <f t="shared" si="99"/>
        <v>No</v>
      </c>
    </row>
    <row r="1558" spans="1:17" ht="21" customHeight="1">
      <c r="A1558" s="3" t="s">
        <v>2236</v>
      </c>
      <c r="B1558" s="5">
        <v>45708</v>
      </c>
      <c r="C1558" s="3" t="s">
        <v>150</v>
      </c>
      <c r="D1558" s="3" t="s">
        <v>45</v>
      </c>
      <c r="E1558" s="3" t="s">
        <v>41</v>
      </c>
      <c r="F1558" s="3" t="s">
        <v>119</v>
      </c>
      <c r="G1558" s="3" t="s">
        <v>120</v>
      </c>
      <c r="H1558" s="3">
        <v>1</v>
      </c>
      <c r="I1558" s="7">
        <v>1242.94</v>
      </c>
      <c r="J1558" s="9">
        <v>0.4</v>
      </c>
      <c r="K1558" s="7">
        <v>745.76</v>
      </c>
      <c r="L1558" s="7">
        <v>-39.72</v>
      </c>
      <c r="M1558" s="3" t="s">
        <v>56</v>
      </c>
      <c r="N1558" s="3" t="str">
        <f t="shared" si="96"/>
        <v>2025-02</v>
      </c>
      <c r="O1558" s="3" t="str">
        <f t="shared" si="97"/>
        <v>21%+</v>
      </c>
      <c r="P1558" s="9">
        <f t="shared" si="98"/>
        <v>-5.326110276764643E-2</v>
      </c>
      <c r="Q1558" s="3" t="str">
        <f t="shared" si="99"/>
        <v>Yes</v>
      </c>
    </row>
    <row r="1559" spans="1:17" ht="21" customHeight="1">
      <c r="A1559" s="3" t="s">
        <v>2237</v>
      </c>
      <c r="B1559" s="5">
        <v>45709</v>
      </c>
      <c r="C1559" s="3" t="s">
        <v>440</v>
      </c>
      <c r="D1559" s="3" t="s">
        <v>46</v>
      </c>
      <c r="E1559" s="3" t="s">
        <v>41</v>
      </c>
      <c r="F1559" s="3" t="s">
        <v>119</v>
      </c>
      <c r="G1559" s="3" t="s">
        <v>168</v>
      </c>
      <c r="H1559" s="3">
        <v>1</v>
      </c>
      <c r="I1559" s="7">
        <v>10266.290000000001</v>
      </c>
      <c r="J1559" s="9">
        <v>0.4</v>
      </c>
      <c r="K1559" s="7">
        <v>6159.77</v>
      </c>
      <c r="L1559" s="7">
        <v>-666.42</v>
      </c>
      <c r="M1559" s="3" t="s">
        <v>59</v>
      </c>
      <c r="N1559" s="3" t="str">
        <f t="shared" si="96"/>
        <v>2025-02</v>
      </c>
      <c r="O1559" s="3" t="str">
        <f t="shared" si="97"/>
        <v>21%+</v>
      </c>
      <c r="P1559" s="9">
        <f t="shared" si="98"/>
        <v>-0.10818910446331599</v>
      </c>
      <c r="Q1559" s="3" t="str">
        <f t="shared" si="99"/>
        <v>Yes</v>
      </c>
    </row>
    <row r="1560" spans="1:17" ht="21" customHeight="1">
      <c r="A1560" s="3" t="s">
        <v>2238</v>
      </c>
      <c r="B1560" s="5">
        <v>45709</v>
      </c>
      <c r="C1560" s="3" t="s">
        <v>139</v>
      </c>
      <c r="D1560" s="3" t="s">
        <v>45</v>
      </c>
      <c r="E1560" s="3" t="s">
        <v>40</v>
      </c>
      <c r="F1560" s="3" t="s">
        <v>160</v>
      </c>
      <c r="G1560" s="3" t="s">
        <v>173</v>
      </c>
      <c r="H1560" s="3">
        <v>1</v>
      </c>
      <c r="I1560" s="7">
        <v>9056.2999999999993</v>
      </c>
      <c r="J1560" s="9">
        <v>0.3</v>
      </c>
      <c r="K1560" s="7">
        <v>6339.41</v>
      </c>
      <c r="L1560" s="7">
        <v>-283.33999999999997</v>
      </c>
      <c r="M1560" s="3" t="s">
        <v>56</v>
      </c>
      <c r="N1560" s="3" t="str">
        <f t="shared" si="96"/>
        <v>2025-02</v>
      </c>
      <c r="O1560" s="3" t="str">
        <f t="shared" si="97"/>
        <v>21%+</v>
      </c>
      <c r="P1560" s="9">
        <f t="shared" si="98"/>
        <v>-4.4695011049924203E-2</v>
      </c>
      <c r="Q1560" s="3" t="str">
        <f t="shared" si="99"/>
        <v>Yes</v>
      </c>
    </row>
    <row r="1561" spans="1:17" ht="21" customHeight="1">
      <c r="A1561" s="3" t="s">
        <v>2239</v>
      </c>
      <c r="B1561" s="5">
        <v>45709</v>
      </c>
      <c r="C1561" s="3" t="s">
        <v>768</v>
      </c>
      <c r="D1561" s="3" t="s">
        <v>46</v>
      </c>
      <c r="E1561" s="3" t="s">
        <v>40</v>
      </c>
      <c r="F1561" s="3" t="s">
        <v>221</v>
      </c>
      <c r="G1561" s="3" t="s">
        <v>222</v>
      </c>
      <c r="H1561" s="3">
        <v>2</v>
      </c>
      <c r="I1561" s="7">
        <v>982.82</v>
      </c>
      <c r="J1561" s="9">
        <v>0.1</v>
      </c>
      <c r="K1561" s="7">
        <v>1769.08</v>
      </c>
      <c r="L1561" s="7">
        <v>389.01</v>
      </c>
      <c r="M1561" s="3" t="s">
        <v>57</v>
      </c>
      <c r="N1561" s="3" t="str">
        <f t="shared" si="96"/>
        <v>2025-02</v>
      </c>
      <c r="O1561" s="3" t="str">
        <f t="shared" si="97"/>
        <v>1-10%</v>
      </c>
      <c r="P1561" s="9">
        <f t="shared" si="98"/>
        <v>0.21989395618061366</v>
      </c>
      <c r="Q1561" s="3" t="str">
        <f t="shared" si="99"/>
        <v>No</v>
      </c>
    </row>
    <row r="1562" spans="1:17" ht="21" customHeight="1">
      <c r="A1562" s="3" t="s">
        <v>2240</v>
      </c>
      <c r="B1562" s="5">
        <v>45709</v>
      </c>
      <c r="C1562" s="3" t="s">
        <v>1179</v>
      </c>
      <c r="D1562" s="3" t="s">
        <v>45</v>
      </c>
      <c r="E1562" s="3" t="s">
        <v>42</v>
      </c>
      <c r="F1562" s="3" t="s">
        <v>90</v>
      </c>
      <c r="G1562" s="3" t="s">
        <v>106</v>
      </c>
      <c r="H1562" s="3">
        <v>1</v>
      </c>
      <c r="I1562" s="7">
        <v>905.31</v>
      </c>
      <c r="J1562" s="9">
        <v>0.05</v>
      </c>
      <c r="K1562" s="7">
        <v>860.04</v>
      </c>
      <c r="L1562" s="7">
        <v>445.46</v>
      </c>
      <c r="M1562" s="3" t="s">
        <v>60</v>
      </c>
      <c r="N1562" s="3" t="str">
        <f t="shared" si="96"/>
        <v>2025-02</v>
      </c>
      <c r="O1562" s="3" t="str">
        <f t="shared" si="97"/>
        <v>1-10%</v>
      </c>
      <c r="P1562" s="9">
        <f t="shared" si="98"/>
        <v>0.51795265336495977</v>
      </c>
      <c r="Q1562" s="3" t="str">
        <f t="shared" si="99"/>
        <v>No</v>
      </c>
    </row>
    <row r="1563" spans="1:17" ht="21" customHeight="1">
      <c r="A1563" s="3" t="s">
        <v>2241</v>
      </c>
      <c r="B1563" s="5">
        <v>45710</v>
      </c>
      <c r="C1563" s="3" t="s">
        <v>962</v>
      </c>
      <c r="D1563" s="3" t="s">
        <v>45</v>
      </c>
      <c r="E1563" s="3" t="s">
        <v>42</v>
      </c>
      <c r="F1563" s="3" t="s">
        <v>90</v>
      </c>
      <c r="G1563" s="3" t="s">
        <v>106</v>
      </c>
      <c r="H1563" s="3">
        <v>2</v>
      </c>
      <c r="I1563" s="7">
        <v>861.35</v>
      </c>
      <c r="J1563" s="9">
        <v>0</v>
      </c>
      <c r="K1563" s="7">
        <v>1722.7</v>
      </c>
      <c r="L1563" s="7">
        <v>911.63</v>
      </c>
      <c r="M1563" s="3" t="s">
        <v>56</v>
      </c>
      <c r="N1563" s="3" t="str">
        <f t="shared" si="96"/>
        <v>2025-02</v>
      </c>
      <c r="O1563" s="3" t="str">
        <f t="shared" si="97"/>
        <v>No discount</v>
      </c>
      <c r="P1563" s="9">
        <f t="shared" si="98"/>
        <v>0.52918674174261338</v>
      </c>
      <c r="Q1563" s="3" t="str">
        <f t="shared" si="99"/>
        <v>No</v>
      </c>
    </row>
    <row r="1564" spans="1:17" ht="21" customHeight="1">
      <c r="A1564" s="3" t="s">
        <v>2242</v>
      </c>
      <c r="B1564" s="5">
        <v>45710</v>
      </c>
      <c r="C1564" s="3" t="s">
        <v>746</v>
      </c>
      <c r="D1564" s="3" t="s">
        <v>45</v>
      </c>
      <c r="E1564" s="3" t="s">
        <v>42</v>
      </c>
      <c r="F1564" s="3" t="s">
        <v>90</v>
      </c>
      <c r="G1564" s="3" t="s">
        <v>91</v>
      </c>
      <c r="H1564" s="3">
        <v>2</v>
      </c>
      <c r="I1564" s="7">
        <v>1211.6500000000001</v>
      </c>
      <c r="J1564" s="9">
        <v>0.1</v>
      </c>
      <c r="K1564" s="7">
        <v>2180.9699999999998</v>
      </c>
      <c r="L1564" s="7">
        <v>1000.34</v>
      </c>
      <c r="M1564" s="3" t="s">
        <v>56</v>
      </c>
      <c r="N1564" s="3" t="str">
        <f t="shared" si="96"/>
        <v>2025-02</v>
      </c>
      <c r="O1564" s="3" t="str">
        <f t="shared" si="97"/>
        <v>1-10%</v>
      </c>
      <c r="P1564" s="9">
        <f t="shared" si="98"/>
        <v>0.45866747364704702</v>
      </c>
      <c r="Q1564" s="3" t="str">
        <f t="shared" si="99"/>
        <v>No</v>
      </c>
    </row>
    <row r="1565" spans="1:17" ht="21" customHeight="1">
      <c r="A1565" s="3" t="s">
        <v>2243</v>
      </c>
      <c r="B1565" s="5">
        <v>45710</v>
      </c>
      <c r="C1565" s="3" t="s">
        <v>137</v>
      </c>
      <c r="D1565" s="3" t="s">
        <v>44</v>
      </c>
      <c r="E1565" s="3" t="s">
        <v>41</v>
      </c>
      <c r="F1565" s="3" t="s">
        <v>113</v>
      </c>
      <c r="G1565" s="3" t="s">
        <v>114</v>
      </c>
      <c r="H1565" s="3">
        <v>1</v>
      </c>
      <c r="I1565" s="7">
        <v>12266.95</v>
      </c>
      <c r="J1565" s="9">
        <v>0.05</v>
      </c>
      <c r="K1565" s="7">
        <v>11653.6</v>
      </c>
      <c r="L1565" s="7">
        <v>3484.11</v>
      </c>
      <c r="M1565" s="3" t="s">
        <v>56</v>
      </c>
      <c r="N1565" s="3" t="str">
        <f t="shared" si="96"/>
        <v>2025-02</v>
      </c>
      <c r="O1565" s="3" t="str">
        <f t="shared" si="97"/>
        <v>1-10%</v>
      </c>
      <c r="P1565" s="9">
        <f t="shared" si="98"/>
        <v>0.29897284959154252</v>
      </c>
      <c r="Q1565" s="3" t="str">
        <f t="shared" si="99"/>
        <v>No</v>
      </c>
    </row>
    <row r="1566" spans="1:17" ht="21" customHeight="1">
      <c r="A1566" s="3" t="s">
        <v>2244</v>
      </c>
      <c r="B1566" s="5">
        <v>45711</v>
      </c>
      <c r="C1566" s="3" t="s">
        <v>274</v>
      </c>
      <c r="D1566" s="3" t="s">
        <v>47</v>
      </c>
      <c r="E1566" s="3" t="s">
        <v>41</v>
      </c>
      <c r="F1566" s="3" t="s">
        <v>113</v>
      </c>
      <c r="G1566" s="3" t="s">
        <v>114</v>
      </c>
      <c r="H1566" s="3">
        <v>4</v>
      </c>
      <c r="I1566" s="7">
        <v>12272.8</v>
      </c>
      <c r="J1566" s="9">
        <v>0</v>
      </c>
      <c r="K1566" s="7">
        <v>49091.199999999997</v>
      </c>
      <c r="L1566" s="7">
        <v>18025.669999999998</v>
      </c>
      <c r="M1566" s="3" t="s">
        <v>56</v>
      </c>
      <c r="N1566" s="3" t="str">
        <f t="shared" si="96"/>
        <v>2025-02</v>
      </c>
      <c r="O1566" s="3" t="str">
        <f t="shared" si="97"/>
        <v>No discount</v>
      </c>
      <c r="P1566" s="9">
        <f t="shared" si="98"/>
        <v>0.36718739814875168</v>
      </c>
      <c r="Q1566" s="3" t="str">
        <f t="shared" si="99"/>
        <v>No</v>
      </c>
    </row>
    <row r="1567" spans="1:17" ht="21" customHeight="1">
      <c r="A1567" s="3" t="s">
        <v>2245</v>
      </c>
      <c r="B1567" s="5">
        <v>45712</v>
      </c>
      <c r="C1567" s="3" t="s">
        <v>841</v>
      </c>
      <c r="D1567" s="3" t="s">
        <v>46</v>
      </c>
      <c r="E1567" s="3" t="s">
        <v>40</v>
      </c>
      <c r="F1567" s="3" t="s">
        <v>221</v>
      </c>
      <c r="G1567" s="3" t="s">
        <v>222</v>
      </c>
      <c r="H1567" s="3">
        <v>1</v>
      </c>
      <c r="I1567" s="7">
        <v>967.9</v>
      </c>
      <c r="J1567" s="9">
        <v>0.05</v>
      </c>
      <c r="K1567" s="7">
        <v>919.5</v>
      </c>
      <c r="L1567" s="7">
        <v>265.08999999999997</v>
      </c>
      <c r="M1567" s="3" t="s">
        <v>56</v>
      </c>
      <c r="N1567" s="3" t="str">
        <f t="shared" si="96"/>
        <v>2025-02</v>
      </c>
      <c r="O1567" s="3" t="str">
        <f t="shared" si="97"/>
        <v>1-10%</v>
      </c>
      <c r="P1567" s="9">
        <f t="shared" si="98"/>
        <v>0.28829798803697659</v>
      </c>
      <c r="Q1567" s="3" t="str">
        <f t="shared" si="99"/>
        <v>No</v>
      </c>
    </row>
    <row r="1568" spans="1:17" ht="21" customHeight="1">
      <c r="A1568" s="3" t="s">
        <v>2246</v>
      </c>
      <c r="B1568" s="5">
        <v>45712</v>
      </c>
      <c r="C1568" s="3" t="s">
        <v>1274</v>
      </c>
      <c r="D1568" s="3" t="s">
        <v>44</v>
      </c>
      <c r="E1568" s="3" t="s">
        <v>42</v>
      </c>
      <c r="F1568" s="3" t="s">
        <v>126</v>
      </c>
      <c r="G1568" s="3" t="s">
        <v>127</v>
      </c>
      <c r="H1568" s="3">
        <v>1</v>
      </c>
      <c r="I1568" s="7">
        <v>1026.08</v>
      </c>
      <c r="J1568" s="9">
        <v>0.2</v>
      </c>
      <c r="K1568" s="7">
        <v>820.86</v>
      </c>
      <c r="L1568" s="7">
        <v>282.97000000000003</v>
      </c>
      <c r="M1568" s="3" t="s">
        <v>57</v>
      </c>
      <c r="N1568" s="3" t="str">
        <f t="shared" si="96"/>
        <v>2025-02</v>
      </c>
      <c r="O1568" s="3" t="str">
        <f t="shared" si="97"/>
        <v>16-20%</v>
      </c>
      <c r="P1568" s="9">
        <f t="shared" si="98"/>
        <v>0.34472382623102604</v>
      </c>
      <c r="Q1568" s="3" t="str">
        <f t="shared" si="99"/>
        <v>No</v>
      </c>
    </row>
    <row r="1569" spans="1:17" ht="21" customHeight="1">
      <c r="A1569" s="3" t="s">
        <v>2247</v>
      </c>
      <c r="B1569" s="5">
        <v>45712</v>
      </c>
      <c r="C1569" s="3" t="s">
        <v>2138</v>
      </c>
      <c r="D1569" s="3" t="s">
        <v>46</v>
      </c>
      <c r="E1569" s="3" t="s">
        <v>38</v>
      </c>
      <c r="F1569" s="3" t="s">
        <v>98</v>
      </c>
      <c r="G1569" s="3" t="s">
        <v>362</v>
      </c>
      <c r="H1569" s="3">
        <v>2</v>
      </c>
      <c r="I1569" s="7">
        <v>32037.919999999998</v>
      </c>
      <c r="J1569" s="9">
        <v>0.1</v>
      </c>
      <c r="K1569" s="7">
        <v>57668.26</v>
      </c>
      <c r="L1569" s="7">
        <v>4825.5</v>
      </c>
      <c r="M1569" s="3" t="s">
        <v>56</v>
      </c>
      <c r="N1569" s="3" t="str">
        <f t="shared" si="96"/>
        <v>2025-02</v>
      </c>
      <c r="O1569" s="3" t="str">
        <f t="shared" si="97"/>
        <v>1-10%</v>
      </c>
      <c r="P1569" s="9">
        <f t="shared" si="98"/>
        <v>8.3676878754448278E-2</v>
      </c>
      <c r="Q1569" s="3" t="str">
        <f t="shared" si="99"/>
        <v>No</v>
      </c>
    </row>
    <row r="1570" spans="1:17" ht="21" customHeight="1">
      <c r="A1570" s="3" t="s">
        <v>2248</v>
      </c>
      <c r="B1570" s="5">
        <v>45712</v>
      </c>
      <c r="C1570" s="3" t="s">
        <v>1316</v>
      </c>
      <c r="D1570" s="3" t="s">
        <v>47</v>
      </c>
      <c r="E1570" s="3" t="s">
        <v>38</v>
      </c>
      <c r="F1570" s="3" t="s">
        <v>94</v>
      </c>
      <c r="G1570" s="3" t="s">
        <v>95</v>
      </c>
      <c r="H1570" s="3">
        <v>2</v>
      </c>
      <c r="I1570" s="7">
        <v>80368.03</v>
      </c>
      <c r="J1570" s="9">
        <v>0.2</v>
      </c>
      <c r="K1570" s="7">
        <v>128588.85</v>
      </c>
      <c r="L1570" s="7">
        <v>-9458.11</v>
      </c>
      <c r="M1570" s="3" t="s">
        <v>56</v>
      </c>
      <c r="N1570" s="3" t="str">
        <f t="shared" si="96"/>
        <v>2025-02</v>
      </c>
      <c r="O1570" s="3" t="str">
        <f t="shared" si="97"/>
        <v>16-20%</v>
      </c>
      <c r="P1570" s="9">
        <f t="shared" si="98"/>
        <v>-7.3553111331192397E-2</v>
      </c>
      <c r="Q1570" s="3" t="str">
        <f t="shared" si="99"/>
        <v>Yes</v>
      </c>
    </row>
    <row r="1571" spans="1:17" ht="21" customHeight="1">
      <c r="A1571" s="3" t="s">
        <v>2249</v>
      </c>
      <c r="B1571" s="5">
        <v>45712</v>
      </c>
      <c r="C1571" s="3" t="s">
        <v>1372</v>
      </c>
      <c r="D1571" s="3" t="s">
        <v>46</v>
      </c>
      <c r="E1571" s="3" t="s">
        <v>40</v>
      </c>
      <c r="F1571" s="3" t="s">
        <v>221</v>
      </c>
      <c r="G1571" s="3" t="s">
        <v>279</v>
      </c>
      <c r="H1571" s="3">
        <v>5</v>
      </c>
      <c r="I1571" s="7">
        <v>1497.35</v>
      </c>
      <c r="J1571" s="9">
        <v>0.25</v>
      </c>
      <c r="K1571" s="7">
        <v>5615.06</v>
      </c>
      <c r="L1571" s="7">
        <v>388.86</v>
      </c>
      <c r="M1571" s="3" t="s">
        <v>56</v>
      </c>
      <c r="N1571" s="3" t="str">
        <f t="shared" si="96"/>
        <v>2025-02</v>
      </c>
      <c r="O1571" s="3" t="str">
        <f t="shared" si="97"/>
        <v>21%+</v>
      </c>
      <c r="P1571" s="9">
        <f t="shared" si="98"/>
        <v>6.9253044491065091E-2</v>
      </c>
      <c r="Q1571" s="3" t="str">
        <f t="shared" si="99"/>
        <v>No</v>
      </c>
    </row>
    <row r="1572" spans="1:17" ht="21" customHeight="1">
      <c r="A1572" s="3" t="s">
        <v>2250</v>
      </c>
      <c r="B1572" s="5">
        <v>45713</v>
      </c>
      <c r="C1572" s="3" t="s">
        <v>1074</v>
      </c>
      <c r="D1572" s="3" t="s">
        <v>44</v>
      </c>
      <c r="E1572" s="3" t="s">
        <v>42</v>
      </c>
      <c r="F1572" s="3" t="s">
        <v>126</v>
      </c>
      <c r="G1572" s="3" t="s">
        <v>127</v>
      </c>
      <c r="H1572" s="3">
        <v>1</v>
      </c>
      <c r="I1572" s="7">
        <v>1000.19</v>
      </c>
      <c r="J1572" s="9">
        <v>0.15</v>
      </c>
      <c r="K1572" s="7">
        <v>850.16</v>
      </c>
      <c r="L1572" s="7">
        <v>339.84</v>
      </c>
      <c r="M1572" s="3" t="s">
        <v>56</v>
      </c>
      <c r="N1572" s="3" t="str">
        <f t="shared" si="96"/>
        <v>2025-02</v>
      </c>
      <c r="O1572" s="3" t="str">
        <f t="shared" si="97"/>
        <v>11-15%</v>
      </c>
      <c r="P1572" s="9">
        <f t="shared" si="98"/>
        <v>0.39973652018443584</v>
      </c>
      <c r="Q1572" s="3" t="str">
        <f t="shared" si="99"/>
        <v>No</v>
      </c>
    </row>
    <row r="1573" spans="1:17" ht="21" customHeight="1">
      <c r="A1573" s="3" t="s">
        <v>2251</v>
      </c>
      <c r="B1573" s="5">
        <v>45714</v>
      </c>
      <c r="C1573" s="3" t="s">
        <v>1150</v>
      </c>
      <c r="D1573" s="3" t="s">
        <v>45</v>
      </c>
      <c r="E1573" s="3" t="s">
        <v>39</v>
      </c>
      <c r="F1573" s="3" t="s">
        <v>164</v>
      </c>
      <c r="G1573" s="3" t="s">
        <v>200</v>
      </c>
      <c r="H1573" s="3">
        <v>1</v>
      </c>
      <c r="I1573" s="7">
        <v>1362.69</v>
      </c>
      <c r="J1573" s="9">
        <v>0.2</v>
      </c>
      <c r="K1573" s="7">
        <v>1090.1500000000001</v>
      </c>
      <c r="L1573" s="7">
        <v>247.01</v>
      </c>
      <c r="M1573" s="3" t="s">
        <v>58</v>
      </c>
      <c r="N1573" s="3" t="str">
        <f t="shared" si="96"/>
        <v>2025-02</v>
      </c>
      <c r="O1573" s="3" t="str">
        <f t="shared" si="97"/>
        <v>16-20%</v>
      </c>
      <c r="P1573" s="9">
        <f t="shared" si="98"/>
        <v>0.22658349768380495</v>
      </c>
      <c r="Q1573" s="3" t="str">
        <f t="shared" si="99"/>
        <v>No</v>
      </c>
    </row>
    <row r="1574" spans="1:17" ht="21" customHeight="1">
      <c r="A1574" s="3" t="s">
        <v>2252</v>
      </c>
      <c r="B1574" s="5">
        <v>45714</v>
      </c>
      <c r="C1574" s="3" t="s">
        <v>1890</v>
      </c>
      <c r="D1574" s="3" t="s">
        <v>47</v>
      </c>
      <c r="E1574" s="3" t="s">
        <v>39</v>
      </c>
      <c r="F1574" s="3" t="s">
        <v>130</v>
      </c>
      <c r="G1574" s="3" t="s">
        <v>193</v>
      </c>
      <c r="H1574" s="3">
        <v>1</v>
      </c>
      <c r="I1574" s="7">
        <v>1790.42</v>
      </c>
      <c r="J1574" s="9">
        <v>0.1</v>
      </c>
      <c r="K1574" s="7">
        <v>1611.38</v>
      </c>
      <c r="L1574" s="7">
        <v>543.64</v>
      </c>
      <c r="M1574" s="3" t="s">
        <v>59</v>
      </c>
      <c r="N1574" s="3" t="str">
        <f t="shared" si="96"/>
        <v>2025-02</v>
      </c>
      <c r="O1574" s="3" t="str">
        <f t="shared" si="97"/>
        <v>1-10%</v>
      </c>
      <c r="P1574" s="9">
        <f t="shared" si="98"/>
        <v>0.33737541734413978</v>
      </c>
      <c r="Q1574" s="3" t="str">
        <f t="shared" si="99"/>
        <v>No</v>
      </c>
    </row>
    <row r="1575" spans="1:17" ht="21" customHeight="1">
      <c r="A1575" s="3" t="s">
        <v>2253</v>
      </c>
      <c r="B1575" s="5">
        <v>45714</v>
      </c>
      <c r="C1575" s="3" t="s">
        <v>1878</v>
      </c>
      <c r="D1575" s="3" t="s">
        <v>47</v>
      </c>
      <c r="E1575" s="3" t="s">
        <v>39</v>
      </c>
      <c r="F1575" s="3" t="s">
        <v>109</v>
      </c>
      <c r="G1575" s="3" t="s">
        <v>355</v>
      </c>
      <c r="H1575" s="3">
        <v>1</v>
      </c>
      <c r="I1575" s="7">
        <v>3349.74</v>
      </c>
      <c r="J1575" s="9">
        <v>0</v>
      </c>
      <c r="K1575" s="7">
        <v>3349.74</v>
      </c>
      <c r="L1575" s="7">
        <v>1539.46</v>
      </c>
      <c r="M1575" s="3" t="s">
        <v>56</v>
      </c>
      <c r="N1575" s="3" t="str">
        <f t="shared" si="96"/>
        <v>2025-02</v>
      </c>
      <c r="O1575" s="3" t="str">
        <f t="shared" si="97"/>
        <v>No discount</v>
      </c>
      <c r="P1575" s="9">
        <f t="shared" si="98"/>
        <v>0.45957596708998316</v>
      </c>
      <c r="Q1575" s="3" t="str">
        <f t="shared" si="99"/>
        <v>No</v>
      </c>
    </row>
    <row r="1576" spans="1:17" ht="21" customHeight="1">
      <c r="A1576" s="3" t="s">
        <v>2254</v>
      </c>
      <c r="B1576" s="5">
        <v>45714</v>
      </c>
      <c r="C1576" s="3" t="s">
        <v>122</v>
      </c>
      <c r="D1576" s="3" t="s">
        <v>45</v>
      </c>
      <c r="E1576" s="3" t="s">
        <v>38</v>
      </c>
      <c r="F1576" s="3" t="s">
        <v>98</v>
      </c>
      <c r="G1576" s="3" t="s">
        <v>182</v>
      </c>
      <c r="H1576" s="3">
        <v>2</v>
      </c>
      <c r="I1576" s="7">
        <v>71549.81</v>
      </c>
      <c r="J1576" s="9">
        <v>0.05</v>
      </c>
      <c r="K1576" s="7">
        <v>135944.64000000001</v>
      </c>
      <c r="L1576" s="7">
        <v>12143.92</v>
      </c>
      <c r="M1576" s="3" t="s">
        <v>57</v>
      </c>
      <c r="N1576" s="3" t="str">
        <f t="shared" si="96"/>
        <v>2025-02</v>
      </c>
      <c r="O1576" s="3" t="str">
        <f t="shared" si="97"/>
        <v>1-10%</v>
      </c>
      <c r="P1576" s="9">
        <f t="shared" si="98"/>
        <v>8.932989193248074E-2</v>
      </c>
      <c r="Q1576" s="3" t="str">
        <f t="shared" si="99"/>
        <v>No</v>
      </c>
    </row>
    <row r="1577" spans="1:17" ht="21" customHeight="1">
      <c r="A1577" s="3" t="s">
        <v>2255</v>
      </c>
      <c r="B1577" s="5">
        <v>45714</v>
      </c>
      <c r="C1577" s="3" t="s">
        <v>1367</v>
      </c>
      <c r="D1577" s="3" t="s">
        <v>45</v>
      </c>
      <c r="E1577" s="3" t="s">
        <v>42</v>
      </c>
      <c r="F1577" s="3" t="s">
        <v>126</v>
      </c>
      <c r="G1577" s="3" t="s">
        <v>151</v>
      </c>
      <c r="H1577" s="3">
        <v>1</v>
      </c>
      <c r="I1577" s="7">
        <v>1543.59</v>
      </c>
      <c r="J1577" s="9">
        <v>0.1</v>
      </c>
      <c r="K1577" s="7">
        <v>1389.23</v>
      </c>
      <c r="L1577" s="7">
        <v>606.75</v>
      </c>
      <c r="M1577" s="3" t="s">
        <v>57</v>
      </c>
      <c r="N1577" s="3" t="str">
        <f t="shared" si="96"/>
        <v>2025-02</v>
      </c>
      <c r="O1577" s="3" t="str">
        <f t="shared" si="97"/>
        <v>1-10%</v>
      </c>
      <c r="P1577" s="9">
        <f t="shared" si="98"/>
        <v>0.43675273352864535</v>
      </c>
      <c r="Q1577" s="3" t="str">
        <f t="shared" si="99"/>
        <v>No</v>
      </c>
    </row>
    <row r="1578" spans="1:17" ht="21" customHeight="1">
      <c r="A1578" s="3" t="s">
        <v>2256</v>
      </c>
      <c r="B1578" s="5">
        <v>45715</v>
      </c>
      <c r="C1578" s="3" t="s">
        <v>1387</v>
      </c>
      <c r="D1578" s="3" t="s">
        <v>44</v>
      </c>
      <c r="E1578" s="3" t="s">
        <v>41</v>
      </c>
      <c r="F1578" s="3" t="s">
        <v>119</v>
      </c>
      <c r="G1578" s="3" t="s">
        <v>120</v>
      </c>
      <c r="H1578" s="3">
        <v>1</v>
      </c>
      <c r="I1578" s="7">
        <v>1275.21</v>
      </c>
      <c r="J1578" s="9">
        <v>0</v>
      </c>
      <c r="K1578" s="7">
        <v>1275.21</v>
      </c>
      <c r="L1578" s="7">
        <v>463.29</v>
      </c>
      <c r="M1578" s="3" t="s">
        <v>57</v>
      </c>
      <c r="N1578" s="3" t="str">
        <f t="shared" si="96"/>
        <v>2025-02</v>
      </c>
      <c r="O1578" s="3" t="str">
        <f t="shared" si="97"/>
        <v>No discount</v>
      </c>
      <c r="P1578" s="9">
        <f t="shared" si="98"/>
        <v>0.36330486743359919</v>
      </c>
      <c r="Q1578" s="3" t="str">
        <f t="shared" si="99"/>
        <v>No</v>
      </c>
    </row>
    <row r="1579" spans="1:17" ht="21" customHeight="1">
      <c r="A1579" s="3" t="s">
        <v>2257</v>
      </c>
      <c r="B1579" s="5">
        <v>45716</v>
      </c>
      <c r="C1579" s="3" t="s">
        <v>516</v>
      </c>
      <c r="D1579" s="3" t="s">
        <v>47</v>
      </c>
      <c r="E1579" s="3" t="s">
        <v>40</v>
      </c>
      <c r="F1579" s="3" t="s">
        <v>221</v>
      </c>
      <c r="G1579" s="3" t="s">
        <v>279</v>
      </c>
      <c r="H1579" s="3">
        <v>3</v>
      </c>
      <c r="I1579" s="7">
        <v>1560.53</v>
      </c>
      <c r="J1579" s="9">
        <v>0</v>
      </c>
      <c r="K1579" s="7">
        <v>4681.59</v>
      </c>
      <c r="L1579" s="7">
        <v>1663.54</v>
      </c>
      <c r="M1579" s="3" t="s">
        <v>60</v>
      </c>
      <c r="N1579" s="3" t="str">
        <f t="shared" si="96"/>
        <v>2025-02</v>
      </c>
      <c r="O1579" s="3" t="str">
        <f t="shared" si="97"/>
        <v>No discount</v>
      </c>
      <c r="P1579" s="9">
        <f t="shared" si="98"/>
        <v>0.35533654164503936</v>
      </c>
      <c r="Q1579" s="3" t="str">
        <f t="shared" si="99"/>
        <v>No</v>
      </c>
    </row>
    <row r="1580" spans="1:17" ht="21" customHeight="1">
      <c r="A1580" s="3" t="s">
        <v>2258</v>
      </c>
      <c r="B1580" s="5">
        <v>45716</v>
      </c>
      <c r="C1580" s="3" t="s">
        <v>135</v>
      </c>
      <c r="D1580" s="3" t="s">
        <v>47</v>
      </c>
      <c r="E1580" s="3" t="s">
        <v>39</v>
      </c>
      <c r="F1580" s="3" t="s">
        <v>109</v>
      </c>
      <c r="G1580" s="3" t="s">
        <v>355</v>
      </c>
      <c r="H1580" s="3">
        <v>1</v>
      </c>
      <c r="I1580" s="7">
        <v>3431.61</v>
      </c>
      <c r="J1580" s="9">
        <v>0.1</v>
      </c>
      <c r="K1580" s="7">
        <v>3088.45</v>
      </c>
      <c r="L1580" s="7">
        <v>1041.47</v>
      </c>
      <c r="M1580" s="3" t="s">
        <v>57</v>
      </c>
      <c r="N1580" s="3" t="str">
        <f t="shared" si="96"/>
        <v>2025-02</v>
      </c>
      <c r="O1580" s="3" t="str">
        <f t="shared" si="97"/>
        <v>1-10%</v>
      </c>
      <c r="P1580" s="9">
        <f t="shared" si="98"/>
        <v>0.33721446032799629</v>
      </c>
      <c r="Q1580" s="3" t="str">
        <f t="shared" si="99"/>
        <v>No</v>
      </c>
    </row>
    <row r="1581" spans="1:17" ht="21" customHeight="1">
      <c r="A1581" s="3" t="s">
        <v>2259</v>
      </c>
      <c r="B1581" s="5">
        <v>45716</v>
      </c>
      <c r="C1581" s="3" t="s">
        <v>255</v>
      </c>
      <c r="D1581" s="3" t="s">
        <v>46</v>
      </c>
      <c r="E1581" s="3" t="s">
        <v>41</v>
      </c>
      <c r="F1581" s="3" t="s">
        <v>119</v>
      </c>
      <c r="G1581" s="3" t="s">
        <v>120</v>
      </c>
      <c r="H1581" s="3">
        <v>4</v>
      </c>
      <c r="I1581" s="7">
        <v>1237.5</v>
      </c>
      <c r="J1581" s="9">
        <v>0</v>
      </c>
      <c r="K1581" s="7">
        <v>4950</v>
      </c>
      <c r="L1581" s="7">
        <v>2004.03</v>
      </c>
      <c r="M1581" s="3" t="s">
        <v>56</v>
      </c>
      <c r="N1581" s="3" t="str">
        <f t="shared" si="96"/>
        <v>2025-02</v>
      </c>
      <c r="O1581" s="3" t="str">
        <f t="shared" si="97"/>
        <v>No discount</v>
      </c>
      <c r="P1581" s="9">
        <f t="shared" si="98"/>
        <v>0.40485454545454547</v>
      </c>
      <c r="Q1581" s="3" t="str">
        <f t="shared" si="99"/>
        <v>No</v>
      </c>
    </row>
    <row r="1582" spans="1:17" ht="21" customHeight="1">
      <c r="A1582" s="3" t="s">
        <v>2260</v>
      </c>
      <c r="B1582" s="5">
        <v>45716</v>
      </c>
      <c r="C1582" s="3" t="s">
        <v>595</v>
      </c>
      <c r="D1582" s="3" t="s">
        <v>45</v>
      </c>
      <c r="E1582" s="3" t="s">
        <v>41</v>
      </c>
      <c r="F1582" s="3" t="s">
        <v>113</v>
      </c>
      <c r="G1582" s="3" t="s">
        <v>123</v>
      </c>
      <c r="H1582" s="3">
        <v>1</v>
      </c>
      <c r="I1582" s="7">
        <v>3533.22</v>
      </c>
      <c r="J1582" s="9">
        <v>0.05</v>
      </c>
      <c r="K1582" s="7">
        <v>3356.56</v>
      </c>
      <c r="L1582" s="7">
        <v>1170.1500000000001</v>
      </c>
      <c r="M1582" s="3" t="s">
        <v>58</v>
      </c>
      <c r="N1582" s="3" t="str">
        <f t="shared" si="96"/>
        <v>2025-02</v>
      </c>
      <c r="O1582" s="3" t="str">
        <f t="shared" si="97"/>
        <v>1-10%</v>
      </c>
      <c r="P1582" s="9">
        <f t="shared" si="98"/>
        <v>0.34861584479347907</v>
      </c>
      <c r="Q1582" s="3" t="str">
        <f t="shared" si="99"/>
        <v>No</v>
      </c>
    </row>
    <row r="1583" spans="1:17" ht="21" customHeight="1">
      <c r="A1583" s="3" t="s">
        <v>2261</v>
      </c>
      <c r="B1583" s="5">
        <v>45717</v>
      </c>
      <c r="C1583" s="3" t="s">
        <v>481</v>
      </c>
      <c r="D1583" s="3" t="s">
        <v>46</v>
      </c>
      <c r="E1583" s="3" t="s">
        <v>38</v>
      </c>
      <c r="F1583" s="3" t="s">
        <v>94</v>
      </c>
      <c r="G1583" s="3" t="s">
        <v>213</v>
      </c>
      <c r="H1583" s="3">
        <v>1</v>
      </c>
      <c r="I1583" s="7">
        <v>56590.07</v>
      </c>
      <c r="J1583" s="9">
        <v>0</v>
      </c>
      <c r="K1583" s="7">
        <v>56590.07</v>
      </c>
      <c r="L1583" s="7">
        <v>10216.14</v>
      </c>
      <c r="M1583" s="3" t="s">
        <v>57</v>
      </c>
      <c r="N1583" s="3" t="str">
        <f t="shared" si="96"/>
        <v>2025-03</v>
      </c>
      <c r="O1583" s="3" t="str">
        <f t="shared" si="97"/>
        <v>No discount</v>
      </c>
      <c r="P1583" s="9">
        <f t="shared" si="98"/>
        <v>0.18052884543171618</v>
      </c>
      <c r="Q1583" s="3" t="str">
        <f t="shared" si="99"/>
        <v>No</v>
      </c>
    </row>
    <row r="1584" spans="1:17" ht="21" customHeight="1">
      <c r="A1584" s="3" t="s">
        <v>2262</v>
      </c>
      <c r="B1584" s="5">
        <v>45717</v>
      </c>
      <c r="C1584" s="3" t="s">
        <v>163</v>
      </c>
      <c r="D1584" s="3" t="s">
        <v>44</v>
      </c>
      <c r="E1584" s="3" t="s">
        <v>40</v>
      </c>
      <c r="F1584" s="3" t="s">
        <v>160</v>
      </c>
      <c r="G1584" s="3" t="s">
        <v>161</v>
      </c>
      <c r="H1584" s="3">
        <v>1</v>
      </c>
      <c r="I1584" s="7">
        <v>13384.97</v>
      </c>
      <c r="J1584" s="9">
        <v>0.2</v>
      </c>
      <c r="K1584" s="7">
        <v>10707.98</v>
      </c>
      <c r="L1584" s="7">
        <v>1353.87</v>
      </c>
      <c r="M1584" s="3" t="s">
        <v>56</v>
      </c>
      <c r="N1584" s="3" t="str">
        <f t="shared" si="96"/>
        <v>2025-03</v>
      </c>
      <c r="O1584" s="3" t="str">
        <f t="shared" si="97"/>
        <v>16-20%</v>
      </c>
      <c r="P1584" s="9">
        <f t="shared" si="98"/>
        <v>0.12643561157193045</v>
      </c>
      <c r="Q1584" s="3" t="str">
        <f t="shared" si="99"/>
        <v>No</v>
      </c>
    </row>
    <row r="1585" spans="1:17" ht="21" customHeight="1">
      <c r="A1585" s="3" t="s">
        <v>2263</v>
      </c>
      <c r="B1585" s="5">
        <v>45717</v>
      </c>
      <c r="C1585" s="3" t="s">
        <v>1631</v>
      </c>
      <c r="D1585" s="3" t="s">
        <v>47</v>
      </c>
      <c r="E1585" s="3" t="s">
        <v>41</v>
      </c>
      <c r="F1585" s="3" t="s">
        <v>119</v>
      </c>
      <c r="G1585" s="3" t="s">
        <v>168</v>
      </c>
      <c r="H1585" s="3">
        <v>2</v>
      </c>
      <c r="I1585" s="7">
        <v>10251.42</v>
      </c>
      <c r="J1585" s="9">
        <v>0</v>
      </c>
      <c r="K1585" s="7">
        <v>20502.84</v>
      </c>
      <c r="L1585" s="7">
        <v>8354.07</v>
      </c>
      <c r="M1585" s="3" t="s">
        <v>56</v>
      </c>
      <c r="N1585" s="3" t="str">
        <f t="shared" si="96"/>
        <v>2025-03</v>
      </c>
      <c r="O1585" s="3" t="str">
        <f t="shared" si="97"/>
        <v>No discount</v>
      </c>
      <c r="P1585" s="9">
        <f t="shared" si="98"/>
        <v>0.40745916175515196</v>
      </c>
      <c r="Q1585" s="3" t="str">
        <f t="shared" si="99"/>
        <v>No</v>
      </c>
    </row>
    <row r="1586" spans="1:17" ht="21" customHeight="1">
      <c r="A1586" s="3" t="s">
        <v>2264</v>
      </c>
      <c r="B1586" s="5">
        <v>45717</v>
      </c>
      <c r="C1586" s="3" t="s">
        <v>1266</v>
      </c>
      <c r="D1586" s="3" t="s">
        <v>44</v>
      </c>
      <c r="E1586" s="3" t="s">
        <v>42</v>
      </c>
      <c r="F1586" s="3" t="s">
        <v>126</v>
      </c>
      <c r="G1586" s="3" t="s">
        <v>127</v>
      </c>
      <c r="H1586" s="3">
        <v>1</v>
      </c>
      <c r="I1586" s="7">
        <v>990.57</v>
      </c>
      <c r="J1586" s="9">
        <v>0.2</v>
      </c>
      <c r="K1586" s="7">
        <v>792.46</v>
      </c>
      <c r="L1586" s="7">
        <v>250.57</v>
      </c>
      <c r="M1586" s="3" t="s">
        <v>58</v>
      </c>
      <c r="N1586" s="3" t="str">
        <f t="shared" si="96"/>
        <v>2025-03</v>
      </c>
      <c r="O1586" s="3" t="str">
        <f t="shared" si="97"/>
        <v>16-20%</v>
      </c>
      <c r="P1586" s="9">
        <f t="shared" si="98"/>
        <v>0.31619261540014637</v>
      </c>
      <c r="Q1586" s="3" t="str">
        <f t="shared" si="99"/>
        <v>No</v>
      </c>
    </row>
    <row r="1587" spans="1:17" ht="21" customHeight="1">
      <c r="A1587" s="3" t="s">
        <v>2265</v>
      </c>
      <c r="B1587" s="5">
        <v>45718</v>
      </c>
      <c r="C1587" s="3" t="s">
        <v>1360</v>
      </c>
      <c r="D1587" s="3" t="s">
        <v>44</v>
      </c>
      <c r="E1587" s="3" t="s">
        <v>42</v>
      </c>
      <c r="F1587" s="3" t="s">
        <v>90</v>
      </c>
      <c r="G1587" s="3" t="s">
        <v>91</v>
      </c>
      <c r="H1587" s="3">
        <v>3</v>
      </c>
      <c r="I1587" s="7">
        <v>1142.67</v>
      </c>
      <c r="J1587" s="9">
        <v>0.2</v>
      </c>
      <c r="K1587" s="7">
        <v>2742.41</v>
      </c>
      <c r="L1587" s="7">
        <v>848.01</v>
      </c>
      <c r="M1587" s="3" t="s">
        <v>56</v>
      </c>
      <c r="N1587" s="3" t="str">
        <f t="shared" si="96"/>
        <v>2025-03</v>
      </c>
      <c r="O1587" s="3" t="str">
        <f t="shared" si="97"/>
        <v>16-20%</v>
      </c>
      <c r="P1587" s="9">
        <f t="shared" si="98"/>
        <v>0.30922072191977129</v>
      </c>
      <c r="Q1587" s="3" t="str">
        <f t="shared" si="99"/>
        <v>No</v>
      </c>
    </row>
    <row r="1588" spans="1:17" ht="21" customHeight="1">
      <c r="A1588" s="3" t="s">
        <v>2266</v>
      </c>
      <c r="B1588" s="5">
        <v>45718</v>
      </c>
      <c r="C1588" s="3" t="s">
        <v>167</v>
      </c>
      <c r="D1588" s="3" t="s">
        <v>44</v>
      </c>
      <c r="E1588" s="3" t="s">
        <v>39</v>
      </c>
      <c r="F1588" s="3" t="s">
        <v>130</v>
      </c>
      <c r="G1588" s="3" t="s">
        <v>193</v>
      </c>
      <c r="H1588" s="3">
        <v>1</v>
      </c>
      <c r="I1588" s="7">
        <v>1881.51</v>
      </c>
      <c r="J1588" s="9">
        <v>0.05</v>
      </c>
      <c r="K1588" s="7">
        <v>1787.43</v>
      </c>
      <c r="L1588" s="7">
        <v>691.18</v>
      </c>
      <c r="M1588" s="3" t="s">
        <v>58</v>
      </c>
      <c r="N1588" s="3" t="str">
        <f t="shared" si="96"/>
        <v>2025-03</v>
      </c>
      <c r="O1588" s="3" t="str">
        <f t="shared" si="97"/>
        <v>1-10%</v>
      </c>
      <c r="P1588" s="9">
        <f t="shared" si="98"/>
        <v>0.38668926895039241</v>
      </c>
      <c r="Q1588" s="3" t="str">
        <f t="shared" si="99"/>
        <v>No</v>
      </c>
    </row>
    <row r="1589" spans="1:17" ht="21" customHeight="1">
      <c r="A1589" s="3" t="s">
        <v>2267</v>
      </c>
      <c r="B1589" s="5">
        <v>45718</v>
      </c>
      <c r="C1589" s="3" t="s">
        <v>762</v>
      </c>
      <c r="D1589" s="3" t="s">
        <v>47</v>
      </c>
      <c r="E1589" s="3" t="s">
        <v>39</v>
      </c>
      <c r="F1589" s="3" t="s">
        <v>109</v>
      </c>
      <c r="G1589" s="3" t="s">
        <v>355</v>
      </c>
      <c r="H1589" s="3">
        <v>1</v>
      </c>
      <c r="I1589" s="7">
        <v>3651.27</v>
      </c>
      <c r="J1589" s="9">
        <v>0.2</v>
      </c>
      <c r="K1589" s="7">
        <v>2921.02</v>
      </c>
      <c r="L1589" s="7">
        <v>568.41</v>
      </c>
      <c r="M1589" s="3" t="s">
        <v>58</v>
      </c>
      <c r="N1589" s="3" t="str">
        <f t="shared" si="96"/>
        <v>2025-03</v>
      </c>
      <c r="O1589" s="3" t="str">
        <f t="shared" si="97"/>
        <v>16-20%</v>
      </c>
      <c r="P1589" s="9">
        <f t="shared" si="98"/>
        <v>0.19459298464235095</v>
      </c>
      <c r="Q1589" s="3" t="str">
        <f t="shared" si="99"/>
        <v>No</v>
      </c>
    </row>
    <row r="1590" spans="1:17" ht="21" customHeight="1">
      <c r="A1590" s="3" t="s">
        <v>2268</v>
      </c>
      <c r="B1590" s="5">
        <v>45718</v>
      </c>
      <c r="C1590" s="3" t="s">
        <v>226</v>
      </c>
      <c r="D1590" s="3" t="s">
        <v>44</v>
      </c>
      <c r="E1590" s="3" t="s">
        <v>42</v>
      </c>
      <c r="F1590" s="3" t="s">
        <v>126</v>
      </c>
      <c r="G1590" s="3" t="s">
        <v>151</v>
      </c>
      <c r="H1590" s="3">
        <v>1</v>
      </c>
      <c r="I1590" s="7">
        <v>1568.75</v>
      </c>
      <c r="J1590" s="9">
        <v>0</v>
      </c>
      <c r="K1590" s="7">
        <v>1568.75</v>
      </c>
      <c r="L1590" s="7">
        <v>849.2</v>
      </c>
      <c r="M1590" s="3" t="s">
        <v>56</v>
      </c>
      <c r="N1590" s="3" t="str">
        <f t="shared" si="96"/>
        <v>2025-03</v>
      </c>
      <c r="O1590" s="3" t="str">
        <f t="shared" si="97"/>
        <v>No discount</v>
      </c>
      <c r="P1590" s="9">
        <f t="shared" si="98"/>
        <v>0.54132270916334668</v>
      </c>
      <c r="Q1590" s="3" t="str">
        <f t="shared" si="99"/>
        <v>No</v>
      </c>
    </row>
    <row r="1591" spans="1:17" ht="21" customHeight="1">
      <c r="A1591" s="3" t="s">
        <v>2269</v>
      </c>
      <c r="B1591" s="5">
        <v>45719</v>
      </c>
      <c r="C1591" s="3" t="s">
        <v>424</v>
      </c>
      <c r="D1591" s="3" t="s">
        <v>47</v>
      </c>
      <c r="E1591" s="3" t="s">
        <v>40</v>
      </c>
      <c r="F1591" s="3" t="s">
        <v>221</v>
      </c>
      <c r="G1591" s="3" t="s">
        <v>279</v>
      </c>
      <c r="H1591" s="3">
        <v>2</v>
      </c>
      <c r="I1591" s="7">
        <v>1445.92</v>
      </c>
      <c r="J1591" s="9">
        <v>0</v>
      </c>
      <c r="K1591" s="7">
        <v>2891.84</v>
      </c>
      <c r="L1591" s="7">
        <v>898.96</v>
      </c>
      <c r="M1591" s="3" t="s">
        <v>57</v>
      </c>
      <c r="N1591" s="3" t="str">
        <f t="shared" si="96"/>
        <v>2025-03</v>
      </c>
      <c r="O1591" s="3" t="str">
        <f t="shared" si="97"/>
        <v>No discount</v>
      </c>
      <c r="P1591" s="9">
        <f t="shared" si="98"/>
        <v>0.31086090516764414</v>
      </c>
      <c r="Q1591" s="3" t="str">
        <f t="shared" si="99"/>
        <v>No</v>
      </c>
    </row>
    <row r="1592" spans="1:17" ht="21" customHeight="1">
      <c r="A1592" s="3" t="s">
        <v>2270</v>
      </c>
      <c r="B1592" s="5">
        <v>45719</v>
      </c>
      <c r="C1592" s="3" t="s">
        <v>762</v>
      </c>
      <c r="D1592" s="3" t="s">
        <v>44</v>
      </c>
      <c r="E1592" s="3" t="s">
        <v>42</v>
      </c>
      <c r="F1592" s="3" t="s">
        <v>126</v>
      </c>
      <c r="G1592" s="3" t="s">
        <v>151</v>
      </c>
      <c r="H1592" s="3">
        <v>1</v>
      </c>
      <c r="I1592" s="7">
        <v>1539</v>
      </c>
      <c r="J1592" s="9">
        <v>0.1</v>
      </c>
      <c r="K1592" s="7">
        <v>1385.1</v>
      </c>
      <c r="L1592" s="7">
        <v>549.72</v>
      </c>
      <c r="M1592" s="3" t="s">
        <v>56</v>
      </c>
      <c r="N1592" s="3" t="str">
        <f t="shared" si="96"/>
        <v>2025-03</v>
      </c>
      <c r="O1592" s="3" t="str">
        <f t="shared" si="97"/>
        <v>1-10%</v>
      </c>
      <c r="P1592" s="9">
        <f t="shared" si="98"/>
        <v>0.39688109161793378</v>
      </c>
      <c r="Q1592" s="3" t="str">
        <f t="shared" si="99"/>
        <v>No</v>
      </c>
    </row>
    <row r="1593" spans="1:17" ht="21" customHeight="1">
      <c r="A1593" s="3" t="s">
        <v>2271</v>
      </c>
      <c r="B1593" s="5">
        <v>45719</v>
      </c>
      <c r="C1593" s="3" t="s">
        <v>481</v>
      </c>
      <c r="D1593" s="3" t="s">
        <v>45</v>
      </c>
      <c r="E1593" s="3" t="s">
        <v>39</v>
      </c>
      <c r="F1593" s="3" t="s">
        <v>164</v>
      </c>
      <c r="G1593" s="3" t="s">
        <v>165</v>
      </c>
      <c r="H1593" s="3">
        <v>4</v>
      </c>
      <c r="I1593" s="7">
        <v>1914.3</v>
      </c>
      <c r="J1593" s="9">
        <v>0</v>
      </c>
      <c r="K1593" s="7">
        <v>7657.2</v>
      </c>
      <c r="L1593" s="7">
        <v>3368.67</v>
      </c>
      <c r="M1593" s="3" t="s">
        <v>59</v>
      </c>
      <c r="N1593" s="3" t="str">
        <f t="shared" si="96"/>
        <v>2025-03</v>
      </c>
      <c r="O1593" s="3" t="str">
        <f t="shared" si="97"/>
        <v>No discount</v>
      </c>
      <c r="P1593" s="9">
        <f t="shared" si="98"/>
        <v>0.43993496317191666</v>
      </c>
      <c r="Q1593" s="3" t="str">
        <f t="shared" si="99"/>
        <v>No</v>
      </c>
    </row>
    <row r="1594" spans="1:17" ht="21" customHeight="1">
      <c r="A1594" s="3" t="s">
        <v>2272</v>
      </c>
      <c r="B1594" s="5">
        <v>45720</v>
      </c>
      <c r="C1594" s="3" t="s">
        <v>1953</v>
      </c>
      <c r="D1594" s="3" t="s">
        <v>47</v>
      </c>
      <c r="E1594" s="3" t="s">
        <v>40</v>
      </c>
      <c r="F1594" s="3" t="s">
        <v>160</v>
      </c>
      <c r="G1594" s="3" t="s">
        <v>173</v>
      </c>
      <c r="H1594" s="3">
        <v>1</v>
      </c>
      <c r="I1594" s="7">
        <v>8675.83</v>
      </c>
      <c r="J1594" s="9">
        <v>0.05</v>
      </c>
      <c r="K1594" s="7">
        <v>8242.0400000000009</v>
      </c>
      <c r="L1594" s="7">
        <v>1949.64</v>
      </c>
      <c r="M1594" s="3" t="s">
        <v>59</v>
      </c>
      <c r="N1594" s="3" t="str">
        <f t="shared" si="96"/>
        <v>2025-03</v>
      </c>
      <c r="O1594" s="3" t="str">
        <f t="shared" si="97"/>
        <v>1-10%</v>
      </c>
      <c r="P1594" s="9">
        <f t="shared" si="98"/>
        <v>0.23654823320440083</v>
      </c>
      <c r="Q1594" s="3" t="str">
        <f t="shared" si="99"/>
        <v>No</v>
      </c>
    </row>
    <row r="1595" spans="1:17" ht="21" customHeight="1">
      <c r="A1595" s="3" t="s">
        <v>2273</v>
      </c>
      <c r="B1595" s="5">
        <v>45720</v>
      </c>
      <c r="C1595" s="3" t="s">
        <v>188</v>
      </c>
      <c r="D1595" s="3" t="s">
        <v>45</v>
      </c>
      <c r="E1595" s="3" t="s">
        <v>40</v>
      </c>
      <c r="F1595" s="3" t="s">
        <v>102</v>
      </c>
      <c r="G1595" s="3" t="s">
        <v>146</v>
      </c>
      <c r="H1595" s="3">
        <v>2</v>
      </c>
      <c r="I1595" s="7">
        <v>7658.21</v>
      </c>
      <c r="J1595" s="9">
        <v>0.15</v>
      </c>
      <c r="K1595" s="7">
        <v>13018.96</v>
      </c>
      <c r="L1595" s="7">
        <v>2561.56</v>
      </c>
      <c r="M1595" s="3" t="s">
        <v>56</v>
      </c>
      <c r="N1595" s="3" t="str">
        <f t="shared" si="96"/>
        <v>2025-03</v>
      </c>
      <c r="O1595" s="3" t="str">
        <f t="shared" si="97"/>
        <v>11-15%</v>
      </c>
      <c r="P1595" s="9">
        <f t="shared" si="98"/>
        <v>0.19675611569587739</v>
      </c>
      <c r="Q1595" s="3" t="str">
        <f t="shared" si="99"/>
        <v>No</v>
      </c>
    </row>
    <row r="1596" spans="1:17" ht="21" customHeight="1">
      <c r="A1596" s="3" t="s">
        <v>2274</v>
      </c>
      <c r="B1596" s="5">
        <v>45720</v>
      </c>
      <c r="C1596" s="3" t="s">
        <v>1751</v>
      </c>
      <c r="D1596" s="3" t="s">
        <v>47</v>
      </c>
      <c r="E1596" s="3" t="s">
        <v>39</v>
      </c>
      <c r="F1596" s="3" t="s">
        <v>164</v>
      </c>
      <c r="G1596" s="3" t="s">
        <v>200</v>
      </c>
      <c r="H1596" s="3">
        <v>2</v>
      </c>
      <c r="I1596" s="7">
        <v>1327.74</v>
      </c>
      <c r="J1596" s="9">
        <v>0.1</v>
      </c>
      <c r="K1596" s="7">
        <v>2389.9299999999998</v>
      </c>
      <c r="L1596" s="7">
        <v>758.64</v>
      </c>
      <c r="M1596" s="3" t="s">
        <v>56</v>
      </c>
      <c r="N1596" s="3" t="str">
        <f t="shared" si="96"/>
        <v>2025-03</v>
      </c>
      <c r="O1596" s="3" t="str">
        <f t="shared" si="97"/>
        <v>1-10%</v>
      </c>
      <c r="P1596" s="9">
        <f t="shared" si="98"/>
        <v>0.31743189131062416</v>
      </c>
      <c r="Q1596" s="3" t="str">
        <f t="shared" si="99"/>
        <v>No</v>
      </c>
    </row>
    <row r="1597" spans="1:17" ht="21" customHeight="1">
      <c r="A1597" s="3" t="s">
        <v>2275</v>
      </c>
      <c r="B1597" s="5">
        <v>45720</v>
      </c>
      <c r="C1597" s="3" t="s">
        <v>2276</v>
      </c>
      <c r="D1597" s="3" t="s">
        <v>47</v>
      </c>
      <c r="E1597" s="3" t="s">
        <v>39</v>
      </c>
      <c r="F1597" s="3" t="s">
        <v>109</v>
      </c>
      <c r="G1597" s="3" t="s">
        <v>110</v>
      </c>
      <c r="H1597" s="3">
        <v>2</v>
      </c>
      <c r="I1597" s="7">
        <v>3032.6</v>
      </c>
      <c r="J1597" s="9">
        <v>0.15</v>
      </c>
      <c r="K1597" s="7">
        <v>5155.42</v>
      </c>
      <c r="L1597" s="7">
        <v>1106.05</v>
      </c>
      <c r="M1597" s="3" t="s">
        <v>56</v>
      </c>
      <c r="N1597" s="3" t="str">
        <f t="shared" si="96"/>
        <v>2025-03</v>
      </c>
      <c r="O1597" s="3" t="str">
        <f t="shared" si="97"/>
        <v>11-15%</v>
      </c>
      <c r="P1597" s="9">
        <f t="shared" si="98"/>
        <v>0.21454120129882726</v>
      </c>
      <c r="Q1597" s="3" t="str">
        <f t="shared" si="99"/>
        <v>No</v>
      </c>
    </row>
    <row r="1598" spans="1:17" ht="21" customHeight="1">
      <c r="A1598" s="3" t="s">
        <v>2277</v>
      </c>
      <c r="B1598" s="5">
        <v>45720</v>
      </c>
      <c r="C1598" s="3" t="s">
        <v>2278</v>
      </c>
      <c r="D1598" s="3" t="s">
        <v>45</v>
      </c>
      <c r="E1598" s="3" t="s">
        <v>42</v>
      </c>
      <c r="F1598" s="3" t="s">
        <v>126</v>
      </c>
      <c r="G1598" s="3" t="s">
        <v>127</v>
      </c>
      <c r="H1598" s="3">
        <v>1</v>
      </c>
      <c r="I1598" s="7">
        <v>1042.93</v>
      </c>
      <c r="J1598" s="9">
        <v>0.05</v>
      </c>
      <c r="K1598" s="7">
        <v>990.78</v>
      </c>
      <c r="L1598" s="7">
        <v>465.68</v>
      </c>
      <c r="M1598" s="3" t="s">
        <v>56</v>
      </c>
      <c r="N1598" s="3" t="str">
        <f t="shared" si="96"/>
        <v>2025-03</v>
      </c>
      <c r="O1598" s="3" t="str">
        <f t="shared" si="97"/>
        <v>1-10%</v>
      </c>
      <c r="P1598" s="9">
        <f t="shared" si="98"/>
        <v>0.47001352469771296</v>
      </c>
      <c r="Q1598" s="3" t="str">
        <f t="shared" si="99"/>
        <v>No</v>
      </c>
    </row>
    <row r="1599" spans="1:17" ht="21" customHeight="1">
      <c r="A1599" s="3" t="s">
        <v>2279</v>
      </c>
      <c r="B1599" s="5">
        <v>45721</v>
      </c>
      <c r="C1599" s="3" t="s">
        <v>2061</v>
      </c>
      <c r="D1599" s="3" t="s">
        <v>44</v>
      </c>
      <c r="E1599" s="3" t="s">
        <v>39</v>
      </c>
      <c r="F1599" s="3" t="s">
        <v>164</v>
      </c>
      <c r="G1599" s="3" t="s">
        <v>165</v>
      </c>
      <c r="H1599" s="3">
        <v>2</v>
      </c>
      <c r="I1599" s="7">
        <v>2075.52</v>
      </c>
      <c r="J1599" s="9">
        <v>0.05</v>
      </c>
      <c r="K1599" s="7">
        <v>3943.49</v>
      </c>
      <c r="L1599" s="7">
        <v>1422.9</v>
      </c>
      <c r="M1599" s="3" t="s">
        <v>56</v>
      </c>
      <c r="N1599" s="3" t="str">
        <f t="shared" si="96"/>
        <v>2025-03</v>
      </c>
      <c r="O1599" s="3" t="str">
        <f t="shared" si="97"/>
        <v>1-10%</v>
      </c>
      <c r="P1599" s="9">
        <f t="shared" si="98"/>
        <v>0.36082252015346816</v>
      </c>
      <c r="Q1599" s="3" t="str">
        <f t="shared" si="99"/>
        <v>No</v>
      </c>
    </row>
    <row r="1600" spans="1:17" ht="21" customHeight="1">
      <c r="A1600" s="3" t="s">
        <v>2280</v>
      </c>
      <c r="B1600" s="5">
        <v>45721</v>
      </c>
      <c r="C1600" s="3" t="s">
        <v>1191</v>
      </c>
      <c r="D1600" s="3" t="s">
        <v>44</v>
      </c>
      <c r="E1600" s="3" t="s">
        <v>38</v>
      </c>
      <c r="F1600" s="3" t="s">
        <v>98</v>
      </c>
      <c r="G1600" s="3" t="s">
        <v>362</v>
      </c>
      <c r="H1600" s="3">
        <v>2</v>
      </c>
      <c r="I1600" s="7">
        <v>31844.33</v>
      </c>
      <c r="J1600" s="9">
        <v>0.1</v>
      </c>
      <c r="K1600" s="7">
        <v>57319.79</v>
      </c>
      <c r="L1600" s="7">
        <v>5417.03</v>
      </c>
      <c r="M1600" s="3" t="s">
        <v>58</v>
      </c>
      <c r="N1600" s="3" t="str">
        <f t="shared" si="96"/>
        <v>2025-03</v>
      </c>
      <c r="O1600" s="3" t="str">
        <f t="shared" si="97"/>
        <v>1-10%</v>
      </c>
      <c r="P1600" s="9">
        <f t="shared" si="98"/>
        <v>9.4505405550159891E-2</v>
      </c>
      <c r="Q1600" s="3" t="str">
        <f t="shared" si="99"/>
        <v>No</v>
      </c>
    </row>
    <row r="1601" spans="1:17" ht="21" customHeight="1">
      <c r="A1601" s="3" t="s">
        <v>2281</v>
      </c>
      <c r="B1601" s="5">
        <v>45721</v>
      </c>
      <c r="C1601" s="3" t="s">
        <v>636</v>
      </c>
      <c r="D1601" s="3" t="s">
        <v>45</v>
      </c>
      <c r="E1601" s="3" t="s">
        <v>42</v>
      </c>
      <c r="F1601" s="3" t="s">
        <v>90</v>
      </c>
      <c r="G1601" s="3" t="s">
        <v>106</v>
      </c>
      <c r="H1601" s="3">
        <v>1</v>
      </c>
      <c r="I1601" s="7">
        <v>923.49</v>
      </c>
      <c r="J1601" s="9">
        <v>0.05</v>
      </c>
      <c r="K1601" s="7">
        <v>877.32</v>
      </c>
      <c r="L1601" s="7">
        <v>427.45</v>
      </c>
      <c r="M1601" s="3" t="s">
        <v>56</v>
      </c>
      <c r="N1601" s="3" t="str">
        <f t="shared" si="96"/>
        <v>2025-03</v>
      </c>
      <c r="O1601" s="3" t="str">
        <f t="shared" si="97"/>
        <v>1-10%</v>
      </c>
      <c r="P1601" s="9">
        <f t="shared" si="98"/>
        <v>0.48722245018921256</v>
      </c>
      <c r="Q1601" s="3" t="str">
        <f t="shared" si="99"/>
        <v>No</v>
      </c>
    </row>
    <row r="1602" spans="1:17" ht="21" customHeight="1">
      <c r="A1602" s="3" t="s">
        <v>2282</v>
      </c>
      <c r="B1602" s="5">
        <v>45721</v>
      </c>
      <c r="C1602" s="3" t="s">
        <v>1312</v>
      </c>
      <c r="D1602" s="3" t="s">
        <v>45</v>
      </c>
      <c r="E1602" s="3" t="s">
        <v>40</v>
      </c>
      <c r="F1602" s="3" t="s">
        <v>160</v>
      </c>
      <c r="G1602" s="3" t="s">
        <v>161</v>
      </c>
      <c r="H1602" s="3">
        <v>2</v>
      </c>
      <c r="I1602" s="7">
        <v>12353.43</v>
      </c>
      <c r="J1602" s="9">
        <v>0.3</v>
      </c>
      <c r="K1602" s="7">
        <v>17294.8</v>
      </c>
      <c r="L1602" s="7">
        <v>375.12</v>
      </c>
      <c r="M1602" s="3" t="s">
        <v>57</v>
      </c>
      <c r="N1602" s="3" t="str">
        <f t="shared" ref="N1602:N1665" si="100">TEXT(B1602,"yyyy-mm")</f>
        <v>2025-03</v>
      </c>
      <c r="O1602" s="3" t="str">
        <f t="shared" ref="O1602:O1665" si="101">IF(J1602=0,"No discount",IF(J1602&lt;=0.1,"1-10%",IF(J1602&lt;=0.15,"11-15%",IF(J1602&lt;=0.2,"16-20%","21%+"))))</f>
        <v>21%+</v>
      </c>
      <c r="P1602" s="9">
        <f t="shared" ref="P1602:P1665" si="102">IF(K1602=0,0,L1602/K1602)</f>
        <v>2.168975645858871E-2</v>
      </c>
      <c r="Q1602" s="3" t="str">
        <f t="shared" ref="Q1602:Q1665" si="103">IF(L1602&lt;0,"Yes","No")</f>
        <v>No</v>
      </c>
    </row>
    <row r="1603" spans="1:17" ht="21" customHeight="1">
      <c r="A1603" s="3" t="s">
        <v>2283</v>
      </c>
      <c r="B1603" s="5">
        <v>45722</v>
      </c>
      <c r="C1603" s="3" t="s">
        <v>609</v>
      </c>
      <c r="D1603" s="3" t="s">
        <v>45</v>
      </c>
      <c r="E1603" s="3" t="s">
        <v>42</v>
      </c>
      <c r="F1603" s="3" t="s">
        <v>126</v>
      </c>
      <c r="G1603" s="3" t="s">
        <v>127</v>
      </c>
      <c r="H1603" s="3">
        <v>1</v>
      </c>
      <c r="I1603" s="7">
        <v>1041.68</v>
      </c>
      <c r="J1603" s="9">
        <v>0.15</v>
      </c>
      <c r="K1603" s="7">
        <v>885.43</v>
      </c>
      <c r="L1603" s="7">
        <v>305.89</v>
      </c>
      <c r="M1603" s="3" t="s">
        <v>57</v>
      </c>
      <c r="N1603" s="3" t="str">
        <f t="shared" si="100"/>
        <v>2025-03</v>
      </c>
      <c r="O1603" s="3" t="str">
        <f t="shared" si="101"/>
        <v>11-15%</v>
      </c>
      <c r="P1603" s="9">
        <f t="shared" si="102"/>
        <v>0.34547056232564971</v>
      </c>
      <c r="Q1603" s="3" t="str">
        <f t="shared" si="103"/>
        <v>No</v>
      </c>
    </row>
    <row r="1604" spans="1:17" ht="21" customHeight="1">
      <c r="A1604" s="3" t="s">
        <v>2284</v>
      </c>
      <c r="B1604" s="5">
        <v>45722</v>
      </c>
      <c r="C1604" s="3" t="s">
        <v>495</v>
      </c>
      <c r="D1604" s="3" t="s">
        <v>47</v>
      </c>
      <c r="E1604" s="3" t="s">
        <v>39</v>
      </c>
      <c r="F1604" s="3" t="s">
        <v>109</v>
      </c>
      <c r="G1604" s="3" t="s">
        <v>355</v>
      </c>
      <c r="H1604" s="3">
        <v>1</v>
      </c>
      <c r="I1604" s="7">
        <v>3356.76</v>
      </c>
      <c r="J1604" s="9">
        <v>0.1</v>
      </c>
      <c r="K1604" s="7">
        <v>3021.08</v>
      </c>
      <c r="L1604" s="7">
        <v>879.34</v>
      </c>
      <c r="M1604" s="3" t="s">
        <v>59</v>
      </c>
      <c r="N1604" s="3" t="str">
        <f t="shared" si="100"/>
        <v>2025-03</v>
      </c>
      <c r="O1604" s="3" t="str">
        <f t="shared" si="101"/>
        <v>1-10%</v>
      </c>
      <c r="P1604" s="9">
        <f t="shared" si="102"/>
        <v>0.29106809485349611</v>
      </c>
      <c r="Q1604" s="3" t="str">
        <f t="shared" si="103"/>
        <v>No</v>
      </c>
    </row>
    <row r="1605" spans="1:17" ht="21" customHeight="1">
      <c r="A1605" s="3" t="s">
        <v>2285</v>
      </c>
      <c r="B1605" s="5">
        <v>45723</v>
      </c>
      <c r="C1605" s="3" t="s">
        <v>320</v>
      </c>
      <c r="D1605" s="3" t="s">
        <v>44</v>
      </c>
      <c r="E1605" s="3" t="s">
        <v>38</v>
      </c>
      <c r="F1605" s="3" t="s">
        <v>142</v>
      </c>
      <c r="G1605" s="3" t="s">
        <v>245</v>
      </c>
      <c r="H1605" s="3">
        <v>1</v>
      </c>
      <c r="I1605" s="7">
        <v>4936.24</v>
      </c>
      <c r="J1605" s="9">
        <v>0.05</v>
      </c>
      <c r="K1605" s="7">
        <v>4689.43</v>
      </c>
      <c r="L1605" s="7">
        <v>497.17</v>
      </c>
      <c r="M1605" s="3" t="s">
        <v>56</v>
      </c>
      <c r="N1605" s="3" t="str">
        <f t="shared" si="100"/>
        <v>2025-03</v>
      </c>
      <c r="O1605" s="3" t="str">
        <f t="shared" si="101"/>
        <v>1-10%</v>
      </c>
      <c r="P1605" s="9">
        <f t="shared" si="102"/>
        <v>0.10601928166109741</v>
      </c>
      <c r="Q1605" s="3" t="str">
        <f t="shared" si="103"/>
        <v>No</v>
      </c>
    </row>
    <row r="1606" spans="1:17" ht="21" customHeight="1">
      <c r="A1606" s="3" t="s">
        <v>2286</v>
      </c>
      <c r="B1606" s="5">
        <v>45723</v>
      </c>
      <c r="C1606" s="3" t="s">
        <v>253</v>
      </c>
      <c r="D1606" s="3" t="s">
        <v>44</v>
      </c>
      <c r="E1606" s="3" t="s">
        <v>38</v>
      </c>
      <c r="F1606" s="3" t="s">
        <v>142</v>
      </c>
      <c r="G1606" s="3" t="s">
        <v>245</v>
      </c>
      <c r="H1606" s="3">
        <v>1</v>
      </c>
      <c r="I1606" s="7">
        <v>4869.08</v>
      </c>
      <c r="J1606" s="9">
        <v>0.2</v>
      </c>
      <c r="K1606" s="7">
        <v>3895.26</v>
      </c>
      <c r="L1606" s="7">
        <v>-313.16000000000003</v>
      </c>
      <c r="M1606" s="3" t="s">
        <v>58</v>
      </c>
      <c r="N1606" s="3" t="str">
        <f t="shared" si="100"/>
        <v>2025-03</v>
      </c>
      <c r="O1606" s="3" t="str">
        <f t="shared" si="101"/>
        <v>16-20%</v>
      </c>
      <c r="P1606" s="9">
        <f t="shared" si="102"/>
        <v>-8.0395146922156671E-2</v>
      </c>
      <c r="Q1606" s="3" t="str">
        <f t="shared" si="103"/>
        <v>Yes</v>
      </c>
    </row>
    <row r="1607" spans="1:17" ht="21" customHeight="1">
      <c r="A1607" s="3" t="s">
        <v>2287</v>
      </c>
      <c r="B1607" s="5">
        <v>45724</v>
      </c>
      <c r="C1607" s="3" t="s">
        <v>1454</v>
      </c>
      <c r="D1607" s="3" t="s">
        <v>47</v>
      </c>
      <c r="E1607" s="3" t="s">
        <v>38</v>
      </c>
      <c r="F1607" s="3" t="s">
        <v>98</v>
      </c>
      <c r="G1607" s="3" t="s">
        <v>182</v>
      </c>
      <c r="H1607" s="3">
        <v>1</v>
      </c>
      <c r="I1607" s="7">
        <v>71654.27</v>
      </c>
      <c r="J1607" s="9">
        <v>0</v>
      </c>
      <c r="K1607" s="7">
        <v>71654.27</v>
      </c>
      <c r="L1607" s="7">
        <v>13910.67</v>
      </c>
      <c r="M1607" s="3" t="s">
        <v>56</v>
      </c>
      <c r="N1607" s="3" t="str">
        <f t="shared" si="100"/>
        <v>2025-03</v>
      </c>
      <c r="O1607" s="3" t="str">
        <f t="shared" si="101"/>
        <v>No discount</v>
      </c>
      <c r="P1607" s="9">
        <f t="shared" si="102"/>
        <v>0.19413595309811962</v>
      </c>
      <c r="Q1607" s="3" t="str">
        <f t="shared" si="103"/>
        <v>No</v>
      </c>
    </row>
    <row r="1608" spans="1:17" ht="21" customHeight="1">
      <c r="A1608" s="3" t="s">
        <v>2288</v>
      </c>
      <c r="B1608" s="5">
        <v>45725</v>
      </c>
      <c r="C1608" s="3" t="s">
        <v>858</v>
      </c>
      <c r="D1608" s="3" t="s">
        <v>44</v>
      </c>
      <c r="E1608" s="3" t="s">
        <v>42</v>
      </c>
      <c r="F1608" s="3" t="s">
        <v>90</v>
      </c>
      <c r="G1608" s="3" t="s">
        <v>91</v>
      </c>
      <c r="H1608" s="3">
        <v>1</v>
      </c>
      <c r="I1608" s="7">
        <v>1233.72</v>
      </c>
      <c r="J1608" s="9">
        <v>0.15</v>
      </c>
      <c r="K1608" s="7">
        <v>1048.6600000000001</v>
      </c>
      <c r="L1608" s="7">
        <v>436.02</v>
      </c>
      <c r="M1608" s="3" t="s">
        <v>56</v>
      </c>
      <c r="N1608" s="3" t="str">
        <f t="shared" si="100"/>
        <v>2025-03</v>
      </c>
      <c r="O1608" s="3" t="str">
        <f t="shared" si="101"/>
        <v>11-15%</v>
      </c>
      <c r="P1608" s="9">
        <f t="shared" si="102"/>
        <v>0.4157877672458184</v>
      </c>
      <c r="Q1608" s="3" t="str">
        <f t="shared" si="103"/>
        <v>No</v>
      </c>
    </row>
    <row r="1609" spans="1:17" ht="21" customHeight="1">
      <c r="A1609" s="3" t="s">
        <v>2289</v>
      </c>
      <c r="B1609" s="5">
        <v>45725</v>
      </c>
      <c r="C1609" s="3" t="s">
        <v>620</v>
      </c>
      <c r="D1609" s="3" t="s">
        <v>44</v>
      </c>
      <c r="E1609" s="3" t="s">
        <v>41</v>
      </c>
      <c r="F1609" s="3" t="s">
        <v>113</v>
      </c>
      <c r="G1609" s="3" t="s">
        <v>123</v>
      </c>
      <c r="H1609" s="3">
        <v>2</v>
      </c>
      <c r="I1609" s="7">
        <v>3479.77</v>
      </c>
      <c r="J1609" s="9">
        <v>0.1</v>
      </c>
      <c r="K1609" s="7">
        <v>6263.59</v>
      </c>
      <c r="L1609" s="7">
        <v>1723.69</v>
      </c>
      <c r="M1609" s="3" t="s">
        <v>57</v>
      </c>
      <c r="N1609" s="3" t="str">
        <f t="shared" si="100"/>
        <v>2025-03</v>
      </c>
      <c r="O1609" s="3" t="str">
        <f t="shared" si="101"/>
        <v>1-10%</v>
      </c>
      <c r="P1609" s="9">
        <f t="shared" si="102"/>
        <v>0.27519202246634916</v>
      </c>
      <c r="Q1609" s="3" t="str">
        <f t="shared" si="103"/>
        <v>No</v>
      </c>
    </row>
    <row r="1610" spans="1:17" ht="21" customHeight="1">
      <c r="A1610" s="3" t="s">
        <v>2290</v>
      </c>
      <c r="B1610" s="5">
        <v>45726</v>
      </c>
      <c r="C1610" s="3" t="s">
        <v>2291</v>
      </c>
      <c r="D1610" s="3" t="s">
        <v>46</v>
      </c>
      <c r="E1610" s="3" t="s">
        <v>38</v>
      </c>
      <c r="F1610" s="3" t="s">
        <v>98</v>
      </c>
      <c r="G1610" s="3" t="s">
        <v>182</v>
      </c>
      <c r="H1610" s="3">
        <v>1</v>
      </c>
      <c r="I1610" s="7">
        <v>73350.02</v>
      </c>
      <c r="J1610" s="9">
        <v>0</v>
      </c>
      <c r="K1610" s="7">
        <v>73350.02</v>
      </c>
      <c r="L1610" s="7">
        <v>15167.74</v>
      </c>
      <c r="M1610" s="3" t="s">
        <v>60</v>
      </c>
      <c r="N1610" s="3" t="str">
        <f t="shared" si="100"/>
        <v>2025-03</v>
      </c>
      <c r="O1610" s="3" t="str">
        <f t="shared" si="101"/>
        <v>No discount</v>
      </c>
      <c r="P1610" s="9">
        <f t="shared" si="102"/>
        <v>0.20678576502092294</v>
      </c>
      <c r="Q1610" s="3" t="str">
        <f t="shared" si="103"/>
        <v>No</v>
      </c>
    </row>
    <row r="1611" spans="1:17" ht="21" customHeight="1">
      <c r="A1611" s="3" t="s">
        <v>2292</v>
      </c>
      <c r="B1611" s="5">
        <v>45726</v>
      </c>
      <c r="C1611" s="3" t="s">
        <v>450</v>
      </c>
      <c r="D1611" s="3" t="s">
        <v>46</v>
      </c>
      <c r="E1611" s="3" t="s">
        <v>42</v>
      </c>
      <c r="F1611" s="3" t="s">
        <v>126</v>
      </c>
      <c r="G1611" s="3" t="s">
        <v>127</v>
      </c>
      <c r="H1611" s="3">
        <v>1</v>
      </c>
      <c r="I1611" s="7">
        <v>1023.67</v>
      </c>
      <c r="J1611" s="9">
        <v>0</v>
      </c>
      <c r="K1611" s="7">
        <v>1023.67</v>
      </c>
      <c r="L1611" s="7">
        <v>531.66999999999996</v>
      </c>
      <c r="M1611" s="3" t="s">
        <v>56</v>
      </c>
      <c r="N1611" s="3" t="str">
        <f t="shared" si="100"/>
        <v>2025-03</v>
      </c>
      <c r="O1611" s="3" t="str">
        <f t="shared" si="101"/>
        <v>No discount</v>
      </c>
      <c r="P1611" s="9">
        <f t="shared" si="102"/>
        <v>0.51937636152275635</v>
      </c>
      <c r="Q1611" s="3" t="str">
        <f t="shared" si="103"/>
        <v>No</v>
      </c>
    </row>
    <row r="1612" spans="1:17" ht="21" customHeight="1">
      <c r="A1612" s="3" t="s">
        <v>2293</v>
      </c>
      <c r="B1612" s="5">
        <v>45726</v>
      </c>
      <c r="C1612" s="3" t="s">
        <v>1967</v>
      </c>
      <c r="D1612" s="3" t="s">
        <v>47</v>
      </c>
      <c r="E1612" s="3" t="s">
        <v>39</v>
      </c>
      <c r="F1612" s="3" t="s">
        <v>109</v>
      </c>
      <c r="G1612" s="3" t="s">
        <v>355</v>
      </c>
      <c r="H1612" s="3">
        <v>2</v>
      </c>
      <c r="I1612" s="7">
        <v>3429.69</v>
      </c>
      <c r="J1612" s="9">
        <v>0.3</v>
      </c>
      <c r="K1612" s="7">
        <v>4801.57</v>
      </c>
      <c r="L1612" s="7">
        <v>470.54</v>
      </c>
      <c r="M1612" s="3" t="s">
        <v>56</v>
      </c>
      <c r="N1612" s="3" t="str">
        <f t="shared" si="100"/>
        <v>2025-03</v>
      </c>
      <c r="O1612" s="3" t="str">
        <f t="shared" si="101"/>
        <v>21%+</v>
      </c>
      <c r="P1612" s="9">
        <f t="shared" si="102"/>
        <v>9.7997113444144315E-2</v>
      </c>
      <c r="Q1612" s="3" t="str">
        <f t="shared" si="103"/>
        <v>No</v>
      </c>
    </row>
    <row r="1613" spans="1:17" ht="21" customHeight="1">
      <c r="A1613" s="3" t="s">
        <v>2294</v>
      </c>
      <c r="B1613" s="5">
        <v>45727</v>
      </c>
      <c r="C1613" s="3" t="s">
        <v>836</v>
      </c>
      <c r="D1613" s="3" t="s">
        <v>45</v>
      </c>
      <c r="E1613" s="3" t="s">
        <v>39</v>
      </c>
      <c r="F1613" s="3" t="s">
        <v>130</v>
      </c>
      <c r="G1613" s="3" t="s">
        <v>131</v>
      </c>
      <c r="H1613" s="3">
        <v>1</v>
      </c>
      <c r="I1613" s="7">
        <v>2240.7199999999998</v>
      </c>
      <c r="J1613" s="9">
        <v>0.15</v>
      </c>
      <c r="K1613" s="7">
        <v>1904.61</v>
      </c>
      <c r="L1613" s="7">
        <v>401.61</v>
      </c>
      <c r="M1613" s="3" t="s">
        <v>57</v>
      </c>
      <c r="N1613" s="3" t="str">
        <f t="shared" si="100"/>
        <v>2025-03</v>
      </c>
      <c r="O1613" s="3" t="str">
        <f t="shared" si="101"/>
        <v>11-15%</v>
      </c>
      <c r="P1613" s="9">
        <f t="shared" si="102"/>
        <v>0.21086206624978343</v>
      </c>
      <c r="Q1613" s="3" t="str">
        <f t="shared" si="103"/>
        <v>No</v>
      </c>
    </row>
    <row r="1614" spans="1:17" ht="21" customHeight="1">
      <c r="A1614" s="3" t="s">
        <v>2295</v>
      </c>
      <c r="B1614" s="5">
        <v>45727</v>
      </c>
      <c r="C1614" s="3" t="s">
        <v>2043</v>
      </c>
      <c r="D1614" s="3" t="s">
        <v>47</v>
      </c>
      <c r="E1614" s="3" t="s">
        <v>38</v>
      </c>
      <c r="F1614" s="3" t="s">
        <v>142</v>
      </c>
      <c r="G1614" s="3" t="s">
        <v>143</v>
      </c>
      <c r="H1614" s="3">
        <v>3</v>
      </c>
      <c r="I1614" s="7">
        <v>8929.8700000000008</v>
      </c>
      <c r="J1614" s="9">
        <v>0.05</v>
      </c>
      <c r="K1614" s="7">
        <v>25450.13</v>
      </c>
      <c r="L1614" s="7">
        <v>3569.46</v>
      </c>
      <c r="M1614" s="3" t="s">
        <v>56</v>
      </c>
      <c r="N1614" s="3" t="str">
        <f t="shared" si="100"/>
        <v>2025-03</v>
      </c>
      <c r="O1614" s="3" t="str">
        <f t="shared" si="101"/>
        <v>1-10%</v>
      </c>
      <c r="P1614" s="9">
        <f t="shared" si="102"/>
        <v>0.14025311462063259</v>
      </c>
      <c r="Q1614" s="3" t="str">
        <f t="shared" si="103"/>
        <v>No</v>
      </c>
    </row>
    <row r="1615" spans="1:17" ht="21" customHeight="1">
      <c r="A1615" s="3" t="s">
        <v>2296</v>
      </c>
      <c r="B1615" s="5">
        <v>45728</v>
      </c>
      <c r="C1615" s="3" t="s">
        <v>1295</v>
      </c>
      <c r="D1615" s="3" t="s">
        <v>45</v>
      </c>
      <c r="E1615" s="3" t="s">
        <v>39</v>
      </c>
      <c r="F1615" s="3" t="s">
        <v>109</v>
      </c>
      <c r="G1615" s="3" t="s">
        <v>355</v>
      </c>
      <c r="H1615" s="3">
        <v>4</v>
      </c>
      <c r="I1615" s="7">
        <v>3428.09</v>
      </c>
      <c r="J1615" s="9">
        <v>0</v>
      </c>
      <c r="K1615" s="7">
        <v>13712.36</v>
      </c>
      <c r="L1615" s="7">
        <v>5584.9</v>
      </c>
      <c r="M1615" s="3" t="s">
        <v>59</v>
      </c>
      <c r="N1615" s="3" t="str">
        <f t="shared" si="100"/>
        <v>2025-03</v>
      </c>
      <c r="O1615" s="3" t="str">
        <f t="shared" si="101"/>
        <v>No discount</v>
      </c>
      <c r="P1615" s="9">
        <f t="shared" si="102"/>
        <v>0.40728948189808317</v>
      </c>
      <c r="Q1615" s="3" t="str">
        <f t="shared" si="103"/>
        <v>No</v>
      </c>
    </row>
    <row r="1616" spans="1:17" ht="21" customHeight="1">
      <c r="A1616" s="3" t="s">
        <v>2297</v>
      </c>
      <c r="B1616" s="5">
        <v>45728</v>
      </c>
      <c r="C1616" s="3" t="s">
        <v>1179</v>
      </c>
      <c r="D1616" s="3" t="s">
        <v>44</v>
      </c>
      <c r="E1616" s="3" t="s">
        <v>38</v>
      </c>
      <c r="F1616" s="3" t="s">
        <v>142</v>
      </c>
      <c r="G1616" s="3" t="s">
        <v>143</v>
      </c>
      <c r="H1616" s="3">
        <v>2</v>
      </c>
      <c r="I1616" s="7">
        <v>9116.2999999999993</v>
      </c>
      <c r="J1616" s="9">
        <v>0.05</v>
      </c>
      <c r="K1616" s="7">
        <v>17320.97</v>
      </c>
      <c r="L1616" s="7">
        <v>2708.6</v>
      </c>
      <c r="M1616" s="3" t="s">
        <v>57</v>
      </c>
      <c r="N1616" s="3" t="str">
        <f t="shared" si="100"/>
        <v>2025-03</v>
      </c>
      <c r="O1616" s="3" t="str">
        <f t="shared" si="101"/>
        <v>1-10%</v>
      </c>
      <c r="P1616" s="9">
        <f t="shared" si="102"/>
        <v>0.15637692346329332</v>
      </c>
      <c r="Q1616" s="3" t="str">
        <f t="shared" si="103"/>
        <v>No</v>
      </c>
    </row>
    <row r="1617" spans="1:17" ht="21" customHeight="1">
      <c r="A1617" s="3" t="s">
        <v>2298</v>
      </c>
      <c r="B1617" s="5">
        <v>45729</v>
      </c>
      <c r="C1617" s="3" t="s">
        <v>1013</v>
      </c>
      <c r="D1617" s="3" t="s">
        <v>44</v>
      </c>
      <c r="E1617" s="3" t="s">
        <v>38</v>
      </c>
      <c r="F1617" s="3" t="s">
        <v>98</v>
      </c>
      <c r="G1617" s="3" t="s">
        <v>99</v>
      </c>
      <c r="H1617" s="3">
        <v>2</v>
      </c>
      <c r="I1617" s="7">
        <v>24188.49</v>
      </c>
      <c r="J1617" s="9">
        <v>0.15</v>
      </c>
      <c r="K1617" s="7">
        <v>41120.43</v>
      </c>
      <c r="L1617" s="7">
        <v>1899.3</v>
      </c>
      <c r="M1617" s="3" t="s">
        <v>58</v>
      </c>
      <c r="N1617" s="3" t="str">
        <f t="shared" si="100"/>
        <v>2025-03</v>
      </c>
      <c r="O1617" s="3" t="str">
        <f t="shared" si="101"/>
        <v>11-15%</v>
      </c>
      <c r="P1617" s="9">
        <f t="shared" si="102"/>
        <v>4.6188719330026461E-2</v>
      </c>
      <c r="Q1617" s="3" t="str">
        <f t="shared" si="103"/>
        <v>No</v>
      </c>
    </row>
    <row r="1618" spans="1:17" ht="21" customHeight="1">
      <c r="A1618" s="3" t="s">
        <v>2299</v>
      </c>
      <c r="B1618" s="5">
        <v>45730</v>
      </c>
      <c r="C1618" s="3" t="s">
        <v>1193</v>
      </c>
      <c r="D1618" s="3" t="s">
        <v>46</v>
      </c>
      <c r="E1618" s="3" t="s">
        <v>41</v>
      </c>
      <c r="F1618" s="3" t="s">
        <v>119</v>
      </c>
      <c r="G1618" s="3" t="s">
        <v>168</v>
      </c>
      <c r="H1618" s="3">
        <v>1</v>
      </c>
      <c r="I1618" s="7">
        <v>10458.719999999999</v>
      </c>
      <c r="J1618" s="9">
        <v>0.15</v>
      </c>
      <c r="K1618" s="7">
        <v>8889.91</v>
      </c>
      <c r="L1618" s="7">
        <v>1505.36</v>
      </c>
      <c r="M1618" s="3" t="s">
        <v>57</v>
      </c>
      <c r="N1618" s="3" t="str">
        <f t="shared" si="100"/>
        <v>2025-03</v>
      </c>
      <c r="O1618" s="3" t="str">
        <f t="shared" si="101"/>
        <v>11-15%</v>
      </c>
      <c r="P1618" s="9">
        <f t="shared" si="102"/>
        <v>0.16933354780869547</v>
      </c>
      <c r="Q1618" s="3" t="str">
        <f t="shared" si="103"/>
        <v>No</v>
      </c>
    </row>
    <row r="1619" spans="1:17" ht="21" customHeight="1">
      <c r="A1619" s="3" t="s">
        <v>2300</v>
      </c>
      <c r="B1619" s="5">
        <v>45730</v>
      </c>
      <c r="C1619" s="3" t="s">
        <v>270</v>
      </c>
      <c r="D1619" s="3" t="s">
        <v>46</v>
      </c>
      <c r="E1619" s="3" t="s">
        <v>41</v>
      </c>
      <c r="F1619" s="3" t="s">
        <v>113</v>
      </c>
      <c r="G1619" s="3" t="s">
        <v>123</v>
      </c>
      <c r="H1619" s="3">
        <v>1</v>
      </c>
      <c r="I1619" s="7">
        <v>3365.43</v>
      </c>
      <c r="J1619" s="9">
        <v>0.15</v>
      </c>
      <c r="K1619" s="7">
        <v>2860.62</v>
      </c>
      <c r="L1619" s="7">
        <v>546.83000000000004</v>
      </c>
      <c r="M1619" s="3" t="s">
        <v>56</v>
      </c>
      <c r="N1619" s="3" t="str">
        <f t="shared" si="100"/>
        <v>2025-03</v>
      </c>
      <c r="O1619" s="3" t="str">
        <f t="shared" si="101"/>
        <v>11-15%</v>
      </c>
      <c r="P1619" s="9">
        <f t="shared" si="102"/>
        <v>0.19115786088330505</v>
      </c>
      <c r="Q1619" s="3" t="str">
        <f t="shared" si="103"/>
        <v>No</v>
      </c>
    </row>
    <row r="1620" spans="1:17" ht="21" customHeight="1">
      <c r="A1620" s="3" t="s">
        <v>2301</v>
      </c>
      <c r="B1620" s="5">
        <v>45731</v>
      </c>
      <c r="C1620" s="3" t="s">
        <v>2130</v>
      </c>
      <c r="D1620" s="3" t="s">
        <v>45</v>
      </c>
      <c r="E1620" s="3" t="s">
        <v>38</v>
      </c>
      <c r="F1620" s="3" t="s">
        <v>142</v>
      </c>
      <c r="G1620" s="3" t="s">
        <v>143</v>
      </c>
      <c r="H1620" s="3">
        <v>2</v>
      </c>
      <c r="I1620" s="7">
        <v>8752.15</v>
      </c>
      <c r="J1620" s="9">
        <v>0.15</v>
      </c>
      <c r="K1620" s="7">
        <v>14878.65</v>
      </c>
      <c r="L1620" s="7">
        <v>138.46</v>
      </c>
      <c r="M1620" s="3" t="s">
        <v>57</v>
      </c>
      <c r="N1620" s="3" t="str">
        <f t="shared" si="100"/>
        <v>2025-03</v>
      </c>
      <c r="O1620" s="3" t="str">
        <f t="shared" si="101"/>
        <v>11-15%</v>
      </c>
      <c r="P1620" s="9">
        <f t="shared" si="102"/>
        <v>9.3059518168651066E-3</v>
      </c>
      <c r="Q1620" s="3" t="str">
        <f t="shared" si="103"/>
        <v>No</v>
      </c>
    </row>
    <row r="1621" spans="1:17" ht="21" customHeight="1">
      <c r="A1621" s="3" t="s">
        <v>2302</v>
      </c>
      <c r="B1621" s="5">
        <v>45731</v>
      </c>
      <c r="C1621" s="3" t="s">
        <v>1103</v>
      </c>
      <c r="D1621" s="3" t="s">
        <v>47</v>
      </c>
      <c r="E1621" s="3" t="s">
        <v>39</v>
      </c>
      <c r="F1621" s="3" t="s">
        <v>130</v>
      </c>
      <c r="G1621" s="3" t="s">
        <v>131</v>
      </c>
      <c r="H1621" s="3">
        <v>1</v>
      </c>
      <c r="I1621" s="7">
        <v>2307.37</v>
      </c>
      <c r="J1621" s="9">
        <v>0.3</v>
      </c>
      <c r="K1621" s="7">
        <v>1615.16</v>
      </c>
      <c r="L1621" s="7">
        <v>87.78</v>
      </c>
      <c r="M1621" s="3" t="s">
        <v>56</v>
      </c>
      <c r="N1621" s="3" t="str">
        <f t="shared" si="100"/>
        <v>2025-03</v>
      </c>
      <c r="O1621" s="3" t="str">
        <f t="shared" si="101"/>
        <v>21%+</v>
      </c>
      <c r="P1621" s="9">
        <f t="shared" si="102"/>
        <v>5.4347556898387772E-2</v>
      </c>
      <c r="Q1621" s="3" t="str">
        <f t="shared" si="103"/>
        <v>No</v>
      </c>
    </row>
    <row r="1622" spans="1:17" ht="21" customHeight="1">
      <c r="A1622" s="3" t="s">
        <v>2303</v>
      </c>
      <c r="B1622" s="5">
        <v>45731</v>
      </c>
      <c r="C1622" s="3" t="s">
        <v>940</v>
      </c>
      <c r="D1622" s="3" t="s">
        <v>44</v>
      </c>
      <c r="E1622" s="3" t="s">
        <v>42</v>
      </c>
      <c r="F1622" s="3" t="s">
        <v>90</v>
      </c>
      <c r="G1622" s="3" t="s">
        <v>91</v>
      </c>
      <c r="H1622" s="3">
        <v>3</v>
      </c>
      <c r="I1622" s="7">
        <v>1229.27</v>
      </c>
      <c r="J1622" s="9">
        <v>0.05</v>
      </c>
      <c r="K1622" s="7">
        <v>3503.42</v>
      </c>
      <c r="L1622" s="7">
        <v>1851.56</v>
      </c>
      <c r="M1622" s="3" t="s">
        <v>57</v>
      </c>
      <c r="N1622" s="3" t="str">
        <f t="shared" si="100"/>
        <v>2025-03</v>
      </c>
      <c r="O1622" s="3" t="str">
        <f t="shared" si="101"/>
        <v>1-10%</v>
      </c>
      <c r="P1622" s="9">
        <f t="shared" si="102"/>
        <v>0.52850072215149768</v>
      </c>
      <c r="Q1622" s="3" t="str">
        <f t="shared" si="103"/>
        <v>No</v>
      </c>
    </row>
    <row r="1623" spans="1:17" ht="21" customHeight="1">
      <c r="A1623" s="3" t="s">
        <v>2304</v>
      </c>
      <c r="B1623" s="5">
        <v>45731</v>
      </c>
      <c r="C1623" s="3" t="s">
        <v>568</v>
      </c>
      <c r="D1623" s="3" t="s">
        <v>44</v>
      </c>
      <c r="E1623" s="3" t="s">
        <v>39</v>
      </c>
      <c r="F1623" s="3" t="s">
        <v>130</v>
      </c>
      <c r="G1623" s="3" t="s">
        <v>131</v>
      </c>
      <c r="H1623" s="3">
        <v>1</v>
      </c>
      <c r="I1623" s="7">
        <v>2094.4899999999998</v>
      </c>
      <c r="J1623" s="9">
        <v>0.25</v>
      </c>
      <c r="K1623" s="7">
        <v>1570.87</v>
      </c>
      <c r="L1623" s="7">
        <v>244.44</v>
      </c>
      <c r="M1623" s="3" t="s">
        <v>60</v>
      </c>
      <c r="N1623" s="3" t="str">
        <f t="shared" si="100"/>
        <v>2025-03</v>
      </c>
      <c r="O1623" s="3" t="str">
        <f t="shared" si="101"/>
        <v>21%+</v>
      </c>
      <c r="P1623" s="9">
        <f t="shared" si="102"/>
        <v>0.15560803885744842</v>
      </c>
      <c r="Q1623" s="3" t="str">
        <f t="shared" si="103"/>
        <v>No</v>
      </c>
    </row>
    <row r="1624" spans="1:17" ht="21" customHeight="1">
      <c r="A1624" s="3" t="s">
        <v>2305</v>
      </c>
      <c r="B1624" s="5">
        <v>45732</v>
      </c>
      <c r="C1624" s="3" t="s">
        <v>502</v>
      </c>
      <c r="D1624" s="3" t="s">
        <v>45</v>
      </c>
      <c r="E1624" s="3" t="s">
        <v>42</v>
      </c>
      <c r="F1624" s="3" t="s">
        <v>126</v>
      </c>
      <c r="G1624" s="3" t="s">
        <v>127</v>
      </c>
      <c r="H1624" s="3">
        <v>3</v>
      </c>
      <c r="I1624" s="7">
        <v>1014.46</v>
      </c>
      <c r="J1624" s="9">
        <v>0</v>
      </c>
      <c r="K1624" s="7">
        <v>3043.38</v>
      </c>
      <c r="L1624" s="7">
        <v>1765.82</v>
      </c>
      <c r="M1624" s="3" t="s">
        <v>59</v>
      </c>
      <c r="N1624" s="3" t="str">
        <f t="shared" si="100"/>
        <v>2025-03</v>
      </c>
      <c r="O1624" s="3" t="str">
        <f t="shared" si="101"/>
        <v>No discount</v>
      </c>
      <c r="P1624" s="9">
        <f t="shared" si="102"/>
        <v>0.58021673271165608</v>
      </c>
      <c r="Q1624" s="3" t="str">
        <f t="shared" si="103"/>
        <v>No</v>
      </c>
    </row>
    <row r="1625" spans="1:17" ht="21" customHeight="1">
      <c r="A1625" s="3" t="s">
        <v>2306</v>
      </c>
      <c r="B1625" s="5">
        <v>45732</v>
      </c>
      <c r="C1625" s="3" t="s">
        <v>228</v>
      </c>
      <c r="D1625" s="3" t="s">
        <v>46</v>
      </c>
      <c r="E1625" s="3" t="s">
        <v>38</v>
      </c>
      <c r="F1625" s="3" t="s">
        <v>94</v>
      </c>
      <c r="G1625" s="3" t="s">
        <v>95</v>
      </c>
      <c r="H1625" s="3">
        <v>2</v>
      </c>
      <c r="I1625" s="7">
        <v>78541.149999999994</v>
      </c>
      <c r="J1625" s="9">
        <v>0.05</v>
      </c>
      <c r="K1625" s="7">
        <v>149228.18</v>
      </c>
      <c r="L1625" s="7">
        <v>15572.46</v>
      </c>
      <c r="M1625" s="3" t="s">
        <v>56</v>
      </c>
      <c r="N1625" s="3" t="str">
        <f t="shared" si="100"/>
        <v>2025-03</v>
      </c>
      <c r="O1625" s="3" t="str">
        <f t="shared" si="101"/>
        <v>1-10%</v>
      </c>
      <c r="P1625" s="9">
        <f t="shared" si="102"/>
        <v>0.10435334666682929</v>
      </c>
      <c r="Q1625" s="3" t="str">
        <f t="shared" si="103"/>
        <v>No</v>
      </c>
    </row>
    <row r="1626" spans="1:17" ht="21" customHeight="1">
      <c r="A1626" s="3" t="s">
        <v>2307</v>
      </c>
      <c r="B1626" s="5">
        <v>45732</v>
      </c>
      <c r="C1626" s="3" t="s">
        <v>1191</v>
      </c>
      <c r="D1626" s="3" t="s">
        <v>47</v>
      </c>
      <c r="E1626" s="3" t="s">
        <v>38</v>
      </c>
      <c r="F1626" s="3" t="s">
        <v>142</v>
      </c>
      <c r="G1626" s="3" t="s">
        <v>143</v>
      </c>
      <c r="H1626" s="3">
        <v>1</v>
      </c>
      <c r="I1626" s="7">
        <v>8604.5</v>
      </c>
      <c r="J1626" s="9">
        <v>0</v>
      </c>
      <c r="K1626" s="7">
        <v>8604.5</v>
      </c>
      <c r="L1626" s="7">
        <v>1544.63</v>
      </c>
      <c r="M1626" s="3" t="s">
        <v>56</v>
      </c>
      <c r="N1626" s="3" t="str">
        <f t="shared" si="100"/>
        <v>2025-03</v>
      </c>
      <c r="O1626" s="3" t="str">
        <f t="shared" si="101"/>
        <v>No discount</v>
      </c>
      <c r="P1626" s="9">
        <f t="shared" si="102"/>
        <v>0.17951420768202686</v>
      </c>
      <c r="Q1626" s="3" t="str">
        <f t="shared" si="103"/>
        <v>No</v>
      </c>
    </row>
    <row r="1627" spans="1:17" ht="21" customHeight="1">
      <c r="A1627" s="3" t="s">
        <v>2308</v>
      </c>
      <c r="B1627" s="5">
        <v>45732</v>
      </c>
      <c r="C1627" s="3" t="s">
        <v>999</v>
      </c>
      <c r="D1627" s="3" t="s">
        <v>46</v>
      </c>
      <c r="E1627" s="3" t="s">
        <v>42</v>
      </c>
      <c r="F1627" s="3" t="s">
        <v>126</v>
      </c>
      <c r="G1627" s="3" t="s">
        <v>127</v>
      </c>
      <c r="H1627" s="3">
        <v>1</v>
      </c>
      <c r="I1627" s="7">
        <v>1010.86</v>
      </c>
      <c r="J1627" s="9">
        <v>0</v>
      </c>
      <c r="K1627" s="7">
        <v>1010.86</v>
      </c>
      <c r="L1627" s="7">
        <v>572.5</v>
      </c>
      <c r="M1627" s="3" t="s">
        <v>57</v>
      </c>
      <c r="N1627" s="3" t="str">
        <f t="shared" si="100"/>
        <v>2025-03</v>
      </c>
      <c r="O1627" s="3" t="str">
        <f t="shared" si="101"/>
        <v>No discount</v>
      </c>
      <c r="P1627" s="9">
        <f t="shared" si="102"/>
        <v>0.56634944502700668</v>
      </c>
      <c r="Q1627" s="3" t="str">
        <f t="shared" si="103"/>
        <v>No</v>
      </c>
    </row>
    <row r="1628" spans="1:17" ht="21" customHeight="1">
      <c r="A1628" s="3" t="s">
        <v>2309</v>
      </c>
      <c r="B1628" s="5">
        <v>45732</v>
      </c>
      <c r="C1628" s="3" t="s">
        <v>283</v>
      </c>
      <c r="D1628" s="3" t="s">
        <v>45</v>
      </c>
      <c r="E1628" s="3" t="s">
        <v>38</v>
      </c>
      <c r="F1628" s="3" t="s">
        <v>142</v>
      </c>
      <c r="G1628" s="3" t="s">
        <v>245</v>
      </c>
      <c r="H1628" s="3">
        <v>2</v>
      </c>
      <c r="I1628" s="7">
        <v>4900.28</v>
      </c>
      <c r="J1628" s="9">
        <v>0.3</v>
      </c>
      <c r="K1628" s="7">
        <v>6860.39</v>
      </c>
      <c r="L1628" s="7">
        <v>-1108.51</v>
      </c>
      <c r="M1628" s="3" t="s">
        <v>57</v>
      </c>
      <c r="N1628" s="3" t="str">
        <f t="shared" si="100"/>
        <v>2025-03</v>
      </c>
      <c r="O1628" s="3" t="str">
        <f t="shared" si="101"/>
        <v>21%+</v>
      </c>
      <c r="P1628" s="9">
        <f t="shared" si="102"/>
        <v>-0.16158119290594267</v>
      </c>
      <c r="Q1628" s="3" t="str">
        <f t="shared" si="103"/>
        <v>Yes</v>
      </c>
    </row>
    <row r="1629" spans="1:17" ht="21" customHeight="1">
      <c r="A1629" s="3" t="s">
        <v>2310</v>
      </c>
      <c r="B1629" s="5">
        <v>45733</v>
      </c>
      <c r="C1629" s="3" t="s">
        <v>253</v>
      </c>
      <c r="D1629" s="3" t="s">
        <v>46</v>
      </c>
      <c r="E1629" s="3" t="s">
        <v>39</v>
      </c>
      <c r="F1629" s="3" t="s">
        <v>109</v>
      </c>
      <c r="G1629" s="3" t="s">
        <v>355</v>
      </c>
      <c r="H1629" s="3">
        <v>1</v>
      </c>
      <c r="I1629" s="7">
        <v>3533.12</v>
      </c>
      <c r="J1629" s="9">
        <v>0</v>
      </c>
      <c r="K1629" s="7">
        <v>3533.12</v>
      </c>
      <c r="L1629" s="7">
        <v>1580.82</v>
      </c>
      <c r="M1629" s="3" t="s">
        <v>56</v>
      </c>
      <c r="N1629" s="3" t="str">
        <f t="shared" si="100"/>
        <v>2025-03</v>
      </c>
      <c r="O1629" s="3" t="str">
        <f t="shared" si="101"/>
        <v>No discount</v>
      </c>
      <c r="P1629" s="9">
        <f t="shared" si="102"/>
        <v>0.44742890136762975</v>
      </c>
      <c r="Q1629" s="3" t="str">
        <f t="shared" si="103"/>
        <v>No</v>
      </c>
    </row>
    <row r="1630" spans="1:17" ht="21" customHeight="1">
      <c r="A1630" s="3" t="s">
        <v>2311</v>
      </c>
      <c r="B1630" s="5">
        <v>45733</v>
      </c>
      <c r="C1630" s="3" t="s">
        <v>148</v>
      </c>
      <c r="D1630" s="3" t="s">
        <v>44</v>
      </c>
      <c r="E1630" s="3" t="s">
        <v>41</v>
      </c>
      <c r="F1630" s="3" t="s">
        <v>119</v>
      </c>
      <c r="G1630" s="3" t="s">
        <v>120</v>
      </c>
      <c r="H1630" s="3">
        <v>1</v>
      </c>
      <c r="I1630" s="7">
        <v>1351.22</v>
      </c>
      <c r="J1630" s="9">
        <v>0.1</v>
      </c>
      <c r="K1630" s="7">
        <v>1216.0999999999999</v>
      </c>
      <c r="L1630" s="7">
        <v>326.08999999999997</v>
      </c>
      <c r="M1630" s="3" t="s">
        <v>60</v>
      </c>
      <c r="N1630" s="3" t="str">
        <f t="shared" si="100"/>
        <v>2025-03</v>
      </c>
      <c r="O1630" s="3" t="str">
        <f t="shared" si="101"/>
        <v>1-10%</v>
      </c>
      <c r="P1630" s="9">
        <f t="shared" si="102"/>
        <v>0.26814406709974509</v>
      </c>
      <c r="Q1630" s="3" t="str">
        <f t="shared" si="103"/>
        <v>No</v>
      </c>
    </row>
    <row r="1631" spans="1:17" ht="21" customHeight="1">
      <c r="A1631" s="3" t="s">
        <v>2312</v>
      </c>
      <c r="B1631" s="5">
        <v>45733</v>
      </c>
      <c r="C1631" s="3" t="s">
        <v>1099</v>
      </c>
      <c r="D1631" s="3" t="s">
        <v>47</v>
      </c>
      <c r="E1631" s="3" t="s">
        <v>41</v>
      </c>
      <c r="F1631" s="3" t="s">
        <v>113</v>
      </c>
      <c r="G1631" s="3" t="s">
        <v>114</v>
      </c>
      <c r="H1631" s="3">
        <v>1</v>
      </c>
      <c r="I1631" s="7">
        <v>12190.28</v>
      </c>
      <c r="J1631" s="9">
        <v>0</v>
      </c>
      <c r="K1631" s="7">
        <v>12190.28</v>
      </c>
      <c r="L1631" s="7">
        <v>4904.7700000000004</v>
      </c>
      <c r="M1631" s="3" t="s">
        <v>56</v>
      </c>
      <c r="N1631" s="3" t="str">
        <f t="shared" si="100"/>
        <v>2025-03</v>
      </c>
      <c r="O1631" s="3" t="str">
        <f t="shared" si="101"/>
        <v>No discount</v>
      </c>
      <c r="P1631" s="9">
        <f t="shared" si="102"/>
        <v>0.40235088939712627</v>
      </c>
      <c r="Q1631" s="3" t="str">
        <f t="shared" si="103"/>
        <v>No</v>
      </c>
    </row>
    <row r="1632" spans="1:17" ht="21" customHeight="1">
      <c r="A1632" s="3" t="s">
        <v>2313</v>
      </c>
      <c r="B1632" s="5">
        <v>45733</v>
      </c>
      <c r="C1632" s="3" t="s">
        <v>545</v>
      </c>
      <c r="D1632" s="3" t="s">
        <v>45</v>
      </c>
      <c r="E1632" s="3" t="s">
        <v>42</v>
      </c>
      <c r="F1632" s="3" t="s">
        <v>126</v>
      </c>
      <c r="G1632" s="3" t="s">
        <v>151</v>
      </c>
      <c r="H1632" s="3">
        <v>1</v>
      </c>
      <c r="I1632" s="7">
        <v>1476.47</v>
      </c>
      <c r="J1632" s="9">
        <v>0</v>
      </c>
      <c r="K1632" s="7">
        <v>1476.47</v>
      </c>
      <c r="L1632" s="7">
        <v>838.33</v>
      </c>
      <c r="M1632" s="3" t="s">
        <v>56</v>
      </c>
      <c r="N1632" s="3" t="str">
        <f t="shared" si="100"/>
        <v>2025-03</v>
      </c>
      <c r="O1632" s="3" t="str">
        <f t="shared" si="101"/>
        <v>No discount</v>
      </c>
      <c r="P1632" s="9">
        <f t="shared" si="102"/>
        <v>0.56779345330416464</v>
      </c>
      <c r="Q1632" s="3" t="str">
        <f t="shared" si="103"/>
        <v>No</v>
      </c>
    </row>
    <row r="1633" spans="1:17" ht="21" customHeight="1">
      <c r="A1633" s="3" t="s">
        <v>2314</v>
      </c>
      <c r="B1633" s="5">
        <v>45733</v>
      </c>
      <c r="C1633" s="3" t="s">
        <v>1013</v>
      </c>
      <c r="D1633" s="3" t="s">
        <v>44</v>
      </c>
      <c r="E1633" s="3" t="s">
        <v>38</v>
      </c>
      <c r="F1633" s="3" t="s">
        <v>98</v>
      </c>
      <c r="G1633" s="3" t="s">
        <v>362</v>
      </c>
      <c r="H1633" s="3">
        <v>3</v>
      </c>
      <c r="I1633" s="7">
        <v>31816.43</v>
      </c>
      <c r="J1633" s="9">
        <v>0.1</v>
      </c>
      <c r="K1633" s="7">
        <v>85904.36</v>
      </c>
      <c r="L1633" s="7">
        <v>5568.89</v>
      </c>
      <c r="M1633" s="3" t="s">
        <v>58</v>
      </c>
      <c r="N1633" s="3" t="str">
        <f t="shared" si="100"/>
        <v>2025-03</v>
      </c>
      <c r="O1633" s="3" t="str">
        <f t="shared" si="101"/>
        <v>1-10%</v>
      </c>
      <c r="P1633" s="9">
        <f t="shared" si="102"/>
        <v>6.4826628124579483E-2</v>
      </c>
      <c r="Q1633" s="3" t="str">
        <f t="shared" si="103"/>
        <v>No</v>
      </c>
    </row>
    <row r="1634" spans="1:17" ht="21" customHeight="1">
      <c r="A1634" s="3" t="s">
        <v>2315</v>
      </c>
      <c r="B1634" s="5">
        <v>45733</v>
      </c>
      <c r="C1634" s="3" t="s">
        <v>274</v>
      </c>
      <c r="D1634" s="3" t="s">
        <v>44</v>
      </c>
      <c r="E1634" s="3" t="s">
        <v>42</v>
      </c>
      <c r="F1634" s="3" t="s">
        <v>126</v>
      </c>
      <c r="G1634" s="3" t="s">
        <v>127</v>
      </c>
      <c r="H1634" s="3">
        <v>4</v>
      </c>
      <c r="I1634" s="7">
        <v>950.6</v>
      </c>
      <c r="J1634" s="9">
        <v>0.2</v>
      </c>
      <c r="K1634" s="7">
        <v>3041.92</v>
      </c>
      <c r="L1634" s="7">
        <v>881.13</v>
      </c>
      <c r="M1634" s="3" t="s">
        <v>57</v>
      </c>
      <c r="N1634" s="3" t="str">
        <f t="shared" si="100"/>
        <v>2025-03</v>
      </c>
      <c r="O1634" s="3" t="str">
        <f t="shared" si="101"/>
        <v>16-20%</v>
      </c>
      <c r="P1634" s="9">
        <f t="shared" si="102"/>
        <v>0.28966245003155899</v>
      </c>
      <c r="Q1634" s="3" t="str">
        <f t="shared" si="103"/>
        <v>No</v>
      </c>
    </row>
    <row r="1635" spans="1:17" ht="21" customHeight="1">
      <c r="A1635" s="3" t="s">
        <v>2316</v>
      </c>
      <c r="B1635" s="5">
        <v>45734</v>
      </c>
      <c r="C1635" s="3" t="s">
        <v>985</v>
      </c>
      <c r="D1635" s="3" t="s">
        <v>44</v>
      </c>
      <c r="E1635" s="3" t="s">
        <v>40</v>
      </c>
      <c r="F1635" s="3" t="s">
        <v>102</v>
      </c>
      <c r="G1635" s="3" t="s">
        <v>103</v>
      </c>
      <c r="H1635" s="3">
        <v>1</v>
      </c>
      <c r="I1635" s="7">
        <v>6726.36</v>
      </c>
      <c r="J1635" s="9">
        <v>0.2</v>
      </c>
      <c r="K1635" s="7">
        <v>5381.09</v>
      </c>
      <c r="L1635" s="7">
        <v>501.54</v>
      </c>
      <c r="M1635" s="3" t="s">
        <v>57</v>
      </c>
      <c r="N1635" s="3" t="str">
        <f t="shared" si="100"/>
        <v>2025-03</v>
      </c>
      <c r="O1635" s="3" t="str">
        <f t="shared" si="101"/>
        <v>16-20%</v>
      </c>
      <c r="P1635" s="9">
        <f t="shared" si="102"/>
        <v>9.3204164955427243E-2</v>
      </c>
      <c r="Q1635" s="3" t="str">
        <f t="shared" si="103"/>
        <v>No</v>
      </c>
    </row>
    <row r="1636" spans="1:17" ht="21" customHeight="1">
      <c r="A1636" s="3" t="s">
        <v>2317</v>
      </c>
      <c r="B1636" s="5">
        <v>45734</v>
      </c>
      <c r="C1636" s="3" t="s">
        <v>1152</v>
      </c>
      <c r="D1636" s="3" t="s">
        <v>47</v>
      </c>
      <c r="E1636" s="3" t="s">
        <v>42</v>
      </c>
      <c r="F1636" s="3" t="s">
        <v>90</v>
      </c>
      <c r="G1636" s="3" t="s">
        <v>106</v>
      </c>
      <c r="H1636" s="3">
        <v>2</v>
      </c>
      <c r="I1636" s="7">
        <v>910.29</v>
      </c>
      <c r="J1636" s="9">
        <v>0.05</v>
      </c>
      <c r="K1636" s="7">
        <v>1729.55</v>
      </c>
      <c r="L1636" s="7">
        <v>912.35</v>
      </c>
      <c r="M1636" s="3" t="s">
        <v>56</v>
      </c>
      <c r="N1636" s="3" t="str">
        <f t="shared" si="100"/>
        <v>2025-03</v>
      </c>
      <c r="O1636" s="3" t="str">
        <f t="shared" si="101"/>
        <v>1-10%</v>
      </c>
      <c r="P1636" s="9">
        <f t="shared" si="102"/>
        <v>0.52750715504032841</v>
      </c>
      <c r="Q1636" s="3" t="str">
        <f t="shared" si="103"/>
        <v>No</v>
      </c>
    </row>
    <row r="1637" spans="1:17" ht="21" customHeight="1">
      <c r="A1637" s="3" t="s">
        <v>2318</v>
      </c>
      <c r="B1637" s="5">
        <v>45734</v>
      </c>
      <c r="C1637" s="3" t="s">
        <v>682</v>
      </c>
      <c r="D1637" s="3" t="s">
        <v>44</v>
      </c>
      <c r="E1637" s="3" t="s">
        <v>42</v>
      </c>
      <c r="F1637" s="3" t="s">
        <v>126</v>
      </c>
      <c r="G1637" s="3" t="s">
        <v>127</v>
      </c>
      <c r="H1637" s="3">
        <v>2</v>
      </c>
      <c r="I1637" s="7">
        <v>968.95</v>
      </c>
      <c r="J1637" s="9">
        <v>0.05</v>
      </c>
      <c r="K1637" s="7">
        <v>1841.01</v>
      </c>
      <c r="L1637" s="7">
        <v>941.36</v>
      </c>
      <c r="M1637" s="3" t="s">
        <v>56</v>
      </c>
      <c r="N1637" s="3" t="str">
        <f t="shared" si="100"/>
        <v>2025-03</v>
      </c>
      <c r="O1637" s="3" t="str">
        <f t="shared" si="101"/>
        <v>1-10%</v>
      </c>
      <c r="P1637" s="9">
        <f t="shared" si="102"/>
        <v>0.51132802103193353</v>
      </c>
      <c r="Q1637" s="3" t="str">
        <f t="shared" si="103"/>
        <v>No</v>
      </c>
    </row>
    <row r="1638" spans="1:17" ht="21" customHeight="1">
      <c r="A1638" s="3" t="s">
        <v>2319</v>
      </c>
      <c r="B1638" s="5">
        <v>45735</v>
      </c>
      <c r="C1638" s="3" t="s">
        <v>1451</v>
      </c>
      <c r="D1638" s="3" t="s">
        <v>45</v>
      </c>
      <c r="E1638" s="3" t="s">
        <v>38</v>
      </c>
      <c r="F1638" s="3" t="s">
        <v>98</v>
      </c>
      <c r="G1638" s="3" t="s">
        <v>99</v>
      </c>
      <c r="H1638" s="3">
        <v>4</v>
      </c>
      <c r="I1638" s="7">
        <v>24487.57</v>
      </c>
      <c r="J1638" s="9">
        <v>0.25</v>
      </c>
      <c r="K1638" s="7">
        <v>73462.710000000006</v>
      </c>
      <c r="L1638" s="7">
        <v>-10523.57</v>
      </c>
      <c r="M1638" s="3" t="s">
        <v>56</v>
      </c>
      <c r="N1638" s="3" t="str">
        <f t="shared" si="100"/>
        <v>2025-03</v>
      </c>
      <c r="O1638" s="3" t="str">
        <f t="shared" si="101"/>
        <v>21%+</v>
      </c>
      <c r="P1638" s="9">
        <f t="shared" si="102"/>
        <v>-0.14325050083232702</v>
      </c>
      <c r="Q1638" s="3" t="str">
        <f t="shared" si="103"/>
        <v>Yes</v>
      </c>
    </row>
    <row r="1639" spans="1:17" ht="21" customHeight="1">
      <c r="A1639" s="3" t="s">
        <v>2320</v>
      </c>
      <c r="B1639" s="5">
        <v>45736</v>
      </c>
      <c r="C1639" s="3" t="s">
        <v>276</v>
      </c>
      <c r="D1639" s="3" t="s">
        <v>47</v>
      </c>
      <c r="E1639" s="3" t="s">
        <v>38</v>
      </c>
      <c r="F1639" s="3" t="s">
        <v>142</v>
      </c>
      <c r="G1639" s="3" t="s">
        <v>245</v>
      </c>
      <c r="H1639" s="3">
        <v>2</v>
      </c>
      <c r="I1639" s="7">
        <v>4897.78</v>
      </c>
      <c r="J1639" s="9">
        <v>0.15</v>
      </c>
      <c r="K1639" s="7">
        <v>8326.23</v>
      </c>
      <c r="L1639" s="7">
        <v>-234.87</v>
      </c>
      <c r="M1639" s="3" t="s">
        <v>56</v>
      </c>
      <c r="N1639" s="3" t="str">
        <f t="shared" si="100"/>
        <v>2025-03</v>
      </c>
      <c r="O1639" s="3" t="str">
        <f t="shared" si="101"/>
        <v>11-15%</v>
      </c>
      <c r="P1639" s="9">
        <f t="shared" si="102"/>
        <v>-2.8208444878414361E-2</v>
      </c>
      <c r="Q1639" s="3" t="str">
        <f t="shared" si="103"/>
        <v>Yes</v>
      </c>
    </row>
    <row r="1640" spans="1:17" ht="21" customHeight="1">
      <c r="A1640" s="3" t="s">
        <v>2321</v>
      </c>
      <c r="B1640" s="5">
        <v>45737</v>
      </c>
      <c r="C1640" s="3" t="s">
        <v>1331</v>
      </c>
      <c r="D1640" s="3" t="s">
        <v>44</v>
      </c>
      <c r="E1640" s="3" t="s">
        <v>41</v>
      </c>
      <c r="F1640" s="3" t="s">
        <v>113</v>
      </c>
      <c r="G1640" s="3" t="s">
        <v>123</v>
      </c>
      <c r="H1640" s="3">
        <v>1</v>
      </c>
      <c r="I1640" s="7">
        <v>3325.9</v>
      </c>
      <c r="J1640" s="9">
        <v>0.3</v>
      </c>
      <c r="K1640" s="7">
        <v>2328.13</v>
      </c>
      <c r="L1640" s="7">
        <v>5.32</v>
      </c>
      <c r="M1640" s="3" t="s">
        <v>59</v>
      </c>
      <c r="N1640" s="3" t="str">
        <f t="shared" si="100"/>
        <v>2025-03</v>
      </c>
      <c r="O1640" s="3" t="str">
        <f t="shared" si="101"/>
        <v>21%+</v>
      </c>
      <c r="P1640" s="9">
        <f t="shared" si="102"/>
        <v>2.2850957635527228E-3</v>
      </c>
      <c r="Q1640" s="3" t="str">
        <f t="shared" si="103"/>
        <v>No</v>
      </c>
    </row>
    <row r="1641" spans="1:17" ht="21" customHeight="1">
      <c r="A1641" s="3" t="s">
        <v>2322</v>
      </c>
      <c r="B1641" s="5">
        <v>45737</v>
      </c>
      <c r="C1641" s="3" t="s">
        <v>333</v>
      </c>
      <c r="D1641" s="3" t="s">
        <v>47</v>
      </c>
      <c r="E1641" s="3" t="s">
        <v>39</v>
      </c>
      <c r="F1641" s="3" t="s">
        <v>130</v>
      </c>
      <c r="G1641" s="3" t="s">
        <v>193</v>
      </c>
      <c r="H1641" s="3">
        <v>2</v>
      </c>
      <c r="I1641" s="7">
        <v>1742.88</v>
      </c>
      <c r="J1641" s="9">
        <v>0.3</v>
      </c>
      <c r="K1641" s="7">
        <v>2440.0300000000002</v>
      </c>
      <c r="L1641" s="7">
        <v>220.03</v>
      </c>
      <c r="M1641" s="3" t="s">
        <v>60</v>
      </c>
      <c r="N1641" s="3" t="str">
        <f t="shared" si="100"/>
        <v>2025-03</v>
      </c>
      <c r="O1641" s="3" t="str">
        <f t="shared" si="101"/>
        <v>21%+</v>
      </c>
      <c r="P1641" s="9">
        <f t="shared" si="102"/>
        <v>9.0175120797695102E-2</v>
      </c>
      <c r="Q1641" s="3" t="str">
        <f t="shared" si="103"/>
        <v>No</v>
      </c>
    </row>
    <row r="1642" spans="1:17" ht="21" customHeight="1">
      <c r="A1642" s="3" t="s">
        <v>2323</v>
      </c>
      <c r="B1642" s="5">
        <v>45737</v>
      </c>
      <c r="C1642" s="3" t="s">
        <v>1578</v>
      </c>
      <c r="D1642" s="3" t="s">
        <v>44</v>
      </c>
      <c r="E1642" s="3" t="s">
        <v>40</v>
      </c>
      <c r="F1642" s="3" t="s">
        <v>221</v>
      </c>
      <c r="G1642" s="3" t="s">
        <v>222</v>
      </c>
      <c r="H1642" s="3">
        <v>1</v>
      </c>
      <c r="I1642" s="7">
        <v>989.07</v>
      </c>
      <c r="J1642" s="9">
        <v>0</v>
      </c>
      <c r="K1642" s="7">
        <v>989.07</v>
      </c>
      <c r="L1642" s="7">
        <v>295.87</v>
      </c>
      <c r="M1642" s="3" t="s">
        <v>56</v>
      </c>
      <c r="N1642" s="3" t="str">
        <f t="shared" si="100"/>
        <v>2025-03</v>
      </c>
      <c r="O1642" s="3" t="str">
        <f t="shared" si="101"/>
        <v>No discount</v>
      </c>
      <c r="P1642" s="9">
        <f t="shared" si="102"/>
        <v>0.29913959578189614</v>
      </c>
      <c r="Q1642" s="3" t="str">
        <f t="shared" si="103"/>
        <v>No</v>
      </c>
    </row>
    <row r="1643" spans="1:17" ht="21" customHeight="1">
      <c r="A1643" s="3" t="s">
        <v>2324</v>
      </c>
      <c r="B1643" s="5">
        <v>45737</v>
      </c>
      <c r="C1643" s="3" t="s">
        <v>937</v>
      </c>
      <c r="D1643" s="3" t="s">
        <v>44</v>
      </c>
      <c r="E1643" s="3" t="s">
        <v>42</v>
      </c>
      <c r="F1643" s="3" t="s">
        <v>126</v>
      </c>
      <c r="G1643" s="3" t="s">
        <v>127</v>
      </c>
      <c r="H1643" s="3">
        <v>1</v>
      </c>
      <c r="I1643" s="7">
        <v>1048.81</v>
      </c>
      <c r="J1643" s="9">
        <v>0.25</v>
      </c>
      <c r="K1643" s="7">
        <v>786.61</v>
      </c>
      <c r="L1643" s="7">
        <v>217.96</v>
      </c>
      <c r="M1643" s="3" t="s">
        <v>59</v>
      </c>
      <c r="N1643" s="3" t="str">
        <f t="shared" si="100"/>
        <v>2025-03</v>
      </c>
      <c r="O1643" s="3" t="str">
        <f t="shared" si="101"/>
        <v>21%+</v>
      </c>
      <c r="P1643" s="9">
        <f t="shared" si="102"/>
        <v>0.27708775632142996</v>
      </c>
      <c r="Q1643" s="3" t="str">
        <f t="shared" si="103"/>
        <v>No</v>
      </c>
    </row>
    <row r="1644" spans="1:17" ht="21" customHeight="1">
      <c r="A1644" s="3" t="s">
        <v>2325</v>
      </c>
      <c r="B1644" s="5">
        <v>45737</v>
      </c>
      <c r="C1644" s="3" t="s">
        <v>218</v>
      </c>
      <c r="D1644" s="3" t="s">
        <v>44</v>
      </c>
      <c r="E1644" s="3" t="s">
        <v>42</v>
      </c>
      <c r="F1644" s="3" t="s">
        <v>126</v>
      </c>
      <c r="G1644" s="3" t="s">
        <v>151</v>
      </c>
      <c r="H1644" s="3">
        <v>2</v>
      </c>
      <c r="I1644" s="7">
        <v>1480.06</v>
      </c>
      <c r="J1644" s="9">
        <v>0.1</v>
      </c>
      <c r="K1644" s="7">
        <v>2664.11</v>
      </c>
      <c r="L1644" s="7">
        <v>1148.79</v>
      </c>
      <c r="M1644" s="3" t="s">
        <v>59</v>
      </c>
      <c r="N1644" s="3" t="str">
        <f t="shared" si="100"/>
        <v>2025-03</v>
      </c>
      <c r="O1644" s="3" t="str">
        <f t="shared" si="101"/>
        <v>1-10%</v>
      </c>
      <c r="P1644" s="9">
        <f t="shared" si="102"/>
        <v>0.43120967227329199</v>
      </c>
      <c r="Q1644" s="3" t="str">
        <f t="shared" si="103"/>
        <v>No</v>
      </c>
    </row>
    <row r="1645" spans="1:17" ht="21" customHeight="1">
      <c r="A1645" s="3" t="s">
        <v>2326</v>
      </c>
      <c r="B1645" s="5">
        <v>45738</v>
      </c>
      <c r="C1645" s="3" t="s">
        <v>116</v>
      </c>
      <c r="D1645" s="3" t="s">
        <v>46</v>
      </c>
      <c r="E1645" s="3" t="s">
        <v>42</v>
      </c>
      <c r="F1645" s="3" t="s">
        <v>90</v>
      </c>
      <c r="G1645" s="3" t="s">
        <v>106</v>
      </c>
      <c r="H1645" s="3">
        <v>1</v>
      </c>
      <c r="I1645" s="7">
        <v>939.45</v>
      </c>
      <c r="J1645" s="9">
        <v>0.25</v>
      </c>
      <c r="K1645" s="7">
        <v>704.59</v>
      </c>
      <c r="L1645" s="7">
        <v>208.1</v>
      </c>
      <c r="M1645" s="3" t="s">
        <v>58</v>
      </c>
      <c r="N1645" s="3" t="str">
        <f t="shared" si="100"/>
        <v>2025-03</v>
      </c>
      <c r="O1645" s="3" t="str">
        <f t="shared" si="101"/>
        <v>21%+</v>
      </c>
      <c r="P1645" s="9">
        <f t="shared" si="102"/>
        <v>0.29534906825245888</v>
      </c>
      <c r="Q1645" s="3" t="str">
        <f t="shared" si="103"/>
        <v>No</v>
      </c>
    </row>
    <row r="1646" spans="1:17" ht="21" customHeight="1">
      <c r="A1646" s="3" t="s">
        <v>2327</v>
      </c>
      <c r="B1646" s="5">
        <v>45738</v>
      </c>
      <c r="C1646" s="3" t="s">
        <v>255</v>
      </c>
      <c r="D1646" s="3" t="s">
        <v>46</v>
      </c>
      <c r="E1646" s="3" t="s">
        <v>41</v>
      </c>
      <c r="F1646" s="3" t="s">
        <v>119</v>
      </c>
      <c r="G1646" s="3" t="s">
        <v>168</v>
      </c>
      <c r="H1646" s="3">
        <v>3</v>
      </c>
      <c r="I1646" s="7">
        <v>9781.1200000000008</v>
      </c>
      <c r="J1646" s="9">
        <v>0</v>
      </c>
      <c r="K1646" s="7">
        <v>29343.360000000001</v>
      </c>
      <c r="L1646" s="7">
        <v>11625.14</v>
      </c>
      <c r="M1646" s="3" t="s">
        <v>56</v>
      </c>
      <c r="N1646" s="3" t="str">
        <f t="shared" si="100"/>
        <v>2025-03</v>
      </c>
      <c r="O1646" s="3" t="str">
        <f t="shared" si="101"/>
        <v>No discount</v>
      </c>
      <c r="P1646" s="9">
        <f t="shared" si="102"/>
        <v>0.39617617069074568</v>
      </c>
      <c r="Q1646" s="3" t="str">
        <f t="shared" si="103"/>
        <v>No</v>
      </c>
    </row>
    <row r="1647" spans="1:17" ht="21" customHeight="1">
      <c r="A1647" s="3" t="s">
        <v>2328</v>
      </c>
      <c r="B1647" s="5">
        <v>45739</v>
      </c>
      <c r="C1647" s="3" t="s">
        <v>663</v>
      </c>
      <c r="D1647" s="3" t="s">
        <v>45</v>
      </c>
      <c r="E1647" s="3" t="s">
        <v>38</v>
      </c>
      <c r="F1647" s="3" t="s">
        <v>94</v>
      </c>
      <c r="G1647" s="3" t="s">
        <v>95</v>
      </c>
      <c r="H1647" s="3">
        <v>5</v>
      </c>
      <c r="I1647" s="7">
        <v>76618.009999999995</v>
      </c>
      <c r="J1647" s="9">
        <v>0</v>
      </c>
      <c r="K1647" s="7">
        <v>383090.05</v>
      </c>
      <c r="L1647" s="7">
        <v>82500.479999999996</v>
      </c>
      <c r="M1647" s="3" t="s">
        <v>57</v>
      </c>
      <c r="N1647" s="3" t="str">
        <f t="shared" si="100"/>
        <v>2025-03</v>
      </c>
      <c r="O1647" s="3" t="str">
        <f t="shared" si="101"/>
        <v>No discount</v>
      </c>
      <c r="P1647" s="9">
        <f t="shared" si="102"/>
        <v>0.21535531919975473</v>
      </c>
      <c r="Q1647" s="3" t="str">
        <f t="shared" si="103"/>
        <v>No</v>
      </c>
    </row>
    <row r="1648" spans="1:17" ht="21" customHeight="1">
      <c r="A1648" s="3" t="s">
        <v>2329</v>
      </c>
      <c r="B1648" s="5">
        <v>45740</v>
      </c>
      <c r="C1648" s="3" t="s">
        <v>224</v>
      </c>
      <c r="D1648" s="3" t="s">
        <v>46</v>
      </c>
      <c r="E1648" s="3" t="s">
        <v>40</v>
      </c>
      <c r="F1648" s="3" t="s">
        <v>102</v>
      </c>
      <c r="G1648" s="3" t="s">
        <v>146</v>
      </c>
      <c r="H1648" s="3">
        <v>1</v>
      </c>
      <c r="I1648" s="7">
        <v>7889.66</v>
      </c>
      <c r="J1648" s="9">
        <v>0.1</v>
      </c>
      <c r="K1648" s="7">
        <v>7100.69</v>
      </c>
      <c r="L1648" s="7">
        <v>1697.69</v>
      </c>
      <c r="M1648" s="3" t="s">
        <v>60</v>
      </c>
      <c r="N1648" s="3" t="str">
        <f t="shared" si="100"/>
        <v>2025-03</v>
      </c>
      <c r="O1648" s="3" t="str">
        <f t="shared" si="101"/>
        <v>1-10%</v>
      </c>
      <c r="P1648" s="9">
        <f t="shared" si="102"/>
        <v>0.23908803228981973</v>
      </c>
      <c r="Q1648" s="3" t="str">
        <f t="shared" si="103"/>
        <v>No</v>
      </c>
    </row>
    <row r="1649" spans="1:17" ht="21" customHeight="1">
      <c r="A1649" s="3" t="s">
        <v>2330</v>
      </c>
      <c r="B1649" s="5">
        <v>45740</v>
      </c>
      <c r="C1649" s="3" t="s">
        <v>750</v>
      </c>
      <c r="D1649" s="3" t="s">
        <v>45</v>
      </c>
      <c r="E1649" s="3" t="s">
        <v>40</v>
      </c>
      <c r="F1649" s="3" t="s">
        <v>160</v>
      </c>
      <c r="G1649" s="3" t="s">
        <v>161</v>
      </c>
      <c r="H1649" s="3">
        <v>1</v>
      </c>
      <c r="I1649" s="7">
        <v>12979.19</v>
      </c>
      <c r="J1649" s="9">
        <v>0.15</v>
      </c>
      <c r="K1649" s="7">
        <v>11032.31</v>
      </c>
      <c r="L1649" s="7">
        <v>1356.52</v>
      </c>
      <c r="M1649" s="3" t="s">
        <v>56</v>
      </c>
      <c r="N1649" s="3" t="str">
        <f t="shared" si="100"/>
        <v>2025-03</v>
      </c>
      <c r="O1649" s="3" t="str">
        <f t="shared" si="101"/>
        <v>11-15%</v>
      </c>
      <c r="P1649" s="9">
        <f t="shared" si="102"/>
        <v>0.12295883636337268</v>
      </c>
      <c r="Q1649" s="3" t="str">
        <f t="shared" si="103"/>
        <v>No</v>
      </c>
    </row>
    <row r="1650" spans="1:17" ht="21" customHeight="1">
      <c r="A1650" s="3" t="s">
        <v>2331</v>
      </c>
      <c r="B1650" s="5">
        <v>45740</v>
      </c>
      <c r="C1650" s="3" t="s">
        <v>737</v>
      </c>
      <c r="D1650" s="3" t="s">
        <v>45</v>
      </c>
      <c r="E1650" s="3" t="s">
        <v>38</v>
      </c>
      <c r="F1650" s="3" t="s">
        <v>98</v>
      </c>
      <c r="G1650" s="3" t="s">
        <v>362</v>
      </c>
      <c r="H1650" s="3">
        <v>2</v>
      </c>
      <c r="I1650" s="7">
        <v>34024.720000000001</v>
      </c>
      <c r="J1650" s="9">
        <v>0.05</v>
      </c>
      <c r="K1650" s="7">
        <v>64646.97</v>
      </c>
      <c r="L1650" s="7">
        <v>8881.2800000000007</v>
      </c>
      <c r="M1650" s="3" t="s">
        <v>57</v>
      </c>
      <c r="N1650" s="3" t="str">
        <f t="shared" si="100"/>
        <v>2025-03</v>
      </c>
      <c r="O1650" s="3" t="str">
        <f t="shared" si="101"/>
        <v>1-10%</v>
      </c>
      <c r="P1650" s="9">
        <f t="shared" si="102"/>
        <v>0.13738122606519687</v>
      </c>
      <c r="Q1650" s="3" t="str">
        <f t="shared" si="103"/>
        <v>No</v>
      </c>
    </row>
    <row r="1651" spans="1:17" ht="21" customHeight="1">
      <c r="A1651" s="3" t="s">
        <v>2332</v>
      </c>
      <c r="B1651" s="5">
        <v>45741</v>
      </c>
      <c r="C1651" s="3" t="s">
        <v>2333</v>
      </c>
      <c r="D1651" s="3" t="s">
        <v>45</v>
      </c>
      <c r="E1651" s="3" t="s">
        <v>39</v>
      </c>
      <c r="F1651" s="3" t="s">
        <v>109</v>
      </c>
      <c r="G1651" s="3" t="s">
        <v>355</v>
      </c>
      <c r="H1651" s="3">
        <v>1</v>
      </c>
      <c r="I1651" s="7">
        <v>3364.25</v>
      </c>
      <c r="J1651" s="9">
        <v>0.05</v>
      </c>
      <c r="K1651" s="7">
        <v>3196.04</v>
      </c>
      <c r="L1651" s="7">
        <v>1078.3</v>
      </c>
      <c r="M1651" s="3" t="s">
        <v>56</v>
      </c>
      <c r="N1651" s="3" t="str">
        <f t="shared" si="100"/>
        <v>2025-03</v>
      </c>
      <c r="O1651" s="3" t="str">
        <f t="shared" si="101"/>
        <v>1-10%</v>
      </c>
      <c r="P1651" s="9">
        <f t="shared" si="102"/>
        <v>0.33738626550356066</v>
      </c>
      <c r="Q1651" s="3" t="str">
        <f t="shared" si="103"/>
        <v>No</v>
      </c>
    </row>
    <row r="1652" spans="1:17" ht="21" customHeight="1">
      <c r="A1652" s="3" t="s">
        <v>2334</v>
      </c>
      <c r="B1652" s="5">
        <v>45742</v>
      </c>
      <c r="C1652" s="3" t="s">
        <v>442</v>
      </c>
      <c r="D1652" s="3" t="s">
        <v>47</v>
      </c>
      <c r="E1652" s="3" t="s">
        <v>41</v>
      </c>
      <c r="F1652" s="3" t="s">
        <v>113</v>
      </c>
      <c r="G1652" s="3" t="s">
        <v>123</v>
      </c>
      <c r="H1652" s="3">
        <v>1</v>
      </c>
      <c r="I1652" s="7">
        <v>3499.8</v>
      </c>
      <c r="J1652" s="9">
        <v>0</v>
      </c>
      <c r="K1652" s="7">
        <v>3499.8</v>
      </c>
      <c r="L1652" s="7">
        <v>1355.17</v>
      </c>
      <c r="M1652" s="3" t="s">
        <v>59</v>
      </c>
      <c r="N1652" s="3" t="str">
        <f t="shared" si="100"/>
        <v>2025-03</v>
      </c>
      <c r="O1652" s="3" t="str">
        <f t="shared" si="101"/>
        <v>No discount</v>
      </c>
      <c r="P1652" s="9">
        <f t="shared" si="102"/>
        <v>0.38721355506028915</v>
      </c>
      <c r="Q1652" s="3" t="str">
        <f t="shared" si="103"/>
        <v>No</v>
      </c>
    </row>
    <row r="1653" spans="1:17" ht="21" customHeight="1">
      <c r="A1653" s="3" t="s">
        <v>2335</v>
      </c>
      <c r="B1653" s="5">
        <v>45742</v>
      </c>
      <c r="C1653" s="3" t="s">
        <v>181</v>
      </c>
      <c r="D1653" s="3" t="s">
        <v>44</v>
      </c>
      <c r="E1653" s="3" t="s">
        <v>40</v>
      </c>
      <c r="F1653" s="3" t="s">
        <v>102</v>
      </c>
      <c r="G1653" s="3" t="s">
        <v>103</v>
      </c>
      <c r="H1653" s="3">
        <v>1</v>
      </c>
      <c r="I1653" s="7">
        <v>6619.23</v>
      </c>
      <c r="J1653" s="9">
        <v>0.15</v>
      </c>
      <c r="K1653" s="7">
        <v>5626.35</v>
      </c>
      <c r="L1653" s="7">
        <v>794.97</v>
      </c>
      <c r="M1653" s="3" t="s">
        <v>56</v>
      </c>
      <c r="N1653" s="3" t="str">
        <f t="shared" si="100"/>
        <v>2025-03</v>
      </c>
      <c r="O1653" s="3" t="str">
        <f t="shared" si="101"/>
        <v>11-15%</v>
      </c>
      <c r="P1653" s="9">
        <f t="shared" si="102"/>
        <v>0.14129408941853955</v>
      </c>
      <c r="Q1653" s="3" t="str">
        <f t="shared" si="103"/>
        <v>No</v>
      </c>
    </row>
    <row r="1654" spans="1:17" ht="21" customHeight="1">
      <c r="A1654" s="3" t="s">
        <v>2336</v>
      </c>
      <c r="B1654" s="5">
        <v>45742</v>
      </c>
      <c r="C1654" s="3" t="s">
        <v>649</v>
      </c>
      <c r="D1654" s="3" t="s">
        <v>45</v>
      </c>
      <c r="E1654" s="3" t="s">
        <v>40</v>
      </c>
      <c r="F1654" s="3" t="s">
        <v>221</v>
      </c>
      <c r="G1654" s="3" t="s">
        <v>222</v>
      </c>
      <c r="H1654" s="3">
        <v>1</v>
      </c>
      <c r="I1654" s="7">
        <v>965.53</v>
      </c>
      <c r="J1654" s="9">
        <v>0.05</v>
      </c>
      <c r="K1654" s="7">
        <v>917.25</v>
      </c>
      <c r="L1654" s="7">
        <v>267.33</v>
      </c>
      <c r="M1654" s="3" t="s">
        <v>60</v>
      </c>
      <c r="N1654" s="3" t="str">
        <f t="shared" si="100"/>
        <v>2025-03</v>
      </c>
      <c r="O1654" s="3" t="str">
        <f t="shared" si="101"/>
        <v>1-10%</v>
      </c>
      <c r="P1654" s="9">
        <f t="shared" si="102"/>
        <v>0.29144726083401468</v>
      </c>
      <c r="Q1654" s="3" t="str">
        <f t="shared" si="103"/>
        <v>No</v>
      </c>
    </row>
    <row r="1655" spans="1:17" ht="21" customHeight="1">
      <c r="A1655" s="3" t="s">
        <v>2337</v>
      </c>
      <c r="B1655" s="5">
        <v>45742</v>
      </c>
      <c r="C1655" s="3" t="s">
        <v>206</v>
      </c>
      <c r="D1655" s="3" t="s">
        <v>45</v>
      </c>
      <c r="E1655" s="3" t="s">
        <v>41</v>
      </c>
      <c r="F1655" s="3" t="s">
        <v>119</v>
      </c>
      <c r="G1655" s="3" t="s">
        <v>168</v>
      </c>
      <c r="H1655" s="3">
        <v>3</v>
      </c>
      <c r="I1655" s="7">
        <v>10224.129999999999</v>
      </c>
      <c r="J1655" s="9">
        <v>0.2</v>
      </c>
      <c r="K1655" s="7">
        <v>24537.91</v>
      </c>
      <c r="L1655" s="7">
        <v>2777.51</v>
      </c>
      <c r="M1655" s="3" t="s">
        <v>59</v>
      </c>
      <c r="N1655" s="3" t="str">
        <f t="shared" si="100"/>
        <v>2025-03</v>
      </c>
      <c r="O1655" s="3" t="str">
        <f t="shared" si="101"/>
        <v>16-20%</v>
      </c>
      <c r="P1655" s="9">
        <f t="shared" si="102"/>
        <v>0.11319260686831112</v>
      </c>
      <c r="Q1655" s="3" t="str">
        <f t="shared" si="103"/>
        <v>No</v>
      </c>
    </row>
    <row r="1656" spans="1:17" ht="21" customHeight="1">
      <c r="A1656" s="3" t="s">
        <v>2338</v>
      </c>
      <c r="B1656" s="5">
        <v>45742</v>
      </c>
      <c r="C1656" s="3" t="s">
        <v>881</v>
      </c>
      <c r="D1656" s="3" t="s">
        <v>44</v>
      </c>
      <c r="E1656" s="3" t="s">
        <v>39</v>
      </c>
      <c r="F1656" s="3" t="s">
        <v>164</v>
      </c>
      <c r="G1656" s="3" t="s">
        <v>165</v>
      </c>
      <c r="H1656" s="3">
        <v>1</v>
      </c>
      <c r="I1656" s="7">
        <v>1917.47</v>
      </c>
      <c r="J1656" s="9">
        <v>0.2</v>
      </c>
      <c r="K1656" s="7">
        <v>1533.98</v>
      </c>
      <c r="L1656" s="7">
        <v>351.37</v>
      </c>
      <c r="M1656" s="3" t="s">
        <v>57</v>
      </c>
      <c r="N1656" s="3" t="str">
        <f t="shared" si="100"/>
        <v>2025-03</v>
      </c>
      <c r="O1656" s="3" t="str">
        <f t="shared" si="101"/>
        <v>16-20%</v>
      </c>
      <c r="P1656" s="9">
        <f t="shared" si="102"/>
        <v>0.22905774521180197</v>
      </c>
      <c r="Q1656" s="3" t="str">
        <f t="shared" si="103"/>
        <v>No</v>
      </c>
    </row>
    <row r="1657" spans="1:17" ht="21" customHeight="1">
      <c r="A1657" s="3" t="s">
        <v>2339</v>
      </c>
      <c r="B1657" s="5">
        <v>45742</v>
      </c>
      <c r="C1657" s="3" t="s">
        <v>846</v>
      </c>
      <c r="D1657" s="3" t="s">
        <v>44</v>
      </c>
      <c r="E1657" s="3" t="s">
        <v>42</v>
      </c>
      <c r="F1657" s="3" t="s">
        <v>90</v>
      </c>
      <c r="G1657" s="3" t="s">
        <v>106</v>
      </c>
      <c r="H1657" s="3">
        <v>4</v>
      </c>
      <c r="I1657" s="7">
        <v>930.28</v>
      </c>
      <c r="J1657" s="9">
        <v>0.1</v>
      </c>
      <c r="K1657" s="7">
        <v>3349.01</v>
      </c>
      <c r="L1657" s="7">
        <v>1478.86</v>
      </c>
      <c r="M1657" s="3" t="s">
        <v>57</v>
      </c>
      <c r="N1657" s="3" t="str">
        <f t="shared" si="100"/>
        <v>2025-03</v>
      </c>
      <c r="O1657" s="3" t="str">
        <f t="shared" si="101"/>
        <v>1-10%</v>
      </c>
      <c r="P1657" s="9">
        <f t="shared" si="102"/>
        <v>0.4415812434122322</v>
      </c>
      <c r="Q1657" s="3" t="str">
        <f t="shared" si="103"/>
        <v>No</v>
      </c>
    </row>
    <row r="1658" spans="1:17" ht="21" customHeight="1">
      <c r="A1658" s="3" t="s">
        <v>2340</v>
      </c>
      <c r="B1658" s="5">
        <v>45742</v>
      </c>
      <c r="C1658" s="3" t="s">
        <v>561</v>
      </c>
      <c r="D1658" s="3" t="s">
        <v>47</v>
      </c>
      <c r="E1658" s="3" t="s">
        <v>41</v>
      </c>
      <c r="F1658" s="3" t="s">
        <v>113</v>
      </c>
      <c r="G1658" s="3" t="s">
        <v>114</v>
      </c>
      <c r="H1658" s="3">
        <v>2</v>
      </c>
      <c r="I1658" s="7">
        <v>12364.69</v>
      </c>
      <c r="J1658" s="9">
        <v>0.1</v>
      </c>
      <c r="K1658" s="7">
        <v>22256.44</v>
      </c>
      <c r="L1658" s="7">
        <v>5451</v>
      </c>
      <c r="M1658" s="3" t="s">
        <v>56</v>
      </c>
      <c r="N1658" s="3" t="str">
        <f t="shared" si="100"/>
        <v>2025-03</v>
      </c>
      <c r="O1658" s="3" t="str">
        <f t="shared" si="101"/>
        <v>1-10%</v>
      </c>
      <c r="P1658" s="9">
        <f t="shared" si="102"/>
        <v>0.24491787545537383</v>
      </c>
      <c r="Q1658" s="3" t="str">
        <f t="shared" si="103"/>
        <v>No</v>
      </c>
    </row>
    <row r="1659" spans="1:17" ht="21" customHeight="1">
      <c r="A1659" s="3" t="s">
        <v>2341</v>
      </c>
      <c r="B1659" s="5">
        <v>45742</v>
      </c>
      <c r="C1659" s="3" t="s">
        <v>2087</v>
      </c>
      <c r="D1659" s="3" t="s">
        <v>45</v>
      </c>
      <c r="E1659" s="3" t="s">
        <v>40</v>
      </c>
      <c r="F1659" s="3" t="s">
        <v>160</v>
      </c>
      <c r="G1659" s="3" t="s">
        <v>173</v>
      </c>
      <c r="H1659" s="3">
        <v>1</v>
      </c>
      <c r="I1659" s="7">
        <v>9162.9500000000007</v>
      </c>
      <c r="J1659" s="9">
        <v>0</v>
      </c>
      <c r="K1659" s="7">
        <v>9162.9500000000007</v>
      </c>
      <c r="L1659" s="7">
        <v>3261.92</v>
      </c>
      <c r="M1659" s="3" t="s">
        <v>58</v>
      </c>
      <c r="N1659" s="3" t="str">
        <f t="shared" si="100"/>
        <v>2025-03</v>
      </c>
      <c r="O1659" s="3" t="str">
        <f t="shared" si="101"/>
        <v>No discount</v>
      </c>
      <c r="P1659" s="9">
        <f t="shared" si="102"/>
        <v>0.35599015600870898</v>
      </c>
      <c r="Q1659" s="3" t="str">
        <f t="shared" si="103"/>
        <v>No</v>
      </c>
    </row>
    <row r="1660" spans="1:17" ht="21" customHeight="1">
      <c r="A1660" s="3" t="s">
        <v>2342</v>
      </c>
      <c r="B1660" s="5">
        <v>45743</v>
      </c>
      <c r="C1660" s="3" t="s">
        <v>285</v>
      </c>
      <c r="D1660" s="3" t="s">
        <v>47</v>
      </c>
      <c r="E1660" s="3" t="s">
        <v>41</v>
      </c>
      <c r="F1660" s="3" t="s">
        <v>113</v>
      </c>
      <c r="G1660" s="3" t="s">
        <v>114</v>
      </c>
      <c r="H1660" s="3">
        <v>1</v>
      </c>
      <c r="I1660" s="7">
        <v>12557.67</v>
      </c>
      <c r="J1660" s="9">
        <v>0</v>
      </c>
      <c r="K1660" s="7">
        <v>12557.67</v>
      </c>
      <c r="L1660" s="7">
        <v>5057.6000000000004</v>
      </c>
      <c r="M1660" s="3" t="s">
        <v>56</v>
      </c>
      <c r="N1660" s="3" t="str">
        <f t="shared" si="100"/>
        <v>2025-03</v>
      </c>
      <c r="O1660" s="3" t="str">
        <f t="shared" si="101"/>
        <v>No discount</v>
      </c>
      <c r="P1660" s="9">
        <f t="shared" si="102"/>
        <v>0.40274987318507338</v>
      </c>
      <c r="Q1660" s="3" t="str">
        <f t="shared" si="103"/>
        <v>No</v>
      </c>
    </row>
    <row r="1661" spans="1:17" ht="21" customHeight="1">
      <c r="A1661" s="3" t="s">
        <v>2343</v>
      </c>
      <c r="B1661" s="5">
        <v>45743</v>
      </c>
      <c r="C1661" s="3" t="s">
        <v>676</v>
      </c>
      <c r="D1661" s="3" t="s">
        <v>45</v>
      </c>
      <c r="E1661" s="3" t="s">
        <v>42</v>
      </c>
      <c r="F1661" s="3" t="s">
        <v>126</v>
      </c>
      <c r="G1661" s="3" t="s">
        <v>127</v>
      </c>
      <c r="H1661" s="3">
        <v>2</v>
      </c>
      <c r="I1661" s="7">
        <v>1003.31</v>
      </c>
      <c r="J1661" s="9">
        <v>0</v>
      </c>
      <c r="K1661" s="7">
        <v>2006.62</v>
      </c>
      <c r="L1661" s="7">
        <v>1182.44</v>
      </c>
      <c r="M1661" s="3" t="s">
        <v>58</v>
      </c>
      <c r="N1661" s="3" t="str">
        <f t="shared" si="100"/>
        <v>2025-03</v>
      </c>
      <c r="O1661" s="3" t="str">
        <f t="shared" si="101"/>
        <v>No discount</v>
      </c>
      <c r="P1661" s="9">
        <f t="shared" si="102"/>
        <v>0.58926951789576509</v>
      </c>
      <c r="Q1661" s="3" t="str">
        <f t="shared" si="103"/>
        <v>No</v>
      </c>
    </row>
    <row r="1662" spans="1:17" ht="21" customHeight="1">
      <c r="A1662" s="3" t="s">
        <v>2344</v>
      </c>
      <c r="B1662" s="5">
        <v>45743</v>
      </c>
      <c r="C1662" s="3" t="s">
        <v>923</v>
      </c>
      <c r="D1662" s="3" t="s">
        <v>46</v>
      </c>
      <c r="E1662" s="3" t="s">
        <v>42</v>
      </c>
      <c r="F1662" s="3" t="s">
        <v>126</v>
      </c>
      <c r="G1662" s="3" t="s">
        <v>127</v>
      </c>
      <c r="H1662" s="3">
        <v>3</v>
      </c>
      <c r="I1662" s="7">
        <v>984.45</v>
      </c>
      <c r="J1662" s="9">
        <v>0</v>
      </c>
      <c r="K1662" s="7">
        <v>2953.35</v>
      </c>
      <c r="L1662" s="7">
        <v>1531.38</v>
      </c>
      <c r="M1662" s="3" t="s">
        <v>58</v>
      </c>
      <c r="N1662" s="3" t="str">
        <f t="shared" si="100"/>
        <v>2025-03</v>
      </c>
      <c r="O1662" s="3" t="str">
        <f t="shared" si="101"/>
        <v>No discount</v>
      </c>
      <c r="P1662" s="9">
        <f t="shared" si="102"/>
        <v>0.51852303316572712</v>
      </c>
      <c r="Q1662" s="3" t="str">
        <f t="shared" si="103"/>
        <v>No</v>
      </c>
    </row>
    <row r="1663" spans="1:17" ht="21" customHeight="1">
      <c r="A1663" s="3" t="s">
        <v>2345</v>
      </c>
      <c r="B1663" s="5">
        <v>45744</v>
      </c>
      <c r="C1663" s="3" t="s">
        <v>1058</v>
      </c>
      <c r="D1663" s="3" t="s">
        <v>46</v>
      </c>
      <c r="E1663" s="3" t="s">
        <v>42</v>
      </c>
      <c r="F1663" s="3" t="s">
        <v>126</v>
      </c>
      <c r="G1663" s="3" t="s">
        <v>151</v>
      </c>
      <c r="H1663" s="3">
        <v>1</v>
      </c>
      <c r="I1663" s="7">
        <v>1565.56</v>
      </c>
      <c r="J1663" s="9">
        <v>0</v>
      </c>
      <c r="K1663" s="7">
        <v>1565.56</v>
      </c>
      <c r="L1663" s="7">
        <v>921.26</v>
      </c>
      <c r="M1663" s="3" t="s">
        <v>56</v>
      </c>
      <c r="N1663" s="3" t="str">
        <f t="shared" si="100"/>
        <v>2025-03</v>
      </c>
      <c r="O1663" s="3" t="str">
        <f t="shared" si="101"/>
        <v>No discount</v>
      </c>
      <c r="P1663" s="9">
        <f t="shared" si="102"/>
        <v>0.58845397174174097</v>
      </c>
      <c r="Q1663" s="3" t="str">
        <f t="shared" si="103"/>
        <v>No</v>
      </c>
    </row>
    <row r="1664" spans="1:17" ht="21" customHeight="1">
      <c r="A1664" s="3" t="s">
        <v>2346</v>
      </c>
      <c r="B1664" s="5">
        <v>45744</v>
      </c>
      <c r="C1664" s="3" t="s">
        <v>1107</v>
      </c>
      <c r="D1664" s="3" t="s">
        <v>45</v>
      </c>
      <c r="E1664" s="3" t="s">
        <v>39</v>
      </c>
      <c r="F1664" s="3" t="s">
        <v>109</v>
      </c>
      <c r="G1664" s="3" t="s">
        <v>355</v>
      </c>
      <c r="H1664" s="3">
        <v>1</v>
      </c>
      <c r="I1664" s="7">
        <v>3443.82</v>
      </c>
      <c r="J1664" s="9">
        <v>0.2</v>
      </c>
      <c r="K1664" s="7">
        <v>2755.06</v>
      </c>
      <c r="L1664" s="7">
        <v>417.82</v>
      </c>
      <c r="M1664" s="3" t="s">
        <v>56</v>
      </c>
      <c r="N1664" s="3" t="str">
        <f t="shared" si="100"/>
        <v>2025-03</v>
      </c>
      <c r="O1664" s="3" t="str">
        <f t="shared" si="101"/>
        <v>16-20%</v>
      </c>
      <c r="P1664" s="9">
        <f t="shared" si="102"/>
        <v>0.15165549933576764</v>
      </c>
      <c r="Q1664" s="3" t="str">
        <f t="shared" si="103"/>
        <v>No</v>
      </c>
    </row>
    <row r="1665" spans="1:17" ht="21" customHeight="1">
      <c r="A1665" s="3" t="s">
        <v>2347</v>
      </c>
      <c r="B1665" s="5">
        <v>45744</v>
      </c>
      <c r="C1665" s="3" t="s">
        <v>1156</v>
      </c>
      <c r="D1665" s="3" t="s">
        <v>46</v>
      </c>
      <c r="E1665" s="3" t="s">
        <v>41</v>
      </c>
      <c r="F1665" s="3" t="s">
        <v>119</v>
      </c>
      <c r="G1665" s="3" t="s">
        <v>120</v>
      </c>
      <c r="H1665" s="3">
        <v>1</v>
      </c>
      <c r="I1665" s="7">
        <v>1321.75</v>
      </c>
      <c r="J1665" s="9">
        <v>0</v>
      </c>
      <c r="K1665" s="7">
        <v>1321.75</v>
      </c>
      <c r="L1665" s="7">
        <v>490.72</v>
      </c>
      <c r="M1665" s="3" t="s">
        <v>57</v>
      </c>
      <c r="N1665" s="3" t="str">
        <f t="shared" si="100"/>
        <v>2025-03</v>
      </c>
      <c r="O1665" s="3" t="str">
        <f t="shared" si="101"/>
        <v>No discount</v>
      </c>
      <c r="P1665" s="9">
        <f t="shared" si="102"/>
        <v>0.3712653678834878</v>
      </c>
      <c r="Q1665" s="3" t="str">
        <f t="shared" si="103"/>
        <v>No</v>
      </c>
    </row>
    <row r="1666" spans="1:17" ht="21" customHeight="1">
      <c r="A1666" s="3" t="s">
        <v>2348</v>
      </c>
      <c r="B1666" s="5">
        <v>45745</v>
      </c>
      <c r="C1666" s="3" t="s">
        <v>373</v>
      </c>
      <c r="D1666" s="3" t="s">
        <v>45</v>
      </c>
      <c r="E1666" s="3" t="s">
        <v>39</v>
      </c>
      <c r="F1666" s="3" t="s">
        <v>164</v>
      </c>
      <c r="G1666" s="3" t="s">
        <v>200</v>
      </c>
      <c r="H1666" s="3">
        <v>1</v>
      </c>
      <c r="I1666" s="7">
        <v>1303.04</v>
      </c>
      <c r="J1666" s="9">
        <v>0.05</v>
      </c>
      <c r="K1666" s="7">
        <v>1237.8900000000001</v>
      </c>
      <c r="L1666" s="7">
        <v>454.57</v>
      </c>
      <c r="M1666" s="3" t="s">
        <v>58</v>
      </c>
      <c r="N1666" s="3" t="str">
        <f t="shared" ref="N1666:N1729" si="104">TEXT(B1666,"yyyy-mm")</f>
        <v>2025-03</v>
      </c>
      <c r="O1666" s="3" t="str">
        <f t="shared" ref="O1666:O1729" si="105">IF(J1666=0,"No discount",IF(J1666&lt;=0.1,"1-10%",IF(J1666&lt;=0.15,"11-15%",IF(J1666&lt;=0.2,"16-20%","21%+"))))</f>
        <v>1-10%</v>
      </c>
      <c r="P1666" s="9">
        <f t="shared" ref="P1666:P1729" si="106">IF(K1666=0,0,L1666/K1666)</f>
        <v>0.36721356501789332</v>
      </c>
      <c r="Q1666" s="3" t="str">
        <f t="shared" ref="Q1666:Q1729" si="107">IF(L1666&lt;0,"Yes","No")</f>
        <v>No</v>
      </c>
    </row>
    <row r="1667" spans="1:17" ht="21" customHeight="1">
      <c r="A1667" s="3" t="s">
        <v>2349</v>
      </c>
      <c r="B1667" s="5">
        <v>45745</v>
      </c>
      <c r="C1667" s="3" t="s">
        <v>361</v>
      </c>
      <c r="D1667" s="3" t="s">
        <v>47</v>
      </c>
      <c r="E1667" s="3" t="s">
        <v>41</v>
      </c>
      <c r="F1667" s="3" t="s">
        <v>113</v>
      </c>
      <c r="G1667" s="3" t="s">
        <v>123</v>
      </c>
      <c r="H1667" s="3">
        <v>1</v>
      </c>
      <c r="I1667" s="7">
        <v>3471.61</v>
      </c>
      <c r="J1667" s="9">
        <v>0.15</v>
      </c>
      <c r="K1667" s="7">
        <v>2950.87</v>
      </c>
      <c r="L1667" s="7">
        <v>548.14</v>
      </c>
      <c r="M1667" s="3" t="s">
        <v>56</v>
      </c>
      <c r="N1667" s="3" t="str">
        <f t="shared" si="104"/>
        <v>2025-03</v>
      </c>
      <c r="O1667" s="3" t="str">
        <f t="shared" si="105"/>
        <v>11-15%</v>
      </c>
      <c r="P1667" s="9">
        <f t="shared" si="106"/>
        <v>0.18575538739422612</v>
      </c>
      <c r="Q1667" s="3" t="str">
        <f t="shared" si="107"/>
        <v>No</v>
      </c>
    </row>
    <row r="1668" spans="1:17" ht="21" customHeight="1">
      <c r="A1668" s="3" t="s">
        <v>2350</v>
      </c>
      <c r="B1668" s="5">
        <v>45745</v>
      </c>
      <c r="C1668" s="3" t="s">
        <v>709</v>
      </c>
      <c r="D1668" s="3" t="s">
        <v>45</v>
      </c>
      <c r="E1668" s="3" t="s">
        <v>38</v>
      </c>
      <c r="F1668" s="3" t="s">
        <v>94</v>
      </c>
      <c r="G1668" s="3" t="s">
        <v>95</v>
      </c>
      <c r="H1668" s="3">
        <v>1</v>
      </c>
      <c r="I1668" s="7">
        <v>81293.94</v>
      </c>
      <c r="J1668" s="9">
        <v>0</v>
      </c>
      <c r="K1668" s="7">
        <v>81293.94</v>
      </c>
      <c r="L1668" s="7">
        <v>13402.07</v>
      </c>
      <c r="M1668" s="3" t="s">
        <v>56</v>
      </c>
      <c r="N1668" s="3" t="str">
        <f t="shared" si="104"/>
        <v>2025-03</v>
      </c>
      <c r="O1668" s="3" t="str">
        <f t="shared" si="105"/>
        <v>No discount</v>
      </c>
      <c r="P1668" s="9">
        <f t="shared" si="106"/>
        <v>0.16485939788377829</v>
      </c>
      <c r="Q1668" s="3" t="str">
        <f t="shared" si="107"/>
        <v>No</v>
      </c>
    </row>
    <row r="1669" spans="1:17" ht="21" customHeight="1">
      <c r="A1669" s="3" t="s">
        <v>2351</v>
      </c>
      <c r="B1669" s="5">
        <v>45745</v>
      </c>
      <c r="C1669" s="3" t="s">
        <v>329</v>
      </c>
      <c r="D1669" s="3" t="s">
        <v>46</v>
      </c>
      <c r="E1669" s="3" t="s">
        <v>38</v>
      </c>
      <c r="F1669" s="3" t="s">
        <v>142</v>
      </c>
      <c r="G1669" s="3" t="s">
        <v>143</v>
      </c>
      <c r="H1669" s="3">
        <v>1</v>
      </c>
      <c r="I1669" s="7">
        <v>9053.92</v>
      </c>
      <c r="J1669" s="9">
        <v>0.1</v>
      </c>
      <c r="K1669" s="7">
        <v>8148.53</v>
      </c>
      <c r="L1669" s="7">
        <v>702.4</v>
      </c>
      <c r="M1669" s="3" t="s">
        <v>57</v>
      </c>
      <c r="N1669" s="3" t="str">
        <f t="shared" si="104"/>
        <v>2025-03</v>
      </c>
      <c r="O1669" s="3" t="str">
        <f t="shared" si="105"/>
        <v>1-10%</v>
      </c>
      <c r="P1669" s="9">
        <f t="shared" si="106"/>
        <v>8.6199596737080178E-2</v>
      </c>
      <c r="Q1669" s="3" t="str">
        <f t="shared" si="107"/>
        <v>No</v>
      </c>
    </row>
    <row r="1670" spans="1:17" ht="21" customHeight="1">
      <c r="A1670" s="3" t="s">
        <v>2352</v>
      </c>
      <c r="B1670" s="5">
        <v>45745</v>
      </c>
      <c r="C1670" s="3" t="s">
        <v>1376</v>
      </c>
      <c r="D1670" s="3" t="s">
        <v>46</v>
      </c>
      <c r="E1670" s="3" t="s">
        <v>40</v>
      </c>
      <c r="F1670" s="3" t="s">
        <v>221</v>
      </c>
      <c r="G1670" s="3" t="s">
        <v>222</v>
      </c>
      <c r="H1670" s="3">
        <v>1</v>
      </c>
      <c r="I1670" s="7">
        <v>967.6</v>
      </c>
      <c r="J1670" s="9">
        <v>0</v>
      </c>
      <c r="K1670" s="7">
        <v>967.6</v>
      </c>
      <c r="L1670" s="7">
        <v>311.55</v>
      </c>
      <c r="M1670" s="3" t="s">
        <v>56</v>
      </c>
      <c r="N1670" s="3" t="str">
        <f t="shared" si="104"/>
        <v>2025-03</v>
      </c>
      <c r="O1670" s="3" t="str">
        <f t="shared" si="105"/>
        <v>No discount</v>
      </c>
      <c r="P1670" s="9">
        <f t="shared" si="106"/>
        <v>0.32198222405952875</v>
      </c>
      <c r="Q1670" s="3" t="str">
        <f t="shared" si="107"/>
        <v>No</v>
      </c>
    </row>
    <row r="1671" spans="1:17" ht="21" customHeight="1">
      <c r="A1671" s="3" t="s">
        <v>2353</v>
      </c>
      <c r="B1671" s="5">
        <v>45746</v>
      </c>
      <c r="C1671" s="3" t="s">
        <v>1006</v>
      </c>
      <c r="D1671" s="3" t="s">
        <v>46</v>
      </c>
      <c r="E1671" s="3" t="s">
        <v>42</v>
      </c>
      <c r="F1671" s="3" t="s">
        <v>90</v>
      </c>
      <c r="G1671" s="3" t="s">
        <v>106</v>
      </c>
      <c r="H1671" s="3">
        <v>2</v>
      </c>
      <c r="I1671" s="7">
        <v>913.29</v>
      </c>
      <c r="J1671" s="9">
        <v>0.25</v>
      </c>
      <c r="K1671" s="7">
        <v>1369.93</v>
      </c>
      <c r="L1671" s="7">
        <v>337.87</v>
      </c>
      <c r="M1671" s="3" t="s">
        <v>56</v>
      </c>
      <c r="N1671" s="3" t="str">
        <f t="shared" si="104"/>
        <v>2025-03</v>
      </c>
      <c r="O1671" s="3" t="str">
        <f t="shared" si="105"/>
        <v>21%+</v>
      </c>
      <c r="P1671" s="9">
        <f t="shared" si="106"/>
        <v>0.2466330396443614</v>
      </c>
      <c r="Q1671" s="3" t="str">
        <f t="shared" si="107"/>
        <v>No</v>
      </c>
    </row>
    <row r="1672" spans="1:17" ht="21" customHeight="1">
      <c r="A1672" s="3" t="s">
        <v>2354</v>
      </c>
      <c r="B1672" s="5">
        <v>45746</v>
      </c>
      <c r="C1672" s="3" t="s">
        <v>785</v>
      </c>
      <c r="D1672" s="3" t="s">
        <v>45</v>
      </c>
      <c r="E1672" s="3" t="s">
        <v>39</v>
      </c>
      <c r="F1672" s="3" t="s">
        <v>130</v>
      </c>
      <c r="G1672" s="3" t="s">
        <v>131</v>
      </c>
      <c r="H1672" s="3">
        <v>3</v>
      </c>
      <c r="I1672" s="7">
        <v>2204.52</v>
      </c>
      <c r="J1672" s="9">
        <v>0.05</v>
      </c>
      <c r="K1672" s="7">
        <v>6282.88</v>
      </c>
      <c r="L1672" s="7">
        <v>2114.1999999999998</v>
      </c>
      <c r="M1672" s="3" t="s">
        <v>56</v>
      </c>
      <c r="N1672" s="3" t="str">
        <f t="shared" si="104"/>
        <v>2025-03</v>
      </c>
      <c r="O1672" s="3" t="str">
        <f t="shared" si="105"/>
        <v>1-10%</v>
      </c>
      <c r="P1672" s="9">
        <f t="shared" si="106"/>
        <v>0.33650173168992559</v>
      </c>
      <c r="Q1672" s="3" t="str">
        <f t="shared" si="107"/>
        <v>No</v>
      </c>
    </row>
    <row r="1673" spans="1:17" ht="21" customHeight="1">
      <c r="A1673" s="3" t="s">
        <v>2355</v>
      </c>
      <c r="B1673" s="5">
        <v>45746</v>
      </c>
      <c r="C1673" s="3" t="s">
        <v>359</v>
      </c>
      <c r="D1673" s="3" t="s">
        <v>44</v>
      </c>
      <c r="E1673" s="3" t="s">
        <v>42</v>
      </c>
      <c r="F1673" s="3" t="s">
        <v>90</v>
      </c>
      <c r="G1673" s="3" t="s">
        <v>106</v>
      </c>
      <c r="H1673" s="3">
        <v>2</v>
      </c>
      <c r="I1673" s="7">
        <v>940.57</v>
      </c>
      <c r="J1673" s="9">
        <v>0.1</v>
      </c>
      <c r="K1673" s="7">
        <v>1693.03</v>
      </c>
      <c r="L1673" s="7">
        <v>705.99</v>
      </c>
      <c r="M1673" s="3" t="s">
        <v>58</v>
      </c>
      <c r="N1673" s="3" t="str">
        <f t="shared" si="104"/>
        <v>2025-03</v>
      </c>
      <c r="O1673" s="3" t="str">
        <f t="shared" si="105"/>
        <v>1-10%</v>
      </c>
      <c r="P1673" s="9">
        <f t="shared" si="106"/>
        <v>0.41699792679397296</v>
      </c>
      <c r="Q1673" s="3" t="str">
        <f t="shared" si="107"/>
        <v>No</v>
      </c>
    </row>
    <row r="1674" spans="1:17" ht="21" customHeight="1">
      <c r="A1674" s="3" t="s">
        <v>2356</v>
      </c>
      <c r="B1674" s="5">
        <v>45746</v>
      </c>
      <c r="C1674" s="3" t="s">
        <v>1174</v>
      </c>
      <c r="D1674" s="3" t="s">
        <v>45</v>
      </c>
      <c r="E1674" s="3" t="s">
        <v>40</v>
      </c>
      <c r="F1674" s="3" t="s">
        <v>160</v>
      </c>
      <c r="G1674" s="3" t="s">
        <v>173</v>
      </c>
      <c r="H1674" s="3">
        <v>1</v>
      </c>
      <c r="I1674" s="7">
        <v>8569.42</v>
      </c>
      <c r="J1674" s="9">
        <v>0.15</v>
      </c>
      <c r="K1674" s="7">
        <v>7284.01</v>
      </c>
      <c r="L1674" s="7">
        <v>1393.5</v>
      </c>
      <c r="M1674" s="3" t="s">
        <v>57</v>
      </c>
      <c r="N1674" s="3" t="str">
        <f t="shared" si="104"/>
        <v>2025-03</v>
      </c>
      <c r="O1674" s="3" t="str">
        <f t="shared" si="105"/>
        <v>11-15%</v>
      </c>
      <c r="P1674" s="9">
        <f t="shared" si="106"/>
        <v>0.19130945729069565</v>
      </c>
      <c r="Q1674" s="3" t="str">
        <f t="shared" si="107"/>
        <v>No</v>
      </c>
    </row>
    <row r="1675" spans="1:17" ht="21" customHeight="1">
      <c r="A1675" s="3" t="s">
        <v>2357</v>
      </c>
      <c r="B1675" s="5">
        <v>45746</v>
      </c>
      <c r="C1675" s="3" t="s">
        <v>676</v>
      </c>
      <c r="D1675" s="3" t="s">
        <v>44</v>
      </c>
      <c r="E1675" s="3" t="s">
        <v>42</v>
      </c>
      <c r="F1675" s="3" t="s">
        <v>126</v>
      </c>
      <c r="G1675" s="3" t="s">
        <v>127</v>
      </c>
      <c r="H1675" s="3">
        <v>1</v>
      </c>
      <c r="I1675" s="7">
        <v>990.2</v>
      </c>
      <c r="J1675" s="9">
        <v>0</v>
      </c>
      <c r="K1675" s="7">
        <v>990.2</v>
      </c>
      <c r="L1675" s="7">
        <v>574.89</v>
      </c>
      <c r="M1675" s="3" t="s">
        <v>59</v>
      </c>
      <c r="N1675" s="3" t="str">
        <f t="shared" si="104"/>
        <v>2025-03</v>
      </c>
      <c r="O1675" s="3" t="str">
        <f t="shared" si="105"/>
        <v>No discount</v>
      </c>
      <c r="P1675" s="9">
        <f t="shared" si="106"/>
        <v>0.58057968087255096</v>
      </c>
      <c r="Q1675" s="3" t="str">
        <f t="shared" si="107"/>
        <v>No</v>
      </c>
    </row>
    <row r="1676" spans="1:17" ht="21" customHeight="1">
      <c r="A1676" s="3" t="s">
        <v>2358</v>
      </c>
      <c r="B1676" s="5">
        <v>45746</v>
      </c>
      <c r="C1676" s="3" t="s">
        <v>281</v>
      </c>
      <c r="D1676" s="3" t="s">
        <v>44</v>
      </c>
      <c r="E1676" s="3" t="s">
        <v>38</v>
      </c>
      <c r="F1676" s="3" t="s">
        <v>94</v>
      </c>
      <c r="G1676" s="3" t="s">
        <v>213</v>
      </c>
      <c r="H1676" s="3">
        <v>2</v>
      </c>
      <c r="I1676" s="7">
        <v>56316.75</v>
      </c>
      <c r="J1676" s="9">
        <v>0</v>
      </c>
      <c r="K1676" s="7">
        <v>112633.5</v>
      </c>
      <c r="L1676" s="7">
        <v>16213.54</v>
      </c>
      <c r="M1676" s="3" t="s">
        <v>56</v>
      </c>
      <c r="N1676" s="3" t="str">
        <f t="shared" si="104"/>
        <v>2025-03</v>
      </c>
      <c r="O1676" s="3" t="str">
        <f t="shared" si="105"/>
        <v>No discount</v>
      </c>
      <c r="P1676" s="9">
        <f t="shared" si="106"/>
        <v>0.14394953544016656</v>
      </c>
      <c r="Q1676" s="3" t="str">
        <f t="shared" si="107"/>
        <v>No</v>
      </c>
    </row>
    <row r="1677" spans="1:17" ht="21" customHeight="1">
      <c r="A1677" s="3" t="s">
        <v>2359</v>
      </c>
      <c r="B1677" s="5">
        <v>45747</v>
      </c>
      <c r="C1677" s="3" t="s">
        <v>287</v>
      </c>
      <c r="D1677" s="3" t="s">
        <v>44</v>
      </c>
      <c r="E1677" s="3" t="s">
        <v>39</v>
      </c>
      <c r="F1677" s="3" t="s">
        <v>109</v>
      </c>
      <c r="G1677" s="3" t="s">
        <v>355</v>
      </c>
      <c r="H1677" s="3">
        <v>1</v>
      </c>
      <c r="I1677" s="7">
        <v>3595.98</v>
      </c>
      <c r="J1677" s="9">
        <v>0.05</v>
      </c>
      <c r="K1677" s="7">
        <v>3416.18</v>
      </c>
      <c r="L1677" s="7">
        <v>1335.29</v>
      </c>
      <c r="M1677" s="3" t="s">
        <v>56</v>
      </c>
      <c r="N1677" s="3" t="str">
        <f t="shared" si="104"/>
        <v>2025-03</v>
      </c>
      <c r="O1677" s="3" t="str">
        <f t="shared" si="105"/>
        <v>1-10%</v>
      </c>
      <c r="P1677" s="9">
        <f t="shared" si="106"/>
        <v>0.3908722608293474</v>
      </c>
      <c r="Q1677" s="3" t="str">
        <f t="shared" si="107"/>
        <v>No</v>
      </c>
    </row>
    <row r="1678" spans="1:17" ht="21" customHeight="1">
      <c r="A1678" s="3" t="s">
        <v>2360</v>
      </c>
      <c r="B1678" s="5">
        <v>45747</v>
      </c>
      <c r="C1678" s="3" t="s">
        <v>387</v>
      </c>
      <c r="D1678" s="3" t="s">
        <v>46</v>
      </c>
      <c r="E1678" s="3" t="s">
        <v>42</v>
      </c>
      <c r="F1678" s="3" t="s">
        <v>90</v>
      </c>
      <c r="G1678" s="3" t="s">
        <v>91</v>
      </c>
      <c r="H1678" s="3">
        <v>4</v>
      </c>
      <c r="I1678" s="7">
        <v>1140.4100000000001</v>
      </c>
      <c r="J1678" s="9">
        <v>0.05</v>
      </c>
      <c r="K1678" s="7">
        <v>4333.5600000000004</v>
      </c>
      <c r="L1678" s="7">
        <v>2245.59</v>
      </c>
      <c r="M1678" s="3" t="s">
        <v>57</v>
      </c>
      <c r="N1678" s="3" t="str">
        <f t="shared" si="104"/>
        <v>2025-03</v>
      </c>
      <c r="O1678" s="3" t="str">
        <f t="shared" si="105"/>
        <v>1-10%</v>
      </c>
      <c r="P1678" s="9">
        <f t="shared" si="106"/>
        <v>0.51818597181070525</v>
      </c>
      <c r="Q1678" s="3" t="str">
        <f t="shared" si="107"/>
        <v>No</v>
      </c>
    </row>
    <row r="1679" spans="1:17" ht="21" customHeight="1">
      <c r="A1679" s="3" t="s">
        <v>2361</v>
      </c>
      <c r="B1679" s="5">
        <v>45747</v>
      </c>
      <c r="C1679" s="3" t="s">
        <v>795</v>
      </c>
      <c r="D1679" s="3" t="s">
        <v>44</v>
      </c>
      <c r="E1679" s="3" t="s">
        <v>38</v>
      </c>
      <c r="F1679" s="3" t="s">
        <v>142</v>
      </c>
      <c r="G1679" s="3" t="s">
        <v>245</v>
      </c>
      <c r="H1679" s="3">
        <v>1</v>
      </c>
      <c r="I1679" s="7">
        <v>4806.74</v>
      </c>
      <c r="J1679" s="9">
        <v>0.1</v>
      </c>
      <c r="K1679" s="7">
        <v>4326.07</v>
      </c>
      <c r="L1679" s="7">
        <v>158.65</v>
      </c>
      <c r="M1679" s="3" t="s">
        <v>57</v>
      </c>
      <c r="N1679" s="3" t="str">
        <f t="shared" si="104"/>
        <v>2025-03</v>
      </c>
      <c r="O1679" s="3" t="str">
        <f t="shared" si="105"/>
        <v>1-10%</v>
      </c>
      <c r="P1679" s="9">
        <f t="shared" si="106"/>
        <v>3.6673008065056738E-2</v>
      </c>
      <c r="Q1679" s="3" t="str">
        <f t="shared" si="107"/>
        <v>No</v>
      </c>
    </row>
    <row r="1680" spans="1:17" ht="21" customHeight="1">
      <c r="A1680" s="3" t="s">
        <v>2362</v>
      </c>
      <c r="B1680" s="5">
        <v>45748</v>
      </c>
      <c r="C1680" s="3" t="s">
        <v>896</v>
      </c>
      <c r="D1680" s="3" t="s">
        <v>45</v>
      </c>
      <c r="E1680" s="3" t="s">
        <v>40</v>
      </c>
      <c r="F1680" s="3" t="s">
        <v>102</v>
      </c>
      <c r="G1680" s="3" t="s">
        <v>103</v>
      </c>
      <c r="H1680" s="3">
        <v>1</v>
      </c>
      <c r="I1680" s="7">
        <v>6652.17</v>
      </c>
      <c r="J1680" s="9">
        <v>0</v>
      </c>
      <c r="K1680" s="7">
        <v>6652.17</v>
      </c>
      <c r="L1680" s="7">
        <v>2194.71</v>
      </c>
      <c r="M1680" s="3" t="s">
        <v>57</v>
      </c>
      <c r="N1680" s="3" t="str">
        <f t="shared" si="104"/>
        <v>2025-04</v>
      </c>
      <c r="O1680" s="3" t="str">
        <f t="shared" si="105"/>
        <v>No discount</v>
      </c>
      <c r="P1680" s="9">
        <f t="shared" si="106"/>
        <v>0.32992391956308992</v>
      </c>
      <c r="Q1680" s="3" t="str">
        <f t="shared" si="107"/>
        <v>No</v>
      </c>
    </row>
    <row r="1681" spans="1:17" ht="21" customHeight="1">
      <c r="A1681" s="3" t="s">
        <v>2363</v>
      </c>
      <c r="B1681" s="5">
        <v>45748</v>
      </c>
      <c r="C1681" s="3" t="s">
        <v>461</v>
      </c>
      <c r="D1681" s="3" t="s">
        <v>47</v>
      </c>
      <c r="E1681" s="3" t="s">
        <v>40</v>
      </c>
      <c r="F1681" s="3" t="s">
        <v>102</v>
      </c>
      <c r="G1681" s="3" t="s">
        <v>103</v>
      </c>
      <c r="H1681" s="3">
        <v>4</v>
      </c>
      <c r="I1681" s="7">
        <v>6355.88</v>
      </c>
      <c r="J1681" s="9">
        <v>0</v>
      </c>
      <c r="K1681" s="7">
        <v>25423.52</v>
      </c>
      <c r="L1681" s="7">
        <v>8446.2900000000009</v>
      </c>
      <c r="M1681" s="3" t="s">
        <v>58</v>
      </c>
      <c r="N1681" s="3" t="str">
        <f t="shared" si="104"/>
        <v>2025-04</v>
      </c>
      <c r="O1681" s="3" t="str">
        <f t="shared" si="105"/>
        <v>No discount</v>
      </c>
      <c r="P1681" s="9">
        <f t="shared" si="106"/>
        <v>0.33222346866208929</v>
      </c>
      <c r="Q1681" s="3" t="str">
        <f t="shared" si="107"/>
        <v>No</v>
      </c>
    </row>
    <row r="1682" spans="1:17" ht="21" customHeight="1">
      <c r="A1682" s="3" t="s">
        <v>2364</v>
      </c>
      <c r="B1682" s="5">
        <v>45748</v>
      </c>
      <c r="C1682" s="3" t="s">
        <v>1466</v>
      </c>
      <c r="D1682" s="3" t="s">
        <v>47</v>
      </c>
      <c r="E1682" s="3" t="s">
        <v>40</v>
      </c>
      <c r="F1682" s="3" t="s">
        <v>221</v>
      </c>
      <c r="G1682" s="3" t="s">
        <v>279</v>
      </c>
      <c r="H1682" s="3">
        <v>2</v>
      </c>
      <c r="I1682" s="7">
        <v>1470.76</v>
      </c>
      <c r="J1682" s="9">
        <v>0.15</v>
      </c>
      <c r="K1682" s="7">
        <v>2500.29</v>
      </c>
      <c r="L1682" s="7">
        <v>452.62</v>
      </c>
      <c r="M1682" s="3" t="s">
        <v>57</v>
      </c>
      <c r="N1682" s="3" t="str">
        <f t="shared" si="104"/>
        <v>2025-04</v>
      </c>
      <c r="O1682" s="3" t="str">
        <f t="shared" si="105"/>
        <v>11-15%</v>
      </c>
      <c r="P1682" s="9">
        <f t="shared" si="106"/>
        <v>0.18102700086789933</v>
      </c>
      <c r="Q1682" s="3" t="str">
        <f t="shared" si="107"/>
        <v>No</v>
      </c>
    </row>
    <row r="1683" spans="1:17" ht="21" customHeight="1">
      <c r="A1683" s="3" t="s">
        <v>2365</v>
      </c>
      <c r="B1683" s="5">
        <v>45749</v>
      </c>
      <c r="C1683" s="3" t="s">
        <v>324</v>
      </c>
      <c r="D1683" s="3" t="s">
        <v>45</v>
      </c>
      <c r="E1683" s="3" t="s">
        <v>40</v>
      </c>
      <c r="F1683" s="3" t="s">
        <v>160</v>
      </c>
      <c r="G1683" s="3" t="s">
        <v>173</v>
      </c>
      <c r="H1683" s="3">
        <v>1</v>
      </c>
      <c r="I1683" s="7">
        <v>8614.66</v>
      </c>
      <c r="J1683" s="9">
        <v>0</v>
      </c>
      <c r="K1683" s="7">
        <v>8614.66</v>
      </c>
      <c r="L1683" s="7">
        <v>2911.73</v>
      </c>
      <c r="M1683" s="3" t="s">
        <v>56</v>
      </c>
      <c r="N1683" s="3" t="str">
        <f t="shared" si="104"/>
        <v>2025-04</v>
      </c>
      <c r="O1683" s="3" t="str">
        <f t="shared" si="105"/>
        <v>No discount</v>
      </c>
      <c r="P1683" s="9">
        <f t="shared" si="106"/>
        <v>0.33799708868370892</v>
      </c>
      <c r="Q1683" s="3" t="str">
        <f t="shared" si="107"/>
        <v>No</v>
      </c>
    </row>
    <row r="1684" spans="1:17" ht="21" customHeight="1">
      <c r="A1684" s="3" t="s">
        <v>2366</v>
      </c>
      <c r="B1684" s="5">
        <v>45749</v>
      </c>
      <c r="C1684" s="3" t="s">
        <v>647</v>
      </c>
      <c r="D1684" s="3" t="s">
        <v>47</v>
      </c>
      <c r="E1684" s="3" t="s">
        <v>40</v>
      </c>
      <c r="F1684" s="3" t="s">
        <v>102</v>
      </c>
      <c r="G1684" s="3" t="s">
        <v>103</v>
      </c>
      <c r="H1684" s="3">
        <v>4</v>
      </c>
      <c r="I1684" s="7">
        <v>6543.42</v>
      </c>
      <c r="J1684" s="9">
        <v>0.25</v>
      </c>
      <c r="K1684" s="7">
        <v>19630.259999999998</v>
      </c>
      <c r="L1684" s="7">
        <v>1402.58</v>
      </c>
      <c r="M1684" s="3" t="s">
        <v>56</v>
      </c>
      <c r="N1684" s="3" t="str">
        <f t="shared" si="104"/>
        <v>2025-04</v>
      </c>
      <c r="O1684" s="3" t="str">
        <f t="shared" si="105"/>
        <v>21%+</v>
      </c>
      <c r="P1684" s="9">
        <f t="shared" si="106"/>
        <v>7.1449894193963817E-2</v>
      </c>
      <c r="Q1684" s="3" t="str">
        <f t="shared" si="107"/>
        <v>No</v>
      </c>
    </row>
    <row r="1685" spans="1:17" ht="21" customHeight="1">
      <c r="A1685" s="3" t="s">
        <v>2367</v>
      </c>
      <c r="B1685" s="5">
        <v>45750</v>
      </c>
      <c r="C1685" s="3" t="s">
        <v>264</v>
      </c>
      <c r="D1685" s="3" t="s">
        <v>44</v>
      </c>
      <c r="E1685" s="3" t="s">
        <v>40</v>
      </c>
      <c r="F1685" s="3" t="s">
        <v>102</v>
      </c>
      <c r="G1685" s="3" t="s">
        <v>103</v>
      </c>
      <c r="H1685" s="3">
        <v>1</v>
      </c>
      <c r="I1685" s="7">
        <v>6301.96</v>
      </c>
      <c r="J1685" s="9">
        <v>0</v>
      </c>
      <c r="K1685" s="7">
        <v>6301.96</v>
      </c>
      <c r="L1685" s="7">
        <v>2271.25</v>
      </c>
      <c r="M1685" s="3" t="s">
        <v>60</v>
      </c>
      <c r="N1685" s="3" t="str">
        <f t="shared" si="104"/>
        <v>2025-04</v>
      </c>
      <c r="O1685" s="3" t="str">
        <f t="shared" si="105"/>
        <v>No discount</v>
      </c>
      <c r="P1685" s="9">
        <f t="shared" si="106"/>
        <v>0.36040374740556907</v>
      </c>
      <c r="Q1685" s="3" t="str">
        <f t="shared" si="107"/>
        <v>No</v>
      </c>
    </row>
    <row r="1686" spans="1:17" ht="21" customHeight="1">
      <c r="A1686" s="3" t="s">
        <v>2368</v>
      </c>
      <c r="B1686" s="5">
        <v>45750</v>
      </c>
      <c r="C1686" s="3" t="s">
        <v>531</v>
      </c>
      <c r="D1686" s="3" t="s">
        <v>47</v>
      </c>
      <c r="E1686" s="3" t="s">
        <v>38</v>
      </c>
      <c r="F1686" s="3" t="s">
        <v>98</v>
      </c>
      <c r="G1686" s="3" t="s">
        <v>182</v>
      </c>
      <c r="H1686" s="3">
        <v>3</v>
      </c>
      <c r="I1686" s="7">
        <v>69497.899999999994</v>
      </c>
      <c r="J1686" s="9">
        <v>0.15</v>
      </c>
      <c r="K1686" s="7">
        <v>177219.64</v>
      </c>
      <c r="L1686" s="7">
        <v>5921.58</v>
      </c>
      <c r="M1686" s="3" t="s">
        <v>58</v>
      </c>
      <c r="N1686" s="3" t="str">
        <f t="shared" si="104"/>
        <v>2025-04</v>
      </c>
      <c r="O1686" s="3" t="str">
        <f t="shared" si="105"/>
        <v>11-15%</v>
      </c>
      <c r="P1686" s="9">
        <f t="shared" si="106"/>
        <v>3.3413790931975711E-2</v>
      </c>
      <c r="Q1686" s="3" t="str">
        <f t="shared" si="107"/>
        <v>No</v>
      </c>
    </row>
    <row r="1687" spans="1:17" ht="21" customHeight="1">
      <c r="A1687" s="3" t="s">
        <v>2369</v>
      </c>
      <c r="B1687" s="5">
        <v>45750</v>
      </c>
      <c r="C1687" s="3" t="s">
        <v>1381</v>
      </c>
      <c r="D1687" s="3" t="s">
        <v>45</v>
      </c>
      <c r="E1687" s="3" t="s">
        <v>38</v>
      </c>
      <c r="F1687" s="3" t="s">
        <v>94</v>
      </c>
      <c r="G1687" s="3" t="s">
        <v>213</v>
      </c>
      <c r="H1687" s="3">
        <v>2</v>
      </c>
      <c r="I1687" s="7">
        <v>52295.07</v>
      </c>
      <c r="J1687" s="9">
        <v>0.15</v>
      </c>
      <c r="K1687" s="7">
        <v>88901.62</v>
      </c>
      <c r="L1687" s="7">
        <v>1469.53</v>
      </c>
      <c r="M1687" s="3" t="s">
        <v>56</v>
      </c>
      <c r="N1687" s="3" t="str">
        <f t="shared" si="104"/>
        <v>2025-04</v>
      </c>
      <c r="O1687" s="3" t="str">
        <f t="shared" si="105"/>
        <v>11-15%</v>
      </c>
      <c r="P1687" s="9">
        <f t="shared" si="106"/>
        <v>1.6529845012948022E-2</v>
      </c>
      <c r="Q1687" s="3" t="str">
        <f t="shared" si="107"/>
        <v>No</v>
      </c>
    </row>
    <row r="1688" spans="1:17" ht="21" customHeight="1">
      <c r="A1688" s="3" t="s">
        <v>2370</v>
      </c>
      <c r="B1688" s="5">
        <v>45751</v>
      </c>
      <c r="C1688" s="3" t="s">
        <v>1376</v>
      </c>
      <c r="D1688" s="3" t="s">
        <v>46</v>
      </c>
      <c r="E1688" s="3" t="s">
        <v>41</v>
      </c>
      <c r="F1688" s="3" t="s">
        <v>119</v>
      </c>
      <c r="G1688" s="3" t="s">
        <v>120</v>
      </c>
      <c r="H1688" s="3">
        <v>3</v>
      </c>
      <c r="I1688" s="7">
        <v>1299.97</v>
      </c>
      <c r="J1688" s="9">
        <v>0</v>
      </c>
      <c r="K1688" s="7">
        <v>3899.91</v>
      </c>
      <c r="L1688" s="7">
        <v>1364.6</v>
      </c>
      <c r="M1688" s="3" t="s">
        <v>60</v>
      </c>
      <c r="N1688" s="3" t="str">
        <f t="shared" si="104"/>
        <v>2025-04</v>
      </c>
      <c r="O1688" s="3" t="str">
        <f t="shared" si="105"/>
        <v>No discount</v>
      </c>
      <c r="P1688" s="9">
        <f t="shared" si="106"/>
        <v>0.34990551063998909</v>
      </c>
      <c r="Q1688" s="3" t="str">
        <f t="shared" si="107"/>
        <v>No</v>
      </c>
    </row>
    <row r="1689" spans="1:17" ht="21" customHeight="1">
      <c r="A1689" s="3" t="s">
        <v>2371</v>
      </c>
      <c r="B1689" s="5">
        <v>45751</v>
      </c>
      <c r="C1689" s="3" t="s">
        <v>693</v>
      </c>
      <c r="D1689" s="3" t="s">
        <v>45</v>
      </c>
      <c r="E1689" s="3" t="s">
        <v>40</v>
      </c>
      <c r="F1689" s="3" t="s">
        <v>221</v>
      </c>
      <c r="G1689" s="3" t="s">
        <v>279</v>
      </c>
      <c r="H1689" s="3">
        <v>1</v>
      </c>
      <c r="I1689" s="7">
        <v>1497.87</v>
      </c>
      <c r="J1689" s="9">
        <v>0.15</v>
      </c>
      <c r="K1689" s="7">
        <v>1273.19</v>
      </c>
      <c r="L1689" s="7">
        <v>205.12</v>
      </c>
      <c r="M1689" s="3" t="s">
        <v>57</v>
      </c>
      <c r="N1689" s="3" t="str">
        <f t="shared" si="104"/>
        <v>2025-04</v>
      </c>
      <c r="O1689" s="3" t="str">
        <f t="shared" si="105"/>
        <v>11-15%</v>
      </c>
      <c r="P1689" s="9">
        <f t="shared" si="106"/>
        <v>0.16110714033255052</v>
      </c>
      <c r="Q1689" s="3" t="str">
        <f t="shared" si="107"/>
        <v>No</v>
      </c>
    </row>
    <row r="1690" spans="1:17" ht="21" customHeight="1">
      <c r="A1690" s="3" t="s">
        <v>2372</v>
      </c>
      <c r="B1690" s="5">
        <v>45751</v>
      </c>
      <c r="C1690" s="3" t="s">
        <v>2145</v>
      </c>
      <c r="D1690" s="3" t="s">
        <v>46</v>
      </c>
      <c r="E1690" s="3" t="s">
        <v>38</v>
      </c>
      <c r="F1690" s="3" t="s">
        <v>98</v>
      </c>
      <c r="G1690" s="3" t="s">
        <v>182</v>
      </c>
      <c r="H1690" s="3">
        <v>4</v>
      </c>
      <c r="I1690" s="7">
        <v>69334.490000000005</v>
      </c>
      <c r="J1690" s="9">
        <v>0.1</v>
      </c>
      <c r="K1690" s="7">
        <v>249604.16</v>
      </c>
      <c r="L1690" s="7">
        <v>22541.5</v>
      </c>
      <c r="M1690" s="3" t="s">
        <v>56</v>
      </c>
      <c r="N1690" s="3" t="str">
        <f t="shared" si="104"/>
        <v>2025-04</v>
      </c>
      <c r="O1690" s="3" t="str">
        <f t="shared" si="105"/>
        <v>1-10%</v>
      </c>
      <c r="P1690" s="9">
        <f t="shared" si="106"/>
        <v>9.030899164501105E-2</v>
      </c>
      <c r="Q1690" s="3" t="str">
        <f t="shared" si="107"/>
        <v>No</v>
      </c>
    </row>
    <row r="1691" spans="1:17" ht="21" customHeight="1">
      <c r="A1691" s="3" t="s">
        <v>2373</v>
      </c>
      <c r="B1691" s="5">
        <v>45751</v>
      </c>
      <c r="C1691" s="3" t="s">
        <v>881</v>
      </c>
      <c r="D1691" s="3" t="s">
        <v>47</v>
      </c>
      <c r="E1691" s="3" t="s">
        <v>41</v>
      </c>
      <c r="F1691" s="3" t="s">
        <v>119</v>
      </c>
      <c r="G1691" s="3" t="s">
        <v>120</v>
      </c>
      <c r="H1691" s="3">
        <v>1</v>
      </c>
      <c r="I1691" s="7">
        <v>1329.11</v>
      </c>
      <c r="J1691" s="9">
        <v>0</v>
      </c>
      <c r="K1691" s="7">
        <v>1329.11</v>
      </c>
      <c r="L1691" s="7">
        <v>538.05999999999995</v>
      </c>
      <c r="M1691" s="3" t="s">
        <v>56</v>
      </c>
      <c r="N1691" s="3" t="str">
        <f t="shared" si="104"/>
        <v>2025-04</v>
      </c>
      <c r="O1691" s="3" t="str">
        <f t="shared" si="105"/>
        <v>No discount</v>
      </c>
      <c r="P1691" s="9">
        <f t="shared" si="106"/>
        <v>0.40482729044247651</v>
      </c>
      <c r="Q1691" s="3" t="str">
        <f t="shared" si="107"/>
        <v>No</v>
      </c>
    </row>
    <row r="1692" spans="1:17" ht="21" customHeight="1">
      <c r="A1692" s="3" t="s">
        <v>2374</v>
      </c>
      <c r="B1692" s="5">
        <v>45752</v>
      </c>
      <c r="C1692" s="3" t="s">
        <v>507</v>
      </c>
      <c r="D1692" s="3" t="s">
        <v>44</v>
      </c>
      <c r="E1692" s="3" t="s">
        <v>41</v>
      </c>
      <c r="F1692" s="3" t="s">
        <v>113</v>
      </c>
      <c r="G1692" s="3" t="s">
        <v>123</v>
      </c>
      <c r="H1692" s="3">
        <v>1</v>
      </c>
      <c r="I1692" s="7">
        <v>3542.61</v>
      </c>
      <c r="J1692" s="9">
        <v>0.05</v>
      </c>
      <c r="K1692" s="7">
        <v>3365.48</v>
      </c>
      <c r="L1692" s="7">
        <v>1035.19</v>
      </c>
      <c r="M1692" s="3" t="s">
        <v>56</v>
      </c>
      <c r="N1692" s="3" t="str">
        <f t="shared" si="104"/>
        <v>2025-04</v>
      </c>
      <c r="O1692" s="3" t="str">
        <f t="shared" si="105"/>
        <v>1-10%</v>
      </c>
      <c r="P1692" s="9">
        <f t="shared" si="106"/>
        <v>0.30759059628938518</v>
      </c>
      <c r="Q1692" s="3" t="str">
        <f t="shared" si="107"/>
        <v>No</v>
      </c>
    </row>
    <row r="1693" spans="1:17" ht="21" customHeight="1">
      <c r="A1693" s="3" t="s">
        <v>2375</v>
      </c>
      <c r="B1693" s="5">
        <v>45752</v>
      </c>
      <c r="C1693" s="3" t="s">
        <v>2276</v>
      </c>
      <c r="D1693" s="3" t="s">
        <v>45</v>
      </c>
      <c r="E1693" s="3" t="s">
        <v>38</v>
      </c>
      <c r="F1693" s="3" t="s">
        <v>142</v>
      </c>
      <c r="G1693" s="3" t="s">
        <v>143</v>
      </c>
      <c r="H1693" s="3">
        <v>2</v>
      </c>
      <c r="I1693" s="7">
        <v>8668.02</v>
      </c>
      <c r="J1693" s="9">
        <v>0</v>
      </c>
      <c r="K1693" s="7">
        <v>17336.04</v>
      </c>
      <c r="L1693" s="7">
        <v>2709.6</v>
      </c>
      <c r="M1693" s="3" t="s">
        <v>56</v>
      </c>
      <c r="N1693" s="3" t="str">
        <f t="shared" si="104"/>
        <v>2025-04</v>
      </c>
      <c r="O1693" s="3" t="str">
        <f t="shared" si="105"/>
        <v>No discount</v>
      </c>
      <c r="P1693" s="9">
        <f t="shared" si="106"/>
        <v>0.15629867028456323</v>
      </c>
      <c r="Q1693" s="3" t="str">
        <f t="shared" si="107"/>
        <v>No</v>
      </c>
    </row>
    <row r="1694" spans="1:17" ht="21" customHeight="1">
      <c r="A1694" s="3" t="s">
        <v>2376</v>
      </c>
      <c r="B1694" s="5">
        <v>45752</v>
      </c>
      <c r="C1694" s="3" t="s">
        <v>199</v>
      </c>
      <c r="D1694" s="3" t="s">
        <v>45</v>
      </c>
      <c r="E1694" s="3" t="s">
        <v>40</v>
      </c>
      <c r="F1694" s="3" t="s">
        <v>102</v>
      </c>
      <c r="G1694" s="3" t="s">
        <v>103</v>
      </c>
      <c r="H1694" s="3">
        <v>1</v>
      </c>
      <c r="I1694" s="7">
        <v>6632.38</v>
      </c>
      <c r="J1694" s="9">
        <v>0.2</v>
      </c>
      <c r="K1694" s="7">
        <v>5305.9</v>
      </c>
      <c r="L1694" s="7">
        <v>426.66</v>
      </c>
      <c r="M1694" s="3" t="s">
        <v>57</v>
      </c>
      <c r="N1694" s="3" t="str">
        <f t="shared" si="104"/>
        <v>2025-04</v>
      </c>
      <c r="O1694" s="3" t="str">
        <f t="shared" si="105"/>
        <v>16-20%</v>
      </c>
      <c r="P1694" s="9">
        <f t="shared" si="106"/>
        <v>8.0412371134020624E-2</v>
      </c>
      <c r="Q1694" s="3" t="str">
        <f t="shared" si="107"/>
        <v>No</v>
      </c>
    </row>
    <row r="1695" spans="1:17" ht="21" customHeight="1">
      <c r="A1695" s="3" t="s">
        <v>2377</v>
      </c>
      <c r="B1695" s="5">
        <v>45753</v>
      </c>
      <c r="C1695" s="3" t="s">
        <v>2087</v>
      </c>
      <c r="D1695" s="3" t="s">
        <v>45</v>
      </c>
      <c r="E1695" s="3" t="s">
        <v>39</v>
      </c>
      <c r="F1695" s="3" t="s">
        <v>164</v>
      </c>
      <c r="G1695" s="3" t="s">
        <v>200</v>
      </c>
      <c r="H1695" s="3">
        <v>2</v>
      </c>
      <c r="I1695" s="7">
        <v>1311.42</v>
      </c>
      <c r="J1695" s="9">
        <v>0.1</v>
      </c>
      <c r="K1695" s="7">
        <v>2360.56</v>
      </c>
      <c r="L1695" s="7">
        <v>808.52</v>
      </c>
      <c r="M1695" s="3" t="s">
        <v>57</v>
      </c>
      <c r="N1695" s="3" t="str">
        <f t="shared" si="104"/>
        <v>2025-04</v>
      </c>
      <c r="O1695" s="3" t="str">
        <f t="shared" si="105"/>
        <v>1-10%</v>
      </c>
      <c r="P1695" s="9">
        <f t="shared" si="106"/>
        <v>0.34251194631782289</v>
      </c>
      <c r="Q1695" s="3" t="str">
        <f t="shared" si="107"/>
        <v>No</v>
      </c>
    </row>
    <row r="1696" spans="1:17" ht="21" customHeight="1">
      <c r="A1696" s="3" t="s">
        <v>2378</v>
      </c>
      <c r="B1696" s="5">
        <v>45753</v>
      </c>
      <c r="C1696" s="3" t="s">
        <v>1146</v>
      </c>
      <c r="D1696" s="3" t="s">
        <v>47</v>
      </c>
      <c r="E1696" s="3" t="s">
        <v>40</v>
      </c>
      <c r="F1696" s="3" t="s">
        <v>102</v>
      </c>
      <c r="G1696" s="3" t="s">
        <v>103</v>
      </c>
      <c r="H1696" s="3">
        <v>4</v>
      </c>
      <c r="I1696" s="7">
        <v>6470.75</v>
      </c>
      <c r="J1696" s="9">
        <v>0.25</v>
      </c>
      <c r="K1696" s="7">
        <v>19412.25</v>
      </c>
      <c r="L1696" s="7">
        <v>1219.8499999999999</v>
      </c>
      <c r="M1696" s="3" t="s">
        <v>57</v>
      </c>
      <c r="N1696" s="3" t="str">
        <f t="shared" si="104"/>
        <v>2025-04</v>
      </c>
      <c r="O1696" s="3" t="str">
        <f t="shared" si="105"/>
        <v>21%+</v>
      </c>
      <c r="P1696" s="9">
        <f t="shared" si="106"/>
        <v>6.2839186596092667E-2</v>
      </c>
      <c r="Q1696" s="3" t="str">
        <f t="shared" si="107"/>
        <v>No</v>
      </c>
    </row>
    <row r="1697" spans="1:17" ht="21" customHeight="1">
      <c r="A1697" s="3" t="s">
        <v>2379</v>
      </c>
      <c r="B1697" s="5">
        <v>45753</v>
      </c>
      <c r="C1697" s="3" t="s">
        <v>264</v>
      </c>
      <c r="D1697" s="3" t="s">
        <v>46</v>
      </c>
      <c r="E1697" s="3" t="s">
        <v>41</v>
      </c>
      <c r="F1697" s="3" t="s">
        <v>113</v>
      </c>
      <c r="G1697" s="3" t="s">
        <v>123</v>
      </c>
      <c r="H1697" s="3">
        <v>1</v>
      </c>
      <c r="I1697" s="7">
        <v>3610.67</v>
      </c>
      <c r="J1697" s="9">
        <v>0.15</v>
      </c>
      <c r="K1697" s="7">
        <v>3069.07</v>
      </c>
      <c r="L1697" s="7">
        <v>704.71</v>
      </c>
      <c r="M1697" s="3" t="s">
        <v>58</v>
      </c>
      <c r="N1697" s="3" t="str">
        <f t="shared" si="104"/>
        <v>2025-04</v>
      </c>
      <c r="O1697" s="3" t="str">
        <f t="shared" si="105"/>
        <v>11-15%</v>
      </c>
      <c r="P1697" s="9">
        <f t="shared" si="106"/>
        <v>0.22961678945087599</v>
      </c>
      <c r="Q1697" s="3" t="str">
        <f t="shared" si="107"/>
        <v>No</v>
      </c>
    </row>
    <row r="1698" spans="1:17" ht="21" customHeight="1">
      <c r="A1698" s="3" t="s">
        <v>2380</v>
      </c>
      <c r="B1698" s="5">
        <v>45754</v>
      </c>
      <c r="C1698" s="3" t="s">
        <v>2034</v>
      </c>
      <c r="D1698" s="3" t="s">
        <v>45</v>
      </c>
      <c r="E1698" s="3" t="s">
        <v>41</v>
      </c>
      <c r="F1698" s="3" t="s">
        <v>113</v>
      </c>
      <c r="G1698" s="3" t="s">
        <v>114</v>
      </c>
      <c r="H1698" s="3">
        <v>1</v>
      </c>
      <c r="I1698" s="7">
        <v>12134.75</v>
      </c>
      <c r="J1698" s="9">
        <v>0.05</v>
      </c>
      <c r="K1698" s="7">
        <v>11528.01</v>
      </c>
      <c r="L1698" s="7">
        <v>3306.97</v>
      </c>
      <c r="M1698" s="3" t="s">
        <v>56</v>
      </c>
      <c r="N1698" s="3" t="str">
        <f t="shared" si="104"/>
        <v>2025-04</v>
      </c>
      <c r="O1698" s="3" t="str">
        <f t="shared" si="105"/>
        <v>1-10%</v>
      </c>
      <c r="P1698" s="9">
        <f t="shared" si="106"/>
        <v>0.2868639079945281</v>
      </c>
      <c r="Q1698" s="3" t="str">
        <f t="shared" si="107"/>
        <v>No</v>
      </c>
    </row>
    <row r="1699" spans="1:17" ht="21" customHeight="1">
      <c r="A1699" s="3" t="s">
        <v>2381</v>
      </c>
      <c r="B1699" s="5">
        <v>45754</v>
      </c>
      <c r="C1699" s="3" t="s">
        <v>454</v>
      </c>
      <c r="D1699" s="3" t="s">
        <v>44</v>
      </c>
      <c r="E1699" s="3" t="s">
        <v>39</v>
      </c>
      <c r="F1699" s="3" t="s">
        <v>109</v>
      </c>
      <c r="G1699" s="3" t="s">
        <v>110</v>
      </c>
      <c r="H1699" s="3">
        <v>1</v>
      </c>
      <c r="I1699" s="7">
        <v>2991.61</v>
      </c>
      <c r="J1699" s="9">
        <v>0.2</v>
      </c>
      <c r="K1699" s="7">
        <v>2393.29</v>
      </c>
      <c r="L1699" s="7">
        <v>469.02</v>
      </c>
      <c r="M1699" s="3" t="s">
        <v>56</v>
      </c>
      <c r="N1699" s="3" t="str">
        <f t="shared" si="104"/>
        <v>2025-04</v>
      </c>
      <c r="O1699" s="3" t="str">
        <f t="shared" si="105"/>
        <v>16-20%</v>
      </c>
      <c r="P1699" s="9">
        <f t="shared" si="106"/>
        <v>0.19597290758746327</v>
      </c>
      <c r="Q1699" s="3" t="str">
        <f t="shared" si="107"/>
        <v>No</v>
      </c>
    </row>
    <row r="1700" spans="1:17" ht="21" customHeight="1">
      <c r="A1700" s="3" t="s">
        <v>2382</v>
      </c>
      <c r="B1700" s="5">
        <v>45755</v>
      </c>
      <c r="C1700" s="3" t="s">
        <v>163</v>
      </c>
      <c r="D1700" s="3" t="s">
        <v>44</v>
      </c>
      <c r="E1700" s="3" t="s">
        <v>41</v>
      </c>
      <c r="F1700" s="3" t="s">
        <v>113</v>
      </c>
      <c r="G1700" s="3" t="s">
        <v>114</v>
      </c>
      <c r="H1700" s="3">
        <v>1</v>
      </c>
      <c r="I1700" s="7">
        <v>11991.72</v>
      </c>
      <c r="J1700" s="9">
        <v>0</v>
      </c>
      <c r="K1700" s="7">
        <v>11991.72</v>
      </c>
      <c r="L1700" s="7">
        <v>4122.07</v>
      </c>
      <c r="M1700" s="3" t="s">
        <v>56</v>
      </c>
      <c r="N1700" s="3" t="str">
        <f t="shared" si="104"/>
        <v>2025-04</v>
      </c>
      <c r="O1700" s="3" t="str">
        <f t="shared" si="105"/>
        <v>No discount</v>
      </c>
      <c r="P1700" s="9">
        <f t="shared" si="106"/>
        <v>0.34374301601438323</v>
      </c>
      <c r="Q1700" s="3" t="str">
        <f t="shared" si="107"/>
        <v>No</v>
      </c>
    </row>
    <row r="1701" spans="1:17" ht="21" customHeight="1">
      <c r="A1701" s="3" t="s">
        <v>2383</v>
      </c>
      <c r="B1701" s="5">
        <v>45755</v>
      </c>
      <c r="C1701" s="3" t="s">
        <v>314</v>
      </c>
      <c r="D1701" s="3" t="s">
        <v>45</v>
      </c>
      <c r="E1701" s="3" t="s">
        <v>42</v>
      </c>
      <c r="F1701" s="3" t="s">
        <v>126</v>
      </c>
      <c r="G1701" s="3" t="s">
        <v>127</v>
      </c>
      <c r="H1701" s="3">
        <v>1</v>
      </c>
      <c r="I1701" s="7">
        <v>963.69</v>
      </c>
      <c r="J1701" s="9">
        <v>0</v>
      </c>
      <c r="K1701" s="7">
        <v>963.69</v>
      </c>
      <c r="L1701" s="7">
        <v>498.72</v>
      </c>
      <c r="M1701" s="3" t="s">
        <v>58</v>
      </c>
      <c r="N1701" s="3" t="str">
        <f t="shared" si="104"/>
        <v>2025-04</v>
      </c>
      <c r="O1701" s="3" t="str">
        <f t="shared" si="105"/>
        <v>No discount</v>
      </c>
      <c r="P1701" s="9">
        <f t="shared" si="106"/>
        <v>0.51751081779410391</v>
      </c>
      <c r="Q1701" s="3" t="str">
        <f t="shared" si="107"/>
        <v>No</v>
      </c>
    </row>
    <row r="1702" spans="1:17" ht="21" customHeight="1">
      <c r="A1702" s="3" t="s">
        <v>2384</v>
      </c>
      <c r="B1702" s="5">
        <v>45755</v>
      </c>
      <c r="C1702" s="3" t="s">
        <v>468</v>
      </c>
      <c r="D1702" s="3" t="s">
        <v>47</v>
      </c>
      <c r="E1702" s="3" t="s">
        <v>42</v>
      </c>
      <c r="F1702" s="3" t="s">
        <v>90</v>
      </c>
      <c r="G1702" s="3" t="s">
        <v>91</v>
      </c>
      <c r="H1702" s="3">
        <v>1</v>
      </c>
      <c r="I1702" s="7">
        <v>1164</v>
      </c>
      <c r="J1702" s="9">
        <v>0.1</v>
      </c>
      <c r="K1702" s="7">
        <v>1047.5999999999999</v>
      </c>
      <c r="L1702" s="7">
        <v>447.81</v>
      </c>
      <c r="M1702" s="3" t="s">
        <v>57</v>
      </c>
      <c r="N1702" s="3" t="str">
        <f t="shared" si="104"/>
        <v>2025-04</v>
      </c>
      <c r="O1702" s="3" t="str">
        <f t="shared" si="105"/>
        <v>1-10%</v>
      </c>
      <c r="P1702" s="9">
        <f t="shared" si="106"/>
        <v>0.42746277205040095</v>
      </c>
      <c r="Q1702" s="3" t="str">
        <f t="shared" si="107"/>
        <v>No</v>
      </c>
    </row>
    <row r="1703" spans="1:17" ht="21" customHeight="1">
      <c r="A1703" s="3" t="s">
        <v>2385</v>
      </c>
      <c r="B1703" s="5">
        <v>45756</v>
      </c>
      <c r="C1703" s="3" t="s">
        <v>1247</v>
      </c>
      <c r="D1703" s="3" t="s">
        <v>46</v>
      </c>
      <c r="E1703" s="3" t="s">
        <v>39</v>
      </c>
      <c r="F1703" s="3" t="s">
        <v>109</v>
      </c>
      <c r="G1703" s="3" t="s">
        <v>355</v>
      </c>
      <c r="H1703" s="3">
        <v>4</v>
      </c>
      <c r="I1703" s="7">
        <v>3568.85</v>
      </c>
      <c r="J1703" s="9">
        <v>0.05</v>
      </c>
      <c r="K1703" s="7">
        <v>13561.63</v>
      </c>
      <c r="L1703" s="7">
        <v>5095.3</v>
      </c>
      <c r="M1703" s="3" t="s">
        <v>59</v>
      </c>
      <c r="N1703" s="3" t="str">
        <f t="shared" si="104"/>
        <v>2025-04</v>
      </c>
      <c r="O1703" s="3" t="str">
        <f t="shared" si="105"/>
        <v>1-10%</v>
      </c>
      <c r="P1703" s="9">
        <f t="shared" si="106"/>
        <v>0.37571442370865454</v>
      </c>
      <c r="Q1703" s="3" t="str">
        <f t="shared" si="107"/>
        <v>No</v>
      </c>
    </row>
    <row r="1704" spans="1:17" ht="21" customHeight="1">
      <c r="A1704" s="3" t="s">
        <v>2386</v>
      </c>
      <c r="B1704" s="5">
        <v>45756</v>
      </c>
      <c r="C1704" s="3" t="s">
        <v>186</v>
      </c>
      <c r="D1704" s="3" t="s">
        <v>45</v>
      </c>
      <c r="E1704" s="3" t="s">
        <v>39</v>
      </c>
      <c r="F1704" s="3" t="s">
        <v>109</v>
      </c>
      <c r="G1704" s="3" t="s">
        <v>355</v>
      </c>
      <c r="H1704" s="3">
        <v>1</v>
      </c>
      <c r="I1704" s="7">
        <v>3671.13</v>
      </c>
      <c r="J1704" s="9">
        <v>0.1</v>
      </c>
      <c r="K1704" s="7">
        <v>3304.02</v>
      </c>
      <c r="L1704" s="7">
        <v>1058.74</v>
      </c>
      <c r="M1704" s="3" t="s">
        <v>56</v>
      </c>
      <c r="N1704" s="3" t="str">
        <f t="shared" si="104"/>
        <v>2025-04</v>
      </c>
      <c r="O1704" s="3" t="str">
        <f t="shared" si="105"/>
        <v>1-10%</v>
      </c>
      <c r="P1704" s="9">
        <f t="shared" si="106"/>
        <v>0.32043994891072086</v>
      </c>
      <c r="Q1704" s="3" t="str">
        <f t="shared" si="107"/>
        <v>No</v>
      </c>
    </row>
    <row r="1705" spans="1:17" ht="21" customHeight="1">
      <c r="A1705" s="3" t="s">
        <v>2387</v>
      </c>
      <c r="B1705" s="5">
        <v>45756</v>
      </c>
      <c r="C1705" s="3" t="s">
        <v>473</v>
      </c>
      <c r="D1705" s="3" t="s">
        <v>44</v>
      </c>
      <c r="E1705" s="3" t="s">
        <v>39</v>
      </c>
      <c r="F1705" s="3" t="s">
        <v>109</v>
      </c>
      <c r="G1705" s="3" t="s">
        <v>110</v>
      </c>
      <c r="H1705" s="3">
        <v>2</v>
      </c>
      <c r="I1705" s="7">
        <v>3095</v>
      </c>
      <c r="J1705" s="9">
        <v>0.1</v>
      </c>
      <c r="K1705" s="7">
        <v>5571</v>
      </c>
      <c r="L1705" s="7">
        <v>1703.33</v>
      </c>
      <c r="M1705" s="3" t="s">
        <v>56</v>
      </c>
      <c r="N1705" s="3" t="str">
        <f t="shared" si="104"/>
        <v>2025-04</v>
      </c>
      <c r="O1705" s="3" t="str">
        <f t="shared" si="105"/>
        <v>1-10%</v>
      </c>
      <c r="P1705" s="9">
        <f t="shared" si="106"/>
        <v>0.30574941662179139</v>
      </c>
      <c r="Q1705" s="3" t="str">
        <f t="shared" si="107"/>
        <v>No</v>
      </c>
    </row>
    <row r="1706" spans="1:17" ht="21" customHeight="1">
      <c r="A1706" s="3" t="s">
        <v>2388</v>
      </c>
      <c r="B1706" s="5">
        <v>45756</v>
      </c>
      <c r="C1706" s="3" t="s">
        <v>370</v>
      </c>
      <c r="D1706" s="3" t="s">
        <v>44</v>
      </c>
      <c r="E1706" s="3" t="s">
        <v>42</v>
      </c>
      <c r="F1706" s="3" t="s">
        <v>126</v>
      </c>
      <c r="G1706" s="3" t="s">
        <v>151</v>
      </c>
      <c r="H1706" s="3">
        <v>1</v>
      </c>
      <c r="I1706" s="7">
        <v>1485.21</v>
      </c>
      <c r="J1706" s="9">
        <v>0.05</v>
      </c>
      <c r="K1706" s="7">
        <v>1410.95</v>
      </c>
      <c r="L1706" s="7">
        <v>723.29</v>
      </c>
      <c r="M1706" s="3" t="s">
        <v>57</v>
      </c>
      <c r="N1706" s="3" t="str">
        <f t="shared" si="104"/>
        <v>2025-04</v>
      </c>
      <c r="O1706" s="3" t="str">
        <f t="shared" si="105"/>
        <v>1-10%</v>
      </c>
      <c r="P1706" s="9">
        <f t="shared" si="106"/>
        <v>0.51262624472872886</v>
      </c>
      <c r="Q1706" s="3" t="str">
        <f t="shared" si="107"/>
        <v>No</v>
      </c>
    </row>
    <row r="1707" spans="1:17" ht="21" customHeight="1">
      <c r="A1707" s="3" t="s">
        <v>2389</v>
      </c>
      <c r="B1707" s="5">
        <v>45756</v>
      </c>
      <c r="C1707" s="3" t="s">
        <v>172</v>
      </c>
      <c r="D1707" s="3" t="s">
        <v>44</v>
      </c>
      <c r="E1707" s="3" t="s">
        <v>38</v>
      </c>
      <c r="F1707" s="3" t="s">
        <v>142</v>
      </c>
      <c r="G1707" s="3" t="s">
        <v>245</v>
      </c>
      <c r="H1707" s="3">
        <v>3</v>
      </c>
      <c r="I1707" s="7">
        <v>5017.82</v>
      </c>
      <c r="J1707" s="9">
        <v>0.15</v>
      </c>
      <c r="K1707" s="7">
        <v>12795.44</v>
      </c>
      <c r="L1707" s="7">
        <v>498.01</v>
      </c>
      <c r="M1707" s="3" t="s">
        <v>57</v>
      </c>
      <c r="N1707" s="3" t="str">
        <f t="shared" si="104"/>
        <v>2025-04</v>
      </c>
      <c r="O1707" s="3" t="str">
        <f t="shared" si="105"/>
        <v>11-15%</v>
      </c>
      <c r="P1707" s="9">
        <f t="shared" si="106"/>
        <v>3.8920896819491943E-2</v>
      </c>
      <c r="Q1707" s="3" t="str">
        <f t="shared" si="107"/>
        <v>No</v>
      </c>
    </row>
    <row r="1708" spans="1:17" ht="21" customHeight="1">
      <c r="A1708" s="3" t="s">
        <v>2390</v>
      </c>
      <c r="B1708" s="5">
        <v>45757</v>
      </c>
      <c r="C1708" s="3" t="s">
        <v>1264</v>
      </c>
      <c r="D1708" s="3" t="s">
        <v>45</v>
      </c>
      <c r="E1708" s="3" t="s">
        <v>42</v>
      </c>
      <c r="F1708" s="3" t="s">
        <v>126</v>
      </c>
      <c r="G1708" s="3" t="s">
        <v>151</v>
      </c>
      <c r="H1708" s="3">
        <v>2</v>
      </c>
      <c r="I1708" s="7">
        <v>1560.5</v>
      </c>
      <c r="J1708" s="9">
        <v>0.05</v>
      </c>
      <c r="K1708" s="7">
        <v>2964.95</v>
      </c>
      <c r="L1708" s="7">
        <v>1398.01</v>
      </c>
      <c r="M1708" s="3" t="s">
        <v>56</v>
      </c>
      <c r="N1708" s="3" t="str">
        <f t="shared" si="104"/>
        <v>2025-04</v>
      </c>
      <c r="O1708" s="3" t="str">
        <f t="shared" si="105"/>
        <v>1-10%</v>
      </c>
      <c r="P1708" s="9">
        <f t="shared" si="106"/>
        <v>0.47151216715290312</v>
      </c>
      <c r="Q1708" s="3" t="str">
        <f t="shared" si="107"/>
        <v>No</v>
      </c>
    </row>
    <row r="1709" spans="1:17" ht="21" customHeight="1">
      <c r="A1709" s="3" t="s">
        <v>2391</v>
      </c>
      <c r="B1709" s="5">
        <v>45757</v>
      </c>
      <c r="C1709" s="3" t="s">
        <v>1131</v>
      </c>
      <c r="D1709" s="3" t="s">
        <v>47</v>
      </c>
      <c r="E1709" s="3" t="s">
        <v>40</v>
      </c>
      <c r="F1709" s="3" t="s">
        <v>102</v>
      </c>
      <c r="G1709" s="3" t="s">
        <v>103</v>
      </c>
      <c r="H1709" s="3">
        <v>3</v>
      </c>
      <c r="I1709" s="7">
        <v>6647.47</v>
      </c>
      <c r="J1709" s="9">
        <v>0</v>
      </c>
      <c r="K1709" s="7">
        <v>19942.41</v>
      </c>
      <c r="L1709" s="7">
        <v>7070.31</v>
      </c>
      <c r="M1709" s="3" t="s">
        <v>56</v>
      </c>
      <c r="N1709" s="3" t="str">
        <f t="shared" si="104"/>
        <v>2025-04</v>
      </c>
      <c r="O1709" s="3" t="str">
        <f t="shared" si="105"/>
        <v>No discount</v>
      </c>
      <c r="P1709" s="9">
        <f t="shared" si="106"/>
        <v>0.35453638752788658</v>
      </c>
      <c r="Q1709" s="3" t="str">
        <f t="shared" si="107"/>
        <v>No</v>
      </c>
    </row>
    <row r="1710" spans="1:17" ht="21" customHeight="1">
      <c r="A1710" s="3" t="s">
        <v>2392</v>
      </c>
      <c r="B1710" s="5">
        <v>45759</v>
      </c>
      <c r="C1710" s="3" t="s">
        <v>970</v>
      </c>
      <c r="D1710" s="3" t="s">
        <v>45</v>
      </c>
      <c r="E1710" s="3" t="s">
        <v>42</v>
      </c>
      <c r="F1710" s="3" t="s">
        <v>90</v>
      </c>
      <c r="G1710" s="3" t="s">
        <v>106</v>
      </c>
      <c r="H1710" s="3">
        <v>2</v>
      </c>
      <c r="I1710" s="7">
        <v>869.54</v>
      </c>
      <c r="J1710" s="9">
        <v>0</v>
      </c>
      <c r="K1710" s="7">
        <v>1739.08</v>
      </c>
      <c r="L1710" s="7">
        <v>893.88</v>
      </c>
      <c r="M1710" s="3" t="s">
        <v>58</v>
      </c>
      <c r="N1710" s="3" t="str">
        <f t="shared" si="104"/>
        <v>2025-04</v>
      </c>
      <c r="O1710" s="3" t="str">
        <f t="shared" si="105"/>
        <v>No discount</v>
      </c>
      <c r="P1710" s="9">
        <f t="shared" si="106"/>
        <v>0.51399590588127053</v>
      </c>
      <c r="Q1710" s="3" t="str">
        <f t="shared" si="107"/>
        <v>No</v>
      </c>
    </row>
    <row r="1711" spans="1:17" ht="21" customHeight="1">
      <c r="A1711" s="3" t="s">
        <v>2393</v>
      </c>
      <c r="B1711" s="5">
        <v>45759</v>
      </c>
      <c r="C1711" s="3" t="s">
        <v>238</v>
      </c>
      <c r="D1711" s="3" t="s">
        <v>46</v>
      </c>
      <c r="E1711" s="3" t="s">
        <v>40</v>
      </c>
      <c r="F1711" s="3" t="s">
        <v>221</v>
      </c>
      <c r="G1711" s="3" t="s">
        <v>279</v>
      </c>
      <c r="H1711" s="3">
        <v>1</v>
      </c>
      <c r="I1711" s="7">
        <v>1448.45</v>
      </c>
      <c r="J1711" s="9">
        <v>0.05</v>
      </c>
      <c r="K1711" s="7">
        <v>1376.03</v>
      </c>
      <c r="L1711" s="7">
        <v>380.12</v>
      </c>
      <c r="M1711" s="3" t="s">
        <v>57</v>
      </c>
      <c r="N1711" s="3" t="str">
        <f t="shared" si="104"/>
        <v>2025-04</v>
      </c>
      <c r="O1711" s="3" t="str">
        <f t="shared" si="105"/>
        <v>1-10%</v>
      </c>
      <c r="P1711" s="9">
        <f t="shared" si="106"/>
        <v>0.27624397723886834</v>
      </c>
      <c r="Q1711" s="3" t="str">
        <f t="shared" si="107"/>
        <v>No</v>
      </c>
    </row>
    <row r="1712" spans="1:17" ht="21" customHeight="1">
      <c r="A1712" s="3" t="s">
        <v>2394</v>
      </c>
      <c r="B1712" s="5">
        <v>45759</v>
      </c>
      <c r="C1712" s="3" t="s">
        <v>278</v>
      </c>
      <c r="D1712" s="3" t="s">
        <v>46</v>
      </c>
      <c r="E1712" s="3" t="s">
        <v>42</v>
      </c>
      <c r="F1712" s="3" t="s">
        <v>90</v>
      </c>
      <c r="G1712" s="3" t="s">
        <v>91</v>
      </c>
      <c r="H1712" s="3">
        <v>2</v>
      </c>
      <c r="I1712" s="7">
        <v>1143.78</v>
      </c>
      <c r="J1712" s="9">
        <v>0.15</v>
      </c>
      <c r="K1712" s="7">
        <v>1944.43</v>
      </c>
      <c r="L1712" s="7">
        <v>806.22</v>
      </c>
      <c r="M1712" s="3" t="s">
        <v>56</v>
      </c>
      <c r="N1712" s="3" t="str">
        <f t="shared" si="104"/>
        <v>2025-04</v>
      </c>
      <c r="O1712" s="3" t="str">
        <f t="shared" si="105"/>
        <v>11-15%</v>
      </c>
      <c r="P1712" s="9">
        <f t="shared" si="106"/>
        <v>0.41463050868377882</v>
      </c>
      <c r="Q1712" s="3" t="str">
        <f t="shared" si="107"/>
        <v>No</v>
      </c>
    </row>
    <row r="1713" spans="1:17" ht="21" customHeight="1">
      <c r="A1713" s="3" t="s">
        <v>2395</v>
      </c>
      <c r="B1713" s="5">
        <v>45759</v>
      </c>
      <c r="C1713" s="3" t="s">
        <v>352</v>
      </c>
      <c r="D1713" s="3" t="s">
        <v>46</v>
      </c>
      <c r="E1713" s="3" t="s">
        <v>42</v>
      </c>
      <c r="F1713" s="3" t="s">
        <v>126</v>
      </c>
      <c r="G1713" s="3" t="s">
        <v>151</v>
      </c>
      <c r="H1713" s="3">
        <v>3</v>
      </c>
      <c r="I1713" s="7">
        <v>1548.51</v>
      </c>
      <c r="J1713" s="9">
        <v>0.1</v>
      </c>
      <c r="K1713" s="7">
        <v>4180.9799999999996</v>
      </c>
      <c r="L1713" s="7">
        <v>1866.14</v>
      </c>
      <c r="M1713" s="3" t="s">
        <v>58</v>
      </c>
      <c r="N1713" s="3" t="str">
        <f t="shared" si="104"/>
        <v>2025-04</v>
      </c>
      <c r="O1713" s="3" t="str">
        <f t="shared" si="105"/>
        <v>1-10%</v>
      </c>
      <c r="P1713" s="9">
        <f t="shared" si="106"/>
        <v>0.44634033169256976</v>
      </c>
      <c r="Q1713" s="3" t="str">
        <f t="shared" si="107"/>
        <v>No</v>
      </c>
    </row>
    <row r="1714" spans="1:17" ht="21" customHeight="1">
      <c r="A1714" s="3" t="s">
        <v>2396</v>
      </c>
      <c r="B1714" s="5">
        <v>45760</v>
      </c>
      <c r="C1714" s="3" t="s">
        <v>730</v>
      </c>
      <c r="D1714" s="3" t="s">
        <v>47</v>
      </c>
      <c r="E1714" s="3" t="s">
        <v>42</v>
      </c>
      <c r="F1714" s="3" t="s">
        <v>90</v>
      </c>
      <c r="G1714" s="3" t="s">
        <v>91</v>
      </c>
      <c r="H1714" s="3">
        <v>1</v>
      </c>
      <c r="I1714" s="7">
        <v>1243.46</v>
      </c>
      <c r="J1714" s="9">
        <v>0.05</v>
      </c>
      <c r="K1714" s="7">
        <v>1181.29</v>
      </c>
      <c r="L1714" s="7">
        <v>548.78</v>
      </c>
      <c r="M1714" s="3" t="s">
        <v>56</v>
      </c>
      <c r="N1714" s="3" t="str">
        <f t="shared" si="104"/>
        <v>2025-04</v>
      </c>
      <c r="O1714" s="3" t="str">
        <f t="shared" si="105"/>
        <v>1-10%</v>
      </c>
      <c r="P1714" s="9">
        <f t="shared" si="106"/>
        <v>0.46455993024574826</v>
      </c>
      <c r="Q1714" s="3" t="str">
        <f t="shared" si="107"/>
        <v>No</v>
      </c>
    </row>
    <row r="1715" spans="1:17" ht="21" customHeight="1">
      <c r="A1715" s="3" t="s">
        <v>2397</v>
      </c>
      <c r="B1715" s="5">
        <v>45760</v>
      </c>
      <c r="C1715" s="3" t="s">
        <v>329</v>
      </c>
      <c r="D1715" s="3" t="s">
        <v>44</v>
      </c>
      <c r="E1715" s="3" t="s">
        <v>40</v>
      </c>
      <c r="F1715" s="3" t="s">
        <v>221</v>
      </c>
      <c r="G1715" s="3" t="s">
        <v>222</v>
      </c>
      <c r="H1715" s="3">
        <v>3</v>
      </c>
      <c r="I1715" s="7">
        <v>1029.8499999999999</v>
      </c>
      <c r="J1715" s="9">
        <v>0.25</v>
      </c>
      <c r="K1715" s="7">
        <v>2317.16</v>
      </c>
      <c r="L1715" s="7">
        <v>180.21</v>
      </c>
      <c r="M1715" s="3" t="s">
        <v>59</v>
      </c>
      <c r="N1715" s="3" t="str">
        <f t="shared" si="104"/>
        <v>2025-04</v>
      </c>
      <c r="O1715" s="3" t="str">
        <f t="shared" si="105"/>
        <v>21%+</v>
      </c>
      <c r="P1715" s="9">
        <f t="shared" si="106"/>
        <v>7.7771927704603921E-2</v>
      </c>
      <c r="Q1715" s="3" t="str">
        <f t="shared" si="107"/>
        <v>No</v>
      </c>
    </row>
    <row r="1716" spans="1:17" ht="21" customHeight="1">
      <c r="A1716" s="3" t="s">
        <v>2398</v>
      </c>
      <c r="B1716" s="5">
        <v>45760</v>
      </c>
      <c r="C1716" s="3" t="s">
        <v>728</v>
      </c>
      <c r="D1716" s="3" t="s">
        <v>47</v>
      </c>
      <c r="E1716" s="3" t="s">
        <v>42</v>
      </c>
      <c r="F1716" s="3" t="s">
        <v>126</v>
      </c>
      <c r="G1716" s="3" t="s">
        <v>127</v>
      </c>
      <c r="H1716" s="3">
        <v>1</v>
      </c>
      <c r="I1716" s="7">
        <v>1007.03</v>
      </c>
      <c r="J1716" s="9">
        <v>0.15</v>
      </c>
      <c r="K1716" s="7">
        <v>855.98</v>
      </c>
      <c r="L1716" s="7">
        <v>344.02</v>
      </c>
      <c r="M1716" s="3" t="s">
        <v>58</v>
      </c>
      <c r="N1716" s="3" t="str">
        <f t="shared" si="104"/>
        <v>2025-04</v>
      </c>
      <c r="O1716" s="3" t="str">
        <f t="shared" si="105"/>
        <v>11-15%</v>
      </c>
      <c r="P1716" s="9">
        <f t="shared" si="106"/>
        <v>0.40190191359611205</v>
      </c>
      <c r="Q1716" s="3" t="str">
        <f t="shared" si="107"/>
        <v>No</v>
      </c>
    </row>
    <row r="1717" spans="1:17" ht="21" customHeight="1">
      <c r="A1717" s="3" t="s">
        <v>2399</v>
      </c>
      <c r="B1717" s="5">
        <v>45761</v>
      </c>
      <c r="C1717" s="3" t="s">
        <v>1241</v>
      </c>
      <c r="D1717" s="3" t="s">
        <v>47</v>
      </c>
      <c r="E1717" s="3" t="s">
        <v>42</v>
      </c>
      <c r="F1717" s="3" t="s">
        <v>90</v>
      </c>
      <c r="G1717" s="3" t="s">
        <v>106</v>
      </c>
      <c r="H1717" s="3">
        <v>1</v>
      </c>
      <c r="I1717" s="7">
        <v>860.88</v>
      </c>
      <c r="J1717" s="9">
        <v>0</v>
      </c>
      <c r="K1717" s="7">
        <v>860.88</v>
      </c>
      <c r="L1717" s="7">
        <v>456.84</v>
      </c>
      <c r="M1717" s="3" t="s">
        <v>58</v>
      </c>
      <c r="N1717" s="3" t="str">
        <f t="shared" si="104"/>
        <v>2025-04</v>
      </c>
      <c r="O1717" s="3" t="str">
        <f t="shared" si="105"/>
        <v>No discount</v>
      </c>
      <c r="P1717" s="9">
        <f t="shared" si="106"/>
        <v>0.53066629495400053</v>
      </c>
      <c r="Q1717" s="3" t="str">
        <f t="shared" si="107"/>
        <v>No</v>
      </c>
    </row>
    <row r="1718" spans="1:17" ht="21" customHeight="1">
      <c r="A1718" s="3" t="s">
        <v>2400</v>
      </c>
      <c r="B1718" s="5">
        <v>45762</v>
      </c>
      <c r="C1718" s="3" t="s">
        <v>2117</v>
      </c>
      <c r="D1718" s="3" t="s">
        <v>46</v>
      </c>
      <c r="E1718" s="3" t="s">
        <v>39</v>
      </c>
      <c r="F1718" s="3" t="s">
        <v>109</v>
      </c>
      <c r="G1718" s="3" t="s">
        <v>110</v>
      </c>
      <c r="H1718" s="3">
        <v>1</v>
      </c>
      <c r="I1718" s="7">
        <v>3131.86</v>
      </c>
      <c r="J1718" s="9">
        <v>0.1</v>
      </c>
      <c r="K1718" s="7">
        <v>2818.67</v>
      </c>
      <c r="L1718" s="7">
        <v>907.67</v>
      </c>
      <c r="M1718" s="3" t="s">
        <v>56</v>
      </c>
      <c r="N1718" s="3" t="str">
        <f t="shared" si="104"/>
        <v>2025-04</v>
      </c>
      <c r="O1718" s="3" t="str">
        <f t="shared" si="105"/>
        <v>1-10%</v>
      </c>
      <c r="P1718" s="9">
        <f t="shared" si="106"/>
        <v>0.32202066932276568</v>
      </c>
      <c r="Q1718" s="3" t="str">
        <f t="shared" si="107"/>
        <v>No</v>
      </c>
    </row>
    <row r="1719" spans="1:17" ht="21" customHeight="1">
      <c r="A1719" s="3" t="s">
        <v>2401</v>
      </c>
      <c r="B1719" s="5">
        <v>45762</v>
      </c>
      <c r="C1719" s="3" t="s">
        <v>858</v>
      </c>
      <c r="D1719" s="3" t="s">
        <v>45</v>
      </c>
      <c r="E1719" s="3" t="s">
        <v>42</v>
      </c>
      <c r="F1719" s="3" t="s">
        <v>126</v>
      </c>
      <c r="G1719" s="3" t="s">
        <v>127</v>
      </c>
      <c r="H1719" s="3">
        <v>1</v>
      </c>
      <c r="I1719" s="7">
        <v>992.4</v>
      </c>
      <c r="J1719" s="9">
        <v>0.15</v>
      </c>
      <c r="K1719" s="7">
        <v>843.54</v>
      </c>
      <c r="L1719" s="7">
        <v>294.7</v>
      </c>
      <c r="M1719" s="3" t="s">
        <v>57</v>
      </c>
      <c r="N1719" s="3" t="str">
        <f t="shared" si="104"/>
        <v>2025-04</v>
      </c>
      <c r="O1719" s="3" t="str">
        <f t="shared" si="105"/>
        <v>11-15%</v>
      </c>
      <c r="P1719" s="9">
        <f t="shared" si="106"/>
        <v>0.34936102615169407</v>
      </c>
      <c r="Q1719" s="3" t="str">
        <f t="shared" si="107"/>
        <v>No</v>
      </c>
    </row>
    <row r="1720" spans="1:17" ht="21" customHeight="1">
      <c r="A1720" s="3" t="s">
        <v>2402</v>
      </c>
      <c r="B1720" s="5">
        <v>45763</v>
      </c>
      <c r="C1720" s="3" t="s">
        <v>502</v>
      </c>
      <c r="D1720" s="3" t="s">
        <v>45</v>
      </c>
      <c r="E1720" s="3" t="s">
        <v>41</v>
      </c>
      <c r="F1720" s="3" t="s">
        <v>119</v>
      </c>
      <c r="G1720" s="3" t="s">
        <v>168</v>
      </c>
      <c r="H1720" s="3">
        <v>1</v>
      </c>
      <c r="I1720" s="7">
        <v>9881.5499999999993</v>
      </c>
      <c r="J1720" s="9">
        <v>0.15</v>
      </c>
      <c r="K1720" s="7">
        <v>8399.32</v>
      </c>
      <c r="L1720" s="7">
        <v>1432.91</v>
      </c>
      <c r="M1720" s="3" t="s">
        <v>56</v>
      </c>
      <c r="N1720" s="3" t="str">
        <f t="shared" si="104"/>
        <v>2025-04</v>
      </c>
      <c r="O1720" s="3" t="str">
        <f t="shared" si="105"/>
        <v>11-15%</v>
      </c>
      <c r="P1720" s="9">
        <f t="shared" si="106"/>
        <v>0.17059833415085984</v>
      </c>
      <c r="Q1720" s="3" t="str">
        <f t="shared" si="107"/>
        <v>No</v>
      </c>
    </row>
    <row r="1721" spans="1:17" ht="21" customHeight="1">
      <c r="A1721" s="3" t="s">
        <v>2403</v>
      </c>
      <c r="B1721" s="5">
        <v>45763</v>
      </c>
      <c r="C1721" s="3" t="s">
        <v>163</v>
      </c>
      <c r="D1721" s="3" t="s">
        <v>45</v>
      </c>
      <c r="E1721" s="3" t="s">
        <v>39</v>
      </c>
      <c r="F1721" s="3" t="s">
        <v>109</v>
      </c>
      <c r="G1721" s="3" t="s">
        <v>355</v>
      </c>
      <c r="H1721" s="3">
        <v>1</v>
      </c>
      <c r="I1721" s="7">
        <v>3544.72</v>
      </c>
      <c r="J1721" s="9">
        <v>0.05</v>
      </c>
      <c r="K1721" s="7">
        <v>3367.48</v>
      </c>
      <c r="L1721" s="7">
        <v>1186.03</v>
      </c>
      <c r="M1721" s="3" t="s">
        <v>56</v>
      </c>
      <c r="N1721" s="3" t="str">
        <f t="shared" si="104"/>
        <v>2025-04</v>
      </c>
      <c r="O1721" s="3" t="str">
        <f t="shared" si="105"/>
        <v>1-10%</v>
      </c>
      <c r="P1721" s="9">
        <f t="shared" si="106"/>
        <v>0.35220105241901956</v>
      </c>
      <c r="Q1721" s="3" t="str">
        <f t="shared" si="107"/>
        <v>No</v>
      </c>
    </row>
    <row r="1722" spans="1:17" ht="21" customHeight="1">
      <c r="A1722" s="3" t="s">
        <v>2404</v>
      </c>
      <c r="B1722" s="5">
        <v>45763</v>
      </c>
      <c r="C1722" s="3" t="s">
        <v>2405</v>
      </c>
      <c r="D1722" s="3" t="s">
        <v>44</v>
      </c>
      <c r="E1722" s="3" t="s">
        <v>42</v>
      </c>
      <c r="F1722" s="3" t="s">
        <v>126</v>
      </c>
      <c r="G1722" s="3" t="s">
        <v>127</v>
      </c>
      <c r="H1722" s="3">
        <v>2</v>
      </c>
      <c r="I1722" s="7">
        <v>995.98</v>
      </c>
      <c r="J1722" s="9">
        <v>0</v>
      </c>
      <c r="K1722" s="7">
        <v>1991.96</v>
      </c>
      <c r="L1722" s="7">
        <v>1080.72</v>
      </c>
      <c r="M1722" s="3" t="s">
        <v>57</v>
      </c>
      <c r="N1722" s="3" t="str">
        <f t="shared" si="104"/>
        <v>2025-04</v>
      </c>
      <c r="O1722" s="3" t="str">
        <f t="shared" si="105"/>
        <v>No discount</v>
      </c>
      <c r="P1722" s="9">
        <f t="shared" si="106"/>
        <v>0.54254101487981687</v>
      </c>
      <c r="Q1722" s="3" t="str">
        <f t="shared" si="107"/>
        <v>No</v>
      </c>
    </row>
    <row r="1723" spans="1:17" ht="21" customHeight="1">
      <c r="A1723" s="3" t="s">
        <v>2406</v>
      </c>
      <c r="B1723" s="5">
        <v>45763</v>
      </c>
      <c r="C1723" s="3" t="s">
        <v>316</v>
      </c>
      <c r="D1723" s="3" t="s">
        <v>44</v>
      </c>
      <c r="E1723" s="3" t="s">
        <v>38</v>
      </c>
      <c r="F1723" s="3" t="s">
        <v>142</v>
      </c>
      <c r="G1723" s="3" t="s">
        <v>245</v>
      </c>
      <c r="H1723" s="3">
        <v>1</v>
      </c>
      <c r="I1723" s="7">
        <v>4824.5</v>
      </c>
      <c r="J1723" s="9">
        <v>0</v>
      </c>
      <c r="K1723" s="7">
        <v>4824.5</v>
      </c>
      <c r="L1723" s="7">
        <v>734.01</v>
      </c>
      <c r="M1723" s="3" t="s">
        <v>56</v>
      </c>
      <c r="N1723" s="3" t="str">
        <f t="shared" si="104"/>
        <v>2025-04</v>
      </c>
      <c r="O1723" s="3" t="str">
        <f t="shared" si="105"/>
        <v>No discount</v>
      </c>
      <c r="P1723" s="9">
        <f t="shared" si="106"/>
        <v>0.15214219090061146</v>
      </c>
      <c r="Q1723" s="3" t="str">
        <f t="shared" si="107"/>
        <v>No</v>
      </c>
    </row>
    <row r="1724" spans="1:17" ht="21" customHeight="1">
      <c r="A1724" s="3" t="s">
        <v>2407</v>
      </c>
      <c r="B1724" s="5">
        <v>45763</v>
      </c>
      <c r="C1724" s="3" t="s">
        <v>2106</v>
      </c>
      <c r="D1724" s="3" t="s">
        <v>45</v>
      </c>
      <c r="E1724" s="3" t="s">
        <v>39</v>
      </c>
      <c r="F1724" s="3" t="s">
        <v>109</v>
      </c>
      <c r="G1724" s="3" t="s">
        <v>355</v>
      </c>
      <c r="H1724" s="3">
        <v>1</v>
      </c>
      <c r="I1724" s="7">
        <v>3627.97</v>
      </c>
      <c r="J1724" s="9">
        <v>0</v>
      </c>
      <c r="K1724" s="7">
        <v>3627.97</v>
      </c>
      <c r="L1724" s="7">
        <v>1646.1</v>
      </c>
      <c r="M1724" s="3" t="s">
        <v>58</v>
      </c>
      <c r="N1724" s="3" t="str">
        <f t="shared" si="104"/>
        <v>2025-04</v>
      </c>
      <c r="O1724" s="3" t="str">
        <f t="shared" si="105"/>
        <v>No discount</v>
      </c>
      <c r="P1724" s="9">
        <f t="shared" si="106"/>
        <v>0.45372481029335965</v>
      </c>
      <c r="Q1724" s="3" t="str">
        <f t="shared" si="107"/>
        <v>No</v>
      </c>
    </row>
    <row r="1725" spans="1:17" ht="21" customHeight="1">
      <c r="A1725" s="3" t="s">
        <v>2408</v>
      </c>
      <c r="B1725" s="5">
        <v>45763</v>
      </c>
      <c r="C1725" s="3" t="s">
        <v>1243</v>
      </c>
      <c r="D1725" s="3" t="s">
        <v>45</v>
      </c>
      <c r="E1725" s="3" t="s">
        <v>40</v>
      </c>
      <c r="F1725" s="3" t="s">
        <v>102</v>
      </c>
      <c r="G1725" s="3" t="s">
        <v>146</v>
      </c>
      <c r="H1725" s="3">
        <v>5</v>
      </c>
      <c r="I1725" s="7">
        <v>8112.61</v>
      </c>
      <c r="J1725" s="9">
        <v>0</v>
      </c>
      <c r="K1725" s="7">
        <v>40563.050000000003</v>
      </c>
      <c r="L1725" s="7">
        <v>14042.98</v>
      </c>
      <c r="M1725" s="3" t="s">
        <v>56</v>
      </c>
      <c r="N1725" s="3" t="str">
        <f t="shared" si="104"/>
        <v>2025-04</v>
      </c>
      <c r="O1725" s="3" t="str">
        <f t="shared" si="105"/>
        <v>No discount</v>
      </c>
      <c r="P1725" s="9">
        <f t="shared" si="106"/>
        <v>0.34620128417365059</v>
      </c>
      <c r="Q1725" s="3" t="str">
        <f t="shared" si="107"/>
        <v>No</v>
      </c>
    </row>
    <row r="1726" spans="1:17" ht="21" customHeight="1">
      <c r="A1726" s="3" t="s">
        <v>2409</v>
      </c>
      <c r="B1726" s="5">
        <v>45764</v>
      </c>
      <c r="C1726" s="3" t="s">
        <v>493</v>
      </c>
      <c r="D1726" s="3" t="s">
        <v>46</v>
      </c>
      <c r="E1726" s="3" t="s">
        <v>39</v>
      </c>
      <c r="F1726" s="3" t="s">
        <v>164</v>
      </c>
      <c r="G1726" s="3" t="s">
        <v>165</v>
      </c>
      <c r="H1726" s="3">
        <v>1</v>
      </c>
      <c r="I1726" s="7">
        <v>1937.9</v>
      </c>
      <c r="J1726" s="9">
        <v>0.2</v>
      </c>
      <c r="K1726" s="7">
        <v>1550.32</v>
      </c>
      <c r="L1726" s="7">
        <v>255.04</v>
      </c>
      <c r="M1726" s="3" t="s">
        <v>59</v>
      </c>
      <c r="N1726" s="3" t="str">
        <f t="shared" si="104"/>
        <v>2025-04</v>
      </c>
      <c r="O1726" s="3" t="str">
        <f t="shared" si="105"/>
        <v>16-20%</v>
      </c>
      <c r="P1726" s="9">
        <f t="shared" si="106"/>
        <v>0.16450797254760308</v>
      </c>
      <c r="Q1726" s="3" t="str">
        <f t="shared" si="107"/>
        <v>No</v>
      </c>
    </row>
    <row r="1727" spans="1:17" ht="21" customHeight="1">
      <c r="A1727" s="3" t="s">
        <v>2410</v>
      </c>
      <c r="B1727" s="5">
        <v>45764</v>
      </c>
      <c r="C1727" s="3" t="s">
        <v>324</v>
      </c>
      <c r="D1727" s="3" t="s">
        <v>46</v>
      </c>
      <c r="E1727" s="3" t="s">
        <v>39</v>
      </c>
      <c r="F1727" s="3" t="s">
        <v>130</v>
      </c>
      <c r="G1727" s="3" t="s">
        <v>193</v>
      </c>
      <c r="H1727" s="3">
        <v>1</v>
      </c>
      <c r="I1727" s="7">
        <v>1794.4</v>
      </c>
      <c r="J1727" s="9">
        <v>0.15</v>
      </c>
      <c r="K1727" s="7">
        <v>1525.24</v>
      </c>
      <c r="L1727" s="7">
        <v>379.43</v>
      </c>
      <c r="M1727" s="3" t="s">
        <v>58</v>
      </c>
      <c r="N1727" s="3" t="str">
        <f t="shared" si="104"/>
        <v>2025-04</v>
      </c>
      <c r="O1727" s="3" t="str">
        <f t="shared" si="105"/>
        <v>11-15%</v>
      </c>
      <c r="P1727" s="9">
        <f t="shared" si="106"/>
        <v>0.24876740709658809</v>
      </c>
      <c r="Q1727" s="3" t="str">
        <f t="shared" si="107"/>
        <v>No</v>
      </c>
    </row>
    <row r="1728" spans="1:17" ht="21" customHeight="1">
      <c r="A1728" s="3" t="s">
        <v>2411</v>
      </c>
      <c r="B1728" s="5">
        <v>45764</v>
      </c>
      <c r="C1728" s="3" t="s">
        <v>414</v>
      </c>
      <c r="D1728" s="3" t="s">
        <v>44</v>
      </c>
      <c r="E1728" s="3" t="s">
        <v>39</v>
      </c>
      <c r="F1728" s="3" t="s">
        <v>164</v>
      </c>
      <c r="G1728" s="3" t="s">
        <v>200</v>
      </c>
      <c r="H1728" s="3">
        <v>2</v>
      </c>
      <c r="I1728" s="7">
        <v>1246.8399999999999</v>
      </c>
      <c r="J1728" s="9">
        <v>0.05</v>
      </c>
      <c r="K1728" s="7">
        <v>2369</v>
      </c>
      <c r="L1728" s="7">
        <v>832.66</v>
      </c>
      <c r="M1728" s="3" t="s">
        <v>59</v>
      </c>
      <c r="N1728" s="3" t="str">
        <f t="shared" si="104"/>
        <v>2025-04</v>
      </c>
      <c r="O1728" s="3" t="str">
        <f t="shared" si="105"/>
        <v>1-10%</v>
      </c>
      <c r="P1728" s="9">
        <f t="shared" si="106"/>
        <v>0.35148163782186576</v>
      </c>
      <c r="Q1728" s="3" t="str">
        <f t="shared" si="107"/>
        <v>No</v>
      </c>
    </row>
    <row r="1729" spans="1:17" ht="21" customHeight="1">
      <c r="A1729" s="3" t="s">
        <v>2412</v>
      </c>
      <c r="B1729" s="5">
        <v>45765</v>
      </c>
      <c r="C1729" s="3" t="s">
        <v>370</v>
      </c>
      <c r="D1729" s="3" t="s">
        <v>45</v>
      </c>
      <c r="E1729" s="3" t="s">
        <v>40</v>
      </c>
      <c r="F1729" s="3" t="s">
        <v>102</v>
      </c>
      <c r="G1729" s="3" t="s">
        <v>103</v>
      </c>
      <c r="H1729" s="3">
        <v>3</v>
      </c>
      <c r="I1729" s="7">
        <v>6469.64</v>
      </c>
      <c r="J1729" s="9">
        <v>0.1</v>
      </c>
      <c r="K1729" s="7">
        <v>17468.03</v>
      </c>
      <c r="L1729" s="7">
        <v>3496.42</v>
      </c>
      <c r="M1729" s="3" t="s">
        <v>60</v>
      </c>
      <c r="N1729" s="3" t="str">
        <f t="shared" si="104"/>
        <v>2025-04</v>
      </c>
      <c r="O1729" s="3" t="str">
        <f t="shared" si="105"/>
        <v>1-10%</v>
      </c>
      <c r="P1729" s="9">
        <f t="shared" si="106"/>
        <v>0.20016109429626583</v>
      </c>
      <c r="Q1729" s="3" t="str">
        <f t="shared" si="107"/>
        <v>No</v>
      </c>
    </row>
    <row r="1730" spans="1:17" ht="21" customHeight="1">
      <c r="A1730" s="3" t="s">
        <v>2413</v>
      </c>
      <c r="B1730" s="5">
        <v>45765</v>
      </c>
      <c r="C1730" s="3" t="s">
        <v>1783</v>
      </c>
      <c r="D1730" s="3" t="s">
        <v>45</v>
      </c>
      <c r="E1730" s="3" t="s">
        <v>38</v>
      </c>
      <c r="F1730" s="3" t="s">
        <v>142</v>
      </c>
      <c r="G1730" s="3" t="s">
        <v>245</v>
      </c>
      <c r="H1730" s="3">
        <v>4</v>
      </c>
      <c r="I1730" s="7">
        <v>5007</v>
      </c>
      <c r="J1730" s="9">
        <v>0.15</v>
      </c>
      <c r="K1730" s="7">
        <v>17023.8</v>
      </c>
      <c r="L1730" s="7">
        <v>198.38</v>
      </c>
      <c r="M1730" s="3" t="s">
        <v>57</v>
      </c>
      <c r="N1730" s="3" t="str">
        <f t="shared" ref="N1730:N1793" si="108">TEXT(B1730,"yyyy-mm")</f>
        <v>2025-04</v>
      </c>
      <c r="O1730" s="3" t="str">
        <f t="shared" ref="O1730:O1793" si="109">IF(J1730=0,"No discount",IF(J1730&lt;=0.1,"1-10%",IF(J1730&lt;=0.15,"11-15%",IF(J1730&lt;=0.2,"16-20%","21%+"))))</f>
        <v>11-15%</v>
      </c>
      <c r="P1730" s="9">
        <f t="shared" ref="P1730:P1793" si="110">IF(K1730=0,0,L1730/K1730)</f>
        <v>1.1653097428306254E-2</v>
      </c>
      <c r="Q1730" s="3" t="str">
        <f t="shared" ref="Q1730:Q1793" si="111">IF(L1730&lt;0,"Yes","No")</f>
        <v>No</v>
      </c>
    </row>
    <row r="1731" spans="1:17" ht="21" customHeight="1">
      <c r="A1731" s="3" t="s">
        <v>2414</v>
      </c>
      <c r="B1731" s="5">
        <v>45765</v>
      </c>
      <c r="C1731" s="3" t="s">
        <v>1479</v>
      </c>
      <c r="D1731" s="3" t="s">
        <v>47</v>
      </c>
      <c r="E1731" s="3" t="s">
        <v>40</v>
      </c>
      <c r="F1731" s="3" t="s">
        <v>221</v>
      </c>
      <c r="G1731" s="3" t="s">
        <v>222</v>
      </c>
      <c r="H1731" s="3">
        <v>1</v>
      </c>
      <c r="I1731" s="7">
        <v>1029.24</v>
      </c>
      <c r="J1731" s="9">
        <v>0.05</v>
      </c>
      <c r="K1731" s="7">
        <v>977.78</v>
      </c>
      <c r="L1731" s="7">
        <v>290.07</v>
      </c>
      <c r="M1731" s="3" t="s">
        <v>56</v>
      </c>
      <c r="N1731" s="3" t="str">
        <f t="shared" si="108"/>
        <v>2025-04</v>
      </c>
      <c r="O1731" s="3" t="str">
        <f t="shared" si="109"/>
        <v>1-10%</v>
      </c>
      <c r="P1731" s="9">
        <f t="shared" si="110"/>
        <v>0.2966618257685778</v>
      </c>
      <c r="Q1731" s="3" t="str">
        <f t="shared" si="111"/>
        <v>No</v>
      </c>
    </row>
    <row r="1732" spans="1:17" ht="21" customHeight="1">
      <c r="A1732" s="3" t="s">
        <v>2415</v>
      </c>
      <c r="B1732" s="5">
        <v>45765</v>
      </c>
      <c r="C1732" s="3" t="s">
        <v>1350</v>
      </c>
      <c r="D1732" s="3" t="s">
        <v>46</v>
      </c>
      <c r="E1732" s="3" t="s">
        <v>38</v>
      </c>
      <c r="F1732" s="3" t="s">
        <v>98</v>
      </c>
      <c r="G1732" s="3" t="s">
        <v>362</v>
      </c>
      <c r="H1732" s="3">
        <v>3</v>
      </c>
      <c r="I1732" s="7">
        <v>33784.86</v>
      </c>
      <c r="J1732" s="9">
        <v>0.05</v>
      </c>
      <c r="K1732" s="7">
        <v>96286.85</v>
      </c>
      <c r="L1732" s="7">
        <v>15575.56</v>
      </c>
      <c r="M1732" s="3" t="s">
        <v>57</v>
      </c>
      <c r="N1732" s="3" t="str">
        <f t="shared" si="108"/>
        <v>2025-04</v>
      </c>
      <c r="O1732" s="3" t="str">
        <f t="shared" si="109"/>
        <v>1-10%</v>
      </c>
      <c r="P1732" s="9">
        <f t="shared" si="110"/>
        <v>0.1617620682367322</v>
      </c>
      <c r="Q1732" s="3" t="str">
        <f t="shared" si="111"/>
        <v>No</v>
      </c>
    </row>
    <row r="1733" spans="1:17" ht="21" customHeight="1">
      <c r="A1733" s="3" t="s">
        <v>2416</v>
      </c>
      <c r="B1733" s="5">
        <v>45766</v>
      </c>
      <c r="C1733" s="3" t="s">
        <v>2077</v>
      </c>
      <c r="D1733" s="3" t="s">
        <v>47</v>
      </c>
      <c r="E1733" s="3" t="s">
        <v>41</v>
      </c>
      <c r="F1733" s="3" t="s">
        <v>113</v>
      </c>
      <c r="G1733" s="3" t="s">
        <v>123</v>
      </c>
      <c r="H1733" s="3">
        <v>1</v>
      </c>
      <c r="I1733" s="7">
        <v>3582.75</v>
      </c>
      <c r="J1733" s="9">
        <v>0.1</v>
      </c>
      <c r="K1733" s="7">
        <v>3224.47</v>
      </c>
      <c r="L1733" s="7">
        <v>909.15</v>
      </c>
      <c r="M1733" s="3" t="s">
        <v>56</v>
      </c>
      <c r="N1733" s="3" t="str">
        <f t="shared" si="108"/>
        <v>2025-04</v>
      </c>
      <c r="O1733" s="3" t="str">
        <f t="shared" si="109"/>
        <v>1-10%</v>
      </c>
      <c r="P1733" s="9">
        <f t="shared" si="110"/>
        <v>0.28195331325768269</v>
      </c>
      <c r="Q1733" s="3" t="str">
        <f t="shared" si="111"/>
        <v>No</v>
      </c>
    </row>
    <row r="1734" spans="1:17" ht="21" customHeight="1">
      <c r="A1734" s="3" t="s">
        <v>2417</v>
      </c>
      <c r="B1734" s="5">
        <v>45766</v>
      </c>
      <c r="C1734" s="3" t="s">
        <v>1129</v>
      </c>
      <c r="D1734" s="3" t="s">
        <v>46</v>
      </c>
      <c r="E1734" s="3" t="s">
        <v>42</v>
      </c>
      <c r="F1734" s="3" t="s">
        <v>90</v>
      </c>
      <c r="G1734" s="3" t="s">
        <v>106</v>
      </c>
      <c r="H1734" s="3">
        <v>1</v>
      </c>
      <c r="I1734" s="7">
        <v>893.07</v>
      </c>
      <c r="J1734" s="9">
        <v>0.2</v>
      </c>
      <c r="K1734" s="7">
        <v>714.46</v>
      </c>
      <c r="L1734" s="7">
        <v>224.49</v>
      </c>
      <c r="M1734" s="3" t="s">
        <v>58</v>
      </c>
      <c r="N1734" s="3" t="str">
        <f t="shared" si="108"/>
        <v>2025-04</v>
      </c>
      <c r="O1734" s="3" t="str">
        <f t="shared" si="109"/>
        <v>16-20%</v>
      </c>
      <c r="P1734" s="9">
        <f t="shared" si="110"/>
        <v>0.31420933292276682</v>
      </c>
      <c r="Q1734" s="3" t="str">
        <f t="shared" si="111"/>
        <v>No</v>
      </c>
    </row>
    <row r="1735" spans="1:17" ht="21" customHeight="1">
      <c r="A1735" s="3" t="s">
        <v>2418</v>
      </c>
      <c r="B1735" s="5">
        <v>45766</v>
      </c>
      <c r="C1735" s="3" t="s">
        <v>548</v>
      </c>
      <c r="D1735" s="3" t="s">
        <v>47</v>
      </c>
      <c r="E1735" s="3" t="s">
        <v>39</v>
      </c>
      <c r="F1735" s="3" t="s">
        <v>109</v>
      </c>
      <c r="G1735" s="3" t="s">
        <v>110</v>
      </c>
      <c r="H1735" s="3">
        <v>1</v>
      </c>
      <c r="I1735" s="7">
        <v>2884.35</v>
      </c>
      <c r="J1735" s="9">
        <v>0.1</v>
      </c>
      <c r="K1735" s="7">
        <v>2595.91</v>
      </c>
      <c r="L1735" s="7">
        <v>784.74</v>
      </c>
      <c r="M1735" s="3" t="s">
        <v>56</v>
      </c>
      <c r="N1735" s="3" t="str">
        <f t="shared" si="108"/>
        <v>2025-04</v>
      </c>
      <c r="O1735" s="3" t="str">
        <f t="shared" si="109"/>
        <v>1-10%</v>
      </c>
      <c r="P1735" s="9">
        <f t="shared" si="110"/>
        <v>0.30229861589962675</v>
      </c>
      <c r="Q1735" s="3" t="str">
        <f t="shared" si="111"/>
        <v>No</v>
      </c>
    </row>
    <row r="1736" spans="1:17" ht="21" customHeight="1">
      <c r="A1736" s="3" t="s">
        <v>2419</v>
      </c>
      <c r="B1736" s="5">
        <v>45766</v>
      </c>
      <c r="C1736" s="3" t="s">
        <v>377</v>
      </c>
      <c r="D1736" s="3" t="s">
        <v>45</v>
      </c>
      <c r="E1736" s="3" t="s">
        <v>41</v>
      </c>
      <c r="F1736" s="3" t="s">
        <v>113</v>
      </c>
      <c r="G1736" s="3" t="s">
        <v>114</v>
      </c>
      <c r="H1736" s="3">
        <v>1</v>
      </c>
      <c r="I1736" s="7">
        <v>11942.5</v>
      </c>
      <c r="J1736" s="9">
        <v>0</v>
      </c>
      <c r="K1736" s="7">
        <v>11942.5</v>
      </c>
      <c r="L1736" s="7">
        <v>4064.01</v>
      </c>
      <c r="M1736" s="3" t="s">
        <v>60</v>
      </c>
      <c r="N1736" s="3" t="str">
        <f t="shared" si="108"/>
        <v>2025-04</v>
      </c>
      <c r="O1736" s="3" t="str">
        <f t="shared" si="109"/>
        <v>No discount</v>
      </c>
      <c r="P1736" s="9">
        <f t="shared" si="110"/>
        <v>0.34029809503872727</v>
      </c>
      <c r="Q1736" s="3" t="str">
        <f t="shared" si="111"/>
        <v>No</v>
      </c>
    </row>
    <row r="1737" spans="1:17" ht="21" customHeight="1">
      <c r="A1737" s="3" t="s">
        <v>2420</v>
      </c>
      <c r="B1737" s="5">
        <v>45766</v>
      </c>
      <c r="C1737" s="3" t="s">
        <v>406</v>
      </c>
      <c r="D1737" s="3" t="s">
        <v>44</v>
      </c>
      <c r="E1737" s="3" t="s">
        <v>40</v>
      </c>
      <c r="F1737" s="3" t="s">
        <v>102</v>
      </c>
      <c r="G1737" s="3" t="s">
        <v>103</v>
      </c>
      <c r="H1737" s="3">
        <v>1</v>
      </c>
      <c r="I1737" s="7">
        <v>6394.88</v>
      </c>
      <c r="J1737" s="9">
        <v>0.2</v>
      </c>
      <c r="K1737" s="7">
        <v>5115.8999999999996</v>
      </c>
      <c r="L1737" s="7">
        <v>486.24</v>
      </c>
      <c r="M1737" s="3" t="s">
        <v>58</v>
      </c>
      <c r="N1737" s="3" t="str">
        <f t="shared" si="108"/>
        <v>2025-04</v>
      </c>
      <c r="O1737" s="3" t="str">
        <f t="shared" si="109"/>
        <v>16-20%</v>
      </c>
      <c r="P1737" s="9">
        <f t="shared" si="110"/>
        <v>9.504486014191052E-2</v>
      </c>
      <c r="Q1737" s="3" t="str">
        <f t="shared" si="111"/>
        <v>No</v>
      </c>
    </row>
    <row r="1738" spans="1:17" ht="21" customHeight="1">
      <c r="A1738" s="3" t="s">
        <v>2421</v>
      </c>
      <c r="B1738" s="5">
        <v>45767</v>
      </c>
      <c r="C1738" s="3" t="s">
        <v>748</v>
      </c>
      <c r="D1738" s="3" t="s">
        <v>45</v>
      </c>
      <c r="E1738" s="3" t="s">
        <v>40</v>
      </c>
      <c r="F1738" s="3" t="s">
        <v>221</v>
      </c>
      <c r="G1738" s="3" t="s">
        <v>279</v>
      </c>
      <c r="H1738" s="3">
        <v>1</v>
      </c>
      <c r="I1738" s="7">
        <v>1534.84</v>
      </c>
      <c r="J1738" s="9">
        <v>0</v>
      </c>
      <c r="K1738" s="7">
        <v>1534.84</v>
      </c>
      <c r="L1738" s="7">
        <v>564.83000000000004</v>
      </c>
      <c r="M1738" s="3" t="s">
        <v>57</v>
      </c>
      <c r="N1738" s="3" t="str">
        <f t="shared" si="108"/>
        <v>2025-04</v>
      </c>
      <c r="O1738" s="3" t="str">
        <f t="shared" si="109"/>
        <v>No discount</v>
      </c>
      <c r="P1738" s="9">
        <f t="shared" si="110"/>
        <v>0.36800578561934799</v>
      </c>
      <c r="Q1738" s="3" t="str">
        <f t="shared" si="111"/>
        <v>No</v>
      </c>
    </row>
    <row r="1739" spans="1:17" ht="21" customHeight="1">
      <c r="A1739" s="3" t="s">
        <v>2422</v>
      </c>
      <c r="B1739" s="5">
        <v>45767</v>
      </c>
      <c r="C1739" s="3" t="s">
        <v>1140</v>
      </c>
      <c r="D1739" s="3" t="s">
        <v>44</v>
      </c>
      <c r="E1739" s="3" t="s">
        <v>40</v>
      </c>
      <c r="F1739" s="3" t="s">
        <v>160</v>
      </c>
      <c r="G1739" s="3" t="s">
        <v>173</v>
      </c>
      <c r="H1739" s="3">
        <v>1</v>
      </c>
      <c r="I1739" s="7">
        <v>9097.44</v>
      </c>
      <c r="J1739" s="9">
        <v>0.05</v>
      </c>
      <c r="K1739" s="7">
        <v>8642.57</v>
      </c>
      <c r="L1739" s="7">
        <v>2373.5100000000002</v>
      </c>
      <c r="M1739" s="3" t="s">
        <v>59</v>
      </c>
      <c r="N1739" s="3" t="str">
        <f t="shared" si="108"/>
        <v>2025-04</v>
      </c>
      <c r="O1739" s="3" t="str">
        <f t="shared" si="109"/>
        <v>1-10%</v>
      </c>
      <c r="P1739" s="9">
        <f t="shared" si="110"/>
        <v>0.27463011581045921</v>
      </c>
      <c r="Q1739" s="3" t="str">
        <f t="shared" si="111"/>
        <v>No</v>
      </c>
    </row>
    <row r="1740" spans="1:17" ht="21" customHeight="1">
      <c r="A1740" s="3" t="s">
        <v>2423</v>
      </c>
      <c r="B1740" s="5">
        <v>45767</v>
      </c>
      <c r="C1740" s="3" t="s">
        <v>709</v>
      </c>
      <c r="D1740" s="3" t="s">
        <v>47</v>
      </c>
      <c r="E1740" s="3" t="s">
        <v>41</v>
      </c>
      <c r="F1740" s="3" t="s">
        <v>113</v>
      </c>
      <c r="G1740" s="3" t="s">
        <v>123</v>
      </c>
      <c r="H1740" s="3">
        <v>2</v>
      </c>
      <c r="I1740" s="7">
        <v>3449.8</v>
      </c>
      <c r="J1740" s="9">
        <v>0.25</v>
      </c>
      <c r="K1740" s="7">
        <v>5174.7</v>
      </c>
      <c r="L1740" s="7">
        <v>474.26</v>
      </c>
      <c r="M1740" s="3" t="s">
        <v>57</v>
      </c>
      <c r="N1740" s="3" t="str">
        <f t="shared" si="108"/>
        <v>2025-04</v>
      </c>
      <c r="O1740" s="3" t="str">
        <f t="shared" si="109"/>
        <v>21%+</v>
      </c>
      <c r="P1740" s="9">
        <f t="shared" si="110"/>
        <v>9.1649757473863225E-2</v>
      </c>
      <c r="Q1740" s="3" t="str">
        <f t="shared" si="111"/>
        <v>No</v>
      </c>
    </row>
    <row r="1741" spans="1:17" ht="21" customHeight="1">
      <c r="A1741" s="3" t="s">
        <v>2424</v>
      </c>
      <c r="B1741" s="5">
        <v>45767</v>
      </c>
      <c r="C1741" s="3" t="s">
        <v>2425</v>
      </c>
      <c r="D1741" s="3" t="s">
        <v>44</v>
      </c>
      <c r="E1741" s="3" t="s">
        <v>40</v>
      </c>
      <c r="F1741" s="3" t="s">
        <v>221</v>
      </c>
      <c r="G1741" s="3" t="s">
        <v>279</v>
      </c>
      <c r="H1741" s="3">
        <v>2</v>
      </c>
      <c r="I1741" s="7">
        <v>1438.17</v>
      </c>
      <c r="J1741" s="9">
        <v>0.3</v>
      </c>
      <c r="K1741" s="7">
        <v>2013.44</v>
      </c>
      <c r="L1741" s="7">
        <v>-76.959999999999994</v>
      </c>
      <c r="M1741" s="3" t="s">
        <v>56</v>
      </c>
      <c r="N1741" s="3" t="str">
        <f t="shared" si="108"/>
        <v>2025-04</v>
      </c>
      <c r="O1741" s="3" t="str">
        <f t="shared" si="109"/>
        <v>21%+</v>
      </c>
      <c r="P1741" s="9">
        <f t="shared" si="110"/>
        <v>-3.8223140495867766E-2</v>
      </c>
      <c r="Q1741" s="3" t="str">
        <f t="shared" si="111"/>
        <v>Yes</v>
      </c>
    </row>
    <row r="1742" spans="1:17" ht="21" customHeight="1">
      <c r="A1742" s="3" t="s">
        <v>2426</v>
      </c>
      <c r="B1742" s="5">
        <v>45768</v>
      </c>
      <c r="C1742" s="3" t="s">
        <v>2427</v>
      </c>
      <c r="D1742" s="3" t="s">
        <v>47</v>
      </c>
      <c r="E1742" s="3" t="s">
        <v>41</v>
      </c>
      <c r="F1742" s="3" t="s">
        <v>119</v>
      </c>
      <c r="G1742" s="3" t="s">
        <v>168</v>
      </c>
      <c r="H1742" s="3">
        <v>1</v>
      </c>
      <c r="I1742" s="7">
        <v>10149.44</v>
      </c>
      <c r="J1742" s="9">
        <v>0.1</v>
      </c>
      <c r="K1742" s="7">
        <v>9134.5</v>
      </c>
      <c r="L1742" s="7">
        <v>2505.35</v>
      </c>
      <c r="M1742" s="3" t="s">
        <v>58</v>
      </c>
      <c r="N1742" s="3" t="str">
        <f t="shared" si="108"/>
        <v>2025-04</v>
      </c>
      <c r="O1742" s="3" t="str">
        <f t="shared" si="109"/>
        <v>1-10%</v>
      </c>
      <c r="P1742" s="9">
        <f t="shared" si="110"/>
        <v>0.27427335924243251</v>
      </c>
      <c r="Q1742" s="3" t="str">
        <f t="shared" si="111"/>
        <v>No</v>
      </c>
    </row>
    <row r="1743" spans="1:17" ht="21" customHeight="1">
      <c r="A1743" s="3" t="s">
        <v>2428</v>
      </c>
      <c r="B1743" s="5">
        <v>45768</v>
      </c>
      <c r="C1743" s="3" t="s">
        <v>2218</v>
      </c>
      <c r="D1743" s="3" t="s">
        <v>44</v>
      </c>
      <c r="E1743" s="3" t="s">
        <v>42</v>
      </c>
      <c r="F1743" s="3" t="s">
        <v>90</v>
      </c>
      <c r="G1743" s="3" t="s">
        <v>91</v>
      </c>
      <c r="H1743" s="3">
        <v>2</v>
      </c>
      <c r="I1743" s="7">
        <v>1235.25</v>
      </c>
      <c r="J1743" s="9">
        <v>0</v>
      </c>
      <c r="K1743" s="7">
        <v>2470.5</v>
      </c>
      <c r="L1743" s="7">
        <v>1398.03</v>
      </c>
      <c r="M1743" s="3" t="s">
        <v>56</v>
      </c>
      <c r="N1743" s="3" t="str">
        <f t="shared" si="108"/>
        <v>2025-04</v>
      </c>
      <c r="O1743" s="3" t="str">
        <f t="shared" si="109"/>
        <v>No discount</v>
      </c>
      <c r="P1743" s="9">
        <f t="shared" si="110"/>
        <v>0.56588949605343042</v>
      </c>
      <c r="Q1743" s="3" t="str">
        <f t="shared" si="111"/>
        <v>No</v>
      </c>
    </row>
    <row r="1744" spans="1:17" ht="21" customHeight="1">
      <c r="A1744" s="3" t="s">
        <v>2429</v>
      </c>
      <c r="B1744" s="5">
        <v>45769</v>
      </c>
      <c r="C1744" s="3" t="s">
        <v>357</v>
      </c>
      <c r="D1744" s="3" t="s">
        <v>46</v>
      </c>
      <c r="E1744" s="3" t="s">
        <v>41</v>
      </c>
      <c r="F1744" s="3" t="s">
        <v>113</v>
      </c>
      <c r="G1744" s="3" t="s">
        <v>114</v>
      </c>
      <c r="H1744" s="3">
        <v>2</v>
      </c>
      <c r="I1744" s="7">
        <v>11593.77</v>
      </c>
      <c r="J1744" s="9">
        <v>0.05</v>
      </c>
      <c r="K1744" s="7">
        <v>22028.16</v>
      </c>
      <c r="L1744" s="7">
        <v>7023.55</v>
      </c>
      <c r="M1744" s="3" t="s">
        <v>56</v>
      </c>
      <c r="N1744" s="3" t="str">
        <f t="shared" si="108"/>
        <v>2025-04</v>
      </c>
      <c r="O1744" s="3" t="str">
        <f t="shared" si="109"/>
        <v>1-10%</v>
      </c>
      <c r="P1744" s="9">
        <f t="shared" si="110"/>
        <v>0.31884415221244083</v>
      </c>
      <c r="Q1744" s="3" t="str">
        <f t="shared" si="111"/>
        <v>No</v>
      </c>
    </row>
    <row r="1745" spans="1:17" ht="21" customHeight="1">
      <c r="A1745" s="3" t="s">
        <v>2430</v>
      </c>
      <c r="B1745" s="5">
        <v>45770</v>
      </c>
      <c r="C1745" s="3" t="s">
        <v>940</v>
      </c>
      <c r="D1745" s="3" t="s">
        <v>46</v>
      </c>
      <c r="E1745" s="3" t="s">
        <v>39</v>
      </c>
      <c r="F1745" s="3" t="s">
        <v>164</v>
      </c>
      <c r="G1745" s="3" t="s">
        <v>200</v>
      </c>
      <c r="H1745" s="3">
        <v>1</v>
      </c>
      <c r="I1745" s="7">
        <v>1309.9100000000001</v>
      </c>
      <c r="J1745" s="9">
        <v>0.05</v>
      </c>
      <c r="K1745" s="7">
        <v>1244.4100000000001</v>
      </c>
      <c r="L1745" s="7">
        <v>447.64</v>
      </c>
      <c r="M1745" s="3" t="s">
        <v>57</v>
      </c>
      <c r="N1745" s="3" t="str">
        <f t="shared" si="108"/>
        <v>2025-04</v>
      </c>
      <c r="O1745" s="3" t="str">
        <f t="shared" si="109"/>
        <v>1-10%</v>
      </c>
      <c r="P1745" s="9">
        <f t="shared" si="110"/>
        <v>0.35972067083999643</v>
      </c>
      <c r="Q1745" s="3" t="str">
        <f t="shared" si="111"/>
        <v>No</v>
      </c>
    </row>
    <row r="1746" spans="1:17" ht="21" customHeight="1">
      <c r="A1746" s="3" t="s">
        <v>2431</v>
      </c>
      <c r="B1746" s="5">
        <v>45770</v>
      </c>
      <c r="C1746" s="3" t="s">
        <v>1243</v>
      </c>
      <c r="D1746" s="3" t="s">
        <v>46</v>
      </c>
      <c r="E1746" s="3" t="s">
        <v>41</v>
      </c>
      <c r="F1746" s="3" t="s">
        <v>113</v>
      </c>
      <c r="G1746" s="3" t="s">
        <v>123</v>
      </c>
      <c r="H1746" s="3">
        <v>1</v>
      </c>
      <c r="I1746" s="7">
        <v>3512.38</v>
      </c>
      <c r="J1746" s="9">
        <v>0.2</v>
      </c>
      <c r="K1746" s="7">
        <v>2809.9</v>
      </c>
      <c r="L1746" s="7">
        <v>331.67</v>
      </c>
      <c r="M1746" s="3" t="s">
        <v>56</v>
      </c>
      <c r="N1746" s="3" t="str">
        <f t="shared" si="108"/>
        <v>2025-04</v>
      </c>
      <c r="O1746" s="3" t="str">
        <f t="shared" si="109"/>
        <v>16-20%</v>
      </c>
      <c r="P1746" s="9">
        <f t="shared" si="110"/>
        <v>0.11803622904729706</v>
      </c>
      <c r="Q1746" s="3" t="str">
        <f t="shared" si="111"/>
        <v>No</v>
      </c>
    </row>
    <row r="1747" spans="1:17" ht="21" customHeight="1">
      <c r="A1747" s="3" t="s">
        <v>2432</v>
      </c>
      <c r="B1747" s="5">
        <v>45770</v>
      </c>
      <c r="C1747" s="3" t="s">
        <v>2433</v>
      </c>
      <c r="D1747" s="3" t="s">
        <v>44</v>
      </c>
      <c r="E1747" s="3" t="s">
        <v>41</v>
      </c>
      <c r="F1747" s="3" t="s">
        <v>113</v>
      </c>
      <c r="G1747" s="3" t="s">
        <v>123</v>
      </c>
      <c r="H1747" s="3">
        <v>2</v>
      </c>
      <c r="I1747" s="7">
        <v>3580.15</v>
      </c>
      <c r="J1747" s="9">
        <v>0.3</v>
      </c>
      <c r="K1747" s="7">
        <v>5012.21</v>
      </c>
      <c r="L1747" s="7">
        <v>121.44</v>
      </c>
      <c r="M1747" s="3" t="s">
        <v>58</v>
      </c>
      <c r="N1747" s="3" t="str">
        <f t="shared" si="108"/>
        <v>2025-04</v>
      </c>
      <c r="O1747" s="3" t="str">
        <f t="shared" si="109"/>
        <v>21%+</v>
      </c>
      <c r="P1747" s="9">
        <f t="shared" si="110"/>
        <v>2.4228833189351602E-2</v>
      </c>
      <c r="Q1747" s="3" t="str">
        <f t="shared" si="111"/>
        <v>No</v>
      </c>
    </row>
    <row r="1748" spans="1:17" ht="21" customHeight="1">
      <c r="A1748" s="3" t="s">
        <v>2434</v>
      </c>
      <c r="B1748" s="5">
        <v>45770</v>
      </c>
      <c r="C1748" s="3" t="s">
        <v>1103</v>
      </c>
      <c r="D1748" s="3" t="s">
        <v>46</v>
      </c>
      <c r="E1748" s="3" t="s">
        <v>41</v>
      </c>
      <c r="F1748" s="3" t="s">
        <v>113</v>
      </c>
      <c r="G1748" s="3" t="s">
        <v>123</v>
      </c>
      <c r="H1748" s="3">
        <v>2</v>
      </c>
      <c r="I1748" s="7">
        <v>3329.58</v>
      </c>
      <c r="J1748" s="9">
        <v>0</v>
      </c>
      <c r="K1748" s="7">
        <v>6659.16</v>
      </c>
      <c r="L1748" s="7">
        <v>2342.4699999999998</v>
      </c>
      <c r="M1748" s="3" t="s">
        <v>60</v>
      </c>
      <c r="N1748" s="3" t="str">
        <f t="shared" si="108"/>
        <v>2025-04</v>
      </c>
      <c r="O1748" s="3" t="str">
        <f t="shared" si="109"/>
        <v>No discount</v>
      </c>
      <c r="P1748" s="9">
        <f t="shared" si="110"/>
        <v>0.351766589179416</v>
      </c>
      <c r="Q1748" s="3" t="str">
        <f t="shared" si="111"/>
        <v>No</v>
      </c>
    </row>
    <row r="1749" spans="1:17" ht="21" customHeight="1">
      <c r="A1749" s="3" t="s">
        <v>2435</v>
      </c>
      <c r="B1749" s="5">
        <v>45771</v>
      </c>
      <c r="C1749" s="3" t="s">
        <v>686</v>
      </c>
      <c r="D1749" s="3" t="s">
        <v>44</v>
      </c>
      <c r="E1749" s="3" t="s">
        <v>38</v>
      </c>
      <c r="F1749" s="3" t="s">
        <v>142</v>
      </c>
      <c r="G1749" s="3" t="s">
        <v>143</v>
      </c>
      <c r="H1749" s="3">
        <v>2</v>
      </c>
      <c r="I1749" s="7">
        <v>9096.82</v>
      </c>
      <c r="J1749" s="9">
        <v>0</v>
      </c>
      <c r="K1749" s="7">
        <v>18193.64</v>
      </c>
      <c r="L1749" s="7">
        <v>3575.83</v>
      </c>
      <c r="M1749" s="3" t="s">
        <v>60</v>
      </c>
      <c r="N1749" s="3" t="str">
        <f t="shared" si="108"/>
        <v>2025-04</v>
      </c>
      <c r="O1749" s="3" t="str">
        <f t="shared" si="109"/>
        <v>No discount</v>
      </c>
      <c r="P1749" s="9">
        <f t="shared" si="110"/>
        <v>0.19654285783383643</v>
      </c>
      <c r="Q1749" s="3" t="str">
        <f t="shared" si="111"/>
        <v>No</v>
      </c>
    </row>
    <row r="1750" spans="1:17" ht="21" customHeight="1">
      <c r="A1750" s="3" t="s">
        <v>2436</v>
      </c>
      <c r="B1750" s="5">
        <v>45771</v>
      </c>
      <c r="C1750" s="3" t="s">
        <v>1783</v>
      </c>
      <c r="D1750" s="3" t="s">
        <v>47</v>
      </c>
      <c r="E1750" s="3" t="s">
        <v>42</v>
      </c>
      <c r="F1750" s="3" t="s">
        <v>126</v>
      </c>
      <c r="G1750" s="3" t="s">
        <v>127</v>
      </c>
      <c r="H1750" s="3">
        <v>2</v>
      </c>
      <c r="I1750" s="7">
        <v>954.64</v>
      </c>
      <c r="J1750" s="9">
        <v>0.05</v>
      </c>
      <c r="K1750" s="7">
        <v>1813.82</v>
      </c>
      <c r="L1750" s="7">
        <v>877.68</v>
      </c>
      <c r="M1750" s="3" t="s">
        <v>60</v>
      </c>
      <c r="N1750" s="3" t="str">
        <f t="shared" si="108"/>
        <v>2025-04</v>
      </c>
      <c r="O1750" s="3" t="str">
        <f t="shared" si="109"/>
        <v>1-10%</v>
      </c>
      <c r="P1750" s="9">
        <f t="shared" si="110"/>
        <v>0.48388483973051349</v>
      </c>
      <c r="Q1750" s="3" t="str">
        <f t="shared" si="111"/>
        <v>No</v>
      </c>
    </row>
    <row r="1751" spans="1:17" ht="21" customHeight="1">
      <c r="A1751" s="3" t="s">
        <v>2437</v>
      </c>
      <c r="B1751" s="5">
        <v>45771</v>
      </c>
      <c r="C1751" s="3" t="s">
        <v>657</v>
      </c>
      <c r="D1751" s="3" t="s">
        <v>47</v>
      </c>
      <c r="E1751" s="3" t="s">
        <v>39</v>
      </c>
      <c r="F1751" s="3" t="s">
        <v>130</v>
      </c>
      <c r="G1751" s="3" t="s">
        <v>193</v>
      </c>
      <c r="H1751" s="3">
        <v>4</v>
      </c>
      <c r="I1751" s="7">
        <v>1762.39</v>
      </c>
      <c r="J1751" s="9">
        <v>0.25</v>
      </c>
      <c r="K1751" s="7">
        <v>5287.17</v>
      </c>
      <c r="L1751" s="7">
        <v>870.14</v>
      </c>
      <c r="M1751" s="3" t="s">
        <v>59</v>
      </c>
      <c r="N1751" s="3" t="str">
        <f t="shared" si="108"/>
        <v>2025-04</v>
      </c>
      <c r="O1751" s="3" t="str">
        <f t="shared" si="109"/>
        <v>21%+</v>
      </c>
      <c r="P1751" s="9">
        <f t="shared" si="110"/>
        <v>0.16457575602827221</v>
      </c>
      <c r="Q1751" s="3" t="str">
        <f t="shared" si="111"/>
        <v>No</v>
      </c>
    </row>
    <row r="1752" spans="1:17" ht="21" customHeight="1">
      <c r="A1752" s="3" t="s">
        <v>2438</v>
      </c>
      <c r="B1752" s="5">
        <v>45772</v>
      </c>
      <c r="C1752" s="3" t="s">
        <v>1431</v>
      </c>
      <c r="D1752" s="3" t="s">
        <v>47</v>
      </c>
      <c r="E1752" s="3" t="s">
        <v>39</v>
      </c>
      <c r="F1752" s="3" t="s">
        <v>130</v>
      </c>
      <c r="G1752" s="3" t="s">
        <v>193</v>
      </c>
      <c r="H1752" s="3">
        <v>3</v>
      </c>
      <c r="I1752" s="7">
        <v>1727.14</v>
      </c>
      <c r="J1752" s="9">
        <v>0.1</v>
      </c>
      <c r="K1752" s="7">
        <v>4663.28</v>
      </c>
      <c r="L1752" s="7">
        <v>1464.87</v>
      </c>
      <c r="M1752" s="3" t="s">
        <v>57</v>
      </c>
      <c r="N1752" s="3" t="str">
        <f t="shared" si="108"/>
        <v>2025-04</v>
      </c>
      <c r="O1752" s="3" t="str">
        <f t="shared" si="109"/>
        <v>1-10%</v>
      </c>
      <c r="P1752" s="9">
        <f t="shared" si="110"/>
        <v>0.31412868195776361</v>
      </c>
      <c r="Q1752" s="3" t="str">
        <f t="shared" si="111"/>
        <v>No</v>
      </c>
    </row>
    <row r="1753" spans="1:17" ht="21" customHeight="1">
      <c r="A1753" s="3" t="s">
        <v>2439</v>
      </c>
      <c r="B1753" s="5">
        <v>45773</v>
      </c>
      <c r="C1753" s="3" t="s">
        <v>628</v>
      </c>
      <c r="D1753" s="3" t="s">
        <v>46</v>
      </c>
      <c r="E1753" s="3" t="s">
        <v>42</v>
      </c>
      <c r="F1753" s="3" t="s">
        <v>126</v>
      </c>
      <c r="G1753" s="3" t="s">
        <v>151</v>
      </c>
      <c r="H1753" s="3">
        <v>2</v>
      </c>
      <c r="I1753" s="7">
        <v>1512.27</v>
      </c>
      <c r="J1753" s="9">
        <v>0</v>
      </c>
      <c r="K1753" s="7">
        <v>3024.54</v>
      </c>
      <c r="L1753" s="7">
        <v>1618.24</v>
      </c>
      <c r="M1753" s="3" t="s">
        <v>57</v>
      </c>
      <c r="N1753" s="3" t="str">
        <f t="shared" si="108"/>
        <v>2025-04</v>
      </c>
      <c r="O1753" s="3" t="str">
        <f t="shared" si="109"/>
        <v>No discount</v>
      </c>
      <c r="P1753" s="9">
        <f t="shared" si="110"/>
        <v>0.53503673285855036</v>
      </c>
      <c r="Q1753" s="3" t="str">
        <f t="shared" si="111"/>
        <v>No</v>
      </c>
    </row>
    <row r="1754" spans="1:17" ht="21" customHeight="1">
      <c r="A1754" s="3" t="s">
        <v>2440</v>
      </c>
      <c r="B1754" s="5">
        <v>45773</v>
      </c>
      <c r="C1754" s="3" t="s">
        <v>671</v>
      </c>
      <c r="D1754" s="3" t="s">
        <v>45</v>
      </c>
      <c r="E1754" s="3" t="s">
        <v>38</v>
      </c>
      <c r="F1754" s="3" t="s">
        <v>94</v>
      </c>
      <c r="G1754" s="3" t="s">
        <v>213</v>
      </c>
      <c r="H1754" s="3">
        <v>1</v>
      </c>
      <c r="I1754" s="7">
        <v>53371.72</v>
      </c>
      <c r="J1754" s="9">
        <v>0</v>
      </c>
      <c r="K1754" s="7">
        <v>53371.72</v>
      </c>
      <c r="L1754" s="7">
        <v>10937.05</v>
      </c>
      <c r="M1754" s="3" t="s">
        <v>56</v>
      </c>
      <c r="N1754" s="3" t="str">
        <f t="shared" si="108"/>
        <v>2025-04</v>
      </c>
      <c r="O1754" s="3" t="str">
        <f t="shared" si="109"/>
        <v>No discount</v>
      </c>
      <c r="P1754" s="9">
        <f t="shared" si="110"/>
        <v>0.20492219475032844</v>
      </c>
      <c r="Q1754" s="3" t="str">
        <f t="shared" si="111"/>
        <v>No</v>
      </c>
    </row>
    <row r="1755" spans="1:17" ht="21" customHeight="1">
      <c r="A1755" s="3" t="s">
        <v>2441</v>
      </c>
      <c r="B1755" s="5">
        <v>45773</v>
      </c>
      <c r="C1755" s="3" t="s">
        <v>808</v>
      </c>
      <c r="D1755" s="3" t="s">
        <v>46</v>
      </c>
      <c r="E1755" s="3" t="s">
        <v>40</v>
      </c>
      <c r="F1755" s="3" t="s">
        <v>221</v>
      </c>
      <c r="G1755" s="3" t="s">
        <v>222</v>
      </c>
      <c r="H1755" s="3">
        <v>1</v>
      </c>
      <c r="I1755" s="7">
        <v>1002.45</v>
      </c>
      <c r="J1755" s="9">
        <v>0.15</v>
      </c>
      <c r="K1755" s="7">
        <v>852.08</v>
      </c>
      <c r="L1755" s="7">
        <v>159.15</v>
      </c>
      <c r="M1755" s="3" t="s">
        <v>56</v>
      </c>
      <c r="N1755" s="3" t="str">
        <f t="shared" si="108"/>
        <v>2025-04</v>
      </c>
      <c r="O1755" s="3" t="str">
        <f t="shared" si="109"/>
        <v>11-15%</v>
      </c>
      <c r="P1755" s="9">
        <f t="shared" si="110"/>
        <v>0.18677823678527838</v>
      </c>
      <c r="Q1755" s="3" t="str">
        <f t="shared" si="111"/>
        <v>No</v>
      </c>
    </row>
    <row r="1756" spans="1:17" ht="21" customHeight="1">
      <c r="A1756" s="3" t="s">
        <v>2442</v>
      </c>
      <c r="B1756" s="5">
        <v>45774</v>
      </c>
      <c r="C1756" s="3" t="s">
        <v>345</v>
      </c>
      <c r="D1756" s="3" t="s">
        <v>47</v>
      </c>
      <c r="E1756" s="3" t="s">
        <v>38</v>
      </c>
      <c r="F1756" s="3" t="s">
        <v>94</v>
      </c>
      <c r="G1756" s="3" t="s">
        <v>213</v>
      </c>
      <c r="H1756" s="3">
        <v>1</v>
      </c>
      <c r="I1756" s="7">
        <v>55946.86</v>
      </c>
      <c r="J1756" s="9">
        <v>0.1</v>
      </c>
      <c r="K1756" s="7">
        <v>50352.17</v>
      </c>
      <c r="L1756" s="7">
        <v>3613.51</v>
      </c>
      <c r="M1756" s="3" t="s">
        <v>60</v>
      </c>
      <c r="N1756" s="3" t="str">
        <f t="shared" si="108"/>
        <v>2025-04</v>
      </c>
      <c r="O1756" s="3" t="str">
        <f t="shared" si="109"/>
        <v>1-10%</v>
      </c>
      <c r="P1756" s="9">
        <f t="shared" si="110"/>
        <v>7.1764732284626473E-2</v>
      </c>
      <c r="Q1756" s="3" t="str">
        <f t="shared" si="111"/>
        <v>No</v>
      </c>
    </row>
    <row r="1757" spans="1:17" ht="21" customHeight="1">
      <c r="A1757" s="3" t="s">
        <v>2443</v>
      </c>
      <c r="B1757" s="5">
        <v>45774</v>
      </c>
      <c r="C1757" s="3" t="s">
        <v>1019</v>
      </c>
      <c r="D1757" s="3" t="s">
        <v>44</v>
      </c>
      <c r="E1757" s="3" t="s">
        <v>39</v>
      </c>
      <c r="F1757" s="3" t="s">
        <v>130</v>
      </c>
      <c r="G1757" s="3" t="s">
        <v>193</v>
      </c>
      <c r="H1757" s="3">
        <v>1</v>
      </c>
      <c r="I1757" s="7">
        <v>1735.7</v>
      </c>
      <c r="J1757" s="9">
        <v>0.15</v>
      </c>
      <c r="K1757" s="7">
        <v>1475.35</v>
      </c>
      <c r="L1757" s="7">
        <v>355.93</v>
      </c>
      <c r="M1757" s="3" t="s">
        <v>59</v>
      </c>
      <c r="N1757" s="3" t="str">
        <f t="shared" si="108"/>
        <v>2025-04</v>
      </c>
      <c r="O1757" s="3" t="str">
        <f t="shared" si="109"/>
        <v>11-15%</v>
      </c>
      <c r="P1757" s="9">
        <f t="shared" si="110"/>
        <v>0.24125122852204564</v>
      </c>
      <c r="Q1757" s="3" t="str">
        <f t="shared" si="111"/>
        <v>No</v>
      </c>
    </row>
    <row r="1758" spans="1:17" ht="21" customHeight="1">
      <c r="A1758" s="3" t="s">
        <v>2444</v>
      </c>
      <c r="B1758" s="5">
        <v>45774</v>
      </c>
      <c r="C1758" s="3" t="s">
        <v>827</v>
      </c>
      <c r="D1758" s="3" t="s">
        <v>45</v>
      </c>
      <c r="E1758" s="3" t="s">
        <v>38</v>
      </c>
      <c r="F1758" s="3" t="s">
        <v>142</v>
      </c>
      <c r="G1758" s="3" t="s">
        <v>245</v>
      </c>
      <c r="H1758" s="3">
        <v>1</v>
      </c>
      <c r="I1758" s="7">
        <v>4851.01</v>
      </c>
      <c r="J1758" s="9">
        <v>0.05</v>
      </c>
      <c r="K1758" s="7">
        <v>4608.46</v>
      </c>
      <c r="L1758" s="7">
        <v>583.98</v>
      </c>
      <c r="M1758" s="3" t="s">
        <v>57</v>
      </c>
      <c r="N1758" s="3" t="str">
        <f t="shared" si="108"/>
        <v>2025-04</v>
      </c>
      <c r="O1758" s="3" t="str">
        <f t="shared" si="109"/>
        <v>1-10%</v>
      </c>
      <c r="P1758" s="9">
        <f t="shared" si="110"/>
        <v>0.12671912092108861</v>
      </c>
      <c r="Q1758" s="3" t="str">
        <f t="shared" si="111"/>
        <v>No</v>
      </c>
    </row>
    <row r="1759" spans="1:17" ht="21" customHeight="1">
      <c r="A1759" s="3" t="s">
        <v>2445</v>
      </c>
      <c r="B1759" s="5">
        <v>45774</v>
      </c>
      <c r="C1759" s="3" t="s">
        <v>442</v>
      </c>
      <c r="D1759" s="3" t="s">
        <v>47</v>
      </c>
      <c r="E1759" s="3" t="s">
        <v>38</v>
      </c>
      <c r="F1759" s="3" t="s">
        <v>94</v>
      </c>
      <c r="G1759" s="3" t="s">
        <v>95</v>
      </c>
      <c r="H1759" s="3">
        <v>1</v>
      </c>
      <c r="I1759" s="7">
        <v>79895.199999999997</v>
      </c>
      <c r="J1759" s="9">
        <v>0.3</v>
      </c>
      <c r="K1759" s="7">
        <v>55926.64</v>
      </c>
      <c r="L1759" s="7">
        <v>-8511.92</v>
      </c>
      <c r="M1759" s="3" t="s">
        <v>59</v>
      </c>
      <c r="N1759" s="3" t="str">
        <f t="shared" si="108"/>
        <v>2025-04</v>
      </c>
      <c r="O1759" s="3" t="str">
        <f t="shared" si="109"/>
        <v>21%+</v>
      </c>
      <c r="P1759" s="9">
        <f t="shared" si="110"/>
        <v>-0.15219795074404613</v>
      </c>
      <c r="Q1759" s="3" t="str">
        <f t="shared" si="111"/>
        <v>Yes</v>
      </c>
    </row>
    <row r="1760" spans="1:17" ht="21" customHeight="1">
      <c r="A1760" s="3" t="s">
        <v>2446</v>
      </c>
      <c r="B1760" s="5">
        <v>45774</v>
      </c>
      <c r="C1760" s="3" t="s">
        <v>1376</v>
      </c>
      <c r="D1760" s="3" t="s">
        <v>46</v>
      </c>
      <c r="E1760" s="3" t="s">
        <v>38</v>
      </c>
      <c r="F1760" s="3" t="s">
        <v>142</v>
      </c>
      <c r="G1760" s="3" t="s">
        <v>245</v>
      </c>
      <c r="H1760" s="3">
        <v>3</v>
      </c>
      <c r="I1760" s="7">
        <v>5159.9799999999996</v>
      </c>
      <c r="J1760" s="9">
        <v>0.1</v>
      </c>
      <c r="K1760" s="7">
        <v>13931.95</v>
      </c>
      <c r="L1760" s="7">
        <v>432.27</v>
      </c>
      <c r="M1760" s="3" t="s">
        <v>56</v>
      </c>
      <c r="N1760" s="3" t="str">
        <f t="shared" si="108"/>
        <v>2025-04</v>
      </c>
      <c r="O1760" s="3" t="str">
        <f t="shared" si="109"/>
        <v>1-10%</v>
      </c>
      <c r="P1760" s="9">
        <f t="shared" si="110"/>
        <v>3.1027243135383055E-2</v>
      </c>
      <c r="Q1760" s="3" t="str">
        <f t="shared" si="111"/>
        <v>No</v>
      </c>
    </row>
    <row r="1761" spans="1:17" ht="21" customHeight="1">
      <c r="A1761" s="3" t="s">
        <v>2447</v>
      </c>
      <c r="B1761" s="5">
        <v>45775</v>
      </c>
      <c r="C1761" s="3" t="s">
        <v>1010</v>
      </c>
      <c r="D1761" s="3" t="s">
        <v>47</v>
      </c>
      <c r="E1761" s="3" t="s">
        <v>40</v>
      </c>
      <c r="F1761" s="3" t="s">
        <v>160</v>
      </c>
      <c r="G1761" s="3" t="s">
        <v>161</v>
      </c>
      <c r="H1761" s="3">
        <v>2</v>
      </c>
      <c r="I1761" s="7">
        <v>12796.9</v>
      </c>
      <c r="J1761" s="9">
        <v>0</v>
      </c>
      <c r="K1761" s="7">
        <v>25593.8</v>
      </c>
      <c r="L1761" s="7">
        <v>7552.75</v>
      </c>
      <c r="M1761" s="3" t="s">
        <v>60</v>
      </c>
      <c r="N1761" s="3" t="str">
        <f t="shared" si="108"/>
        <v>2025-04</v>
      </c>
      <c r="O1761" s="3" t="str">
        <f t="shared" si="109"/>
        <v>No discount</v>
      </c>
      <c r="P1761" s="9">
        <f t="shared" si="110"/>
        <v>0.29510076659190898</v>
      </c>
      <c r="Q1761" s="3" t="str">
        <f t="shared" si="111"/>
        <v>No</v>
      </c>
    </row>
    <row r="1762" spans="1:17" ht="21" customHeight="1">
      <c r="A1762" s="3" t="s">
        <v>2448</v>
      </c>
      <c r="B1762" s="5">
        <v>45775</v>
      </c>
      <c r="C1762" s="3" t="s">
        <v>2405</v>
      </c>
      <c r="D1762" s="3" t="s">
        <v>44</v>
      </c>
      <c r="E1762" s="3" t="s">
        <v>38</v>
      </c>
      <c r="F1762" s="3" t="s">
        <v>98</v>
      </c>
      <c r="G1762" s="3" t="s">
        <v>182</v>
      </c>
      <c r="H1762" s="3">
        <v>2</v>
      </c>
      <c r="I1762" s="7">
        <v>68964.02</v>
      </c>
      <c r="J1762" s="9">
        <v>0</v>
      </c>
      <c r="K1762" s="7">
        <v>137928.04</v>
      </c>
      <c r="L1762" s="7">
        <v>24538.28</v>
      </c>
      <c r="M1762" s="3" t="s">
        <v>59</v>
      </c>
      <c r="N1762" s="3" t="str">
        <f t="shared" si="108"/>
        <v>2025-04</v>
      </c>
      <c r="O1762" s="3" t="str">
        <f t="shared" si="109"/>
        <v>No discount</v>
      </c>
      <c r="P1762" s="9">
        <f t="shared" si="110"/>
        <v>0.17790639234777786</v>
      </c>
      <c r="Q1762" s="3" t="str">
        <f t="shared" si="111"/>
        <v>No</v>
      </c>
    </row>
    <row r="1763" spans="1:17" ht="21" customHeight="1">
      <c r="A1763" s="3" t="s">
        <v>2449</v>
      </c>
      <c r="B1763" s="5">
        <v>45775</v>
      </c>
      <c r="C1763" s="3" t="s">
        <v>1257</v>
      </c>
      <c r="D1763" s="3" t="s">
        <v>47</v>
      </c>
      <c r="E1763" s="3" t="s">
        <v>42</v>
      </c>
      <c r="F1763" s="3" t="s">
        <v>90</v>
      </c>
      <c r="G1763" s="3" t="s">
        <v>106</v>
      </c>
      <c r="H1763" s="3">
        <v>2</v>
      </c>
      <c r="I1763" s="7">
        <v>913.24</v>
      </c>
      <c r="J1763" s="9">
        <v>0.05</v>
      </c>
      <c r="K1763" s="7">
        <v>1735.16</v>
      </c>
      <c r="L1763" s="7">
        <v>916.55</v>
      </c>
      <c r="M1763" s="3" t="s">
        <v>56</v>
      </c>
      <c r="N1763" s="3" t="str">
        <f t="shared" si="108"/>
        <v>2025-04</v>
      </c>
      <c r="O1763" s="3" t="str">
        <f t="shared" si="109"/>
        <v>1-10%</v>
      </c>
      <c r="P1763" s="9">
        <f t="shared" si="110"/>
        <v>0.52822218123977038</v>
      </c>
      <c r="Q1763" s="3" t="str">
        <f t="shared" si="111"/>
        <v>No</v>
      </c>
    </row>
    <row r="1764" spans="1:17" ht="21" customHeight="1">
      <c r="A1764" s="3" t="s">
        <v>2450</v>
      </c>
      <c r="B1764" s="5">
        <v>45775</v>
      </c>
      <c r="C1764" s="3" t="s">
        <v>175</v>
      </c>
      <c r="D1764" s="3" t="s">
        <v>45</v>
      </c>
      <c r="E1764" s="3" t="s">
        <v>42</v>
      </c>
      <c r="F1764" s="3" t="s">
        <v>90</v>
      </c>
      <c r="G1764" s="3" t="s">
        <v>91</v>
      </c>
      <c r="H1764" s="3">
        <v>4</v>
      </c>
      <c r="I1764" s="7">
        <v>1225.29</v>
      </c>
      <c r="J1764" s="9">
        <v>0.1</v>
      </c>
      <c r="K1764" s="7">
        <v>4411.04</v>
      </c>
      <c r="L1764" s="7">
        <v>2054.5100000000002</v>
      </c>
      <c r="M1764" s="3" t="s">
        <v>56</v>
      </c>
      <c r="N1764" s="3" t="str">
        <f t="shared" si="108"/>
        <v>2025-04</v>
      </c>
      <c r="O1764" s="3" t="str">
        <f t="shared" si="109"/>
        <v>1-10%</v>
      </c>
      <c r="P1764" s="9">
        <f t="shared" si="110"/>
        <v>0.46576544307011503</v>
      </c>
      <c r="Q1764" s="3" t="str">
        <f t="shared" si="111"/>
        <v>No</v>
      </c>
    </row>
    <row r="1765" spans="1:17" ht="21" customHeight="1">
      <c r="A1765" s="3" t="s">
        <v>2451</v>
      </c>
      <c r="B1765" s="5">
        <v>45776</v>
      </c>
      <c r="C1765" s="3" t="s">
        <v>270</v>
      </c>
      <c r="D1765" s="3" t="s">
        <v>45</v>
      </c>
      <c r="E1765" s="3" t="s">
        <v>41</v>
      </c>
      <c r="F1765" s="3" t="s">
        <v>113</v>
      </c>
      <c r="G1765" s="3" t="s">
        <v>114</v>
      </c>
      <c r="H1765" s="3">
        <v>3</v>
      </c>
      <c r="I1765" s="7">
        <v>11664.94</v>
      </c>
      <c r="J1765" s="9">
        <v>0</v>
      </c>
      <c r="K1765" s="7">
        <v>34994.82</v>
      </c>
      <c r="L1765" s="7">
        <v>13834.96</v>
      </c>
      <c r="M1765" s="3" t="s">
        <v>57</v>
      </c>
      <c r="N1765" s="3" t="str">
        <f t="shared" si="108"/>
        <v>2025-04</v>
      </c>
      <c r="O1765" s="3" t="str">
        <f t="shared" si="109"/>
        <v>No discount</v>
      </c>
      <c r="P1765" s="9">
        <f t="shared" si="110"/>
        <v>0.39534308220473768</v>
      </c>
      <c r="Q1765" s="3" t="str">
        <f t="shared" si="111"/>
        <v>No</v>
      </c>
    </row>
    <row r="1766" spans="1:17" ht="21" customHeight="1">
      <c r="A1766" s="3" t="s">
        <v>2452</v>
      </c>
      <c r="B1766" s="5">
        <v>45776</v>
      </c>
      <c r="C1766" s="3" t="s">
        <v>1488</v>
      </c>
      <c r="D1766" s="3" t="s">
        <v>45</v>
      </c>
      <c r="E1766" s="3" t="s">
        <v>38</v>
      </c>
      <c r="F1766" s="3" t="s">
        <v>142</v>
      </c>
      <c r="G1766" s="3" t="s">
        <v>143</v>
      </c>
      <c r="H1766" s="3">
        <v>1</v>
      </c>
      <c r="I1766" s="7">
        <v>9260.9699999999993</v>
      </c>
      <c r="J1766" s="9">
        <v>0</v>
      </c>
      <c r="K1766" s="7">
        <v>9260.9699999999993</v>
      </c>
      <c r="L1766" s="7">
        <v>1952.8</v>
      </c>
      <c r="M1766" s="3" t="s">
        <v>56</v>
      </c>
      <c r="N1766" s="3" t="str">
        <f t="shared" si="108"/>
        <v>2025-04</v>
      </c>
      <c r="O1766" s="3" t="str">
        <f t="shared" si="109"/>
        <v>No discount</v>
      </c>
      <c r="P1766" s="9">
        <f t="shared" si="110"/>
        <v>0.21086344087066475</v>
      </c>
      <c r="Q1766" s="3" t="str">
        <f t="shared" si="111"/>
        <v>No</v>
      </c>
    </row>
    <row r="1767" spans="1:17" ht="21" customHeight="1">
      <c r="A1767" s="3" t="s">
        <v>2453</v>
      </c>
      <c r="B1767" s="5">
        <v>45776</v>
      </c>
      <c r="C1767" s="3" t="s">
        <v>686</v>
      </c>
      <c r="D1767" s="3" t="s">
        <v>45</v>
      </c>
      <c r="E1767" s="3" t="s">
        <v>42</v>
      </c>
      <c r="F1767" s="3" t="s">
        <v>90</v>
      </c>
      <c r="G1767" s="3" t="s">
        <v>106</v>
      </c>
      <c r="H1767" s="3">
        <v>2</v>
      </c>
      <c r="I1767" s="7">
        <v>879.77</v>
      </c>
      <c r="J1767" s="9">
        <v>0</v>
      </c>
      <c r="K1767" s="7">
        <v>1759.54</v>
      </c>
      <c r="L1767" s="7">
        <v>972.76</v>
      </c>
      <c r="M1767" s="3" t="s">
        <v>56</v>
      </c>
      <c r="N1767" s="3" t="str">
        <f t="shared" si="108"/>
        <v>2025-04</v>
      </c>
      <c r="O1767" s="3" t="str">
        <f t="shared" si="109"/>
        <v>No discount</v>
      </c>
      <c r="P1767" s="9">
        <f t="shared" si="110"/>
        <v>0.55284904009002356</v>
      </c>
      <c r="Q1767" s="3" t="str">
        <f t="shared" si="111"/>
        <v>No</v>
      </c>
    </row>
    <row r="1768" spans="1:17" ht="21" customHeight="1">
      <c r="A1768" s="3" t="s">
        <v>2454</v>
      </c>
      <c r="B1768" s="5">
        <v>45776</v>
      </c>
      <c r="C1768" s="3" t="s">
        <v>135</v>
      </c>
      <c r="D1768" s="3" t="s">
        <v>44</v>
      </c>
      <c r="E1768" s="3" t="s">
        <v>39</v>
      </c>
      <c r="F1768" s="3" t="s">
        <v>109</v>
      </c>
      <c r="G1768" s="3" t="s">
        <v>110</v>
      </c>
      <c r="H1768" s="3">
        <v>2</v>
      </c>
      <c r="I1768" s="7">
        <v>3059.19</v>
      </c>
      <c r="J1768" s="9">
        <v>0.25</v>
      </c>
      <c r="K1768" s="7">
        <v>4588.78</v>
      </c>
      <c r="L1768" s="7">
        <v>453.85</v>
      </c>
      <c r="M1768" s="3" t="s">
        <v>56</v>
      </c>
      <c r="N1768" s="3" t="str">
        <f t="shared" si="108"/>
        <v>2025-04</v>
      </c>
      <c r="O1768" s="3" t="str">
        <f t="shared" si="109"/>
        <v>21%+</v>
      </c>
      <c r="P1768" s="9">
        <f t="shared" si="110"/>
        <v>9.8904283927318384E-2</v>
      </c>
      <c r="Q1768" s="3" t="str">
        <f t="shared" si="111"/>
        <v>No</v>
      </c>
    </row>
    <row r="1769" spans="1:17" ht="21" customHeight="1">
      <c r="A1769" s="3" t="s">
        <v>2455</v>
      </c>
      <c r="B1769" s="5">
        <v>45776</v>
      </c>
      <c r="C1769" s="3" t="s">
        <v>341</v>
      </c>
      <c r="D1769" s="3" t="s">
        <v>46</v>
      </c>
      <c r="E1769" s="3" t="s">
        <v>40</v>
      </c>
      <c r="F1769" s="3" t="s">
        <v>160</v>
      </c>
      <c r="G1769" s="3" t="s">
        <v>173</v>
      </c>
      <c r="H1769" s="3">
        <v>1</v>
      </c>
      <c r="I1769" s="7">
        <v>9392.73</v>
      </c>
      <c r="J1769" s="9">
        <v>0.1</v>
      </c>
      <c r="K1769" s="7">
        <v>8453.4599999999991</v>
      </c>
      <c r="L1769" s="7">
        <v>1755.15</v>
      </c>
      <c r="M1769" s="3" t="s">
        <v>60</v>
      </c>
      <c r="N1769" s="3" t="str">
        <f t="shared" si="108"/>
        <v>2025-04</v>
      </c>
      <c r="O1769" s="3" t="str">
        <f t="shared" si="109"/>
        <v>1-10%</v>
      </c>
      <c r="P1769" s="9">
        <f t="shared" si="110"/>
        <v>0.20762504347332339</v>
      </c>
      <c r="Q1769" s="3" t="str">
        <f t="shared" si="111"/>
        <v>No</v>
      </c>
    </row>
    <row r="1770" spans="1:17" ht="21" customHeight="1">
      <c r="A1770" s="3" t="s">
        <v>2456</v>
      </c>
      <c r="B1770" s="5">
        <v>45776</v>
      </c>
      <c r="C1770" s="3" t="s">
        <v>1241</v>
      </c>
      <c r="D1770" s="3" t="s">
        <v>44</v>
      </c>
      <c r="E1770" s="3" t="s">
        <v>40</v>
      </c>
      <c r="F1770" s="3" t="s">
        <v>221</v>
      </c>
      <c r="G1770" s="3" t="s">
        <v>222</v>
      </c>
      <c r="H1770" s="3">
        <v>2</v>
      </c>
      <c r="I1770" s="7">
        <v>1015.62</v>
      </c>
      <c r="J1770" s="9">
        <v>0</v>
      </c>
      <c r="K1770" s="7">
        <v>2031.24</v>
      </c>
      <c r="L1770" s="7">
        <v>738.86</v>
      </c>
      <c r="M1770" s="3" t="s">
        <v>57</v>
      </c>
      <c r="N1770" s="3" t="str">
        <f t="shared" si="108"/>
        <v>2025-04</v>
      </c>
      <c r="O1770" s="3" t="str">
        <f t="shared" si="109"/>
        <v>No discount</v>
      </c>
      <c r="P1770" s="9">
        <f t="shared" si="110"/>
        <v>0.36374825229908825</v>
      </c>
      <c r="Q1770" s="3" t="str">
        <f t="shared" si="111"/>
        <v>No</v>
      </c>
    </row>
    <row r="1771" spans="1:17" ht="21" customHeight="1">
      <c r="A1771" s="3" t="s">
        <v>2457</v>
      </c>
      <c r="B1771" s="5">
        <v>45776</v>
      </c>
      <c r="C1771" s="3" t="s">
        <v>465</v>
      </c>
      <c r="D1771" s="3" t="s">
        <v>46</v>
      </c>
      <c r="E1771" s="3" t="s">
        <v>39</v>
      </c>
      <c r="F1771" s="3" t="s">
        <v>130</v>
      </c>
      <c r="G1771" s="3" t="s">
        <v>131</v>
      </c>
      <c r="H1771" s="3">
        <v>1</v>
      </c>
      <c r="I1771" s="7">
        <v>2252.9699999999998</v>
      </c>
      <c r="J1771" s="9">
        <v>0</v>
      </c>
      <c r="K1771" s="7">
        <v>2252.9699999999998</v>
      </c>
      <c r="L1771" s="7">
        <v>987.64</v>
      </c>
      <c r="M1771" s="3" t="s">
        <v>56</v>
      </c>
      <c r="N1771" s="3" t="str">
        <f t="shared" si="108"/>
        <v>2025-04</v>
      </c>
      <c r="O1771" s="3" t="str">
        <f t="shared" si="109"/>
        <v>No discount</v>
      </c>
      <c r="P1771" s="9">
        <f t="shared" si="110"/>
        <v>0.43837245946461784</v>
      </c>
      <c r="Q1771" s="3" t="str">
        <f t="shared" si="111"/>
        <v>No</v>
      </c>
    </row>
    <row r="1772" spans="1:17" ht="21" customHeight="1">
      <c r="A1772" s="3" t="s">
        <v>2458</v>
      </c>
      <c r="B1772" s="5">
        <v>45777</v>
      </c>
      <c r="C1772" s="3" t="s">
        <v>324</v>
      </c>
      <c r="D1772" s="3" t="s">
        <v>44</v>
      </c>
      <c r="E1772" s="3" t="s">
        <v>41</v>
      </c>
      <c r="F1772" s="3" t="s">
        <v>113</v>
      </c>
      <c r="G1772" s="3" t="s">
        <v>114</v>
      </c>
      <c r="H1772" s="3">
        <v>1</v>
      </c>
      <c r="I1772" s="7">
        <v>11774.08</v>
      </c>
      <c r="J1772" s="9">
        <v>0.15</v>
      </c>
      <c r="K1772" s="7">
        <v>10007.969999999999</v>
      </c>
      <c r="L1772" s="7">
        <v>1926.55</v>
      </c>
      <c r="M1772" s="3" t="s">
        <v>60</v>
      </c>
      <c r="N1772" s="3" t="str">
        <f t="shared" si="108"/>
        <v>2025-04</v>
      </c>
      <c r="O1772" s="3" t="str">
        <f t="shared" si="109"/>
        <v>11-15%</v>
      </c>
      <c r="P1772" s="9">
        <f t="shared" si="110"/>
        <v>0.19250157624373376</v>
      </c>
      <c r="Q1772" s="3" t="str">
        <f t="shared" si="111"/>
        <v>No</v>
      </c>
    </row>
    <row r="1773" spans="1:17" ht="21" customHeight="1">
      <c r="A1773" s="3" t="s">
        <v>2459</v>
      </c>
      <c r="B1773" s="5">
        <v>45777</v>
      </c>
      <c r="C1773" s="3" t="s">
        <v>1109</v>
      </c>
      <c r="D1773" s="3" t="s">
        <v>45</v>
      </c>
      <c r="E1773" s="3" t="s">
        <v>42</v>
      </c>
      <c r="F1773" s="3" t="s">
        <v>126</v>
      </c>
      <c r="G1773" s="3" t="s">
        <v>151</v>
      </c>
      <c r="H1773" s="3">
        <v>1</v>
      </c>
      <c r="I1773" s="7">
        <v>1530.85</v>
      </c>
      <c r="J1773" s="9">
        <v>0</v>
      </c>
      <c r="K1773" s="7">
        <v>1530.85</v>
      </c>
      <c r="L1773" s="7">
        <v>845.09</v>
      </c>
      <c r="M1773" s="3" t="s">
        <v>60</v>
      </c>
      <c r="N1773" s="3" t="str">
        <f t="shared" si="108"/>
        <v>2025-04</v>
      </c>
      <c r="O1773" s="3" t="str">
        <f t="shared" si="109"/>
        <v>No discount</v>
      </c>
      <c r="P1773" s="9">
        <f t="shared" si="110"/>
        <v>0.55203971649737082</v>
      </c>
      <c r="Q1773" s="3" t="str">
        <f t="shared" si="111"/>
        <v>No</v>
      </c>
    </row>
    <row r="1774" spans="1:17" ht="21" customHeight="1">
      <c r="A1774" s="3" t="s">
        <v>2460</v>
      </c>
      <c r="B1774" s="5">
        <v>45777</v>
      </c>
      <c r="C1774" s="3" t="s">
        <v>543</v>
      </c>
      <c r="D1774" s="3" t="s">
        <v>44</v>
      </c>
      <c r="E1774" s="3" t="s">
        <v>38</v>
      </c>
      <c r="F1774" s="3" t="s">
        <v>94</v>
      </c>
      <c r="G1774" s="3" t="s">
        <v>213</v>
      </c>
      <c r="H1774" s="3">
        <v>1</v>
      </c>
      <c r="I1774" s="7">
        <v>55569.84</v>
      </c>
      <c r="J1774" s="9">
        <v>0</v>
      </c>
      <c r="K1774" s="7">
        <v>55569.84</v>
      </c>
      <c r="L1774" s="7">
        <v>8317.85</v>
      </c>
      <c r="M1774" s="3" t="s">
        <v>56</v>
      </c>
      <c r="N1774" s="3" t="str">
        <f t="shared" si="108"/>
        <v>2025-04</v>
      </c>
      <c r="O1774" s="3" t="str">
        <f t="shared" si="109"/>
        <v>No discount</v>
      </c>
      <c r="P1774" s="9">
        <f t="shared" si="110"/>
        <v>0.14968281355497876</v>
      </c>
      <c r="Q1774" s="3" t="str">
        <f t="shared" si="111"/>
        <v>No</v>
      </c>
    </row>
    <row r="1775" spans="1:17" ht="21" customHeight="1">
      <c r="A1775" s="3" t="s">
        <v>2461</v>
      </c>
      <c r="B1775" s="5">
        <v>45777</v>
      </c>
      <c r="C1775" s="3" t="s">
        <v>1421</v>
      </c>
      <c r="D1775" s="3" t="s">
        <v>47</v>
      </c>
      <c r="E1775" s="3" t="s">
        <v>38</v>
      </c>
      <c r="F1775" s="3" t="s">
        <v>142</v>
      </c>
      <c r="G1775" s="3" t="s">
        <v>143</v>
      </c>
      <c r="H1775" s="3">
        <v>1</v>
      </c>
      <c r="I1775" s="7">
        <v>8706.4500000000007</v>
      </c>
      <c r="J1775" s="9">
        <v>0</v>
      </c>
      <c r="K1775" s="7">
        <v>8706.4500000000007</v>
      </c>
      <c r="L1775" s="7">
        <v>1423.76</v>
      </c>
      <c r="M1775" s="3" t="s">
        <v>58</v>
      </c>
      <c r="N1775" s="3" t="str">
        <f t="shared" si="108"/>
        <v>2025-04</v>
      </c>
      <c r="O1775" s="3" t="str">
        <f t="shared" si="109"/>
        <v>No discount</v>
      </c>
      <c r="P1775" s="9">
        <f t="shared" si="110"/>
        <v>0.16352933744522738</v>
      </c>
      <c r="Q1775" s="3" t="str">
        <f t="shared" si="111"/>
        <v>No</v>
      </c>
    </row>
    <row r="1776" spans="1:17" ht="21" customHeight="1">
      <c r="A1776" s="3" t="s">
        <v>2462</v>
      </c>
      <c r="B1776" s="5">
        <v>45777</v>
      </c>
      <c r="C1776" s="3" t="s">
        <v>974</v>
      </c>
      <c r="D1776" s="3" t="s">
        <v>45</v>
      </c>
      <c r="E1776" s="3" t="s">
        <v>40</v>
      </c>
      <c r="F1776" s="3" t="s">
        <v>221</v>
      </c>
      <c r="G1776" s="3" t="s">
        <v>279</v>
      </c>
      <c r="H1776" s="3">
        <v>1</v>
      </c>
      <c r="I1776" s="7">
        <v>1567.85</v>
      </c>
      <c r="J1776" s="9">
        <v>0.15</v>
      </c>
      <c r="K1776" s="7">
        <v>1332.67</v>
      </c>
      <c r="L1776" s="7">
        <v>241.14</v>
      </c>
      <c r="M1776" s="3" t="s">
        <v>56</v>
      </c>
      <c r="N1776" s="3" t="str">
        <f t="shared" si="108"/>
        <v>2025-04</v>
      </c>
      <c r="O1776" s="3" t="str">
        <f t="shared" si="109"/>
        <v>11-15%</v>
      </c>
      <c r="P1776" s="9">
        <f t="shared" si="110"/>
        <v>0.18094502014752337</v>
      </c>
      <c r="Q1776" s="3" t="str">
        <f t="shared" si="111"/>
        <v>No</v>
      </c>
    </row>
    <row r="1777" spans="1:17" ht="21" customHeight="1">
      <c r="A1777" s="3" t="s">
        <v>2463</v>
      </c>
      <c r="B1777" s="5">
        <v>45777</v>
      </c>
      <c r="C1777" s="3" t="s">
        <v>450</v>
      </c>
      <c r="D1777" s="3" t="s">
        <v>47</v>
      </c>
      <c r="E1777" s="3" t="s">
        <v>39</v>
      </c>
      <c r="F1777" s="3" t="s">
        <v>164</v>
      </c>
      <c r="G1777" s="3" t="s">
        <v>165</v>
      </c>
      <c r="H1777" s="3">
        <v>3</v>
      </c>
      <c r="I1777" s="7">
        <v>1964.99</v>
      </c>
      <c r="J1777" s="9">
        <v>0.15</v>
      </c>
      <c r="K1777" s="7">
        <v>5010.72</v>
      </c>
      <c r="L1777" s="7">
        <v>1162.03</v>
      </c>
      <c r="M1777" s="3" t="s">
        <v>57</v>
      </c>
      <c r="N1777" s="3" t="str">
        <f t="shared" si="108"/>
        <v>2025-04</v>
      </c>
      <c r="O1777" s="3" t="str">
        <f t="shared" si="109"/>
        <v>11-15%</v>
      </c>
      <c r="P1777" s="9">
        <f t="shared" si="110"/>
        <v>0.23190878755947247</v>
      </c>
      <c r="Q1777" s="3" t="str">
        <f t="shared" si="111"/>
        <v>No</v>
      </c>
    </row>
    <row r="1778" spans="1:17" ht="21" customHeight="1">
      <c r="A1778" s="3" t="s">
        <v>2464</v>
      </c>
      <c r="B1778" s="5">
        <v>45777</v>
      </c>
      <c r="C1778" s="3" t="s">
        <v>93</v>
      </c>
      <c r="D1778" s="3" t="s">
        <v>46</v>
      </c>
      <c r="E1778" s="3" t="s">
        <v>39</v>
      </c>
      <c r="F1778" s="3" t="s">
        <v>164</v>
      </c>
      <c r="G1778" s="3" t="s">
        <v>165</v>
      </c>
      <c r="H1778" s="3">
        <v>2</v>
      </c>
      <c r="I1778" s="7">
        <v>1931.61</v>
      </c>
      <c r="J1778" s="9">
        <v>0.05</v>
      </c>
      <c r="K1778" s="7">
        <v>3670.06</v>
      </c>
      <c r="L1778" s="7">
        <v>1456.92</v>
      </c>
      <c r="M1778" s="3" t="s">
        <v>59</v>
      </c>
      <c r="N1778" s="3" t="str">
        <f t="shared" si="108"/>
        <v>2025-04</v>
      </c>
      <c r="O1778" s="3" t="str">
        <f t="shared" si="109"/>
        <v>1-10%</v>
      </c>
      <c r="P1778" s="9">
        <f t="shared" si="110"/>
        <v>0.39697443638523622</v>
      </c>
      <c r="Q1778" s="3" t="str">
        <f t="shared" si="111"/>
        <v>No</v>
      </c>
    </row>
    <row r="1779" spans="1:17" ht="21" customHeight="1">
      <c r="A1779" s="3" t="s">
        <v>2465</v>
      </c>
      <c r="B1779" s="5">
        <v>45778</v>
      </c>
      <c r="C1779" s="3" t="s">
        <v>2466</v>
      </c>
      <c r="D1779" s="3" t="s">
        <v>44</v>
      </c>
      <c r="E1779" s="3" t="s">
        <v>42</v>
      </c>
      <c r="F1779" s="3" t="s">
        <v>90</v>
      </c>
      <c r="G1779" s="3" t="s">
        <v>106</v>
      </c>
      <c r="H1779" s="3">
        <v>1</v>
      </c>
      <c r="I1779" s="7">
        <v>855.31</v>
      </c>
      <c r="J1779" s="9">
        <v>0.1</v>
      </c>
      <c r="K1779" s="7">
        <v>769.78</v>
      </c>
      <c r="L1779" s="7">
        <v>317.43</v>
      </c>
      <c r="M1779" s="3" t="s">
        <v>56</v>
      </c>
      <c r="N1779" s="3" t="str">
        <f t="shared" si="108"/>
        <v>2025-05</v>
      </c>
      <c r="O1779" s="3" t="str">
        <f t="shared" si="109"/>
        <v>1-10%</v>
      </c>
      <c r="P1779" s="9">
        <f t="shared" si="110"/>
        <v>0.4123645716958092</v>
      </c>
      <c r="Q1779" s="3" t="str">
        <f t="shared" si="111"/>
        <v>No</v>
      </c>
    </row>
    <row r="1780" spans="1:17" ht="21" customHeight="1">
      <c r="A1780" s="3" t="s">
        <v>2467</v>
      </c>
      <c r="B1780" s="5">
        <v>45778</v>
      </c>
      <c r="C1780" s="3" t="s">
        <v>645</v>
      </c>
      <c r="D1780" s="3" t="s">
        <v>44</v>
      </c>
      <c r="E1780" s="3" t="s">
        <v>41</v>
      </c>
      <c r="F1780" s="3" t="s">
        <v>113</v>
      </c>
      <c r="G1780" s="3" t="s">
        <v>114</v>
      </c>
      <c r="H1780" s="3">
        <v>3</v>
      </c>
      <c r="I1780" s="7">
        <v>11577.73</v>
      </c>
      <c r="J1780" s="9">
        <v>0.05</v>
      </c>
      <c r="K1780" s="7">
        <v>32996.53</v>
      </c>
      <c r="L1780" s="7">
        <v>10253.959999999999</v>
      </c>
      <c r="M1780" s="3" t="s">
        <v>56</v>
      </c>
      <c r="N1780" s="3" t="str">
        <f t="shared" si="108"/>
        <v>2025-05</v>
      </c>
      <c r="O1780" s="3" t="str">
        <f t="shared" si="109"/>
        <v>1-10%</v>
      </c>
      <c r="P1780" s="9">
        <f t="shared" si="110"/>
        <v>0.31075873735814036</v>
      </c>
      <c r="Q1780" s="3" t="str">
        <f t="shared" si="111"/>
        <v>No</v>
      </c>
    </row>
    <row r="1781" spans="1:17" ht="21" customHeight="1">
      <c r="A1781" s="3" t="s">
        <v>2468</v>
      </c>
      <c r="B1781" s="5">
        <v>45778</v>
      </c>
      <c r="C1781" s="3" t="s">
        <v>647</v>
      </c>
      <c r="D1781" s="3" t="s">
        <v>44</v>
      </c>
      <c r="E1781" s="3" t="s">
        <v>39</v>
      </c>
      <c r="F1781" s="3" t="s">
        <v>130</v>
      </c>
      <c r="G1781" s="3" t="s">
        <v>193</v>
      </c>
      <c r="H1781" s="3">
        <v>2</v>
      </c>
      <c r="I1781" s="7">
        <v>1781.17</v>
      </c>
      <c r="J1781" s="9">
        <v>0.3</v>
      </c>
      <c r="K1781" s="7">
        <v>2493.64</v>
      </c>
      <c r="L1781" s="7">
        <v>170.58</v>
      </c>
      <c r="M1781" s="3" t="s">
        <v>57</v>
      </c>
      <c r="N1781" s="3" t="str">
        <f t="shared" si="108"/>
        <v>2025-05</v>
      </c>
      <c r="O1781" s="3" t="str">
        <f t="shared" si="109"/>
        <v>21%+</v>
      </c>
      <c r="P1781" s="9">
        <f t="shared" si="110"/>
        <v>6.8406024927415349E-2</v>
      </c>
      <c r="Q1781" s="3" t="str">
        <f t="shared" si="111"/>
        <v>No</v>
      </c>
    </row>
    <row r="1782" spans="1:17" ht="21" customHeight="1">
      <c r="A1782" s="3" t="s">
        <v>2469</v>
      </c>
      <c r="B1782" s="5">
        <v>45778</v>
      </c>
      <c r="C1782" s="3" t="s">
        <v>247</v>
      </c>
      <c r="D1782" s="3" t="s">
        <v>47</v>
      </c>
      <c r="E1782" s="3" t="s">
        <v>41</v>
      </c>
      <c r="F1782" s="3" t="s">
        <v>119</v>
      </c>
      <c r="G1782" s="3" t="s">
        <v>120</v>
      </c>
      <c r="H1782" s="3">
        <v>2</v>
      </c>
      <c r="I1782" s="7">
        <v>1263.1199999999999</v>
      </c>
      <c r="J1782" s="9">
        <v>0.15</v>
      </c>
      <c r="K1782" s="7">
        <v>2147.3000000000002</v>
      </c>
      <c r="L1782" s="7">
        <v>508.27</v>
      </c>
      <c r="M1782" s="3" t="s">
        <v>60</v>
      </c>
      <c r="N1782" s="3" t="str">
        <f t="shared" si="108"/>
        <v>2025-05</v>
      </c>
      <c r="O1782" s="3" t="str">
        <f t="shared" si="109"/>
        <v>11-15%</v>
      </c>
      <c r="P1782" s="9">
        <f t="shared" si="110"/>
        <v>0.23670190471755226</v>
      </c>
      <c r="Q1782" s="3" t="str">
        <f t="shared" si="111"/>
        <v>No</v>
      </c>
    </row>
    <row r="1783" spans="1:17" ht="21" customHeight="1">
      <c r="A1783" s="3" t="s">
        <v>2470</v>
      </c>
      <c r="B1783" s="5">
        <v>45778</v>
      </c>
      <c r="C1783" s="3" t="s">
        <v>2471</v>
      </c>
      <c r="D1783" s="3" t="s">
        <v>47</v>
      </c>
      <c r="E1783" s="3" t="s">
        <v>41</v>
      </c>
      <c r="F1783" s="3" t="s">
        <v>113</v>
      </c>
      <c r="G1783" s="3" t="s">
        <v>123</v>
      </c>
      <c r="H1783" s="3">
        <v>2</v>
      </c>
      <c r="I1783" s="7">
        <v>3598.27</v>
      </c>
      <c r="J1783" s="9">
        <v>0.2</v>
      </c>
      <c r="K1783" s="7">
        <v>5757.23</v>
      </c>
      <c r="L1783" s="7">
        <v>1049.33</v>
      </c>
      <c r="M1783" s="3" t="s">
        <v>57</v>
      </c>
      <c r="N1783" s="3" t="str">
        <f t="shared" si="108"/>
        <v>2025-05</v>
      </c>
      <c r="O1783" s="3" t="str">
        <f t="shared" si="109"/>
        <v>16-20%</v>
      </c>
      <c r="P1783" s="9">
        <f t="shared" si="110"/>
        <v>0.18226299800424858</v>
      </c>
      <c r="Q1783" s="3" t="str">
        <f t="shared" si="111"/>
        <v>No</v>
      </c>
    </row>
    <row r="1784" spans="1:17" ht="21" customHeight="1">
      <c r="A1784" s="3" t="s">
        <v>2472</v>
      </c>
      <c r="B1784" s="5">
        <v>45779</v>
      </c>
      <c r="C1784" s="3" t="s">
        <v>591</v>
      </c>
      <c r="D1784" s="3" t="s">
        <v>46</v>
      </c>
      <c r="E1784" s="3" t="s">
        <v>42</v>
      </c>
      <c r="F1784" s="3" t="s">
        <v>126</v>
      </c>
      <c r="G1784" s="3" t="s">
        <v>151</v>
      </c>
      <c r="H1784" s="3">
        <v>1</v>
      </c>
      <c r="I1784" s="7">
        <v>1533.91</v>
      </c>
      <c r="J1784" s="9">
        <v>0</v>
      </c>
      <c r="K1784" s="7">
        <v>1533.91</v>
      </c>
      <c r="L1784" s="7">
        <v>810.73</v>
      </c>
      <c r="M1784" s="3" t="s">
        <v>57</v>
      </c>
      <c r="N1784" s="3" t="str">
        <f t="shared" si="108"/>
        <v>2025-05</v>
      </c>
      <c r="O1784" s="3" t="str">
        <f t="shared" si="109"/>
        <v>No discount</v>
      </c>
      <c r="P1784" s="9">
        <f t="shared" si="110"/>
        <v>0.52853818020613985</v>
      </c>
      <c r="Q1784" s="3" t="str">
        <f t="shared" si="111"/>
        <v>No</v>
      </c>
    </row>
    <row r="1785" spans="1:17" ht="21" customHeight="1">
      <c r="A1785" s="3" t="s">
        <v>2473</v>
      </c>
      <c r="B1785" s="5">
        <v>45779</v>
      </c>
      <c r="C1785" s="3" t="s">
        <v>1058</v>
      </c>
      <c r="D1785" s="3" t="s">
        <v>44</v>
      </c>
      <c r="E1785" s="3" t="s">
        <v>40</v>
      </c>
      <c r="F1785" s="3" t="s">
        <v>160</v>
      </c>
      <c r="G1785" s="3" t="s">
        <v>173</v>
      </c>
      <c r="H1785" s="3">
        <v>1</v>
      </c>
      <c r="I1785" s="7">
        <v>9433.91</v>
      </c>
      <c r="J1785" s="9">
        <v>0.25</v>
      </c>
      <c r="K1785" s="7">
        <v>7075.43</v>
      </c>
      <c r="L1785" s="7">
        <v>535.36</v>
      </c>
      <c r="M1785" s="3" t="s">
        <v>57</v>
      </c>
      <c r="N1785" s="3" t="str">
        <f t="shared" si="108"/>
        <v>2025-05</v>
      </c>
      <c r="O1785" s="3" t="str">
        <f t="shared" si="109"/>
        <v>21%+</v>
      </c>
      <c r="P1785" s="9">
        <f t="shared" si="110"/>
        <v>7.5664659250391841E-2</v>
      </c>
      <c r="Q1785" s="3" t="str">
        <f t="shared" si="111"/>
        <v>No</v>
      </c>
    </row>
    <row r="1786" spans="1:17" ht="21" customHeight="1">
      <c r="A1786" s="3" t="s">
        <v>2474</v>
      </c>
      <c r="B1786" s="5">
        <v>45780</v>
      </c>
      <c r="C1786" s="3" t="s">
        <v>1599</v>
      </c>
      <c r="D1786" s="3" t="s">
        <v>44</v>
      </c>
      <c r="E1786" s="3" t="s">
        <v>39</v>
      </c>
      <c r="F1786" s="3" t="s">
        <v>130</v>
      </c>
      <c r="G1786" s="3" t="s">
        <v>193</v>
      </c>
      <c r="H1786" s="3">
        <v>2</v>
      </c>
      <c r="I1786" s="7">
        <v>1878.15</v>
      </c>
      <c r="J1786" s="9">
        <v>0.1</v>
      </c>
      <c r="K1786" s="7">
        <v>3380.67</v>
      </c>
      <c r="L1786" s="7">
        <v>1013.73</v>
      </c>
      <c r="M1786" s="3" t="s">
        <v>56</v>
      </c>
      <c r="N1786" s="3" t="str">
        <f t="shared" si="108"/>
        <v>2025-05</v>
      </c>
      <c r="O1786" s="3" t="str">
        <f t="shared" si="109"/>
        <v>1-10%</v>
      </c>
      <c r="P1786" s="9">
        <f t="shared" si="110"/>
        <v>0.29986067850455678</v>
      </c>
      <c r="Q1786" s="3" t="str">
        <f t="shared" si="111"/>
        <v>No</v>
      </c>
    </row>
    <row r="1787" spans="1:17" ht="21" customHeight="1">
      <c r="A1787" s="3" t="s">
        <v>2475</v>
      </c>
      <c r="B1787" s="5">
        <v>45781</v>
      </c>
      <c r="C1787" s="3" t="s">
        <v>414</v>
      </c>
      <c r="D1787" s="3" t="s">
        <v>44</v>
      </c>
      <c r="E1787" s="3" t="s">
        <v>38</v>
      </c>
      <c r="F1787" s="3" t="s">
        <v>98</v>
      </c>
      <c r="G1787" s="3" t="s">
        <v>99</v>
      </c>
      <c r="H1787" s="3">
        <v>1</v>
      </c>
      <c r="I1787" s="7">
        <v>24314.5</v>
      </c>
      <c r="J1787" s="9">
        <v>0</v>
      </c>
      <c r="K1787" s="7">
        <v>24314.5</v>
      </c>
      <c r="L1787" s="7">
        <v>4726.71</v>
      </c>
      <c r="M1787" s="3" t="s">
        <v>57</v>
      </c>
      <c r="N1787" s="3" t="str">
        <f t="shared" si="108"/>
        <v>2025-05</v>
      </c>
      <c r="O1787" s="3" t="str">
        <f t="shared" si="109"/>
        <v>No discount</v>
      </c>
      <c r="P1787" s="9">
        <f t="shared" si="110"/>
        <v>0.19439881552160235</v>
      </c>
      <c r="Q1787" s="3" t="str">
        <f t="shared" si="111"/>
        <v>No</v>
      </c>
    </row>
    <row r="1788" spans="1:17" ht="21" customHeight="1">
      <c r="A1788" s="3" t="s">
        <v>2476</v>
      </c>
      <c r="B1788" s="5">
        <v>45781</v>
      </c>
      <c r="C1788" s="3" t="s">
        <v>255</v>
      </c>
      <c r="D1788" s="3" t="s">
        <v>45</v>
      </c>
      <c r="E1788" s="3" t="s">
        <v>41</v>
      </c>
      <c r="F1788" s="3" t="s">
        <v>119</v>
      </c>
      <c r="G1788" s="3" t="s">
        <v>120</v>
      </c>
      <c r="H1788" s="3">
        <v>4</v>
      </c>
      <c r="I1788" s="7">
        <v>1318.12</v>
      </c>
      <c r="J1788" s="9">
        <v>0.1</v>
      </c>
      <c r="K1788" s="7">
        <v>4745.2299999999996</v>
      </c>
      <c r="L1788" s="7">
        <v>1099.55</v>
      </c>
      <c r="M1788" s="3" t="s">
        <v>56</v>
      </c>
      <c r="N1788" s="3" t="str">
        <f t="shared" si="108"/>
        <v>2025-05</v>
      </c>
      <c r="O1788" s="3" t="str">
        <f t="shared" si="109"/>
        <v>1-10%</v>
      </c>
      <c r="P1788" s="9">
        <f t="shared" si="110"/>
        <v>0.23171690307951354</v>
      </c>
      <c r="Q1788" s="3" t="str">
        <f t="shared" si="111"/>
        <v>No</v>
      </c>
    </row>
    <row r="1789" spans="1:17" ht="21" customHeight="1">
      <c r="A1789" s="3" t="s">
        <v>2477</v>
      </c>
      <c r="B1789" s="5">
        <v>45781</v>
      </c>
      <c r="C1789" s="3" t="s">
        <v>1261</v>
      </c>
      <c r="D1789" s="3" t="s">
        <v>45</v>
      </c>
      <c r="E1789" s="3" t="s">
        <v>39</v>
      </c>
      <c r="F1789" s="3" t="s">
        <v>164</v>
      </c>
      <c r="G1789" s="3" t="s">
        <v>165</v>
      </c>
      <c r="H1789" s="3">
        <v>1</v>
      </c>
      <c r="I1789" s="7">
        <v>2038.95</v>
      </c>
      <c r="J1789" s="9">
        <v>0.15</v>
      </c>
      <c r="K1789" s="7">
        <v>1733.11</v>
      </c>
      <c r="L1789" s="7">
        <v>364.3</v>
      </c>
      <c r="M1789" s="3" t="s">
        <v>59</v>
      </c>
      <c r="N1789" s="3" t="str">
        <f t="shared" si="108"/>
        <v>2025-05</v>
      </c>
      <c r="O1789" s="3" t="str">
        <f t="shared" si="109"/>
        <v>11-15%</v>
      </c>
      <c r="P1789" s="9">
        <f t="shared" si="110"/>
        <v>0.210200160405283</v>
      </c>
      <c r="Q1789" s="3" t="str">
        <f t="shared" si="111"/>
        <v>No</v>
      </c>
    </row>
    <row r="1790" spans="1:17" ht="21" customHeight="1">
      <c r="A1790" s="3" t="s">
        <v>2478</v>
      </c>
      <c r="B1790" s="5">
        <v>45782</v>
      </c>
      <c r="C1790" s="3" t="s">
        <v>775</v>
      </c>
      <c r="D1790" s="3" t="s">
        <v>46</v>
      </c>
      <c r="E1790" s="3" t="s">
        <v>42</v>
      </c>
      <c r="F1790" s="3" t="s">
        <v>126</v>
      </c>
      <c r="G1790" s="3" t="s">
        <v>127</v>
      </c>
      <c r="H1790" s="3">
        <v>1</v>
      </c>
      <c r="I1790" s="7">
        <v>1030.32</v>
      </c>
      <c r="J1790" s="9">
        <v>0.1</v>
      </c>
      <c r="K1790" s="7">
        <v>927.29</v>
      </c>
      <c r="L1790" s="7">
        <v>379.27</v>
      </c>
      <c r="M1790" s="3" t="s">
        <v>57</v>
      </c>
      <c r="N1790" s="3" t="str">
        <f t="shared" si="108"/>
        <v>2025-05</v>
      </c>
      <c r="O1790" s="3" t="str">
        <f t="shared" si="109"/>
        <v>1-10%</v>
      </c>
      <c r="P1790" s="9">
        <f t="shared" si="110"/>
        <v>0.40900904787067693</v>
      </c>
      <c r="Q1790" s="3" t="str">
        <f t="shared" si="111"/>
        <v>No</v>
      </c>
    </row>
    <row r="1791" spans="1:17" ht="21" customHeight="1">
      <c r="A1791" s="3" t="s">
        <v>2479</v>
      </c>
      <c r="B1791" s="5">
        <v>45782</v>
      </c>
      <c r="C1791" s="3" t="s">
        <v>1243</v>
      </c>
      <c r="D1791" s="3" t="s">
        <v>44</v>
      </c>
      <c r="E1791" s="3" t="s">
        <v>38</v>
      </c>
      <c r="F1791" s="3" t="s">
        <v>94</v>
      </c>
      <c r="G1791" s="3" t="s">
        <v>95</v>
      </c>
      <c r="H1791" s="3">
        <v>1</v>
      </c>
      <c r="I1791" s="7">
        <v>76074.23</v>
      </c>
      <c r="J1791" s="9">
        <v>0.4</v>
      </c>
      <c r="K1791" s="7">
        <v>45644.54</v>
      </c>
      <c r="L1791" s="7">
        <v>-11377.37</v>
      </c>
      <c r="M1791" s="3" t="s">
        <v>56</v>
      </c>
      <c r="N1791" s="3" t="str">
        <f t="shared" si="108"/>
        <v>2025-05</v>
      </c>
      <c r="O1791" s="3" t="str">
        <f t="shared" si="109"/>
        <v>21%+</v>
      </c>
      <c r="P1791" s="9">
        <f t="shared" si="110"/>
        <v>-0.24926026201600457</v>
      </c>
      <c r="Q1791" s="3" t="str">
        <f t="shared" si="111"/>
        <v>Yes</v>
      </c>
    </row>
    <row r="1792" spans="1:17" ht="21" customHeight="1">
      <c r="A1792" s="3" t="s">
        <v>2480</v>
      </c>
      <c r="B1792" s="5">
        <v>45782</v>
      </c>
      <c r="C1792" s="3" t="s">
        <v>1885</v>
      </c>
      <c r="D1792" s="3" t="s">
        <v>44</v>
      </c>
      <c r="E1792" s="3" t="s">
        <v>38</v>
      </c>
      <c r="F1792" s="3" t="s">
        <v>142</v>
      </c>
      <c r="G1792" s="3" t="s">
        <v>245</v>
      </c>
      <c r="H1792" s="3">
        <v>2</v>
      </c>
      <c r="I1792" s="7">
        <v>5050.72</v>
      </c>
      <c r="J1792" s="9">
        <v>0</v>
      </c>
      <c r="K1792" s="7">
        <v>10101.44</v>
      </c>
      <c r="L1792" s="7">
        <v>1763.7</v>
      </c>
      <c r="M1792" s="3" t="s">
        <v>56</v>
      </c>
      <c r="N1792" s="3" t="str">
        <f t="shared" si="108"/>
        <v>2025-05</v>
      </c>
      <c r="O1792" s="3" t="str">
        <f t="shared" si="109"/>
        <v>No discount</v>
      </c>
      <c r="P1792" s="9">
        <f t="shared" si="110"/>
        <v>0.17459886907213229</v>
      </c>
      <c r="Q1792" s="3" t="str">
        <f t="shared" si="111"/>
        <v>No</v>
      </c>
    </row>
    <row r="1793" spans="1:17" ht="21" customHeight="1">
      <c r="A1793" s="3" t="s">
        <v>2481</v>
      </c>
      <c r="B1793" s="5">
        <v>45783</v>
      </c>
      <c r="C1793" s="3" t="s">
        <v>135</v>
      </c>
      <c r="D1793" s="3" t="s">
        <v>44</v>
      </c>
      <c r="E1793" s="3" t="s">
        <v>39</v>
      </c>
      <c r="F1793" s="3" t="s">
        <v>164</v>
      </c>
      <c r="G1793" s="3" t="s">
        <v>165</v>
      </c>
      <c r="H1793" s="3">
        <v>1</v>
      </c>
      <c r="I1793" s="7">
        <v>1997.19</v>
      </c>
      <c r="J1793" s="9">
        <v>0.1</v>
      </c>
      <c r="K1793" s="7">
        <v>1797.47</v>
      </c>
      <c r="L1793" s="7">
        <v>484.17</v>
      </c>
      <c r="M1793" s="3" t="s">
        <v>56</v>
      </c>
      <c r="N1793" s="3" t="str">
        <f t="shared" si="108"/>
        <v>2025-05</v>
      </c>
      <c r="O1793" s="3" t="str">
        <f t="shared" si="109"/>
        <v>1-10%</v>
      </c>
      <c r="P1793" s="9">
        <f t="shared" si="110"/>
        <v>0.26936193649963558</v>
      </c>
      <c r="Q1793" s="3" t="str">
        <f t="shared" si="111"/>
        <v>No</v>
      </c>
    </row>
    <row r="1794" spans="1:17" ht="21" customHeight="1">
      <c r="A1794" s="3" t="s">
        <v>2482</v>
      </c>
      <c r="B1794" s="5">
        <v>45783</v>
      </c>
      <c r="C1794" s="3" t="s">
        <v>628</v>
      </c>
      <c r="D1794" s="3" t="s">
        <v>44</v>
      </c>
      <c r="E1794" s="3" t="s">
        <v>40</v>
      </c>
      <c r="F1794" s="3" t="s">
        <v>160</v>
      </c>
      <c r="G1794" s="3" t="s">
        <v>161</v>
      </c>
      <c r="H1794" s="3">
        <v>1</v>
      </c>
      <c r="I1794" s="7">
        <v>13182.82</v>
      </c>
      <c r="J1794" s="9">
        <v>0</v>
      </c>
      <c r="K1794" s="7">
        <v>13182.82</v>
      </c>
      <c r="L1794" s="7">
        <v>4781.12</v>
      </c>
      <c r="M1794" s="3" t="s">
        <v>57</v>
      </c>
      <c r="N1794" s="3" t="str">
        <f t="shared" ref="N1794:N1857" si="112">TEXT(B1794,"yyyy-mm")</f>
        <v>2025-05</v>
      </c>
      <c r="O1794" s="3" t="str">
        <f t="shared" ref="O1794:O1857" si="113">IF(J1794=0,"No discount",IF(J1794&lt;=0.1,"1-10%",IF(J1794&lt;=0.15,"11-15%",IF(J1794&lt;=0.2,"16-20%","21%+"))))</f>
        <v>No discount</v>
      </c>
      <c r="P1794" s="9">
        <f t="shared" ref="P1794:P1857" si="114">IF(K1794=0,0,L1794/K1794)</f>
        <v>0.36267809163744935</v>
      </c>
      <c r="Q1794" s="3" t="str">
        <f t="shared" ref="Q1794:Q1857" si="115">IF(L1794&lt;0,"Yes","No")</f>
        <v>No</v>
      </c>
    </row>
    <row r="1795" spans="1:17" ht="21" customHeight="1">
      <c r="A1795" s="3" t="s">
        <v>2483</v>
      </c>
      <c r="B1795" s="5">
        <v>45783</v>
      </c>
      <c r="C1795" s="3" t="s">
        <v>2484</v>
      </c>
      <c r="D1795" s="3" t="s">
        <v>44</v>
      </c>
      <c r="E1795" s="3" t="s">
        <v>39</v>
      </c>
      <c r="F1795" s="3" t="s">
        <v>164</v>
      </c>
      <c r="G1795" s="3" t="s">
        <v>165</v>
      </c>
      <c r="H1795" s="3">
        <v>1</v>
      </c>
      <c r="I1795" s="7">
        <v>1937.55</v>
      </c>
      <c r="J1795" s="9">
        <v>0</v>
      </c>
      <c r="K1795" s="7">
        <v>1937.55</v>
      </c>
      <c r="L1795" s="7">
        <v>749.83</v>
      </c>
      <c r="M1795" s="3" t="s">
        <v>57</v>
      </c>
      <c r="N1795" s="3" t="str">
        <f t="shared" si="112"/>
        <v>2025-05</v>
      </c>
      <c r="O1795" s="3" t="str">
        <f t="shared" si="113"/>
        <v>No discount</v>
      </c>
      <c r="P1795" s="9">
        <f t="shared" si="114"/>
        <v>0.3869990451859307</v>
      </c>
      <c r="Q1795" s="3" t="str">
        <f t="shared" si="115"/>
        <v>No</v>
      </c>
    </row>
    <row r="1796" spans="1:17" ht="21" customHeight="1">
      <c r="A1796" s="3" t="s">
        <v>2485</v>
      </c>
      <c r="B1796" s="5">
        <v>45784</v>
      </c>
      <c r="C1796" s="3" t="s">
        <v>539</v>
      </c>
      <c r="D1796" s="3" t="s">
        <v>45</v>
      </c>
      <c r="E1796" s="3" t="s">
        <v>39</v>
      </c>
      <c r="F1796" s="3" t="s">
        <v>130</v>
      </c>
      <c r="G1796" s="3" t="s">
        <v>131</v>
      </c>
      <c r="H1796" s="3">
        <v>1</v>
      </c>
      <c r="I1796" s="7">
        <v>2128.6</v>
      </c>
      <c r="J1796" s="9">
        <v>0.05</v>
      </c>
      <c r="K1796" s="7">
        <v>2022.17</v>
      </c>
      <c r="L1796" s="7">
        <v>676.54</v>
      </c>
      <c r="M1796" s="3" t="s">
        <v>57</v>
      </c>
      <c r="N1796" s="3" t="str">
        <f t="shared" si="112"/>
        <v>2025-05</v>
      </c>
      <c r="O1796" s="3" t="str">
        <f t="shared" si="113"/>
        <v>1-10%</v>
      </c>
      <c r="P1796" s="9">
        <f t="shared" si="114"/>
        <v>0.33456138702482974</v>
      </c>
      <c r="Q1796" s="3" t="str">
        <f t="shared" si="115"/>
        <v>No</v>
      </c>
    </row>
    <row r="1797" spans="1:17" ht="21" customHeight="1">
      <c r="A1797" s="3" t="s">
        <v>2486</v>
      </c>
      <c r="B1797" s="5">
        <v>45784</v>
      </c>
      <c r="C1797" s="3" t="s">
        <v>2291</v>
      </c>
      <c r="D1797" s="3" t="s">
        <v>44</v>
      </c>
      <c r="E1797" s="3" t="s">
        <v>40</v>
      </c>
      <c r="F1797" s="3" t="s">
        <v>160</v>
      </c>
      <c r="G1797" s="3" t="s">
        <v>173</v>
      </c>
      <c r="H1797" s="3">
        <v>1</v>
      </c>
      <c r="I1797" s="7">
        <v>8604.08</v>
      </c>
      <c r="J1797" s="9">
        <v>0.05</v>
      </c>
      <c r="K1797" s="7">
        <v>8173.88</v>
      </c>
      <c r="L1797" s="7">
        <v>2227.41</v>
      </c>
      <c r="M1797" s="3" t="s">
        <v>56</v>
      </c>
      <c r="N1797" s="3" t="str">
        <f t="shared" si="112"/>
        <v>2025-05</v>
      </c>
      <c r="O1797" s="3" t="str">
        <f t="shared" si="113"/>
        <v>1-10%</v>
      </c>
      <c r="P1797" s="9">
        <f t="shared" si="114"/>
        <v>0.27250338884348679</v>
      </c>
      <c r="Q1797" s="3" t="str">
        <f t="shared" si="115"/>
        <v>No</v>
      </c>
    </row>
    <row r="1798" spans="1:17" ht="21" customHeight="1">
      <c r="A1798" s="3" t="s">
        <v>2487</v>
      </c>
      <c r="B1798" s="5">
        <v>45785</v>
      </c>
      <c r="C1798" s="3" t="s">
        <v>97</v>
      </c>
      <c r="D1798" s="3" t="s">
        <v>44</v>
      </c>
      <c r="E1798" s="3" t="s">
        <v>42</v>
      </c>
      <c r="F1798" s="3" t="s">
        <v>90</v>
      </c>
      <c r="G1798" s="3" t="s">
        <v>91</v>
      </c>
      <c r="H1798" s="3">
        <v>1</v>
      </c>
      <c r="I1798" s="7">
        <v>1226.31</v>
      </c>
      <c r="J1798" s="9">
        <v>0.05</v>
      </c>
      <c r="K1798" s="7">
        <v>1164.99</v>
      </c>
      <c r="L1798" s="7">
        <v>602.86</v>
      </c>
      <c r="M1798" s="3" t="s">
        <v>56</v>
      </c>
      <c r="N1798" s="3" t="str">
        <f t="shared" si="112"/>
        <v>2025-05</v>
      </c>
      <c r="O1798" s="3" t="str">
        <f t="shared" si="113"/>
        <v>1-10%</v>
      </c>
      <c r="P1798" s="9">
        <f t="shared" si="114"/>
        <v>0.51748083674537981</v>
      </c>
      <c r="Q1798" s="3" t="str">
        <f t="shared" si="115"/>
        <v>No</v>
      </c>
    </row>
    <row r="1799" spans="1:17" ht="21" customHeight="1">
      <c r="A1799" s="3" t="s">
        <v>2488</v>
      </c>
      <c r="B1799" s="5">
        <v>45785</v>
      </c>
      <c r="C1799" s="3" t="s">
        <v>89</v>
      </c>
      <c r="D1799" s="3" t="s">
        <v>45</v>
      </c>
      <c r="E1799" s="3" t="s">
        <v>39</v>
      </c>
      <c r="F1799" s="3" t="s">
        <v>130</v>
      </c>
      <c r="G1799" s="3" t="s">
        <v>131</v>
      </c>
      <c r="H1799" s="3">
        <v>1</v>
      </c>
      <c r="I1799" s="7">
        <v>2176.62</v>
      </c>
      <c r="J1799" s="9">
        <v>0.3</v>
      </c>
      <c r="K1799" s="7">
        <v>1523.63</v>
      </c>
      <c r="L1799" s="7">
        <v>73.78</v>
      </c>
      <c r="M1799" s="3" t="s">
        <v>57</v>
      </c>
      <c r="N1799" s="3" t="str">
        <f t="shared" si="112"/>
        <v>2025-05</v>
      </c>
      <c r="O1799" s="3" t="str">
        <f t="shared" si="113"/>
        <v>21%+</v>
      </c>
      <c r="P1799" s="9">
        <f t="shared" si="114"/>
        <v>4.8423829932463913E-2</v>
      </c>
      <c r="Q1799" s="3" t="str">
        <f t="shared" si="115"/>
        <v>No</v>
      </c>
    </row>
    <row r="1800" spans="1:17" ht="21" customHeight="1">
      <c r="A1800" s="3" t="s">
        <v>2489</v>
      </c>
      <c r="B1800" s="5">
        <v>45785</v>
      </c>
      <c r="C1800" s="3" t="s">
        <v>680</v>
      </c>
      <c r="D1800" s="3" t="s">
        <v>47</v>
      </c>
      <c r="E1800" s="3" t="s">
        <v>42</v>
      </c>
      <c r="F1800" s="3" t="s">
        <v>90</v>
      </c>
      <c r="G1800" s="3" t="s">
        <v>106</v>
      </c>
      <c r="H1800" s="3">
        <v>1</v>
      </c>
      <c r="I1800" s="7">
        <v>928.88</v>
      </c>
      <c r="J1800" s="9">
        <v>0</v>
      </c>
      <c r="K1800" s="7">
        <v>928.88</v>
      </c>
      <c r="L1800" s="7">
        <v>547.76</v>
      </c>
      <c r="M1800" s="3" t="s">
        <v>57</v>
      </c>
      <c r="N1800" s="3" t="str">
        <f t="shared" si="112"/>
        <v>2025-05</v>
      </c>
      <c r="O1800" s="3" t="str">
        <f t="shared" si="113"/>
        <v>No discount</v>
      </c>
      <c r="P1800" s="9">
        <f t="shared" si="114"/>
        <v>0.58969942296098532</v>
      </c>
      <c r="Q1800" s="3" t="str">
        <f t="shared" si="115"/>
        <v>No</v>
      </c>
    </row>
    <row r="1801" spans="1:17" ht="21" customHeight="1">
      <c r="A1801" s="3" t="s">
        <v>2490</v>
      </c>
      <c r="B1801" s="5">
        <v>45786</v>
      </c>
      <c r="C1801" s="3" t="s">
        <v>707</v>
      </c>
      <c r="D1801" s="3" t="s">
        <v>46</v>
      </c>
      <c r="E1801" s="3" t="s">
        <v>38</v>
      </c>
      <c r="F1801" s="3" t="s">
        <v>142</v>
      </c>
      <c r="G1801" s="3" t="s">
        <v>245</v>
      </c>
      <c r="H1801" s="3">
        <v>1</v>
      </c>
      <c r="I1801" s="7">
        <v>4935.6099999999997</v>
      </c>
      <c r="J1801" s="9">
        <v>0.05</v>
      </c>
      <c r="K1801" s="7">
        <v>4688.83</v>
      </c>
      <c r="L1801" s="7">
        <v>618.58000000000004</v>
      </c>
      <c r="M1801" s="3" t="s">
        <v>57</v>
      </c>
      <c r="N1801" s="3" t="str">
        <f t="shared" si="112"/>
        <v>2025-05</v>
      </c>
      <c r="O1801" s="3" t="str">
        <f t="shared" si="113"/>
        <v>1-10%</v>
      </c>
      <c r="P1801" s="9">
        <f t="shared" si="114"/>
        <v>0.13192630144407028</v>
      </c>
      <c r="Q1801" s="3" t="str">
        <f t="shared" si="115"/>
        <v>No</v>
      </c>
    </row>
    <row r="1802" spans="1:17" ht="21" customHeight="1">
      <c r="A1802" s="3" t="s">
        <v>2491</v>
      </c>
      <c r="B1802" s="5">
        <v>45786</v>
      </c>
      <c r="C1802" s="3" t="s">
        <v>1060</v>
      </c>
      <c r="D1802" s="3" t="s">
        <v>44</v>
      </c>
      <c r="E1802" s="3" t="s">
        <v>41</v>
      </c>
      <c r="F1802" s="3" t="s">
        <v>119</v>
      </c>
      <c r="G1802" s="3" t="s">
        <v>168</v>
      </c>
      <c r="H1802" s="3">
        <v>1</v>
      </c>
      <c r="I1802" s="7">
        <v>9925.08</v>
      </c>
      <c r="J1802" s="9">
        <v>0</v>
      </c>
      <c r="K1802" s="7">
        <v>9925.08</v>
      </c>
      <c r="L1802" s="7">
        <v>3839.31</v>
      </c>
      <c r="M1802" s="3" t="s">
        <v>57</v>
      </c>
      <c r="N1802" s="3" t="str">
        <f t="shared" si="112"/>
        <v>2025-05</v>
      </c>
      <c r="O1802" s="3" t="str">
        <f t="shared" si="113"/>
        <v>No discount</v>
      </c>
      <c r="P1802" s="9">
        <f t="shared" si="114"/>
        <v>0.38682912379547568</v>
      </c>
      <c r="Q1802" s="3" t="str">
        <f t="shared" si="115"/>
        <v>No</v>
      </c>
    </row>
    <row r="1803" spans="1:17" ht="21" customHeight="1">
      <c r="A1803" s="3" t="s">
        <v>2492</v>
      </c>
      <c r="B1803" s="5">
        <v>45786</v>
      </c>
      <c r="C1803" s="3" t="s">
        <v>2077</v>
      </c>
      <c r="D1803" s="3" t="s">
        <v>45</v>
      </c>
      <c r="E1803" s="3" t="s">
        <v>38</v>
      </c>
      <c r="F1803" s="3" t="s">
        <v>98</v>
      </c>
      <c r="G1803" s="3" t="s">
        <v>362</v>
      </c>
      <c r="H1803" s="3">
        <v>2</v>
      </c>
      <c r="I1803" s="7">
        <v>33961.31</v>
      </c>
      <c r="J1803" s="9">
        <v>0.1</v>
      </c>
      <c r="K1803" s="7">
        <v>61130.36</v>
      </c>
      <c r="L1803" s="7">
        <v>5059.12</v>
      </c>
      <c r="M1803" s="3" t="s">
        <v>57</v>
      </c>
      <c r="N1803" s="3" t="str">
        <f t="shared" si="112"/>
        <v>2025-05</v>
      </c>
      <c r="O1803" s="3" t="str">
        <f t="shared" si="113"/>
        <v>1-10%</v>
      </c>
      <c r="P1803" s="9">
        <f t="shared" si="114"/>
        <v>8.275953225205937E-2</v>
      </c>
      <c r="Q1803" s="3" t="str">
        <f t="shared" si="115"/>
        <v>No</v>
      </c>
    </row>
    <row r="1804" spans="1:17" ht="21" customHeight="1">
      <c r="A1804" s="3" t="s">
        <v>2493</v>
      </c>
      <c r="B1804" s="5">
        <v>45786</v>
      </c>
      <c r="C1804" s="3" t="s">
        <v>1160</v>
      </c>
      <c r="D1804" s="3" t="s">
        <v>44</v>
      </c>
      <c r="E1804" s="3" t="s">
        <v>39</v>
      </c>
      <c r="F1804" s="3" t="s">
        <v>130</v>
      </c>
      <c r="G1804" s="3" t="s">
        <v>193</v>
      </c>
      <c r="H1804" s="3">
        <v>1</v>
      </c>
      <c r="I1804" s="7">
        <v>1794.28</v>
      </c>
      <c r="J1804" s="9">
        <v>0.15</v>
      </c>
      <c r="K1804" s="7">
        <v>1525.14</v>
      </c>
      <c r="L1804" s="7">
        <v>343.72</v>
      </c>
      <c r="M1804" s="3" t="s">
        <v>56</v>
      </c>
      <c r="N1804" s="3" t="str">
        <f t="shared" si="112"/>
        <v>2025-05</v>
      </c>
      <c r="O1804" s="3" t="str">
        <f t="shared" si="113"/>
        <v>11-15%</v>
      </c>
      <c r="P1804" s="9">
        <f t="shared" si="114"/>
        <v>0.22536947427777124</v>
      </c>
      <c r="Q1804" s="3" t="str">
        <f t="shared" si="115"/>
        <v>No</v>
      </c>
    </row>
    <row r="1805" spans="1:17" ht="21" customHeight="1">
      <c r="A1805" s="3" t="s">
        <v>2494</v>
      </c>
      <c r="B1805" s="5">
        <v>45787</v>
      </c>
      <c r="C1805" s="3" t="s">
        <v>240</v>
      </c>
      <c r="D1805" s="3" t="s">
        <v>45</v>
      </c>
      <c r="E1805" s="3" t="s">
        <v>42</v>
      </c>
      <c r="F1805" s="3" t="s">
        <v>126</v>
      </c>
      <c r="G1805" s="3" t="s">
        <v>151</v>
      </c>
      <c r="H1805" s="3">
        <v>1</v>
      </c>
      <c r="I1805" s="7">
        <v>1548.13</v>
      </c>
      <c r="J1805" s="9">
        <v>0.05</v>
      </c>
      <c r="K1805" s="7">
        <v>1470.72</v>
      </c>
      <c r="L1805" s="7">
        <v>700.93</v>
      </c>
      <c r="M1805" s="3" t="s">
        <v>57</v>
      </c>
      <c r="N1805" s="3" t="str">
        <f t="shared" si="112"/>
        <v>2025-05</v>
      </c>
      <c r="O1805" s="3" t="str">
        <f t="shared" si="113"/>
        <v>1-10%</v>
      </c>
      <c r="P1805" s="9">
        <f t="shared" si="114"/>
        <v>0.47658969756309832</v>
      </c>
      <c r="Q1805" s="3" t="str">
        <f t="shared" si="115"/>
        <v>No</v>
      </c>
    </row>
    <row r="1806" spans="1:17" ht="21" customHeight="1">
      <c r="A1806" s="3" t="s">
        <v>2495</v>
      </c>
      <c r="B1806" s="5">
        <v>45787</v>
      </c>
      <c r="C1806" s="3" t="s">
        <v>1046</v>
      </c>
      <c r="D1806" s="3" t="s">
        <v>45</v>
      </c>
      <c r="E1806" s="3" t="s">
        <v>41</v>
      </c>
      <c r="F1806" s="3" t="s">
        <v>119</v>
      </c>
      <c r="G1806" s="3" t="s">
        <v>120</v>
      </c>
      <c r="H1806" s="3">
        <v>4</v>
      </c>
      <c r="I1806" s="7">
        <v>1275.73</v>
      </c>
      <c r="J1806" s="9">
        <v>0.05</v>
      </c>
      <c r="K1806" s="7">
        <v>4847.7700000000004</v>
      </c>
      <c r="L1806" s="7">
        <v>1659.13</v>
      </c>
      <c r="M1806" s="3" t="s">
        <v>57</v>
      </c>
      <c r="N1806" s="3" t="str">
        <f t="shared" si="112"/>
        <v>2025-05</v>
      </c>
      <c r="O1806" s="3" t="str">
        <f t="shared" si="113"/>
        <v>1-10%</v>
      </c>
      <c r="P1806" s="9">
        <f t="shared" si="114"/>
        <v>0.34224602239792729</v>
      </c>
      <c r="Q1806" s="3" t="str">
        <f t="shared" si="115"/>
        <v>No</v>
      </c>
    </row>
    <row r="1807" spans="1:17" ht="21" customHeight="1">
      <c r="A1807" s="3" t="s">
        <v>2496</v>
      </c>
      <c r="B1807" s="5">
        <v>45787</v>
      </c>
      <c r="C1807" s="3" t="s">
        <v>459</v>
      </c>
      <c r="D1807" s="3" t="s">
        <v>46</v>
      </c>
      <c r="E1807" s="3" t="s">
        <v>38</v>
      </c>
      <c r="F1807" s="3" t="s">
        <v>98</v>
      </c>
      <c r="G1807" s="3" t="s">
        <v>362</v>
      </c>
      <c r="H1807" s="3">
        <v>4</v>
      </c>
      <c r="I1807" s="7">
        <v>34546.42</v>
      </c>
      <c r="J1807" s="9">
        <v>0.05</v>
      </c>
      <c r="K1807" s="7">
        <v>131276.4</v>
      </c>
      <c r="L1807" s="7">
        <v>12211.61</v>
      </c>
      <c r="M1807" s="3" t="s">
        <v>56</v>
      </c>
      <c r="N1807" s="3" t="str">
        <f t="shared" si="112"/>
        <v>2025-05</v>
      </c>
      <c r="O1807" s="3" t="str">
        <f t="shared" si="113"/>
        <v>1-10%</v>
      </c>
      <c r="P1807" s="9">
        <f t="shared" si="114"/>
        <v>9.3022127358763654E-2</v>
      </c>
      <c r="Q1807" s="3" t="str">
        <f t="shared" si="115"/>
        <v>No</v>
      </c>
    </row>
    <row r="1808" spans="1:17" ht="21" customHeight="1">
      <c r="A1808" s="3" t="s">
        <v>2497</v>
      </c>
      <c r="B1808" s="5">
        <v>45787</v>
      </c>
      <c r="C1808" s="3" t="s">
        <v>853</v>
      </c>
      <c r="D1808" s="3" t="s">
        <v>46</v>
      </c>
      <c r="E1808" s="3" t="s">
        <v>39</v>
      </c>
      <c r="F1808" s="3" t="s">
        <v>164</v>
      </c>
      <c r="G1808" s="3" t="s">
        <v>165</v>
      </c>
      <c r="H1808" s="3">
        <v>1</v>
      </c>
      <c r="I1808" s="7">
        <v>2056.34</v>
      </c>
      <c r="J1808" s="9">
        <v>0.2</v>
      </c>
      <c r="K1808" s="7">
        <v>1645.07</v>
      </c>
      <c r="L1808" s="7">
        <v>305.02</v>
      </c>
      <c r="M1808" s="3" t="s">
        <v>57</v>
      </c>
      <c r="N1808" s="3" t="str">
        <f t="shared" si="112"/>
        <v>2025-05</v>
      </c>
      <c r="O1808" s="3" t="str">
        <f t="shared" si="113"/>
        <v>16-20%</v>
      </c>
      <c r="P1808" s="9">
        <f t="shared" si="114"/>
        <v>0.18541460241813418</v>
      </c>
      <c r="Q1808" s="3" t="str">
        <f t="shared" si="115"/>
        <v>No</v>
      </c>
    </row>
    <row r="1809" spans="1:17" ht="21" customHeight="1">
      <c r="A1809" s="3" t="s">
        <v>2498</v>
      </c>
      <c r="B1809" s="5">
        <v>45788</v>
      </c>
      <c r="C1809" s="3" t="s">
        <v>795</v>
      </c>
      <c r="D1809" s="3" t="s">
        <v>47</v>
      </c>
      <c r="E1809" s="3" t="s">
        <v>42</v>
      </c>
      <c r="F1809" s="3" t="s">
        <v>126</v>
      </c>
      <c r="G1809" s="3" t="s">
        <v>151</v>
      </c>
      <c r="H1809" s="3">
        <v>2</v>
      </c>
      <c r="I1809" s="7">
        <v>1454.56</v>
      </c>
      <c r="J1809" s="9">
        <v>0.15</v>
      </c>
      <c r="K1809" s="7">
        <v>2472.75</v>
      </c>
      <c r="L1809" s="7">
        <v>943.2</v>
      </c>
      <c r="M1809" s="3" t="s">
        <v>57</v>
      </c>
      <c r="N1809" s="3" t="str">
        <f t="shared" si="112"/>
        <v>2025-05</v>
      </c>
      <c r="O1809" s="3" t="str">
        <f t="shared" si="113"/>
        <v>11-15%</v>
      </c>
      <c r="P1809" s="9">
        <f t="shared" si="114"/>
        <v>0.38143767060964517</v>
      </c>
      <c r="Q1809" s="3" t="str">
        <f t="shared" si="115"/>
        <v>No</v>
      </c>
    </row>
    <row r="1810" spans="1:17" ht="21" customHeight="1">
      <c r="A1810" s="3" t="s">
        <v>2499</v>
      </c>
      <c r="B1810" s="5">
        <v>45788</v>
      </c>
      <c r="C1810" s="3" t="s">
        <v>1713</v>
      </c>
      <c r="D1810" s="3" t="s">
        <v>45</v>
      </c>
      <c r="E1810" s="3" t="s">
        <v>40</v>
      </c>
      <c r="F1810" s="3" t="s">
        <v>221</v>
      </c>
      <c r="G1810" s="3" t="s">
        <v>222</v>
      </c>
      <c r="H1810" s="3">
        <v>1</v>
      </c>
      <c r="I1810" s="7">
        <v>1031.3</v>
      </c>
      <c r="J1810" s="9">
        <v>0.1</v>
      </c>
      <c r="K1810" s="7">
        <v>928.17</v>
      </c>
      <c r="L1810" s="7">
        <v>163.38999999999999</v>
      </c>
      <c r="M1810" s="3" t="s">
        <v>56</v>
      </c>
      <c r="N1810" s="3" t="str">
        <f t="shared" si="112"/>
        <v>2025-05</v>
      </c>
      <c r="O1810" s="3" t="str">
        <f t="shared" si="113"/>
        <v>1-10%</v>
      </c>
      <c r="P1810" s="9">
        <f t="shared" si="114"/>
        <v>0.17603456263400022</v>
      </c>
      <c r="Q1810" s="3" t="str">
        <f t="shared" si="115"/>
        <v>No</v>
      </c>
    </row>
    <row r="1811" spans="1:17" ht="21" customHeight="1">
      <c r="A1811" s="3" t="s">
        <v>2500</v>
      </c>
      <c r="B1811" s="5">
        <v>45789</v>
      </c>
      <c r="C1811" s="3" t="s">
        <v>1744</v>
      </c>
      <c r="D1811" s="3" t="s">
        <v>45</v>
      </c>
      <c r="E1811" s="3" t="s">
        <v>40</v>
      </c>
      <c r="F1811" s="3" t="s">
        <v>221</v>
      </c>
      <c r="G1811" s="3" t="s">
        <v>222</v>
      </c>
      <c r="H1811" s="3">
        <v>1</v>
      </c>
      <c r="I1811" s="7">
        <v>1028.96</v>
      </c>
      <c r="J1811" s="9">
        <v>0.15</v>
      </c>
      <c r="K1811" s="7">
        <v>874.62</v>
      </c>
      <c r="L1811" s="7">
        <v>165.59</v>
      </c>
      <c r="M1811" s="3" t="s">
        <v>56</v>
      </c>
      <c r="N1811" s="3" t="str">
        <f t="shared" si="112"/>
        <v>2025-05</v>
      </c>
      <c r="O1811" s="3" t="str">
        <f t="shared" si="113"/>
        <v>11-15%</v>
      </c>
      <c r="P1811" s="9">
        <f t="shared" si="114"/>
        <v>0.18932793670393999</v>
      </c>
      <c r="Q1811" s="3" t="str">
        <f t="shared" si="115"/>
        <v>No</v>
      </c>
    </row>
    <row r="1812" spans="1:17" ht="21" customHeight="1">
      <c r="A1812" s="3" t="s">
        <v>2501</v>
      </c>
      <c r="B1812" s="5">
        <v>45789</v>
      </c>
      <c r="C1812" s="3" t="s">
        <v>1004</v>
      </c>
      <c r="D1812" s="3" t="s">
        <v>45</v>
      </c>
      <c r="E1812" s="3" t="s">
        <v>38</v>
      </c>
      <c r="F1812" s="3" t="s">
        <v>142</v>
      </c>
      <c r="G1812" s="3" t="s">
        <v>143</v>
      </c>
      <c r="H1812" s="3">
        <v>5</v>
      </c>
      <c r="I1812" s="7">
        <v>9089.2000000000007</v>
      </c>
      <c r="J1812" s="9">
        <v>0.15</v>
      </c>
      <c r="K1812" s="7">
        <v>38629.1</v>
      </c>
      <c r="L1812" s="7">
        <v>184.2</v>
      </c>
      <c r="M1812" s="3" t="s">
        <v>58</v>
      </c>
      <c r="N1812" s="3" t="str">
        <f t="shared" si="112"/>
        <v>2025-05</v>
      </c>
      <c r="O1812" s="3" t="str">
        <f t="shared" si="113"/>
        <v>11-15%</v>
      </c>
      <c r="P1812" s="9">
        <f t="shared" si="114"/>
        <v>4.7684258758293619E-3</v>
      </c>
      <c r="Q1812" s="3" t="str">
        <f t="shared" si="115"/>
        <v>No</v>
      </c>
    </row>
    <row r="1813" spans="1:17" ht="21" customHeight="1">
      <c r="A1813" s="3" t="s">
        <v>2502</v>
      </c>
      <c r="B1813" s="5">
        <v>45790</v>
      </c>
      <c r="C1813" s="3" t="s">
        <v>1287</v>
      </c>
      <c r="D1813" s="3" t="s">
        <v>46</v>
      </c>
      <c r="E1813" s="3" t="s">
        <v>38</v>
      </c>
      <c r="F1813" s="3" t="s">
        <v>94</v>
      </c>
      <c r="G1813" s="3" t="s">
        <v>213</v>
      </c>
      <c r="H1813" s="3">
        <v>1</v>
      </c>
      <c r="I1813" s="7">
        <v>53193.58</v>
      </c>
      <c r="J1813" s="9">
        <v>0</v>
      </c>
      <c r="K1813" s="7">
        <v>53193.58</v>
      </c>
      <c r="L1813" s="7">
        <v>9477.48</v>
      </c>
      <c r="M1813" s="3" t="s">
        <v>59</v>
      </c>
      <c r="N1813" s="3" t="str">
        <f t="shared" si="112"/>
        <v>2025-05</v>
      </c>
      <c r="O1813" s="3" t="str">
        <f t="shared" si="113"/>
        <v>No discount</v>
      </c>
      <c r="P1813" s="9">
        <f t="shared" si="114"/>
        <v>0.1781696212212075</v>
      </c>
      <c r="Q1813" s="3" t="str">
        <f t="shared" si="115"/>
        <v>No</v>
      </c>
    </row>
    <row r="1814" spans="1:17" ht="21" customHeight="1">
      <c r="A1814" s="3" t="s">
        <v>2503</v>
      </c>
      <c r="B1814" s="5">
        <v>45790</v>
      </c>
      <c r="C1814" s="3" t="s">
        <v>312</v>
      </c>
      <c r="D1814" s="3" t="s">
        <v>44</v>
      </c>
      <c r="E1814" s="3" t="s">
        <v>40</v>
      </c>
      <c r="F1814" s="3" t="s">
        <v>102</v>
      </c>
      <c r="G1814" s="3" t="s">
        <v>146</v>
      </c>
      <c r="H1814" s="3">
        <v>3</v>
      </c>
      <c r="I1814" s="7">
        <v>7951.09</v>
      </c>
      <c r="J1814" s="9">
        <v>0.1</v>
      </c>
      <c r="K1814" s="7">
        <v>21467.94</v>
      </c>
      <c r="L1814" s="7">
        <v>4227.3999999999996</v>
      </c>
      <c r="M1814" s="3" t="s">
        <v>56</v>
      </c>
      <c r="N1814" s="3" t="str">
        <f t="shared" si="112"/>
        <v>2025-05</v>
      </c>
      <c r="O1814" s="3" t="str">
        <f t="shared" si="113"/>
        <v>1-10%</v>
      </c>
      <c r="P1814" s="9">
        <f t="shared" si="114"/>
        <v>0.19691689095460485</v>
      </c>
      <c r="Q1814" s="3" t="str">
        <f t="shared" si="115"/>
        <v>No</v>
      </c>
    </row>
    <row r="1815" spans="1:17" ht="21" customHeight="1">
      <c r="A1815" s="3" t="s">
        <v>2504</v>
      </c>
      <c r="B1815" s="5">
        <v>45790</v>
      </c>
      <c r="C1815" s="3" t="s">
        <v>307</v>
      </c>
      <c r="D1815" s="3" t="s">
        <v>44</v>
      </c>
      <c r="E1815" s="3" t="s">
        <v>39</v>
      </c>
      <c r="F1815" s="3" t="s">
        <v>109</v>
      </c>
      <c r="G1815" s="3" t="s">
        <v>355</v>
      </c>
      <c r="H1815" s="3">
        <v>2</v>
      </c>
      <c r="I1815" s="7">
        <v>3376.77</v>
      </c>
      <c r="J1815" s="9">
        <v>0.15</v>
      </c>
      <c r="K1815" s="7">
        <v>5740.51</v>
      </c>
      <c r="L1815" s="7">
        <v>1336.5</v>
      </c>
      <c r="M1815" s="3" t="s">
        <v>58</v>
      </c>
      <c r="N1815" s="3" t="str">
        <f t="shared" si="112"/>
        <v>2025-05</v>
      </c>
      <c r="O1815" s="3" t="str">
        <f t="shared" si="113"/>
        <v>11-15%</v>
      </c>
      <c r="P1815" s="9">
        <f t="shared" si="114"/>
        <v>0.23281903524251329</v>
      </c>
      <c r="Q1815" s="3" t="str">
        <f t="shared" si="115"/>
        <v>No</v>
      </c>
    </row>
    <row r="1816" spans="1:17" ht="21" customHeight="1">
      <c r="A1816" s="3" t="s">
        <v>2505</v>
      </c>
      <c r="B1816" s="5">
        <v>45790</v>
      </c>
      <c r="C1816" s="3" t="s">
        <v>896</v>
      </c>
      <c r="D1816" s="3" t="s">
        <v>44</v>
      </c>
      <c r="E1816" s="3" t="s">
        <v>42</v>
      </c>
      <c r="F1816" s="3" t="s">
        <v>126</v>
      </c>
      <c r="G1816" s="3" t="s">
        <v>151</v>
      </c>
      <c r="H1816" s="3">
        <v>2</v>
      </c>
      <c r="I1816" s="7">
        <v>1446.98</v>
      </c>
      <c r="J1816" s="9">
        <v>0.3</v>
      </c>
      <c r="K1816" s="7">
        <v>2025.77</v>
      </c>
      <c r="L1816" s="7">
        <v>464.67</v>
      </c>
      <c r="M1816" s="3" t="s">
        <v>57</v>
      </c>
      <c r="N1816" s="3" t="str">
        <f t="shared" si="112"/>
        <v>2025-05</v>
      </c>
      <c r="O1816" s="3" t="str">
        <f t="shared" si="113"/>
        <v>21%+</v>
      </c>
      <c r="P1816" s="9">
        <f t="shared" si="114"/>
        <v>0.22937944584034714</v>
      </c>
      <c r="Q1816" s="3" t="str">
        <f t="shared" si="115"/>
        <v>No</v>
      </c>
    </row>
    <row r="1817" spans="1:17" ht="21" customHeight="1">
      <c r="A1817" s="3" t="s">
        <v>2506</v>
      </c>
      <c r="B1817" s="5">
        <v>45790</v>
      </c>
      <c r="C1817" s="3" t="s">
        <v>1160</v>
      </c>
      <c r="D1817" s="3" t="s">
        <v>46</v>
      </c>
      <c r="E1817" s="3" t="s">
        <v>40</v>
      </c>
      <c r="F1817" s="3" t="s">
        <v>102</v>
      </c>
      <c r="G1817" s="3" t="s">
        <v>146</v>
      </c>
      <c r="H1817" s="3">
        <v>2</v>
      </c>
      <c r="I1817" s="7">
        <v>7652.01</v>
      </c>
      <c r="J1817" s="9">
        <v>0.05</v>
      </c>
      <c r="K1817" s="7">
        <v>14538.82</v>
      </c>
      <c r="L1817" s="7">
        <v>4086.75</v>
      </c>
      <c r="M1817" s="3" t="s">
        <v>59</v>
      </c>
      <c r="N1817" s="3" t="str">
        <f t="shared" si="112"/>
        <v>2025-05</v>
      </c>
      <c r="O1817" s="3" t="str">
        <f t="shared" si="113"/>
        <v>1-10%</v>
      </c>
      <c r="P1817" s="9">
        <f t="shared" si="114"/>
        <v>0.28109227571426015</v>
      </c>
      <c r="Q1817" s="3" t="str">
        <f t="shared" si="115"/>
        <v>No</v>
      </c>
    </row>
    <row r="1818" spans="1:17" ht="21" customHeight="1">
      <c r="A1818" s="3" t="s">
        <v>2507</v>
      </c>
      <c r="B1818" s="5">
        <v>45790</v>
      </c>
      <c r="C1818" s="3" t="s">
        <v>1459</v>
      </c>
      <c r="D1818" s="3" t="s">
        <v>45</v>
      </c>
      <c r="E1818" s="3" t="s">
        <v>41</v>
      </c>
      <c r="F1818" s="3" t="s">
        <v>113</v>
      </c>
      <c r="G1818" s="3" t="s">
        <v>114</v>
      </c>
      <c r="H1818" s="3">
        <v>1</v>
      </c>
      <c r="I1818" s="7">
        <v>12290.59</v>
      </c>
      <c r="J1818" s="9">
        <v>0</v>
      </c>
      <c r="K1818" s="7">
        <v>12290.59</v>
      </c>
      <c r="L1818" s="7">
        <v>4741.51</v>
      </c>
      <c r="M1818" s="3" t="s">
        <v>57</v>
      </c>
      <c r="N1818" s="3" t="str">
        <f t="shared" si="112"/>
        <v>2025-05</v>
      </c>
      <c r="O1818" s="3" t="str">
        <f t="shared" si="113"/>
        <v>No discount</v>
      </c>
      <c r="P1818" s="9">
        <f t="shared" si="114"/>
        <v>0.38578375814342519</v>
      </c>
      <c r="Q1818" s="3" t="str">
        <f t="shared" si="115"/>
        <v>No</v>
      </c>
    </row>
    <row r="1819" spans="1:17" ht="21" customHeight="1">
      <c r="A1819" s="3" t="s">
        <v>2508</v>
      </c>
      <c r="B1819" s="5">
        <v>45791</v>
      </c>
      <c r="C1819" s="3" t="s">
        <v>289</v>
      </c>
      <c r="D1819" s="3" t="s">
        <v>47</v>
      </c>
      <c r="E1819" s="3" t="s">
        <v>40</v>
      </c>
      <c r="F1819" s="3" t="s">
        <v>221</v>
      </c>
      <c r="G1819" s="3" t="s">
        <v>279</v>
      </c>
      <c r="H1819" s="3">
        <v>1</v>
      </c>
      <c r="I1819" s="7">
        <v>1483.05</v>
      </c>
      <c r="J1819" s="9">
        <v>0.1</v>
      </c>
      <c r="K1819" s="7">
        <v>1334.74</v>
      </c>
      <c r="L1819" s="7">
        <v>332.14</v>
      </c>
      <c r="M1819" s="3" t="s">
        <v>60</v>
      </c>
      <c r="N1819" s="3" t="str">
        <f t="shared" si="112"/>
        <v>2025-05</v>
      </c>
      <c r="O1819" s="3" t="str">
        <f t="shared" si="113"/>
        <v>1-10%</v>
      </c>
      <c r="P1819" s="9">
        <f t="shared" si="114"/>
        <v>0.24884247119289149</v>
      </c>
      <c r="Q1819" s="3" t="str">
        <f t="shared" si="115"/>
        <v>No</v>
      </c>
    </row>
    <row r="1820" spans="1:17" ht="21" customHeight="1">
      <c r="A1820" s="3" t="s">
        <v>2509</v>
      </c>
      <c r="B1820" s="5">
        <v>45791</v>
      </c>
      <c r="C1820" s="3" t="s">
        <v>946</v>
      </c>
      <c r="D1820" s="3" t="s">
        <v>44</v>
      </c>
      <c r="E1820" s="3" t="s">
        <v>40</v>
      </c>
      <c r="F1820" s="3" t="s">
        <v>160</v>
      </c>
      <c r="G1820" s="3" t="s">
        <v>173</v>
      </c>
      <c r="H1820" s="3">
        <v>1</v>
      </c>
      <c r="I1820" s="7">
        <v>8876.01</v>
      </c>
      <c r="J1820" s="9">
        <v>0</v>
      </c>
      <c r="K1820" s="7">
        <v>8876.01</v>
      </c>
      <c r="L1820" s="7">
        <v>2637.4</v>
      </c>
      <c r="M1820" s="3" t="s">
        <v>58</v>
      </c>
      <c r="N1820" s="3" t="str">
        <f t="shared" si="112"/>
        <v>2025-05</v>
      </c>
      <c r="O1820" s="3" t="str">
        <f t="shared" si="113"/>
        <v>No discount</v>
      </c>
      <c r="P1820" s="9">
        <f t="shared" si="114"/>
        <v>0.29713801584270411</v>
      </c>
      <c r="Q1820" s="3" t="str">
        <f t="shared" si="115"/>
        <v>No</v>
      </c>
    </row>
    <row r="1821" spans="1:17" ht="21" customHeight="1">
      <c r="A1821" s="3" t="s">
        <v>2510</v>
      </c>
      <c r="B1821" s="5">
        <v>45791</v>
      </c>
      <c r="C1821" s="3" t="s">
        <v>1146</v>
      </c>
      <c r="D1821" s="3" t="s">
        <v>46</v>
      </c>
      <c r="E1821" s="3" t="s">
        <v>40</v>
      </c>
      <c r="F1821" s="3" t="s">
        <v>160</v>
      </c>
      <c r="G1821" s="3" t="s">
        <v>161</v>
      </c>
      <c r="H1821" s="3">
        <v>1</v>
      </c>
      <c r="I1821" s="7">
        <v>12664.59</v>
      </c>
      <c r="J1821" s="9">
        <v>0.15</v>
      </c>
      <c r="K1821" s="7">
        <v>10764.9</v>
      </c>
      <c r="L1821" s="7">
        <v>1691.15</v>
      </c>
      <c r="M1821" s="3" t="s">
        <v>57</v>
      </c>
      <c r="N1821" s="3" t="str">
        <f t="shared" si="112"/>
        <v>2025-05</v>
      </c>
      <c r="O1821" s="3" t="str">
        <f t="shared" si="113"/>
        <v>11-15%</v>
      </c>
      <c r="P1821" s="9">
        <f t="shared" si="114"/>
        <v>0.15709853319584949</v>
      </c>
      <c r="Q1821" s="3" t="str">
        <f t="shared" si="115"/>
        <v>No</v>
      </c>
    </row>
    <row r="1822" spans="1:17" ht="21" customHeight="1">
      <c r="A1822" s="3" t="s">
        <v>2511</v>
      </c>
      <c r="B1822" s="5">
        <v>45791</v>
      </c>
      <c r="C1822" s="3" t="s">
        <v>906</v>
      </c>
      <c r="D1822" s="3" t="s">
        <v>46</v>
      </c>
      <c r="E1822" s="3" t="s">
        <v>42</v>
      </c>
      <c r="F1822" s="3" t="s">
        <v>126</v>
      </c>
      <c r="G1822" s="3" t="s">
        <v>151</v>
      </c>
      <c r="H1822" s="3">
        <v>1</v>
      </c>
      <c r="I1822" s="7">
        <v>1560.14</v>
      </c>
      <c r="J1822" s="9">
        <v>0</v>
      </c>
      <c r="K1822" s="7">
        <v>1560.14</v>
      </c>
      <c r="L1822" s="7">
        <v>908</v>
      </c>
      <c r="M1822" s="3" t="s">
        <v>58</v>
      </c>
      <c r="N1822" s="3" t="str">
        <f t="shared" si="112"/>
        <v>2025-05</v>
      </c>
      <c r="O1822" s="3" t="str">
        <f t="shared" si="113"/>
        <v>No discount</v>
      </c>
      <c r="P1822" s="9">
        <f t="shared" si="114"/>
        <v>0.58199905136718499</v>
      </c>
      <c r="Q1822" s="3" t="str">
        <f t="shared" si="115"/>
        <v>No</v>
      </c>
    </row>
    <row r="1823" spans="1:17" ht="21" customHeight="1">
      <c r="A1823" s="3" t="s">
        <v>2512</v>
      </c>
      <c r="B1823" s="5">
        <v>45791</v>
      </c>
      <c r="C1823" s="3" t="s">
        <v>707</v>
      </c>
      <c r="D1823" s="3" t="s">
        <v>45</v>
      </c>
      <c r="E1823" s="3" t="s">
        <v>40</v>
      </c>
      <c r="F1823" s="3" t="s">
        <v>102</v>
      </c>
      <c r="G1823" s="3" t="s">
        <v>146</v>
      </c>
      <c r="H1823" s="3">
        <v>1</v>
      </c>
      <c r="I1823" s="7">
        <v>8179.14</v>
      </c>
      <c r="J1823" s="9">
        <v>0.4</v>
      </c>
      <c r="K1823" s="7">
        <v>4907.4799999999996</v>
      </c>
      <c r="L1823" s="7">
        <v>-452.69</v>
      </c>
      <c r="M1823" s="3" t="s">
        <v>59</v>
      </c>
      <c r="N1823" s="3" t="str">
        <f t="shared" si="112"/>
        <v>2025-05</v>
      </c>
      <c r="O1823" s="3" t="str">
        <f t="shared" si="113"/>
        <v>21%+</v>
      </c>
      <c r="P1823" s="9">
        <f t="shared" si="114"/>
        <v>-9.2244899622616908E-2</v>
      </c>
      <c r="Q1823" s="3" t="str">
        <f t="shared" si="115"/>
        <v>Yes</v>
      </c>
    </row>
    <row r="1824" spans="1:17" ht="21" customHeight="1">
      <c r="A1824" s="3" t="s">
        <v>2513</v>
      </c>
      <c r="B1824" s="5">
        <v>45791</v>
      </c>
      <c r="C1824" s="3" t="s">
        <v>1176</v>
      </c>
      <c r="D1824" s="3" t="s">
        <v>45</v>
      </c>
      <c r="E1824" s="3" t="s">
        <v>41</v>
      </c>
      <c r="F1824" s="3" t="s">
        <v>113</v>
      </c>
      <c r="G1824" s="3" t="s">
        <v>123</v>
      </c>
      <c r="H1824" s="3">
        <v>1</v>
      </c>
      <c r="I1824" s="7">
        <v>3630.85</v>
      </c>
      <c r="J1824" s="9">
        <v>0.2</v>
      </c>
      <c r="K1824" s="7">
        <v>2904.68</v>
      </c>
      <c r="L1824" s="7">
        <v>522.03</v>
      </c>
      <c r="M1824" s="3" t="s">
        <v>58</v>
      </c>
      <c r="N1824" s="3" t="str">
        <f t="shared" si="112"/>
        <v>2025-05</v>
      </c>
      <c r="O1824" s="3" t="str">
        <f t="shared" si="113"/>
        <v>16-20%</v>
      </c>
      <c r="P1824" s="9">
        <f t="shared" si="114"/>
        <v>0.17972031342523101</v>
      </c>
      <c r="Q1824" s="3" t="str">
        <f t="shared" si="115"/>
        <v>No</v>
      </c>
    </row>
    <row r="1825" spans="1:17" ht="21" customHeight="1">
      <c r="A1825" s="3" t="s">
        <v>2514</v>
      </c>
      <c r="B1825" s="5">
        <v>45792</v>
      </c>
      <c r="C1825" s="3" t="s">
        <v>1269</v>
      </c>
      <c r="D1825" s="3" t="s">
        <v>47</v>
      </c>
      <c r="E1825" s="3" t="s">
        <v>40</v>
      </c>
      <c r="F1825" s="3" t="s">
        <v>102</v>
      </c>
      <c r="G1825" s="3" t="s">
        <v>146</v>
      </c>
      <c r="H1825" s="3">
        <v>1</v>
      </c>
      <c r="I1825" s="7">
        <v>8122.06</v>
      </c>
      <c r="J1825" s="9">
        <v>0</v>
      </c>
      <c r="K1825" s="7">
        <v>8122.06</v>
      </c>
      <c r="L1825" s="7">
        <v>2695.3</v>
      </c>
      <c r="M1825" s="3" t="s">
        <v>59</v>
      </c>
      <c r="N1825" s="3" t="str">
        <f t="shared" si="112"/>
        <v>2025-05</v>
      </c>
      <c r="O1825" s="3" t="str">
        <f t="shared" si="113"/>
        <v>No discount</v>
      </c>
      <c r="P1825" s="9">
        <f t="shared" si="114"/>
        <v>0.33184930916540878</v>
      </c>
      <c r="Q1825" s="3" t="str">
        <f t="shared" si="115"/>
        <v>No</v>
      </c>
    </row>
    <row r="1826" spans="1:17" ht="21" customHeight="1">
      <c r="A1826" s="3" t="s">
        <v>2515</v>
      </c>
      <c r="B1826" s="5">
        <v>45792</v>
      </c>
      <c r="C1826" s="3" t="s">
        <v>509</v>
      </c>
      <c r="D1826" s="3" t="s">
        <v>47</v>
      </c>
      <c r="E1826" s="3" t="s">
        <v>40</v>
      </c>
      <c r="F1826" s="3" t="s">
        <v>221</v>
      </c>
      <c r="G1826" s="3" t="s">
        <v>222</v>
      </c>
      <c r="H1826" s="3">
        <v>1</v>
      </c>
      <c r="I1826" s="7">
        <v>994.39</v>
      </c>
      <c r="J1826" s="9">
        <v>0</v>
      </c>
      <c r="K1826" s="7">
        <v>994.39</v>
      </c>
      <c r="L1826" s="7">
        <v>305.66000000000003</v>
      </c>
      <c r="M1826" s="3" t="s">
        <v>56</v>
      </c>
      <c r="N1826" s="3" t="str">
        <f t="shared" si="112"/>
        <v>2025-05</v>
      </c>
      <c r="O1826" s="3" t="str">
        <f t="shared" si="113"/>
        <v>No discount</v>
      </c>
      <c r="P1826" s="9">
        <f t="shared" si="114"/>
        <v>0.30738442663341348</v>
      </c>
      <c r="Q1826" s="3" t="str">
        <f t="shared" si="115"/>
        <v>No</v>
      </c>
    </row>
    <row r="1827" spans="1:17" ht="21" customHeight="1">
      <c r="A1827" s="3" t="s">
        <v>2516</v>
      </c>
      <c r="B1827" s="5">
        <v>45792</v>
      </c>
      <c r="C1827" s="3" t="s">
        <v>771</v>
      </c>
      <c r="D1827" s="3" t="s">
        <v>46</v>
      </c>
      <c r="E1827" s="3" t="s">
        <v>41</v>
      </c>
      <c r="F1827" s="3" t="s">
        <v>113</v>
      </c>
      <c r="G1827" s="3" t="s">
        <v>114</v>
      </c>
      <c r="H1827" s="3">
        <v>1</v>
      </c>
      <c r="I1827" s="7">
        <v>11610.47</v>
      </c>
      <c r="J1827" s="9">
        <v>0.05</v>
      </c>
      <c r="K1827" s="7">
        <v>11029.95</v>
      </c>
      <c r="L1827" s="7">
        <v>3959.81</v>
      </c>
      <c r="M1827" s="3" t="s">
        <v>56</v>
      </c>
      <c r="N1827" s="3" t="str">
        <f t="shared" si="112"/>
        <v>2025-05</v>
      </c>
      <c r="O1827" s="3" t="str">
        <f t="shared" si="113"/>
        <v>1-10%</v>
      </c>
      <c r="P1827" s="9">
        <f t="shared" si="114"/>
        <v>0.3590052538769441</v>
      </c>
      <c r="Q1827" s="3" t="str">
        <f t="shared" si="115"/>
        <v>No</v>
      </c>
    </row>
    <row r="1828" spans="1:17" ht="21" customHeight="1">
      <c r="A1828" s="3" t="s">
        <v>2517</v>
      </c>
      <c r="B1828" s="5">
        <v>45792</v>
      </c>
      <c r="C1828" s="3" t="s">
        <v>626</v>
      </c>
      <c r="D1828" s="3" t="s">
        <v>44</v>
      </c>
      <c r="E1828" s="3" t="s">
        <v>39</v>
      </c>
      <c r="F1828" s="3" t="s">
        <v>164</v>
      </c>
      <c r="G1828" s="3" t="s">
        <v>200</v>
      </c>
      <c r="H1828" s="3">
        <v>2</v>
      </c>
      <c r="I1828" s="7">
        <v>1347.25</v>
      </c>
      <c r="J1828" s="9">
        <v>0.1</v>
      </c>
      <c r="K1828" s="7">
        <v>2425.0500000000002</v>
      </c>
      <c r="L1828" s="7">
        <v>694.66</v>
      </c>
      <c r="M1828" s="3" t="s">
        <v>57</v>
      </c>
      <c r="N1828" s="3" t="str">
        <f t="shared" si="112"/>
        <v>2025-05</v>
      </c>
      <c r="O1828" s="3" t="str">
        <f t="shared" si="113"/>
        <v>1-10%</v>
      </c>
      <c r="P1828" s="9">
        <f t="shared" si="114"/>
        <v>0.28645182573555183</v>
      </c>
      <c r="Q1828" s="3" t="str">
        <f t="shared" si="115"/>
        <v>No</v>
      </c>
    </row>
    <row r="1829" spans="1:17" ht="21" customHeight="1">
      <c r="A1829" s="3" t="s">
        <v>2518</v>
      </c>
      <c r="B1829" s="5">
        <v>45792</v>
      </c>
      <c r="C1829" s="3" t="s">
        <v>853</v>
      </c>
      <c r="D1829" s="3" t="s">
        <v>45</v>
      </c>
      <c r="E1829" s="3" t="s">
        <v>39</v>
      </c>
      <c r="F1829" s="3" t="s">
        <v>130</v>
      </c>
      <c r="G1829" s="3" t="s">
        <v>131</v>
      </c>
      <c r="H1829" s="3">
        <v>4</v>
      </c>
      <c r="I1829" s="7">
        <v>2249.66</v>
      </c>
      <c r="J1829" s="9">
        <v>0.15</v>
      </c>
      <c r="K1829" s="7">
        <v>7648.84</v>
      </c>
      <c r="L1829" s="7">
        <v>1846.95</v>
      </c>
      <c r="M1829" s="3" t="s">
        <v>56</v>
      </c>
      <c r="N1829" s="3" t="str">
        <f t="shared" si="112"/>
        <v>2025-05</v>
      </c>
      <c r="O1829" s="3" t="str">
        <f t="shared" si="113"/>
        <v>11-15%</v>
      </c>
      <c r="P1829" s="9">
        <f t="shared" si="114"/>
        <v>0.24146798730264982</v>
      </c>
      <c r="Q1829" s="3" t="str">
        <f t="shared" si="115"/>
        <v>No</v>
      </c>
    </row>
    <row r="1830" spans="1:17" ht="21" customHeight="1">
      <c r="A1830" s="3" t="s">
        <v>2519</v>
      </c>
      <c r="B1830" s="5">
        <v>45792</v>
      </c>
      <c r="C1830" s="3" t="s">
        <v>1725</v>
      </c>
      <c r="D1830" s="3" t="s">
        <v>46</v>
      </c>
      <c r="E1830" s="3" t="s">
        <v>38</v>
      </c>
      <c r="F1830" s="3" t="s">
        <v>142</v>
      </c>
      <c r="G1830" s="3" t="s">
        <v>245</v>
      </c>
      <c r="H1830" s="3">
        <v>1</v>
      </c>
      <c r="I1830" s="7">
        <v>5220.1000000000004</v>
      </c>
      <c r="J1830" s="9">
        <v>0.1</v>
      </c>
      <c r="K1830" s="7">
        <v>4698.09</v>
      </c>
      <c r="L1830" s="7">
        <v>395.47</v>
      </c>
      <c r="M1830" s="3" t="s">
        <v>58</v>
      </c>
      <c r="N1830" s="3" t="str">
        <f t="shared" si="112"/>
        <v>2025-05</v>
      </c>
      <c r="O1830" s="3" t="str">
        <f t="shared" si="113"/>
        <v>1-10%</v>
      </c>
      <c r="P1830" s="9">
        <f t="shared" si="114"/>
        <v>8.4176761194442853E-2</v>
      </c>
      <c r="Q1830" s="3" t="str">
        <f t="shared" si="115"/>
        <v>No</v>
      </c>
    </row>
    <row r="1831" spans="1:17" ht="21" customHeight="1">
      <c r="A1831" s="3" t="s">
        <v>2520</v>
      </c>
      <c r="B1831" s="5">
        <v>45792</v>
      </c>
      <c r="C1831" s="3" t="s">
        <v>481</v>
      </c>
      <c r="D1831" s="3" t="s">
        <v>46</v>
      </c>
      <c r="E1831" s="3" t="s">
        <v>38</v>
      </c>
      <c r="F1831" s="3" t="s">
        <v>98</v>
      </c>
      <c r="G1831" s="3" t="s">
        <v>182</v>
      </c>
      <c r="H1831" s="3">
        <v>2</v>
      </c>
      <c r="I1831" s="7">
        <v>71004.009999999995</v>
      </c>
      <c r="J1831" s="9">
        <v>0.1</v>
      </c>
      <c r="K1831" s="7">
        <v>127807.22</v>
      </c>
      <c r="L1831" s="7">
        <v>11858.82</v>
      </c>
      <c r="M1831" s="3" t="s">
        <v>56</v>
      </c>
      <c r="N1831" s="3" t="str">
        <f t="shared" si="112"/>
        <v>2025-05</v>
      </c>
      <c r="O1831" s="3" t="str">
        <f t="shared" si="113"/>
        <v>1-10%</v>
      </c>
      <c r="P1831" s="9">
        <f t="shared" si="114"/>
        <v>9.2786776834673346E-2</v>
      </c>
      <c r="Q1831" s="3" t="str">
        <f t="shared" si="115"/>
        <v>No</v>
      </c>
    </row>
    <row r="1832" spans="1:17" ht="21" customHeight="1">
      <c r="A1832" s="3" t="s">
        <v>2521</v>
      </c>
      <c r="B1832" s="5">
        <v>45792</v>
      </c>
      <c r="C1832" s="3" t="s">
        <v>495</v>
      </c>
      <c r="D1832" s="3" t="s">
        <v>46</v>
      </c>
      <c r="E1832" s="3" t="s">
        <v>40</v>
      </c>
      <c r="F1832" s="3" t="s">
        <v>160</v>
      </c>
      <c r="G1832" s="3" t="s">
        <v>173</v>
      </c>
      <c r="H1832" s="3">
        <v>1</v>
      </c>
      <c r="I1832" s="7">
        <v>8649.43</v>
      </c>
      <c r="J1832" s="9">
        <v>0</v>
      </c>
      <c r="K1832" s="7">
        <v>8649.43</v>
      </c>
      <c r="L1832" s="7">
        <v>2804.05</v>
      </c>
      <c r="M1832" s="3" t="s">
        <v>56</v>
      </c>
      <c r="N1832" s="3" t="str">
        <f t="shared" si="112"/>
        <v>2025-05</v>
      </c>
      <c r="O1832" s="3" t="str">
        <f t="shared" si="113"/>
        <v>No discount</v>
      </c>
      <c r="P1832" s="9">
        <f t="shared" si="114"/>
        <v>0.3241889928006817</v>
      </c>
      <c r="Q1832" s="3" t="str">
        <f t="shared" si="115"/>
        <v>No</v>
      </c>
    </row>
    <row r="1833" spans="1:17" ht="21" customHeight="1">
      <c r="A1833" s="3" t="s">
        <v>2522</v>
      </c>
      <c r="B1833" s="5">
        <v>45793</v>
      </c>
      <c r="C1833" s="3" t="s">
        <v>925</v>
      </c>
      <c r="D1833" s="3" t="s">
        <v>44</v>
      </c>
      <c r="E1833" s="3" t="s">
        <v>42</v>
      </c>
      <c r="F1833" s="3" t="s">
        <v>90</v>
      </c>
      <c r="G1833" s="3" t="s">
        <v>91</v>
      </c>
      <c r="H1833" s="3">
        <v>1</v>
      </c>
      <c r="I1833" s="7">
        <v>1147.32</v>
      </c>
      <c r="J1833" s="9">
        <v>0.1</v>
      </c>
      <c r="K1833" s="7">
        <v>1032.5899999999999</v>
      </c>
      <c r="L1833" s="7">
        <v>461.36</v>
      </c>
      <c r="M1833" s="3" t="s">
        <v>57</v>
      </c>
      <c r="N1833" s="3" t="str">
        <f t="shared" si="112"/>
        <v>2025-05</v>
      </c>
      <c r="O1833" s="3" t="str">
        <f t="shared" si="113"/>
        <v>1-10%</v>
      </c>
      <c r="P1833" s="9">
        <f t="shared" si="114"/>
        <v>0.44679882625243322</v>
      </c>
      <c r="Q1833" s="3" t="str">
        <f t="shared" si="115"/>
        <v>No</v>
      </c>
    </row>
    <row r="1834" spans="1:17" ht="21" customHeight="1">
      <c r="A1834" s="3" t="s">
        <v>2523</v>
      </c>
      <c r="B1834" s="5">
        <v>45793</v>
      </c>
      <c r="C1834" s="3" t="s">
        <v>1176</v>
      </c>
      <c r="D1834" s="3" t="s">
        <v>46</v>
      </c>
      <c r="E1834" s="3" t="s">
        <v>39</v>
      </c>
      <c r="F1834" s="3" t="s">
        <v>130</v>
      </c>
      <c r="G1834" s="3" t="s">
        <v>131</v>
      </c>
      <c r="H1834" s="3">
        <v>1</v>
      </c>
      <c r="I1834" s="7">
        <v>2242.21</v>
      </c>
      <c r="J1834" s="9">
        <v>0.25</v>
      </c>
      <c r="K1834" s="7">
        <v>1681.66</v>
      </c>
      <c r="L1834" s="7">
        <v>228.23</v>
      </c>
      <c r="M1834" s="3" t="s">
        <v>58</v>
      </c>
      <c r="N1834" s="3" t="str">
        <f t="shared" si="112"/>
        <v>2025-05</v>
      </c>
      <c r="O1834" s="3" t="str">
        <f t="shared" si="113"/>
        <v>21%+</v>
      </c>
      <c r="P1834" s="9">
        <f t="shared" si="114"/>
        <v>0.13571708906675545</v>
      </c>
      <c r="Q1834" s="3" t="str">
        <f t="shared" si="115"/>
        <v>No</v>
      </c>
    </row>
    <row r="1835" spans="1:17" ht="21" customHeight="1">
      <c r="A1835" s="3" t="s">
        <v>2524</v>
      </c>
      <c r="B1835" s="5">
        <v>45793</v>
      </c>
      <c r="C1835" s="3" t="s">
        <v>2066</v>
      </c>
      <c r="D1835" s="3" t="s">
        <v>46</v>
      </c>
      <c r="E1835" s="3" t="s">
        <v>38</v>
      </c>
      <c r="F1835" s="3" t="s">
        <v>98</v>
      </c>
      <c r="G1835" s="3" t="s">
        <v>99</v>
      </c>
      <c r="H1835" s="3">
        <v>3</v>
      </c>
      <c r="I1835" s="7">
        <v>24962.43</v>
      </c>
      <c r="J1835" s="9">
        <v>0</v>
      </c>
      <c r="K1835" s="7">
        <v>74887.289999999994</v>
      </c>
      <c r="L1835" s="7">
        <v>11075.85</v>
      </c>
      <c r="M1835" s="3" t="s">
        <v>58</v>
      </c>
      <c r="N1835" s="3" t="str">
        <f t="shared" si="112"/>
        <v>2025-05</v>
      </c>
      <c r="O1835" s="3" t="str">
        <f t="shared" si="113"/>
        <v>No discount</v>
      </c>
      <c r="P1835" s="9">
        <f t="shared" si="114"/>
        <v>0.14790026451751695</v>
      </c>
      <c r="Q1835" s="3" t="str">
        <f t="shared" si="115"/>
        <v>No</v>
      </c>
    </row>
    <row r="1836" spans="1:17" ht="21" customHeight="1">
      <c r="A1836" s="3" t="s">
        <v>2525</v>
      </c>
      <c r="B1836" s="5">
        <v>45793</v>
      </c>
      <c r="C1836" s="3" t="s">
        <v>1122</v>
      </c>
      <c r="D1836" s="3" t="s">
        <v>45</v>
      </c>
      <c r="E1836" s="3" t="s">
        <v>42</v>
      </c>
      <c r="F1836" s="3" t="s">
        <v>126</v>
      </c>
      <c r="G1836" s="3" t="s">
        <v>127</v>
      </c>
      <c r="H1836" s="3">
        <v>1</v>
      </c>
      <c r="I1836" s="7">
        <v>1036.18</v>
      </c>
      <c r="J1836" s="9">
        <v>0.1</v>
      </c>
      <c r="K1836" s="7">
        <v>932.56</v>
      </c>
      <c r="L1836" s="7">
        <v>400.81</v>
      </c>
      <c r="M1836" s="3" t="s">
        <v>56</v>
      </c>
      <c r="N1836" s="3" t="str">
        <f t="shared" si="112"/>
        <v>2025-05</v>
      </c>
      <c r="O1836" s="3" t="str">
        <f t="shared" si="113"/>
        <v>1-10%</v>
      </c>
      <c r="P1836" s="9">
        <f t="shared" si="114"/>
        <v>0.4297954019044351</v>
      </c>
      <c r="Q1836" s="3" t="str">
        <f t="shared" si="115"/>
        <v>No</v>
      </c>
    </row>
    <row r="1837" spans="1:17" ht="21" customHeight="1">
      <c r="A1837" s="3" t="s">
        <v>2526</v>
      </c>
      <c r="B1837" s="5">
        <v>45793</v>
      </c>
      <c r="C1837" s="3" t="s">
        <v>2183</v>
      </c>
      <c r="D1837" s="3" t="s">
        <v>46</v>
      </c>
      <c r="E1837" s="3" t="s">
        <v>39</v>
      </c>
      <c r="F1837" s="3" t="s">
        <v>130</v>
      </c>
      <c r="G1837" s="3" t="s">
        <v>131</v>
      </c>
      <c r="H1837" s="3">
        <v>1</v>
      </c>
      <c r="I1837" s="7">
        <v>2295.66</v>
      </c>
      <c r="J1837" s="9">
        <v>0.2</v>
      </c>
      <c r="K1837" s="7">
        <v>1836.53</v>
      </c>
      <c r="L1837" s="7">
        <v>291.08</v>
      </c>
      <c r="M1837" s="3" t="s">
        <v>56</v>
      </c>
      <c r="N1837" s="3" t="str">
        <f t="shared" si="112"/>
        <v>2025-05</v>
      </c>
      <c r="O1837" s="3" t="str">
        <f t="shared" si="113"/>
        <v>16-20%</v>
      </c>
      <c r="P1837" s="9">
        <f t="shared" si="114"/>
        <v>0.1584945522262092</v>
      </c>
      <c r="Q1837" s="3" t="str">
        <f t="shared" si="115"/>
        <v>No</v>
      </c>
    </row>
    <row r="1838" spans="1:17" ht="21" customHeight="1">
      <c r="A1838" s="3" t="s">
        <v>2527</v>
      </c>
      <c r="B1838" s="5">
        <v>45793</v>
      </c>
      <c r="C1838" s="3" t="s">
        <v>545</v>
      </c>
      <c r="D1838" s="3" t="s">
        <v>44</v>
      </c>
      <c r="E1838" s="3" t="s">
        <v>38</v>
      </c>
      <c r="F1838" s="3" t="s">
        <v>94</v>
      </c>
      <c r="G1838" s="3" t="s">
        <v>213</v>
      </c>
      <c r="H1838" s="3">
        <v>2</v>
      </c>
      <c r="I1838" s="7">
        <v>55419.49</v>
      </c>
      <c r="J1838" s="9">
        <v>0</v>
      </c>
      <c r="K1838" s="7">
        <v>110838.98</v>
      </c>
      <c r="L1838" s="7">
        <v>21218.9</v>
      </c>
      <c r="M1838" s="3" t="s">
        <v>57</v>
      </c>
      <c r="N1838" s="3" t="str">
        <f t="shared" si="112"/>
        <v>2025-05</v>
      </c>
      <c r="O1838" s="3" t="str">
        <f t="shared" si="113"/>
        <v>No discount</v>
      </c>
      <c r="P1838" s="9">
        <f t="shared" si="114"/>
        <v>0.19143896849285336</v>
      </c>
      <c r="Q1838" s="3" t="str">
        <f t="shared" si="115"/>
        <v>No</v>
      </c>
    </row>
    <row r="1839" spans="1:17" ht="21" customHeight="1">
      <c r="A1839" s="3" t="s">
        <v>2528</v>
      </c>
      <c r="B1839" s="5">
        <v>45794</v>
      </c>
      <c r="C1839" s="3" t="s">
        <v>1624</v>
      </c>
      <c r="D1839" s="3" t="s">
        <v>45</v>
      </c>
      <c r="E1839" s="3" t="s">
        <v>40</v>
      </c>
      <c r="F1839" s="3" t="s">
        <v>160</v>
      </c>
      <c r="G1839" s="3" t="s">
        <v>173</v>
      </c>
      <c r="H1839" s="3">
        <v>2</v>
      </c>
      <c r="I1839" s="7">
        <v>9044.57</v>
      </c>
      <c r="J1839" s="9">
        <v>0</v>
      </c>
      <c r="K1839" s="7">
        <v>18089.14</v>
      </c>
      <c r="L1839" s="7">
        <v>6611.17</v>
      </c>
      <c r="M1839" s="3" t="s">
        <v>58</v>
      </c>
      <c r="N1839" s="3" t="str">
        <f t="shared" si="112"/>
        <v>2025-05</v>
      </c>
      <c r="O1839" s="3" t="str">
        <f t="shared" si="113"/>
        <v>No discount</v>
      </c>
      <c r="P1839" s="9">
        <f t="shared" si="114"/>
        <v>0.36547729742818069</v>
      </c>
      <c r="Q1839" s="3" t="str">
        <f t="shared" si="115"/>
        <v>No</v>
      </c>
    </row>
    <row r="1840" spans="1:17" ht="21" customHeight="1">
      <c r="A1840" s="3" t="s">
        <v>2529</v>
      </c>
      <c r="B1840" s="5">
        <v>45794</v>
      </c>
      <c r="C1840" s="3" t="s">
        <v>999</v>
      </c>
      <c r="D1840" s="3" t="s">
        <v>46</v>
      </c>
      <c r="E1840" s="3" t="s">
        <v>38</v>
      </c>
      <c r="F1840" s="3" t="s">
        <v>98</v>
      </c>
      <c r="G1840" s="3" t="s">
        <v>362</v>
      </c>
      <c r="H1840" s="3">
        <v>1</v>
      </c>
      <c r="I1840" s="7">
        <v>33272.44</v>
      </c>
      <c r="J1840" s="9">
        <v>0</v>
      </c>
      <c r="K1840" s="7">
        <v>33272.44</v>
      </c>
      <c r="L1840" s="7">
        <v>7288.49</v>
      </c>
      <c r="M1840" s="3" t="s">
        <v>58</v>
      </c>
      <c r="N1840" s="3" t="str">
        <f t="shared" si="112"/>
        <v>2025-05</v>
      </c>
      <c r="O1840" s="3" t="str">
        <f t="shared" si="113"/>
        <v>No discount</v>
      </c>
      <c r="P1840" s="9">
        <f t="shared" si="114"/>
        <v>0.21905486943548472</v>
      </c>
      <c r="Q1840" s="3" t="str">
        <f t="shared" si="115"/>
        <v>No</v>
      </c>
    </row>
    <row r="1841" spans="1:17" ht="21" customHeight="1">
      <c r="A1841" s="3" t="s">
        <v>2530</v>
      </c>
      <c r="B1841" s="5">
        <v>45794</v>
      </c>
      <c r="C1841" s="3" t="s">
        <v>808</v>
      </c>
      <c r="D1841" s="3" t="s">
        <v>46</v>
      </c>
      <c r="E1841" s="3" t="s">
        <v>42</v>
      </c>
      <c r="F1841" s="3" t="s">
        <v>126</v>
      </c>
      <c r="G1841" s="3" t="s">
        <v>151</v>
      </c>
      <c r="H1841" s="3">
        <v>1</v>
      </c>
      <c r="I1841" s="7">
        <v>1545.88</v>
      </c>
      <c r="J1841" s="9">
        <v>0</v>
      </c>
      <c r="K1841" s="7">
        <v>1545.88</v>
      </c>
      <c r="L1841" s="7">
        <v>862.64</v>
      </c>
      <c r="M1841" s="3" t="s">
        <v>57</v>
      </c>
      <c r="N1841" s="3" t="str">
        <f t="shared" si="112"/>
        <v>2025-05</v>
      </c>
      <c r="O1841" s="3" t="str">
        <f t="shared" si="113"/>
        <v>No discount</v>
      </c>
      <c r="P1841" s="9">
        <f t="shared" si="114"/>
        <v>0.55802520247367193</v>
      </c>
      <c r="Q1841" s="3" t="str">
        <f t="shared" si="115"/>
        <v>No</v>
      </c>
    </row>
    <row r="1842" spans="1:17" ht="21" customHeight="1">
      <c r="A1842" s="3" t="s">
        <v>2531</v>
      </c>
      <c r="B1842" s="5">
        <v>45794</v>
      </c>
      <c r="C1842" s="3" t="s">
        <v>2532</v>
      </c>
      <c r="D1842" s="3" t="s">
        <v>45</v>
      </c>
      <c r="E1842" s="3" t="s">
        <v>40</v>
      </c>
      <c r="F1842" s="3" t="s">
        <v>102</v>
      </c>
      <c r="G1842" s="3" t="s">
        <v>103</v>
      </c>
      <c r="H1842" s="3">
        <v>1</v>
      </c>
      <c r="I1842" s="7">
        <v>6805.04</v>
      </c>
      <c r="J1842" s="9">
        <v>0</v>
      </c>
      <c r="K1842" s="7">
        <v>6805.04</v>
      </c>
      <c r="L1842" s="7">
        <v>2384.4699999999998</v>
      </c>
      <c r="M1842" s="3" t="s">
        <v>56</v>
      </c>
      <c r="N1842" s="3" t="str">
        <f t="shared" si="112"/>
        <v>2025-05</v>
      </c>
      <c r="O1842" s="3" t="str">
        <f t="shared" si="113"/>
        <v>No discount</v>
      </c>
      <c r="P1842" s="9">
        <f t="shared" si="114"/>
        <v>0.35039764645027799</v>
      </c>
      <c r="Q1842" s="3" t="str">
        <f t="shared" si="115"/>
        <v>No</v>
      </c>
    </row>
    <row r="1843" spans="1:17" ht="21" customHeight="1">
      <c r="A1843" s="3" t="s">
        <v>2533</v>
      </c>
      <c r="B1843" s="5">
        <v>45795</v>
      </c>
      <c r="C1843" s="3" t="s">
        <v>278</v>
      </c>
      <c r="D1843" s="3" t="s">
        <v>47</v>
      </c>
      <c r="E1843" s="3" t="s">
        <v>39</v>
      </c>
      <c r="F1843" s="3" t="s">
        <v>109</v>
      </c>
      <c r="G1843" s="3" t="s">
        <v>355</v>
      </c>
      <c r="H1843" s="3">
        <v>2</v>
      </c>
      <c r="I1843" s="7">
        <v>3558.69</v>
      </c>
      <c r="J1843" s="9">
        <v>0.3</v>
      </c>
      <c r="K1843" s="7">
        <v>4982.17</v>
      </c>
      <c r="L1843" s="7">
        <v>439.62</v>
      </c>
      <c r="M1843" s="3" t="s">
        <v>57</v>
      </c>
      <c r="N1843" s="3" t="str">
        <f t="shared" si="112"/>
        <v>2025-05</v>
      </c>
      <c r="O1843" s="3" t="str">
        <f t="shared" si="113"/>
        <v>21%+</v>
      </c>
      <c r="P1843" s="9">
        <f t="shared" si="114"/>
        <v>8.8238659058201552E-2</v>
      </c>
      <c r="Q1843" s="3" t="str">
        <f t="shared" si="115"/>
        <v>No</v>
      </c>
    </row>
    <row r="1844" spans="1:17" ht="21" customHeight="1">
      <c r="A1844" s="3" t="s">
        <v>2534</v>
      </c>
      <c r="B1844" s="5">
        <v>45795</v>
      </c>
      <c r="C1844" s="3" t="s">
        <v>746</v>
      </c>
      <c r="D1844" s="3" t="s">
        <v>44</v>
      </c>
      <c r="E1844" s="3" t="s">
        <v>39</v>
      </c>
      <c r="F1844" s="3" t="s">
        <v>109</v>
      </c>
      <c r="G1844" s="3" t="s">
        <v>355</v>
      </c>
      <c r="H1844" s="3">
        <v>1</v>
      </c>
      <c r="I1844" s="7">
        <v>3375.85</v>
      </c>
      <c r="J1844" s="9">
        <v>0.05</v>
      </c>
      <c r="K1844" s="7">
        <v>3207.06</v>
      </c>
      <c r="L1844" s="7">
        <v>1253.81</v>
      </c>
      <c r="M1844" s="3" t="s">
        <v>60</v>
      </c>
      <c r="N1844" s="3" t="str">
        <f t="shared" si="112"/>
        <v>2025-05</v>
      </c>
      <c r="O1844" s="3" t="str">
        <f t="shared" si="113"/>
        <v>1-10%</v>
      </c>
      <c r="P1844" s="9">
        <f t="shared" si="114"/>
        <v>0.39095308475675539</v>
      </c>
      <c r="Q1844" s="3" t="str">
        <f t="shared" si="115"/>
        <v>No</v>
      </c>
    </row>
    <row r="1845" spans="1:17" ht="21" customHeight="1">
      <c r="A1845" s="3" t="s">
        <v>2535</v>
      </c>
      <c r="B1845" s="5">
        <v>45795</v>
      </c>
      <c r="C1845" s="3" t="s">
        <v>220</v>
      </c>
      <c r="D1845" s="3" t="s">
        <v>45</v>
      </c>
      <c r="E1845" s="3" t="s">
        <v>41</v>
      </c>
      <c r="F1845" s="3" t="s">
        <v>119</v>
      </c>
      <c r="G1845" s="3" t="s">
        <v>120</v>
      </c>
      <c r="H1845" s="3">
        <v>2</v>
      </c>
      <c r="I1845" s="7">
        <v>1341.88</v>
      </c>
      <c r="J1845" s="9">
        <v>0.2</v>
      </c>
      <c r="K1845" s="7">
        <v>2147.0100000000002</v>
      </c>
      <c r="L1845" s="7">
        <v>348.03</v>
      </c>
      <c r="M1845" s="3" t="s">
        <v>57</v>
      </c>
      <c r="N1845" s="3" t="str">
        <f t="shared" si="112"/>
        <v>2025-05</v>
      </c>
      <c r="O1845" s="3" t="str">
        <f t="shared" si="113"/>
        <v>16-20%</v>
      </c>
      <c r="P1845" s="9">
        <f t="shared" si="114"/>
        <v>0.16209985048975084</v>
      </c>
      <c r="Q1845" s="3" t="str">
        <f t="shared" si="115"/>
        <v>No</v>
      </c>
    </row>
    <row r="1846" spans="1:17" ht="21" customHeight="1">
      <c r="A1846" s="3" t="s">
        <v>2536</v>
      </c>
      <c r="B1846" s="5">
        <v>45796</v>
      </c>
      <c r="C1846" s="3" t="s">
        <v>816</v>
      </c>
      <c r="D1846" s="3" t="s">
        <v>47</v>
      </c>
      <c r="E1846" s="3" t="s">
        <v>40</v>
      </c>
      <c r="F1846" s="3" t="s">
        <v>102</v>
      </c>
      <c r="G1846" s="3" t="s">
        <v>146</v>
      </c>
      <c r="H1846" s="3">
        <v>2</v>
      </c>
      <c r="I1846" s="7">
        <v>8053.11</v>
      </c>
      <c r="J1846" s="9">
        <v>0.05</v>
      </c>
      <c r="K1846" s="7">
        <v>15300.91</v>
      </c>
      <c r="L1846" s="7">
        <v>3731.41</v>
      </c>
      <c r="M1846" s="3" t="s">
        <v>58</v>
      </c>
      <c r="N1846" s="3" t="str">
        <f t="shared" si="112"/>
        <v>2025-05</v>
      </c>
      <c r="O1846" s="3" t="str">
        <f t="shared" si="113"/>
        <v>1-10%</v>
      </c>
      <c r="P1846" s="9">
        <f t="shared" si="114"/>
        <v>0.24386850193877357</v>
      </c>
      <c r="Q1846" s="3" t="str">
        <f t="shared" si="115"/>
        <v>No</v>
      </c>
    </row>
    <row r="1847" spans="1:17" ht="21" customHeight="1">
      <c r="A1847" s="3" t="s">
        <v>2537</v>
      </c>
      <c r="B1847" s="5">
        <v>45796</v>
      </c>
      <c r="C1847" s="3" t="s">
        <v>2538</v>
      </c>
      <c r="D1847" s="3" t="s">
        <v>44</v>
      </c>
      <c r="E1847" s="3" t="s">
        <v>39</v>
      </c>
      <c r="F1847" s="3" t="s">
        <v>164</v>
      </c>
      <c r="G1847" s="3" t="s">
        <v>165</v>
      </c>
      <c r="H1847" s="3">
        <v>1</v>
      </c>
      <c r="I1847" s="7">
        <v>2008.33</v>
      </c>
      <c r="J1847" s="9">
        <v>0.15</v>
      </c>
      <c r="K1847" s="7">
        <v>1707.08</v>
      </c>
      <c r="L1847" s="7">
        <v>419.25</v>
      </c>
      <c r="M1847" s="3" t="s">
        <v>57</v>
      </c>
      <c r="N1847" s="3" t="str">
        <f t="shared" si="112"/>
        <v>2025-05</v>
      </c>
      <c r="O1847" s="3" t="str">
        <f t="shared" si="113"/>
        <v>11-15%</v>
      </c>
      <c r="P1847" s="9">
        <f t="shared" si="114"/>
        <v>0.24559481688028681</v>
      </c>
      <c r="Q1847" s="3" t="str">
        <f t="shared" si="115"/>
        <v>No</v>
      </c>
    </row>
    <row r="1848" spans="1:17" ht="21" customHeight="1">
      <c r="A1848" s="3" t="s">
        <v>2539</v>
      </c>
      <c r="B1848" s="5">
        <v>45796</v>
      </c>
      <c r="C1848" s="3" t="s">
        <v>489</v>
      </c>
      <c r="D1848" s="3" t="s">
        <v>47</v>
      </c>
      <c r="E1848" s="3" t="s">
        <v>41</v>
      </c>
      <c r="F1848" s="3" t="s">
        <v>113</v>
      </c>
      <c r="G1848" s="3" t="s">
        <v>123</v>
      </c>
      <c r="H1848" s="3">
        <v>1</v>
      </c>
      <c r="I1848" s="7">
        <v>3441.95</v>
      </c>
      <c r="J1848" s="9">
        <v>0</v>
      </c>
      <c r="K1848" s="7">
        <v>3441.95</v>
      </c>
      <c r="L1848" s="7">
        <v>1375.25</v>
      </c>
      <c r="M1848" s="3" t="s">
        <v>56</v>
      </c>
      <c r="N1848" s="3" t="str">
        <f t="shared" si="112"/>
        <v>2025-05</v>
      </c>
      <c r="O1848" s="3" t="str">
        <f t="shared" si="113"/>
        <v>No discount</v>
      </c>
      <c r="P1848" s="9">
        <f t="shared" si="114"/>
        <v>0.39955548453638201</v>
      </c>
      <c r="Q1848" s="3" t="str">
        <f t="shared" si="115"/>
        <v>No</v>
      </c>
    </row>
    <row r="1849" spans="1:17" ht="21" customHeight="1">
      <c r="A1849" s="3" t="s">
        <v>2540</v>
      </c>
      <c r="B1849" s="5">
        <v>45796</v>
      </c>
      <c r="C1849" s="3" t="s">
        <v>919</v>
      </c>
      <c r="D1849" s="3" t="s">
        <v>46</v>
      </c>
      <c r="E1849" s="3" t="s">
        <v>38</v>
      </c>
      <c r="F1849" s="3" t="s">
        <v>98</v>
      </c>
      <c r="G1849" s="3" t="s">
        <v>99</v>
      </c>
      <c r="H1849" s="3">
        <v>2</v>
      </c>
      <c r="I1849" s="7">
        <v>24459.89</v>
      </c>
      <c r="J1849" s="9">
        <v>0.05</v>
      </c>
      <c r="K1849" s="7">
        <v>46473.79</v>
      </c>
      <c r="L1849" s="7">
        <v>4748.1499999999996</v>
      </c>
      <c r="M1849" s="3" t="s">
        <v>56</v>
      </c>
      <c r="N1849" s="3" t="str">
        <f t="shared" si="112"/>
        <v>2025-05</v>
      </c>
      <c r="O1849" s="3" t="str">
        <f t="shared" si="113"/>
        <v>1-10%</v>
      </c>
      <c r="P1849" s="9">
        <f t="shared" si="114"/>
        <v>0.10216834047750355</v>
      </c>
      <c r="Q1849" s="3" t="str">
        <f t="shared" si="115"/>
        <v>No</v>
      </c>
    </row>
    <row r="1850" spans="1:17" ht="21" customHeight="1">
      <c r="A1850" s="3" t="s">
        <v>2541</v>
      </c>
      <c r="B1850" s="5">
        <v>45797</v>
      </c>
      <c r="C1850" s="3" t="s">
        <v>145</v>
      </c>
      <c r="D1850" s="3" t="s">
        <v>44</v>
      </c>
      <c r="E1850" s="3" t="s">
        <v>39</v>
      </c>
      <c r="F1850" s="3" t="s">
        <v>164</v>
      </c>
      <c r="G1850" s="3" t="s">
        <v>165</v>
      </c>
      <c r="H1850" s="3">
        <v>1</v>
      </c>
      <c r="I1850" s="7">
        <v>1929.61</v>
      </c>
      <c r="J1850" s="9">
        <v>0</v>
      </c>
      <c r="K1850" s="7">
        <v>1929.61</v>
      </c>
      <c r="L1850" s="7">
        <v>850.44</v>
      </c>
      <c r="M1850" s="3" t="s">
        <v>60</v>
      </c>
      <c r="N1850" s="3" t="str">
        <f t="shared" si="112"/>
        <v>2025-05</v>
      </c>
      <c r="O1850" s="3" t="str">
        <f t="shared" si="113"/>
        <v>No discount</v>
      </c>
      <c r="P1850" s="9">
        <f t="shared" si="114"/>
        <v>0.44073154678924764</v>
      </c>
      <c r="Q1850" s="3" t="str">
        <f t="shared" si="115"/>
        <v>No</v>
      </c>
    </row>
    <row r="1851" spans="1:17" ht="21" customHeight="1">
      <c r="A1851" s="3" t="s">
        <v>2542</v>
      </c>
      <c r="B1851" s="5">
        <v>45797</v>
      </c>
      <c r="C1851" s="3" t="s">
        <v>548</v>
      </c>
      <c r="D1851" s="3" t="s">
        <v>44</v>
      </c>
      <c r="E1851" s="3" t="s">
        <v>40</v>
      </c>
      <c r="F1851" s="3" t="s">
        <v>160</v>
      </c>
      <c r="G1851" s="3" t="s">
        <v>161</v>
      </c>
      <c r="H1851" s="3">
        <v>1</v>
      </c>
      <c r="I1851" s="7">
        <v>13243.65</v>
      </c>
      <c r="J1851" s="9">
        <v>0.25</v>
      </c>
      <c r="K1851" s="7">
        <v>9932.74</v>
      </c>
      <c r="L1851" s="7">
        <v>406.78</v>
      </c>
      <c r="M1851" s="3" t="s">
        <v>56</v>
      </c>
      <c r="N1851" s="3" t="str">
        <f t="shared" si="112"/>
        <v>2025-05</v>
      </c>
      <c r="O1851" s="3" t="str">
        <f t="shared" si="113"/>
        <v>21%+</v>
      </c>
      <c r="P1851" s="9">
        <f t="shared" si="114"/>
        <v>4.0953452924369305E-2</v>
      </c>
      <c r="Q1851" s="3" t="str">
        <f t="shared" si="115"/>
        <v>No</v>
      </c>
    </row>
    <row r="1852" spans="1:17" ht="21" customHeight="1">
      <c r="A1852" s="3" t="s">
        <v>2543</v>
      </c>
      <c r="B1852" s="5">
        <v>45797</v>
      </c>
      <c r="C1852" s="3" t="s">
        <v>581</v>
      </c>
      <c r="D1852" s="3" t="s">
        <v>45</v>
      </c>
      <c r="E1852" s="3" t="s">
        <v>39</v>
      </c>
      <c r="F1852" s="3" t="s">
        <v>164</v>
      </c>
      <c r="G1852" s="3" t="s">
        <v>165</v>
      </c>
      <c r="H1852" s="3">
        <v>3</v>
      </c>
      <c r="I1852" s="7">
        <v>1997.12</v>
      </c>
      <c r="J1852" s="9">
        <v>0</v>
      </c>
      <c r="K1852" s="7">
        <v>5991.36</v>
      </c>
      <c r="L1852" s="7">
        <v>2671.09</v>
      </c>
      <c r="M1852" s="3" t="s">
        <v>57</v>
      </c>
      <c r="N1852" s="3" t="str">
        <f t="shared" si="112"/>
        <v>2025-05</v>
      </c>
      <c r="O1852" s="3" t="str">
        <f t="shared" si="113"/>
        <v>No discount</v>
      </c>
      <c r="P1852" s="9">
        <f t="shared" si="114"/>
        <v>0.44582365272659302</v>
      </c>
      <c r="Q1852" s="3" t="str">
        <f t="shared" si="115"/>
        <v>No</v>
      </c>
    </row>
    <row r="1853" spans="1:17" ht="21" customHeight="1">
      <c r="A1853" s="3" t="s">
        <v>2544</v>
      </c>
      <c r="B1853" s="5">
        <v>45797</v>
      </c>
      <c r="C1853" s="3" t="s">
        <v>700</v>
      </c>
      <c r="D1853" s="3" t="s">
        <v>46</v>
      </c>
      <c r="E1853" s="3" t="s">
        <v>42</v>
      </c>
      <c r="F1853" s="3" t="s">
        <v>126</v>
      </c>
      <c r="G1853" s="3" t="s">
        <v>151</v>
      </c>
      <c r="H1853" s="3">
        <v>1</v>
      </c>
      <c r="I1853" s="7">
        <v>1468.26</v>
      </c>
      <c r="J1853" s="9">
        <v>0.2</v>
      </c>
      <c r="K1853" s="7">
        <v>1174.6099999999999</v>
      </c>
      <c r="L1853" s="7">
        <v>339.19</v>
      </c>
      <c r="M1853" s="3" t="s">
        <v>58</v>
      </c>
      <c r="N1853" s="3" t="str">
        <f t="shared" si="112"/>
        <v>2025-05</v>
      </c>
      <c r="O1853" s="3" t="str">
        <f t="shared" si="113"/>
        <v>16-20%</v>
      </c>
      <c r="P1853" s="9">
        <f t="shared" si="114"/>
        <v>0.28876818688756273</v>
      </c>
      <c r="Q1853" s="3" t="str">
        <f t="shared" si="115"/>
        <v>No</v>
      </c>
    </row>
    <row r="1854" spans="1:17" ht="21" customHeight="1">
      <c r="A1854" s="3" t="s">
        <v>2545</v>
      </c>
      <c r="B1854" s="5">
        <v>45797</v>
      </c>
      <c r="C1854" s="3" t="s">
        <v>303</v>
      </c>
      <c r="D1854" s="3" t="s">
        <v>45</v>
      </c>
      <c r="E1854" s="3" t="s">
        <v>42</v>
      </c>
      <c r="F1854" s="3" t="s">
        <v>126</v>
      </c>
      <c r="G1854" s="3" t="s">
        <v>151</v>
      </c>
      <c r="H1854" s="3">
        <v>1</v>
      </c>
      <c r="I1854" s="7">
        <v>1502.41</v>
      </c>
      <c r="J1854" s="9">
        <v>0.1</v>
      </c>
      <c r="K1854" s="7">
        <v>1352.17</v>
      </c>
      <c r="L1854" s="7">
        <v>577.22</v>
      </c>
      <c r="M1854" s="3" t="s">
        <v>58</v>
      </c>
      <c r="N1854" s="3" t="str">
        <f t="shared" si="112"/>
        <v>2025-05</v>
      </c>
      <c r="O1854" s="3" t="str">
        <f t="shared" si="113"/>
        <v>1-10%</v>
      </c>
      <c r="P1854" s="9">
        <f t="shared" si="114"/>
        <v>0.42688419355554402</v>
      </c>
      <c r="Q1854" s="3" t="str">
        <f t="shared" si="115"/>
        <v>No</v>
      </c>
    </row>
    <row r="1855" spans="1:17" ht="21" customHeight="1">
      <c r="A1855" s="3" t="s">
        <v>2546</v>
      </c>
      <c r="B1855" s="5">
        <v>45798</v>
      </c>
      <c r="C1855" s="3" t="s">
        <v>571</v>
      </c>
      <c r="D1855" s="3" t="s">
        <v>46</v>
      </c>
      <c r="E1855" s="3" t="s">
        <v>41</v>
      </c>
      <c r="F1855" s="3" t="s">
        <v>119</v>
      </c>
      <c r="G1855" s="3" t="s">
        <v>168</v>
      </c>
      <c r="H1855" s="3">
        <v>4</v>
      </c>
      <c r="I1855" s="7">
        <v>9607.7800000000007</v>
      </c>
      <c r="J1855" s="9">
        <v>0</v>
      </c>
      <c r="K1855" s="7">
        <v>38431.120000000003</v>
      </c>
      <c r="L1855" s="7">
        <v>15569.42</v>
      </c>
      <c r="M1855" s="3" t="s">
        <v>56</v>
      </c>
      <c r="N1855" s="3" t="str">
        <f t="shared" si="112"/>
        <v>2025-05</v>
      </c>
      <c r="O1855" s="3" t="str">
        <f t="shared" si="113"/>
        <v>No discount</v>
      </c>
      <c r="P1855" s="9">
        <f t="shared" si="114"/>
        <v>0.40512532551744523</v>
      </c>
      <c r="Q1855" s="3" t="str">
        <f t="shared" si="115"/>
        <v>No</v>
      </c>
    </row>
    <row r="1856" spans="1:17" ht="21" customHeight="1">
      <c r="A1856" s="3" t="s">
        <v>2547</v>
      </c>
      <c r="B1856" s="5">
        <v>45798</v>
      </c>
      <c r="C1856" s="3" t="s">
        <v>825</v>
      </c>
      <c r="D1856" s="3" t="s">
        <v>46</v>
      </c>
      <c r="E1856" s="3" t="s">
        <v>41</v>
      </c>
      <c r="F1856" s="3" t="s">
        <v>119</v>
      </c>
      <c r="G1856" s="3" t="s">
        <v>168</v>
      </c>
      <c r="H1856" s="3">
        <v>1</v>
      </c>
      <c r="I1856" s="7">
        <v>10136.48</v>
      </c>
      <c r="J1856" s="9">
        <v>0</v>
      </c>
      <c r="K1856" s="7">
        <v>10136.48</v>
      </c>
      <c r="L1856" s="7">
        <v>4073.62</v>
      </c>
      <c r="M1856" s="3" t="s">
        <v>56</v>
      </c>
      <c r="N1856" s="3" t="str">
        <f t="shared" si="112"/>
        <v>2025-05</v>
      </c>
      <c r="O1856" s="3" t="str">
        <f t="shared" si="113"/>
        <v>No discount</v>
      </c>
      <c r="P1856" s="9">
        <f t="shared" si="114"/>
        <v>0.40187718024402952</v>
      </c>
      <c r="Q1856" s="3" t="str">
        <f t="shared" si="115"/>
        <v>No</v>
      </c>
    </row>
    <row r="1857" spans="1:17" ht="21" customHeight="1">
      <c r="A1857" s="3" t="s">
        <v>2548</v>
      </c>
      <c r="B1857" s="5">
        <v>45798</v>
      </c>
      <c r="C1857" s="3" t="s">
        <v>2549</v>
      </c>
      <c r="D1857" s="3" t="s">
        <v>46</v>
      </c>
      <c r="E1857" s="3" t="s">
        <v>39</v>
      </c>
      <c r="F1857" s="3" t="s">
        <v>164</v>
      </c>
      <c r="G1857" s="3" t="s">
        <v>200</v>
      </c>
      <c r="H1857" s="3">
        <v>1</v>
      </c>
      <c r="I1857" s="7">
        <v>1359.21</v>
      </c>
      <c r="J1857" s="9">
        <v>0.15</v>
      </c>
      <c r="K1857" s="7">
        <v>1155.33</v>
      </c>
      <c r="L1857" s="7">
        <v>245.6</v>
      </c>
      <c r="M1857" s="3" t="s">
        <v>60</v>
      </c>
      <c r="N1857" s="3" t="str">
        <f t="shared" si="112"/>
        <v>2025-05</v>
      </c>
      <c r="O1857" s="3" t="str">
        <f t="shared" si="113"/>
        <v>11-15%</v>
      </c>
      <c r="P1857" s="9">
        <f t="shared" si="114"/>
        <v>0.21257995551054679</v>
      </c>
      <c r="Q1857" s="3" t="str">
        <f t="shared" si="115"/>
        <v>No</v>
      </c>
    </row>
    <row r="1858" spans="1:17" ht="21" customHeight="1">
      <c r="A1858" s="3" t="s">
        <v>2550</v>
      </c>
      <c r="B1858" s="5">
        <v>45799</v>
      </c>
      <c r="C1858" s="3" t="s">
        <v>1174</v>
      </c>
      <c r="D1858" s="3" t="s">
        <v>46</v>
      </c>
      <c r="E1858" s="3" t="s">
        <v>38</v>
      </c>
      <c r="F1858" s="3" t="s">
        <v>142</v>
      </c>
      <c r="G1858" s="3" t="s">
        <v>245</v>
      </c>
      <c r="H1858" s="3">
        <v>2</v>
      </c>
      <c r="I1858" s="7">
        <v>5212.24</v>
      </c>
      <c r="J1858" s="9">
        <v>0.15</v>
      </c>
      <c r="K1858" s="7">
        <v>8860.81</v>
      </c>
      <c r="L1858" s="7">
        <v>119.87</v>
      </c>
      <c r="M1858" s="3" t="s">
        <v>56</v>
      </c>
      <c r="N1858" s="3" t="str">
        <f t="shared" ref="N1858:N1921" si="116">TEXT(B1858,"yyyy-mm")</f>
        <v>2025-05</v>
      </c>
      <c r="O1858" s="3" t="str">
        <f t="shared" ref="O1858:O1921" si="117">IF(J1858=0,"No discount",IF(J1858&lt;=0.1,"1-10%",IF(J1858&lt;=0.15,"11-15%",IF(J1858&lt;=0.2,"16-20%","21%+"))))</f>
        <v>11-15%</v>
      </c>
      <c r="P1858" s="9">
        <f t="shared" ref="P1858:P1921" si="118">IF(K1858=0,0,L1858/K1858)</f>
        <v>1.3528108604066672E-2</v>
      </c>
      <c r="Q1858" s="3" t="str">
        <f t="shared" ref="Q1858:Q1921" si="119">IF(L1858&lt;0,"Yes","No")</f>
        <v>No</v>
      </c>
    </row>
    <row r="1859" spans="1:17" ht="21" customHeight="1">
      <c r="A1859" s="3" t="s">
        <v>2551</v>
      </c>
      <c r="B1859" s="5">
        <v>45799</v>
      </c>
      <c r="C1859" s="3" t="s">
        <v>2106</v>
      </c>
      <c r="D1859" s="3" t="s">
        <v>45</v>
      </c>
      <c r="E1859" s="3" t="s">
        <v>41</v>
      </c>
      <c r="F1859" s="3" t="s">
        <v>119</v>
      </c>
      <c r="G1859" s="3" t="s">
        <v>120</v>
      </c>
      <c r="H1859" s="3">
        <v>1</v>
      </c>
      <c r="I1859" s="7">
        <v>1329.5</v>
      </c>
      <c r="J1859" s="9">
        <v>0.15</v>
      </c>
      <c r="K1859" s="7">
        <v>1130.08</v>
      </c>
      <c r="L1859" s="7">
        <v>267.5</v>
      </c>
      <c r="M1859" s="3" t="s">
        <v>57</v>
      </c>
      <c r="N1859" s="3" t="str">
        <f t="shared" si="116"/>
        <v>2025-05</v>
      </c>
      <c r="O1859" s="3" t="str">
        <f t="shared" si="117"/>
        <v>11-15%</v>
      </c>
      <c r="P1859" s="9">
        <f t="shared" si="118"/>
        <v>0.23670890556420787</v>
      </c>
      <c r="Q1859" s="3" t="str">
        <f t="shared" si="119"/>
        <v>No</v>
      </c>
    </row>
    <row r="1860" spans="1:17" ht="21" customHeight="1">
      <c r="A1860" s="3" t="s">
        <v>2552</v>
      </c>
      <c r="B1860" s="5">
        <v>45799</v>
      </c>
      <c r="C1860" s="3" t="s">
        <v>923</v>
      </c>
      <c r="D1860" s="3" t="s">
        <v>45</v>
      </c>
      <c r="E1860" s="3" t="s">
        <v>42</v>
      </c>
      <c r="F1860" s="3" t="s">
        <v>90</v>
      </c>
      <c r="G1860" s="3" t="s">
        <v>91</v>
      </c>
      <c r="H1860" s="3">
        <v>2</v>
      </c>
      <c r="I1860" s="7">
        <v>1177.83</v>
      </c>
      <c r="J1860" s="9">
        <v>0</v>
      </c>
      <c r="K1860" s="7">
        <v>2355.66</v>
      </c>
      <c r="L1860" s="7">
        <v>1318.7</v>
      </c>
      <c r="M1860" s="3" t="s">
        <v>56</v>
      </c>
      <c r="N1860" s="3" t="str">
        <f t="shared" si="116"/>
        <v>2025-05</v>
      </c>
      <c r="O1860" s="3" t="str">
        <f t="shared" si="117"/>
        <v>No discount</v>
      </c>
      <c r="P1860" s="9">
        <f t="shared" si="118"/>
        <v>0.55980065034852233</v>
      </c>
      <c r="Q1860" s="3" t="str">
        <f t="shared" si="119"/>
        <v>No</v>
      </c>
    </row>
    <row r="1861" spans="1:17" ht="21" customHeight="1">
      <c r="A1861" s="3" t="s">
        <v>2553</v>
      </c>
      <c r="B1861" s="5">
        <v>45799</v>
      </c>
      <c r="C1861" s="3" t="s">
        <v>1039</v>
      </c>
      <c r="D1861" s="3" t="s">
        <v>44</v>
      </c>
      <c r="E1861" s="3" t="s">
        <v>38</v>
      </c>
      <c r="F1861" s="3" t="s">
        <v>142</v>
      </c>
      <c r="G1861" s="3" t="s">
        <v>143</v>
      </c>
      <c r="H1861" s="3">
        <v>1</v>
      </c>
      <c r="I1861" s="7">
        <v>8631.86</v>
      </c>
      <c r="J1861" s="9">
        <v>0.15</v>
      </c>
      <c r="K1861" s="7">
        <v>7337.08</v>
      </c>
      <c r="L1861" s="7">
        <v>138.38</v>
      </c>
      <c r="M1861" s="3" t="s">
        <v>56</v>
      </c>
      <c r="N1861" s="3" t="str">
        <f t="shared" si="116"/>
        <v>2025-05</v>
      </c>
      <c r="O1861" s="3" t="str">
        <f t="shared" si="117"/>
        <v>11-15%</v>
      </c>
      <c r="P1861" s="9">
        <f t="shared" si="118"/>
        <v>1.8860364068539529E-2</v>
      </c>
      <c r="Q1861" s="3" t="str">
        <f t="shared" si="119"/>
        <v>No</v>
      </c>
    </row>
    <row r="1862" spans="1:17" ht="21" customHeight="1">
      <c r="A1862" s="3" t="s">
        <v>2554</v>
      </c>
      <c r="B1862" s="5">
        <v>45800</v>
      </c>
      <c r="C1862" s="3" t="s">
        <v>1165</v>
      </c>
      <c r="D1862" s="3" t="s">
        <v>46</v>
      </c>
      <c r="E1862" s="3" t="s">
        <v>42</v>
      </c>
      <c r="F1862" s="3" t="s">
        <v>90</v>
      </c>
      <c r="G1862" s="3" t="s">
        <v>91</v>
      </c>
      <c r="H1862" s="3">
        <v>1</v>
      </c>
      <c r="I1862" s="7">
        <v>1241.25</v>
      </c>
      <c r="J1862" s="9">
        <v>0.05</v>
      </c>
      <c r="K1862" s="7">
        <v>1179.19</v>
      </c>
      <c r="L1862" s="7">
        <v>548.42999999999995</v>
      </c>
      <c r="M1862" s="3" t="s">
        <v>57</v>
      </c>
      <c r="N1862" s="3" t="str">
        <f t="shared" si="116"/>
        <v>2025-05</v>
      </c>
      <c r="O1862" s="3" t="str">
        <f t="shared" si="117"/>
        <v>1-10%</v>
      </c>
      <c r="P1862" s="9">
        <f t="shared" si="118"/>
        <v>0.4650904434399884</v>
      </c>
      <c r="Q1862" s="3" t="str">
        <f t="shared" si="119"/>
        <v>No</v>
      </c>
    </row>
    <row r="1863" spans="1:17" ht="21" customHeight="1">
      <c r="A1863" s="3" t="s">
        <v>2555</v>
      </c>
      <c r="B1863" s="5">
        <v>45801</v>
      </c>
      <c r="C1863" s="3" t="s">
        <v>125</v>
      </c>
      <c r="D1863" s="3" t="s">
        <v>47</v>
      </c>
      <c r="E1863" s="3" t="s">
        <v>40</v>
      </c>
      <c r="F1863" s="3" t="s">
        <v>102</v>
      </c>
      <c r="G1863" s="3" t="s">
        <v>103</v>
      </c>
      <c r="H1863" s="3">
        <v>1</v>
      </c>
      <c r="I1863" s="7">
        <v>6708.84</v>
      </c>
      <c r="J1863" s="9">
        <v>0</v>
      </c>
      <c r="K1863" s="7">
        <v>6708.84</v>
      </c>
      <c r="L1863" s="7">
        <v>2420.0300000000002</v>
      </c>
      <c r="M1863" s="3" t="s">
        <v>57</v>
      </c>
      <c r="N1863" s="3" t="str">
        <f t="shared" si="116"/>
        <v>2025-05</v>
      </c>
      <c r="O1863" s="3" t="str">
        <f t="shared" si="117"/>
        <v>No discount</v>
      </c>
      <c r="P1863" s="9">
        <f t="shared" si="118"/>
        <v>0.36072256902832683</v>
      </c>
      <c r="Q1863" s="3" t="str">
        <f t="shared" si="119"/>
        <v>No</v>
      </c>
    </row>
    <row r="1864" spans="1:17" ht="21" customHeight="1">
      <c r="A1864" s="3" t="s">
        <v>2556</v>
      </c>
      <c r="B1864" s="5">
        <v>45802</v>
      </c>
      <c r="C1864" s="3" t="s">
        <v>1376</v>
      </c>
      <c r="D1864" s="3" t="s">
        <v>44</v>
      </c>
      <c r="E1864" s="3" t="s">
        <v>40</v>
      </c>
      <c r="F1864" s="3" t="s">
        <v>102</v>
      </c>
      <c r="G1864" s="3" t="s">
        <v>146</v>
      </c>
      <c r="H1864" s="3">
        <v>1</v>
      </c>
      <c r="I1864" s="7">
        <v>7761.31</v>
      </c>
      <c r="J1864" s="9">
        <v>0</v>
      </c>
      <c r="K1864" s="7">
        <v>7761.31</v>
      </c>
      <c r="L1864" s="7">
        <v>2637.33</v>
      </c>
      <c r="M1864" s="3" t="s">
        <v>57</v>
      </c>
      <c r="N1864" s="3" t="str">
        <f t="shared" si="116"/>
        <v>2025-05</v>
      </c>
      <c r="O1864" s="3" t="str">
        <f t="shared" si="117"/>
        <v>No discount</v>
      </c>
      <c r="P1864" s="9">
        <f t="shared" si="118"/>
        <v>0.33980474945595524</v>
      </c>
      <c r="Q1864" s="3" t="str">
        <f t="shared" si="119"/>
        <v>No</v>
      </c>
    </row>
    <row r="1865" spans="1:17" ht="21" customHeight="1">
      <c r="A1865" s="3" t="s">
        <v>2557</v>
      </c>
      <c r="B1865" s="5">
        <v>45802</v>
      </c>
      <c r="C1865" s="3" t="s">
        <v>1195</v>
      </c>
      <c r="D1865" s="3" t="s">
        <v>45</v>
      </c>
      <c r="E1865" s="3" t="s">
        <v>40</v>
      </c>
      <c r="F1865" s="3" t="s">
        <v>102</v>
      </c>
      <c r="G1865" s="3" t="s">
        <v>103</v>
      </c>
      <c r="H1865" s="3">
        <v>2</v>
      </c>
      <c r="I1865" s="7">
        <v>6751.93</v>
      </c>
      <c r="J1865" s="9">
        <v>0</v>
      </c>
      <c r="K1865" s="7">
        <v>13503.86</v>
      </c>
      <c r="L1865" s="7">
        <v>4462.2</v>
      </c>
      <c r="M1865" s="3" t="s">
        <v>56</v>
      </c>
      <c r="N1865" s="3" t="str">
        <f t="shared" si="116"/>
        <v>2025-05</v>
      </c>
      <c r="O1865" s="3" t="str">
        <f t="shared" si="117"/>
        <v>No discount</v>
      </c>
      <c r="P1865" s="9">
        <f t="shared" si="118"/>
        <v>0.33043885229852793</v>
      </c>
      <c r="Q1865" s="3" t="str">
        <f t="shared" si="119"/>
        <v>No</v>
      </c>
    </row>
    <row r="1866" spans="1:17" ht="21" customHeight="1">
      <c r="A1866" s="3" t="s">
        <v>2558</v>
      </c>
      <c r="B1866" s="5">
        <v>45802</v>
      </c>
      <c r="C1866" s="3" t="s">
        <v>318</v>
      </c>
      <c r="D1866" s="3" t="s">
        <v>45</v>
      </c>
      <c r="E1866" s="3" t="s">
        <v>41</v>
      </c>
      <c r="F1866" s="3" t="s">
        <v>113</v>
      </c>
      <c r="G1866" s="3" t="s">
        <v>114</v>
      </c>
      <c r="H1866" s="3">
        <v>3</v>
      </c>
      <c r="I1866" s="7">
        <v>11660.54</v>
      </c>
      <c r="J1866" s="9">
        <v>0</v>
      </c>
      <c r="K1866" s="7">
        <v>34981.620000000003</v>
      </c>
      <c r="L1866" s="7">
        <v>12270.75</v>
      </c>
      <c r="M1866" s="3" t="s">
        <v>56</v>
      </c>
      <c r="N1866" s="3" t="str">
        <f t="shared" si="116"/>
        <v>2025-05</v>
      </c>
      <c r="O1866" s="3" t="str">
        <f t="shared" si="117"/>
        <v>No discount</v>
      </c>
      <c r="P1866" s="9">
        <f t="shared" si="118"/>
        <v>0.35077706521310331</v>
      </c>
      <c r="Q1866" s="3" t="str">
        <f t="shared" si="119"/>
        <v>No</v>
      </c>
    </row>
    <row r="1867" spans="1:17" ht="21" customHeight="1">
      <c r="A1867" s="3" t="s">
        <v>2559</v>
      </c>
      <c r="B1867" s="5">
        <v>45802</v>
      </c>
      <c r="C1867" s="3" t="s">
        <v>765</v>
      </c>
      <c r="D1867" s="3" t="s">
        <v>46</v>
      </c>
      <c r="E1867" s="3" t="s">
        <v>39</v>
      </c>
      <c r="F1867" s="3" t="s">
        <v>164</v>
      </c>
      <c r="G1867" s="3" t="s">
        <v>165</v>
      </c>
      <c r="H1867" s="3">
        <v>1</v>
      </c>
      <c r="I1867" s="7">
        <v>2019.94</v>
      </c>
      <c r="J1867" s="9">
        <v>0</v>
      </c>
      <c r="K1867" s="7">
        <v>2019.94</v>
      </c>
      <c r="L1867" s="7">
        <v>900.22</v>
      </c>
      <c r="M1867" s="3" t="s">
        <v>56</v>
      </c>
      <c r="N1867" s="3" t="str">
        <f t="shared" si="116"/>
        <v>2025-05</v>
      </c>
      <c r="O1867" s="3" t="str">
        <f t="shared" si="117"/>
        <v>No discount</v>
      </c>
      <c r="P1867" s="9">
        <f t="shared" si="118"/>
        <v>0.44566670297137539</v>
      </c>
      <c r="Q1867" s="3" t="str">
        <f t="shared" si="119"/>
        <v>No</v>
      </c>
    </row>
    <row r="1868" spans="1:17" ht="21" customHeight="1">
      <c r="A1868" s="3" t="s">
        <v>2560</v>
      </c>
      <c r="B1868" s="5">
        <v>45803</v>
      </c>
      <c r="C1868" s="3" t="s">
        <v>919</v>
      </c>
      <c r="D1868" s="3" t="s">
        <v>45</v>
      </c>
      <c r="E1868" s="3" t="s">
        <v>41</v>
      </c>
      <c r="F1868" s="3" t="s">
        <v>113</v>
      </c>
      <c r="G1868" s="3" t="s">
        <v>123</v>
      </c>
      <c r="H1868" s="3">
        <v>1</v>
      </c>
      <c r="I1868" s="7">
        <v>3504.38</v>
      </c>
      <c r="J1868" s="9">
        <v>0</v>
      </c>
      <c r="K1868" s="7">
        <v>3504.38</v>
      </c>
      <c r="L1868" s="7">
        <v>1379.76</v>
      </c>
      <c r="M1868" s="3" t="s">
        <v>59</v>
      </c>
      <c r="N1868" s="3" t="str">
        <f t="shared" si="116"/>
        <v>2025-05</v>
      </c>
      <c r="O1868" s="3" t="str">
        <f t="shared" si="117"/>
        <v>No discount</v>
      </c>
      <c r="P1868" s="9">
        <f t="shared" si="118"/>
        <v>0.39372442486260051</v>
      </c>
      <c r="Q1868" s="3" t="str">
        <f t="shared" si="119"/>
        <v>No</v>
      </c>
    </row>
    <row r="1869" spans="1:17" ht="21" customHeight="1">
      <c r="A1869" s="3" t="s">
        <v>2561</v>
      </c>
      <c r="B1869" s="5">
        <v>45803</v>
      </c>
      <c r="C1869" s="3" t="s">
        <v>242</v>
      </c>
      <c r="D1869" s="3" t="s">
        <v>45</v>
      </c>
      <c r="E1869" s="3" t="s">
        <v>42</v>
      </c>
      <c r="F1869" s="3" t="s">
        <v>126</v>
      </c>
      <c r="G1869" s="3" t="s">
        <v>151</v>
      </c>
      <c r="H1869" s="3">
        <v>1</v>
      </c>
      <c r="I1869" s="7">
        <v>1551.06</v>
      </c>
      <c r="J1869" s="9">
        <v>0.05</v>
      </c>
      <c r="K1869" s="7">
        <v>1473.51</v>
      </c>
      <c r="L1869" s="7">
        <v>688.33</v>
      </c>
      <c r="M1869" s="3" t="s">
        <v>56</v>
      </c>
      <c r="N1869" s="3" t="str">
        <f t="shared" si="116"/>
        <v>2025-05</v>
      </c>
      <c r="O1869" s="3" t="str">
        <f t="shared" si="117"/>
        <v>1-10%</v>
      </c>
      <c r="P1869" s="9">
        <f t="shared" si="118"/>
        <v>0.46713629361185199</v>
      </c>
      <c r="Q1869" s="3" t="str">
        <f t="shared" si="119"/>
        <v>No</v>
      </c>
    </row>
    <row r="1870" spans="1:17" ht="21" customHeight="1">
      <c r="A1870" s="3" t="s">
        <v>2562</v>
      </c>
      <c r="B1870" s="5">
        <v>45803</v>
      </c>
      <c r="C1870" s="3" t="s">
        <v>1707</v>
      </c>
      <c r="D1870" s="3" t="s">
        <v>47</v>
      </c>
      <c r="E1870" s="3" t="s">
        <v>38</v>
      </c>
      <c r="F1870" s="3" t="s">
        <v>94</v>
      </c>
      <c r="G1870" s="3" t="s">
        <v>95</v>
      </c>
      <c r="H1870" s="3">
        <v>1</v>
      </c>
      <c r="I1870" s="7">
        <v>78617.740000000005</v>
      </c>
      <c r="J1870" s="9">
        <v>0</v>
      </c>
      <c r="K1870" s="7">
        <v>78617.740000000005</v>
      </c>
      <c r="L1870" s="7">
        <v>15296.17</v>
      </c>
      <c r="M1870" s="3" t="s">
        <v>56</v>
      </c>
      <c r="N1870" s="3" t="str">
        <f t="shared" si="116"/>
        <v>2025-05</v>
      </c>
      <c r="O1870" s="3" t="str">
        <f t="shared" si="117"/>
        <v>No discount</v>
      </c>
      <c r="P1870" s="9">
        <f t="shared" si="118"/>
        <v>0.19456384780330749</v>
      </c>
      <c r="Q1870" s="3" t="str">
        <f t="shared" si="119"/>
        <v>No</v>
      </c>
    </row>
    <row r="1871" spans="1:17" ht="21" customHeight="1">
      <c r="A1871" s="3" t="s">
        <v>2563</v>
      </c>
      <c r="B1871" s="5">
        <v>45804</v>
      </c>
      <c r="C1871" s="3" t="s">
        <v>645</v>
      </c>
      <c r="D1871" s="3" t="s">
        <v>47</v>
      </c>
      <c r="E1871" s="3" t="s">
        <v>42</v>
      </c>
      <c r="F1871" s="3" t="s">
        <v>126</v>
      </c>
      <c r="G1871" s="3" t="s">
        <v>127</v>
      </c>
      <c r="H1871" s="3">
        <v>1</v>
      </c>
      <c r="I1871" s="7">
        <v>973.59</v>
      </c>
      <c r="J1871" s="9">
        <v>0.25</v>
      </c>
      <c r="K1871" s="7">
        <v>730.19</v>
      </c>
      <c r="L1871" s="7">
        <v>162.97999999999999</v>
      </c>
      <c r="M1871" s="3" t="s">
        <v>58</v>
      </c>
      <c r="N1871" s="3" t="str">
        <f t="shared" si="116"/>
        <v>2025-05</v>
      </c>
      <c r="O1871" s="3" t="str">
        <f t="shared" si="117"/>
        <v>21%+</v>
      </c>
      <c r="P1871" s="9">
        <f t="shared" si="118"/>
        <v>0.22320218025445429</v>
      </c>
      <c r="Q1871" s="3" t="str">
        <f t="shared" si="119"/>
        <v>No</v>
      </c>
    </row>
    <row r="1872" spans="1:17" ht="21" customHeight="1">
      <c r="A1872" s="3" t="s">
        <v>2564</v>
      </c>
      <c r="B1872" s="5">
        <v>45804</v>
      </c>
      <c r="C1872" s="3" t="s">
        <v>595</v>
      </c>
      <c r="D1872" s="3" t="s">
        <v>44</v>
      </c>
      <c r="E1872" s="3" t="s">
        <v>40</v>
      </c>
      <c r="F1872" s="3" t="s">
        <v>160</v>
      </c>
      <c r="G1872" s="3" t="s">
        <v>161</v>
      </c>
      <c r="H1872" s="3">
        <v>1</v>
      </c>
      <c r="I1872" s="7">
        <v>13471.24</v>
      </c>
      <c r="J1872" s="9">
        <v>0.05</v>
      </c>
      <c r="K1872" s="7">
        <v>12797.68</v>
      </c>
      <c r="L1872" s="7">
        <v>3896.56</v>
      </c>
      <c r="M1872" s="3" t="s">
        <v>58</v>
      </c>
      <c r="N1872" s="3" t="str">
        <f t="shared" si="116"/>
        <v>2025-05</v>
      </c>
      <c r="O1872" s="3" t="str">
        <f t="shared" si="117"/>
        <v>1-10%</v>
      </c>
      <c r="P1872" s="9">
        <f t="shared" si="118"/>
        <v>0.30447393590088201</v>
      </c>
      <c r="Q1872" s="3" t="str">
        <f t="shared" si="119"/>
        <v>No</v>
      </c>
    </row>
    <row r="1873" spans="1:17" ht="21" customHeight="1">
      <c r="A1873" s="3" t="s">
        <v>2565</v>
      </c>
      <c r="B1873" s="5">
        <v>45805</v>
      </c>
      <c r="C1873" s="3" t="s">
        <v>368</v>
      </c>
      <c r="D1873" s="3" t="s">
        <v>45</v>
      </c>
      <c r="E1873" s="3" t="s">
        <v>40</v>
      </c>
      <c r="F1873" s="3" t="s">
        <v>221</v>
      </c>
      <c r="G1873" s="3" t="s">
        <v>279</v>
      </c>
      <c r="H1873" s="3">
        <v>1</v>
      </c>
      <c r="I1873" s="7">
        <v>1509.71</v>
      </c>
      <c r="J1873" s="9">
        <v>0</v>
      </c>
      <c r="K1873" s="7">
        <v>1509.71</v>
      </c>
      <c r="L1873" s="7">
        <v>443.77</v>
      </c>
      <c r="M1873" s="3" t="s">
        <v>56</v>
      </c>
      <c r="N1873" s="3" t="str">
        <f t="shared" si="116"/>
        <v>2025-05</v>
      </c>
      <c r="O1873" s="3" t="str">
        <f t="shared" si="117"/>
        <v>No discount</v>
      </c>
      <c r="P1873" s="9">
        <f t="shared" si="118"/>
        <v>0.29394387001477101</v>
      </c>
      <c r="Q1873" s="3" t="str">
        <f t="shared" si="119"/>
        <v>No</v>
      </c>
    </row>
    <row r="1874" spans="1:17" ht="21" customHeight="1">
      <c r="A1874" s="3" t="s">
        <v>2566</v>
      </c>
      <c r="B1874" s="5">
        <v>45805</v>
      </c>
      <c r="C1874" s="3" t="s">
        <v>616</v>
      </c>
      <c r="D1874" s="3" t="s">
        <v>47</v>
      </c>
      <c r="E1874" s="3" t="s">
        <v>42</v>
      </c>
      <c r="F1874" s="3" t="s">
        <v>126</v>
      </c>
      <c r="G1874" s="3" t="s">
        <v>151</v>
      </c>
      <c r="H1874" s="3">
        <v>1</v>
      </c>
      <c r="I1874" s="7">
        <v>1514.68</v>
      </c>
      <c r="J1874" s="9">
        <v>0</v>
      </c>
      <c r="K1874" s="7">
        <v>1514.68</v>
      </c>
      <c r="L1874" s="7">
        <v>842.52</v>
      </c>
      <c r="M1874" s="3" t="s">
        <v>56</v>
      </c>
      <c r="N1874" s="3" t="str">
        <f t="shared" si="116"/>
        <v>2025-05</v>
      </c>
      <c r="O1874" s="3" t="str">
        <f t="shared" si="117"/>
        <v>No discount</v>
      </c>
      <c r="P1874" s="9">
        <f t="shared" si="118"/>
        <v>0.5562363007367892</v>
      </c>
      <c r="Q1874" s="3" t="str">
        <f t="shared" si="119"/>
        <v>No</v>
      </c>
    </row>
    <row r="1875" spans="1:17" ht="21" customHeight="1">
      <c r="A1875" s="3" t="s">
        <v>2567</v>
      </c>
      <c r="B1875" s="5">
        <v>45805</v>
      </c>
      <c r="C1875" s="3" t="s">
        <v>718</v>
      </c>
      <c r="D1875" s="3" t="s">
        <v>45</v>
      </c>
      <c r="E1875" s="3" t="s">
        <v>41</v>
      </c>
      <c r="F1875" s="3" t="s">
        <v>113</v>
      </c>
      <c r="G1875" s="3" t="s">
        <v>114</v>
      </c>
      <c r="H1875" s="3">
        <v>1</v>
      </c>
      <c r="I1875" s="7">
        <v>11679.58</v>
      </c>
      <c r="J1875" s="9">
        <v>0</v>
      </c>
      <c r="K1875" s="7">
        <v>11679.58</v>
      </c>
      <c r="L1875" s="7">
        <v>4574.0600000000004</v>
      </c>
      <c r="M1875" s="3" t="s">
        <v>56</v>
      </c>
      <c r="N1875" s="3" t="str">
        <f t="shared" si="116"/>
        <v>2025-05</v>
      </c>
      <c r="O1875" s="3" t="str">
        <f t="shared" si="117"/>
        <v>No discount</v>
      </c>
      <c r="P1875" s="9">
        <f t="shared" si="118"/>
        <v>0.39162880857017124</v>
      </c>
      <c r="Q1875" s="3" t="str">
        <f t="shared" si="119"/>
        <v>No</v>
      </c>
    </row>
    <row r="1876" spans="1:17" ht="21" customHeight="1">
      <c r="A1876" s="3" t="s">
        <v>2568</v>
      </c>
      <c r="B1876" s="5">
        <v>45805</v>
      </c>
      <c r="C1876" s="3" t="s">
        <v>2569</v>
      </c>
      <c r="D1876" s="3" t="s">
        <v>47</v>
      </c>
      <c r="E1876" s="3" t="s">
        <v>41</v>
      </c>
      <c r="F1876" s="3" t="s">
        <v>119</v>
      </c>
      <c r="G1876" s="3" t="s">
        <v>168</v>
      </c>
      <c r="H1876" s="3">
        <v>1</v>
      </c>
      <c r="I1876" s="7">
        <v>9577.7900000000009</v>
      </c>
      <c r="J1876" s="9">
        <v>0.1</v>
      </c>
      <c r="K1876" s="7">
        <v>8620.01</v>
      </c>
      <c r="L1876" s="7">
        <v>2371.16</v>
      </c>
      <c r="M1876" s="3" t="s">
        <v>56</v>
      </c>
      <c r="N1876" s="3" t="str">
        <f t="shared" si="116"/>
        <v>2025-05</v>
      </c>
      <c r="O1876" s="3" t="str">
        <f t="shared" si="117"/>
        <v>1-10%</v>
      </c>
      <c r="P1876" s="9">
        <f t="shared" si="118"/>
        <v>0.27507624701131433</v>
      </c>
      <c r="Q1876" s="3" t="str">
        <f t="shared" si="119"/>
        <v>No</v>
      </c>
    </row>
    <row r="1877" spans="1:17" ht="21" customHeight="1">
      <c r="A1877" s="3" t="s">
        <v>2570</v>
      </c>
      <c r="B1877" s="5">
        <v>45805</v>
      </c>
      <c r="C1877" s="3" t="s">
        <v>1245</v>
      </c>
      <c r="D1877" s="3" t="s">
        <v>47</v>
      </c>
      <c r="E1877" s="3" t="s">
        <v>42</v>
      </c>
      <c r="F1877" s="3" t="s">
        <v>126</v>
      </c>
      <c r="G1877" s="3" t="s">
        <v>127</v>
      </c>
      <c r="H1877" s="3">
        <v>3</v>
      </c>
      <c r="I1877" s="7">
        <v>1046.68</v>
      </c>
      <c r="J1877" s="9">
        <v>0.1</v>
      </c>
      <c r="K1877" s="7">
        <v>2826.04</v>
      </c>
      <c r="L1877" s="7">
        <v>1295.4100000000001</v>
      </c>
      <c r="M1877" s="3" t="s">
        <v>56</v>
      </c>
      <c r="N1877" s="3" t="str">
        <f t="shared" si="116"/>
        <v>2025-05</v>
      </c>
      <c r="O1877" s="3" t="str">
        <f t="shared" si="117"/>
        <v>1-10%</v>
      </c>
      <c r="P1877" s="9">
        <f t="shared" si="118"/>
        <v>0.45838346237137484</v>
      </c>
      <c r="Q1877" s="3" t="str">
        <f t="shared" si="119"/>
        <v>No</v>
      </c>
    </row>
    <row r="1878" spans="1:17" ht="21" customHeight="1">
      <c r="A1878" s="3" t="s">
        <v>2571</v>
      </c>
      <c r="B1878" s="5">
        <v>45805</v>
      </c>
      <c r="C1878" s="3" t="s">
        <v>199</v>
      </c>
      <c r="D1878" s="3" t="s">
        <v>45</v>
      </c>
      <c r="E1878" s="3" t="s">
        <v>42</v>
      </c>
      <c r="F1878" s="3" t="s">
        <v>126</v>
      </c>
      <c r="G1878" s="3" t="s">
        <v>151</v>
      </c>
      <c r="H1878" s="3">
        <v>1</v>
      </c>
      <c r="I1878" s="7">
        <v>1563.33</v>
      </c>
      <c r="J1878" s="9">
        <v>0.2</v>
      </c>
      <c r="K1878" s="7">
        <v>1250.6600000000001</v>
      </c>
      <c r="L1878" s="7">
        <v>366.35</v>
      </c>
      <c r="M1878" s="3" t="s">
        <v>57</v>
      </c>
      <c r="N1878" s="3" t="str">
        <f t="shared" si="116"/>
        <v>2025-05</v>
      </c>
      <c r="O1878" s="3" t="str">
        <f t="shared" si="117"/>
        <v>16-20%</v>
      </c>
      <c r="P1878" s="9">
        <f t="shared" si="118"/>
        <v>0.29292533542289673</v>
      </c>
      <c r="Q1878" s="3" t="str">
        <f t="shared" si="119"/>
        <v>No</v>
      </c>
    </row>
    <row r="1879" spans="1:17" ht="21" customHeight="1">
      <c r="A1879" s="3" t="s">
        <v>2572</v>
      </c>
      <c r="B1879" s="5">
        <v>45806</v>
      </c>
      <c r="C1879" s="3" t="s">
        <v>1049</v>
      </c>
      <c r="D1879" s="3" t="s">
        <v>45</v>
      </c>
      <c r="E1879" s="3" t="s">
        <v>39</v>
      </c>
      <c r="F1879" s="3" t="s">
        <v>109</v>
      </c>
      <c r="G1879" s="3" t="s">
        <v>110</v>
      </c>
      <c r="H1879" s="3">
        <v>5</v>
      </c>
      <c r="I1879" s="7">
        <v>2956.75</v>
      </c>
      <c r="J1879" s="9">
        <v>0.15</v>
      </c>
      <c r="K1879" s="7">
        <v>12566.19</v>
      </c>
      <c r="L1879" s="7">
        <v>3154.89</v>
      </c>
      <c r="M1879" s="3" t="s">
        <v>59</v>
      </c>
      <c r="N1879" s="3" t="str">
        <f t="shared" si="116"/>
        <v>2025-05</v>
      </c>
      <c r="O1879" s="3" t="str">
        <f t="shared" si="117"/>
        <v>11-15%</v>
      </c>
      <c r="P1879" s="9">
        <f t="shared" si="118"/>
        <v>0.2510617776748561</v>
      </c>
      <c r="Q1879" s="3" t="str">
        <f t="shared" si="119"/>
        <v>No</v>
      </c>
    </row>
    <row r="1880" spans="1:17" ht="21" customHeight="1">
      <c r="A1880" s="3" t="s">
        <v>2573</v>
      </c>
      <c r="B1880" s="5">
        <v>45806</v>
      </c>
      <c r="C1880" s="3" t="s">
        <v>1835</v>
      </c>
      <c r="D1880" s="3" t="s">
        <v>44</v>
      </c>
      <c r="E1880" s="3" t="s">
        <v>39</v>
      </c>
      <c r="F1880" s="3" t="s">
        <v>109</v>
      </c>
      <c r="G1880" s="3" t="s">
        <v>355</v>
      </c>
      <c r="H1880" s="3">
        <v>1</v>
      </c>
      <c r="I1880" s="7">
        <v>3373.02</v>
      </c>
      <c r="J1880" s="9">
        <v>0.2</v>
      </c>
      <c r="K1880" s="7">
        <v>2698.42</v>
      </c>
      <c r="L1880" s="7">
        <v>590.25</v>
      </c>
      <c r="M1880" s="3" t="s">
        <v>56</v>
      </c>
      <c r="N1880" s="3" t="str">
        <f t="shared" si="116"/>
        <v>2025-05</v>
      </c>
      <c r="O1880" s="3" t="str">
        <f t="shared" si="117"/>
        <v>16-20%</v>
      </c>
      <c r="P1880" s="9">
        <f t="shared" si="118"/>
        <v>0.21873911400004448</v>
      </c>
      <c r="Q1880" s="3" t="str">
        <f t="shared" si="119"/>
        <v>No</v>
      </c>
    </row>
    <row r="1881" spans="1:17" ht="21" customHeight="1">
      <c r="A1881" s="3" t="s">
        <v>2574</v>
      </c>
      <c r="B1881" s="5">
        <v>45806</v>
      </c>
      <c r="C1881" s="3" t="s">
        <v>579</v>
      </c>
      <c r="D1881" s="3" t="s">
        <v>44</v>
      </c>
      <c r="E1881" s="3" t="s">
        <v>40</v>
      </c>
      <c r="F1881" s="3" t="s">
        <v>221</v>
      </c>
      <c r="G1881" s="3" t="s">
        <v>279</v>
      </c>
      <c r="H1881" s="3">
        <v>2</v>
      </c>
      <c r="I1881" s="7">
        <v>1484.65</v>
      </c>
      <c r="J1881" s="9">
        <v>0</v>
      </c>
      <c r="K1881" s="7">
        <v>2969.3</v>
      </c>
      <c r="L1881" s="7">
        <v>873.64</v>
      </c>
      <c r="M1881" s="3" t="s">
        <v>56</v>
      </c>
      <c r="N1881" s="3" t="str">
        <f t="shared" si="116"/>
        <v>2025-05</v>
      </c>
      <c r="O1881" s="3" t="str">
        <f t="shared" si="117"/>
        <v>No discount</v>
      </c>
      <c r="P1881" s="9">
        <f t="shared" si="118"/>
        <v>0.2942242279325093</v>
      </c>
      <c r="Q1881" s="3" t="str">
        <f t="shared" si="119"/>
        <v>No</v>
      </c>
    </row>
    <row r="1882" spans="1:17" ht="21" customHeight="1">
      <c r="A1882" s="3" t="s">
        <v>2575</v>
      </c>
      <c r="B1882" s="5">
        <v>45807</v>
      </c>
      <c r="C1882" s="3" t="s">
        <v>375</v>
      </c>
      <c r="D1882" s="3" t="s">
        <v>45</v>
      </c>
      <c r="E1882" s="3" t="s">
        <v>38</v>
      </c>
      <c r="F1882" s="3" t="s">
        <v>94</v>
      </c>
      <c r="G1882" s="3" t="s">
        <v>213</v>
      </c>
      <c r="H1882" s="3">
        <v>1</v>
      </c>
      <c r="I1882" s="7">
        <v>53771.99</v>
      </c>
      <c r="J1882" s="9">
        <v>0.15</v>
      </c>
      <c r="K1882" s="7">
        <v>45706.19</v>
      </c>
      <c r="L1882" s="7">
        <v>2104.33</v>
      </c>
      <c r="M1882" s="3" t="s">
        <v>59</v>
      </c>
      <c r="N1882" s="3" t="str">
        <f t="shared" si="116"/>
        <v>2025-05</v>
      </c>
      <c r="O1882" s="3" t="str">
        <f t="shared" si="117"/>
        <v>11-15%</v>
      </c>
      <c r="P1882" s="9">
        <f t="shared" si="118"/>
        <v>4.6040372212166447E-2</v>
      </c>
      <c r="Q1882" s="3" t="str">
        <f t="shared" si="119"/>
        <v>No</v>
      </c>
    </row>
    <row r="1883" spans="1:17" ht="21" customHeight="1">
      <c r="A1883" s="3" t="s">
        <v>2576</v>
      </c>
      <c r="B1883" s="5">
        <v>45807</v>
      </c>
      <c r="C1883" s="3" t="s">
        <v>2577</v>
      </c>
      <c r="D1883" s="3" t="s">
        <v>44</v>
      </c>
      <c r="E1883" s="3" t="s">
        <v>39</v>
      </c>
      <c r="F1883" s="3" t="s">
        <v>109</v>
      </c>
      <c r="G1883" s="3" t="s">
        <v>355</v>
      </c>
      <c r="H1883" s="3">
        <v>1</v>
      </c>
      <c r="I1883" s="7">
        <v>3484.78</v>
      </c>
      <c r="J1883" s="9">
        <v>0.3</v>
      </c>
      <c r="K1883" s="7">
        <v>2439.35</v>
      </c>
      <c r="L1883" s="7">
        <v>126.61</v>
      </c>
      <c r="M1883" s="3" t="s">
        <v>58</v>
      </c>
      <c r="N1883" s="3" t="str">
        <f t="shared" si="116"/>
        <v>2025-05</v>
      </c>
      <c r="O1883" s="3" t="str">
        <f t="shared" si="117"/>
        <v>21%+</v>
      </c>
      <c r="P1883" s="9">
        <f t="shared" si="118"/>
        <v>5.1903170926681293E-2</v>
      </c>
      <c r="Q1883" s="3" t="str">
        <f t="shared" si="119"/>
        <v>No</v>
      </c>
    </row>
    <row r="1884" spans="1:17" ht="21" customHeight="1">
      <c r="A1884" s="3" t="s">
        <v>2578</v>
      </c>
      <c r="B1884" s="5">
        <v>45807</v>
      </c>
      <c r="C1884" s="3" t="s">
        <v>295</v>
      </c>
      <c r="D1884" s="3" t="s">
        <v>45</v>
      </c>
      <c r="E1884" s="3" t="s">
        <v>41</v>
      </c>
      <c r="F1884" s="3" t="s">
        <v>119</v>
      </c>
      <c r="G1884" s="3" t="s">
        <v>168</v>
      </c>
      <c r="H1884" s="3">
        <v>3</v>
      </c>
      <c r="I1884" s="7">
        <v>9934.43</v>
      </c>
      <c r="J1884" s="9">
        <v>0.3</v>
      </c>
      <c r="K1884" s="7">
        <v>20862.3</v>
      </c>
      <c r="L1884" s="7">
        <v>1139.6400000000001</v>
      </c>
      <c r="M1884" s="3" t="s">
        <v>57</v>
      </c>
      <c r="N1884" s="3" t="str">
        <f t="shared" si="116"/>
        <v>2025-05</v>
      </c>
      <c r="O1884" s="3" t="str">
        <f t="shared" si="117"/>
        <v>21%+</v>
      </c>
      <c r="P1884" s="9">
        <f t="shared" si="118"/>
        <v>5.4626766943242124E-2</v>
      </c>
      <c r="Q1884" s="3" t="str">
        <f t="shared" si="119"/>
        <v>No</v>
      </c>
    </row>
    <row r="1885" spans="1:17" ht="21" customHeight="1">
      <c r="A1885" s="3" t="s">
        <v>2579</v>
      </c>
      <c r="B1885" s="5">
        <v>45808</v>
      </c>
      <c r="C1885" s="3" t="s">
        <v>1205</v>
      </c>
      <c r="D1885" s="3" t="s">
        <v>47</v>
      </c>
      <c r="E1885" s="3" t="s">
        <v>40</v>
      </c>
      <c r="F1885" s="3" t="s">
        <v>160</v>
      </c>
      <c r="G1885" s="3" t="s">
        <v>173</v>
      </c>
      <c r="H1885" s="3">
        <v>1</v>
      </c>
      <c r="I1885" s="7">
        <v>9153.91</v>
      </c>
      <c r="J1885" s="9">
        <v>0.1</v>
      </c>
      <c r="K1885" s="7">
        <v>8238.52</v>
      </c>
      <c r="L1885" s="7">
        <v>1522.95</v>
      </c>
      <c r="M1885" s="3" t="s">
        <v>57</v>
      </c>
      <c r="N1885" s="3" t="str">
        <f t="shared" si="116"/>
        <v>2025-05</v>
      </c>
      <c r="O1885" s="3" t="str">
        <f t="shared" si="117"/>
        <v>1-10%</v>
      </c>
      <c r="P1885" s="9">
        <f t="shared" si="118"/>
        <v>0.18485723163869239</v>
      </c>
      <c r="Q1885" s="3" t="str">
        <f t="shared" si="119"/>
        <v>No</v>
      </c>
    </row>
    <row r="1886" spans="1:17" ht="21" customHeight="1">
      <c r="A1886" s="3" t="s">
        <v>2580</v>
      </c>
      <c r="B1886" s="5">
        <v>45808</v>
      </c>
      <c r="C1886" s="3" t="s">
        <v>1938</v>
      </c>
      <c r="D1886" s="3" t="s">
        <v>46</v>
      </c>
      <c r="E1886" s="3" t="s">
        <v>41</v>
      </c>
      <c r="F1886" s="3" t="s">
        <v>119</v>
      </c>
      <c r="G1886" s="3" t="s">
        <v>168</v>
      </c>
      <c r="H1886" s="3">
        <v>2</v>
      </c>
      <c r="I1886" s="7">
        <v>9926.08</v>
      </c>
      <c r="J1886" s="9">
        <v>0.15</v>
      </c>
      <c r="K1886" s="7">
        <v>16874.34</v>
      </c>
      <c r="L1886" s="7">
        <v>2966.98</v>
      </c>
      <c r="M1886" s="3" t="s">
        <v>57</v>
      </c>
      <c r="N1886" s="3" t="str">
        <f t="shared" si="116"/>
        <v>2025-05</v>
      </c>
      <c r="O1886" s="3" t="str">
        <f t="shared" si="117"/>
        <v>11-15%</v>
      </c>
      <c r="P1886" s="9">
        <f t="shared" si="118"/>
        <v>0.17582791386211252</v>
      </c>
      <c r="Q1886" s="3" t="str">
        <f t="shared" si="119"/>
        <v>No</v>
      </c>
    </row>
    <row r="1887" spans="1:17" ht="21" customHeight="1">
      <c r="A1887" s="3" t="s">
        <v>2581</v>
      </c>
      <c r="B1887" s="5">
        <v>45808</v>
      </c>
      <c r="C1887" s="3" t="s">
        <v>440</v>
      </c>
      <c r="D1887" s="3" t="s">
        <v>47</v>
      </c>
      <c r="E1887" s="3" t="s">
        <v>38</v>
      </c>
      <c r="F1887" s="3" t="s">
        <v>94</v>
      </c>
      <c r="G1887" s="3" t="s">
        <v>213</v>
      </c>
      <c r="H1887" s="3">
        <v>1</v>
      </c>
      <c r="I1887" s="7">
        <v>53091.62</v>
      </c>
      <c r="J1887" s="9">
        <v>0.1</v>
      </c>
      <c r="K1887" s="7">
        <v>47782.46</v>
      </c>
      <c r="L1887" s="7">
        <v>3769.6</v>
      </c>
      <c r="M1887" s="3" t="s">
        <v>60</v>
      </c>
      <c r="N1887" s="3" t="str">
        <f t="shared" si="116"/>
        <v>2025-05</v>
      </c>
      <c r="O1887" s="3" t="str">
        <f t="shared" si="117"/>
        <v>1-10%</v>
      </c>
      <c r="P1887" s="9">
        <f t="shared" si="118"/>
        <v>7.889087334557493E-2</v>
      </c>
      <c r="Q1887" s="3" t="str">
        <f t="shared" si="119"/>
        <v>No</v>
      </c>
    </row>
    <row r="1888" spans="1:17" ht="21" customHeight="1">
      <c r="A1888" s="3" t="s">
        <v>2582</v>
      </c>
      <c r="B1888" s="5">
        <v>45808</v>
      </c>
      <c r="C1888" s="3" t="s">
        <v>307</v>
      </c>
      <c r="D1888" s="3" t="s">
        <v>47</v>
      </c>
      <c r="E1888" s="3" t="s">
        <v>42</v>
      </c>
      <c r="F1888" s="3" t="s">
        <v>90</v>
      </c>
      <c r="G1888" s="3" t="s">
        <v>106</v>
      </c>
      <c r="H1888" s="3">
        <v>4</v>
      </c>
      <c r="I1888" s="7">
        <v>891.61</v>
      </c>
      <c r="J1888" s="9">
        <v>0.2</v>
      </c>
      <c r="K1888" s="7">
        <v>2853.15</v>
      </c>
      <c r="L1888" s="7">
        <v>808.98</v>
      </c>
      <c r="M1888" s="3" t="s">
        <v>58</v>
      </c>
      <c r="N1888" s="3" t="str">
        <f t="shared" si="116"/>
        <v>2025-05</v>
      </c>
      <c r="O1888" s="3" t="str">
        <f t="shared" si="117"/>
        <v>16-20%</v>
      </c>
      <c r="P1888" s="9">
        <f t="shared" si="118"/>
        <v>0.28353924609641973</v>
      </c>
      <c r="Q1888" s="3" t="str">
        <f t="shared" si="119"/>
        <v>No</v>
      </c>
    </row>
    <row r="1889" spans="1:17" ht="21" customHeight="1">
      <c r="A1889" s="3" t="s">
        <v>2583</v>
      </c>
      <c r="B1889" s="5">
        <v>45808</v>
      </c>
      <c r="C1889" s="3" t="s">
        <v>1427</v>
      </c>
      <c r="D1889" s="3" t="s">
        <v>45</v>
      </c>
      <c r="E1889" s="3" t="s">
        <v>38</v>
      </c>
      <c r="F1889" s="3" t="s">
        <v>98</v>
      </c>
      <c r="G1889" s="3" t="s">
        <v>182</v>
      </c>
      <c r="H1889" s="3">
        <v>2</v>
      </c>
      <c r="I1889" s="7">
        <v>68932.38</v>
      </c>
      <c r="J1889" s="9">
        <v>0</v>
      </c>
      <c r="K1889" s="7">
        <v>137864.76</v>
      </c>
      <c r="L1889" s="7">
        <v>24292.49</v>
      </c>
      <c r="M1889" s="3" t="s">
        <v>60</v>
      </c>
      <c r="N1889" s="3" t="str">
        <f t="shared" si="116"/>
        <v>2025-05</v>
      </c>
      <c r="O1889" s="3" t="str">
        <f t="shared" si="117"/>
        <v>No discount</v>
      </c>
      <c r="P1889" s="9">
        <f t="shared" si="118"/>
        <v>0.17620521734488204</v>
      </c>
      <c r="Q1889" s="3" t="str">
        <f t="shared" si="119"/>
        <v>No</v>
      </c>
    </row>
    <row r="1890" spans="1:17" ht="21" customHeight="1">
      <c r="A1890" s="3" t="s">
        <v>2584</v>
      </c>
      <c r="B1890" s="5">
        <v>45808</v>
      </c>
      <c r="C1890" s="3" t="s">
        <v>726</v>
      </c>
      <c r="D1890" s="3" t="s">
        <v>47</v>
      </c>
      <c r="E1890" s="3" t="s">
        <v>38</v>
      </c>
      <c r="F1890" s="3" t="s">
        <v>94</v>
      </c>
      <c r="G1890" s="3" t="s">
        <v>95</v>
      </c>
      <c r="H1890" s="3">
        <v>2</v>
      </c>
      <c r="I1890" s="7">
        <v>78871.55</v>
      </c>
      <c r="J1890" s="9">
        <v>0</v>
      </c>
      <c r="K1890" s="7">
        <v>157743.1</v>
      </c>
      <c r="L1890" s="7">
        <v>33517.9</v>
      </c>
      <c r="M1890" s="3" t="s">
        <v>57</v>
      </c>
      <c r="N1890" s="3" t="str">
        <f t="shared" si="116"/>
        <v>2025-05</v>
      </c>
      <c r="O1890" s="3" t="str">
        <f t="shared" si="117"/>
        <v>No discount</v>
      </c>
      <c r="P1890" s="9">
        <f t="shared" si="118"/>
        <v>0.21248409597630577</v>
      </c>
      <c r="Q1890" s="3" t="str">
        <f t="shared" si="119"/>
        <v>No</v>
      </c>
    </row>
    <row r="1891" spans="1:17" ht="21" customHeight="1">
      <c r="A1891" s="3" t="s">
        <v>2585</v>
      </c>
      <c r="B1891" s="5">
        <v>45809</v>
      </c>
      <c r="C1891" s="3" t="s">
        <v>680</v>
      </c>
      <c r="D1891" s="3" t="s">
        <v>47</v>
      </c>
      <c r="E1891" s="3" t="s">
        <v>40</v>
      </c>
      <c r="F1891" s="3" t="s">
        <v>102</v>
      </c>
      <c r="G1891" s="3" t="s">
        <v>103</v>
      </c>
      <c r="H1891" s="3">
        <v>1</v>
      </c>
      <c r="I1891" s="7">
        <v>6821.33</v>
      </c>
      <c r="J1891" s="9">
        <v>0</v>
      </c>
      <c r="K1891" s="7">
        <v>6821.33</v>
      </c>
      <c r="L1891" s="7">
        <v>2232.9299999999998</v>
      </c>
      <c r="M1891" s="3" t="s">
        <v>57</v>
      </c>
      <c r="N1891" s="3" t="str">
        <f t="shared" si="116"/>
        <v>2025-06</v>
      </c>
      <c r="O1891" s="3" t="str">
        <f t="shared" si="117"/>
        <v>No discount</v>
      </c>
      <c r="P1891" s="9">
        <f t="shared" si="118"/>
        <v>0.32734525378481905</v>
      </c>
      <c r="Q1891" s="3" t="str">
        <f t="shared" si="119"/>
        <v>No</v>
      </c>
    </row>
    <row r="1892" spans="1:17" ht="21" customHeight="1">
      <c r="A1892" s="3" t="s">
        <v>2586</v>
      </c>
      <c r="B1892" s="5">
        <v>45809</v>
      </c>
      <c r="C1892" s="3" t="s">
        <v>1010</v>
      </c>
      <c r="D1892" s="3" t="s">
        <v>44</v>
      </c>
      <c r="E1892" s="3" t="s">
        <v>40</v>
      </c>
      <c r="F1892" s="3" t="s">
        <v>160</v>
      </c>
      <c r="G1892" s="3" t="s">
        <v>161</v>
      </c>
      <c r="H1892" s="3">
        <v>1</v>
      </c>
      <c r="I1892" s="7">
        <v>12418.74</v>
      </c>
      <c r="J1892" s="9">
        <v>0.05</v>
      </c>
      <c r="K1892" s="7">
        <v>11797.8</v>
      </c>
      <c r="L1892" s="7">
        <v>3081.86</v>
      </c>
      <c r="M1892" s="3" t="s">
        <v>56</v>
      </c>
      <c r="N1892" s="3" t="str">
        <f t="shared" si="116"/>
        <v>2025-06</v>
      </c>
      <c r="O1892" s="3" t="str">
        <f t="shared" si="117"/>
        <v>1-10%</v>
      </c>
      <c r="P1892" s="9">
        <f t="shared" si="118"/>
        <v>0.26122327891640817</v>
      </c>
      <c r="Q1892" s="3" t="str">
        <f t="shared" si="119"/>
        <v>No</v>
      </c>
    </row>
    <row r="1893" spans="1:17" ht="21" customHeight="1">
      <c r="A1893" s="3" t="s">
        <v>2587</v>
      </c>
      <c r="B1893" s="5">
        <v>45809</v>
      </c>
      <c r="C1893" s="3" t="s">
        <v>329</v>
      </c>
      <c r="D1893" s="3" t="s">
        <v>45</v>
      </c>
      <c r="E1893" s="3" t="s">
        <v>40</v>
      </c>
      <c r="F1893" s="3" t="s">
        <v>160</v>
      </c>
      <c r="G1893" s="3" t="s">
        <v>161</v>
      </c>
      <c r="H1893" s="3">
        <v>1</v>
      </c>
      <c r="I1893" s="7">
        <v>13000.4</v>
      </c>
      <c r="J1893" s="9">
        <v>0.2</v>
      </c>
      <c r="K1893" s="7">
        <v>10400.32</v>
      </c>
      <c r="L1893" s="7">
        <v>799.63</v>
      </c>
      <c r="M1893" s="3" t="s">
        <v>57</v>
      </c>
      <c r="N1893" s="3" t="str">
        <f t="shared" si="116"/>
        <v>2025-06</v>
      </c>
      <c r="O1893" s="3" t="str">
        <f t="shared" si="117"/>
        <v>16-20%</v>
      </c>
      <c r="P1893" s="9">
        <f t="shared" si="118"/>
        <v>7.6885134303559893E-2</v>
      </c>
      <c r="Q1893" s="3" t="str">
        <f t="shared" si="119"/>
        <v>No</v>
      </c>
    </row>
    <row r="1894" spans="1:17" ht="21" customHeight="1">
      <c r="A1894" s="3" t="s">
        <v>2588</v>
      </c>
      <c r="B1894" s="5">
        <v>45809</v>
      </c>
      <c r="C1894" s="3" t="s">
        <v>463</v>
      </c>
      <c r="D1894" s="3" t="s">
        <v>45</v>
      </c>
      <c r="E1894" s="3" t="s">
        <v>39</v>
      </c>
      <c r="F1894" s="3" t="s">
        <v>109</v>
      </c>
      <c r="G1894" s="3" t="s">
        <v>355</v>
      </c>
      <c r="H1894" s="3">
        <v>2</v>
      </c>
      <c r="I1894" s="7">
        <v>3395.38</v>
      </c>
      <c r="J1894" s="9">
        <v>0.2</v>
      </c>
      <c r="K1894" s="7">
        <v>5432.61</v>
      </c>
      <c r="L1894" s="7">
        <v>1168.9100000000001</v>
      </c>
      <c r="M1894" s="3" t="s">
        <v>58</v>
      </c>
      <c r="N1894" s="3" t="str">
        <f t="shared" si="116"/>
        <v>2025-06</v>
      </c>
      <c r="O1894" s="3" t="str">
        <f t="shared" si="117"/>
        <v>16-20%</v>
      </c>
      <c r="P1894" s="9">
        <f t="shared" si="118"/>
        <v>0.21516545454210778</v>
      </c>
      <c r="Q1894" s="3" t="str">
        <f t="shared" si="119"/>
        <v>No</v>
      </c>
    </row>
    <row r="1895" spans="1:17" ht="21" customHeight="1">
      <c r="A1895" s="3" t="s">
        <v>2589</v>
      </c>
      <c r="B1895" s="5">
        <v>45810</v>
      </c>
      <c r="C1895" s="3" t="s">
        <v>2043</v>
      </c>
      <c r="D1895" s="3" t="s">
        <v>45</v>
      </c>
      <c r="E1895" s="3" t="s">
        <v>40</v>
      </c>
      <c r="F1895" s="3" t="s">
        <v>102</v>
      </c>
      <c r="G1895" s="3" t="s">
        <v>103</v>
      </c>
      <c r="H1895" s="3">
        <v>1</v>
      </c>
      <c r="I1895" s="7">
        <v>6724.63</v>
      </c>
      <c r="J1895" s="9">
        <v>0.4</v>
      </c>
      <c r="K1895" s="7">
        <v>4034.78</v>
      </c>
      <c r="L1895" s="7">
        <v>-664.04</v>
      </c>
      <c r="M1895" s="3" t="s">
        <v>56</v>
      </c>
      <c r="N1895" s="3" t="str">
        <f t="shared" si="116"/>
        <v>2025-06</v>
      </c>
      <c r="O1895" s="3" t="str">
        <f t="shared" si="117"/>
        <v>21%+</v>
      </c>
      <c r="P1895" s="9">
        <f t="shared" si="118"/>
        <v>-0.16457898571917179</v>
      </c>
      <c r="Q1895" s="3" t="str">
        <f t="shared" si="119"/>
        <v>Yes</v>
      </c>
    </row>
    <row r="1896" spans="1:17" ht="21" customHeight="1">
      <c r="A1896" s="3" t="s">
        <v>2590</v>
      </c>
      <c r="B1896" s="5">
        <v>45810</v>
      </c>
      <c r="C1896" s="3" t="s">
        <v>523</v>
      </c>
      <c r="D1896" s="3" t="s">
        <v>45</v>
      </c>
      <c r="E1896" s="3" t="s">
        <v>40</v>
      </c>
      <c r="F1896" s="3" t="s">
        <v>221</v>
      </c>
      <c r="G1896" s="3" t="s">
        <v>279</v>
      </c>
      <c r="H1896" s="3">
        <v>3</v>
      </c>
      <c r="I1896" s="7">
        <v>1556.49</v>
      </c>
      <c r="J1896" s="9">
        <v>0.1</v>
      </c>
      <c r="K1896" s="7">
        <v>4202.5200000000004</v>
      </c>
      <c r="L1896" s="7">
        <v>990.45</v>
      </c>
      <c r="M1896" s="3" t="s">
        <v>57</v>
      </c>
      <c r="N1896" s="3" t="str">
        <f t="shared" si="116"/>
        <v>2025-06</v>
      </c>
      <c r="O1896" s="3" t="str">
        <f t="shared" si="117"/>
        <v>1-10%</v>
      </c>
      <c r="P1896" s="9">
        <f t="shared" si="118"/>
        <v>0.2356800205590931</v>
      </c>
      <c r="Q1896" s="3" t="str">
        <f t="shared" si="119"/>
        <v>No</v>
      </c>
    </row>
    <row r="1897" spans="1:17" ht="21" customHeight="1">
      <c r="A1897" s="3" t="s">
        <v>2591</v>
      </c>
      <c r="B1897" s="5">
        <v>45811</v>
      </c>
      <c r="C1897" s="3" t="s">
        <v>1264</v>
      </c>
      <c r="D1897" s="3" t="s">
        <v>46</v>
      </c>
      <c r="E1897" s="3" t="s">
        <v>38</v>
      </c>
      <c r="F1897" s="3" t="s">
        <v>142</v>
      </c>
      <c r="G1897" s="3" t="s">
        <v>143</v>
      </c>
      <c r="H1897" s="3">
        <v>5</v>
      </c>
      <c r="I1897" s="7">
        <v>9005.91</v>
      </c>
      <c r="J1897" s="9">
        <v>0.15</v>
      </c>
      <c r="K1897" s="7">
        <v>38275.120000000003</v>
      </c>
      <c r="L1897" s="7">
        <v>-918.11</v>
      </c>
      <c r="M1897" s="3" t="s">
        <v>58</v>
      </c>
      <c r="N1897" s="3" t="str">
        <f t="shared" si="116"/>
        <v>2025-06</v>
      </c>
      <c r="O1897" s="3" t="str">
        <f t="shared" si="117"/>
        <v>11-15%</v>
      </c>
      <c r="P1897" s="9">
        <f t="shared" si="118"/>
        <v>-2.3987122705297854E-2</v>
      </c>
      <c r="Q1897" s="3" t="str">
        <f t="shared" si="119"/>
        <v>Yes</v>
      </c>
    </row>
    <row r="1898" spans="1:17" ht="21" customHeight="1">
      <c r="A1898" s="3" t="s">
        <v>2592</v>
      </c>
      <c r="B1898" s="5">
        <v>45811</v>
      </c>
      <c r="C1898" s="3" t="s">
        <v>1707</v>
      </c>
      <c r="D1898" s="3" t="s">
        <v>47</v>
      </c>
      <c r="E1898" s="3" t="s">
        <v>42</v>
      </c>
      <c r="F1898" s="3" t="s">
        <v>90</v>
      </c>
      <c r="G1898" s="3" t="s">
        <v>91</v>
      </c>
      <c r="H1898" s="3">
        <v>2</v>
      </c>
      <c r="I1898" s="7">
        <v>1203.1500000000001</v>
      </c>
      <c r="J1898" s="9">
        <v>0</v>
      </c>
      <c r="K1898" s="7">
        <v>2406.3000000000002</v>
      </c>
      <c r="L1898" s="7">
        <v>1378.31</v>
      </c>
      <c r="M1898" s="3" t="s">
        <v>57</v>
      </c>
      <c r="N1898" s="3" t="str">
        <f t="shared" si="116"/>
        <v>2025-06</v>
      </c>
      <c r="O1898" s="3" t="str">
        <f t="shared" si="117"/>
        <v>No discount</v>
      </c>
      <c r="P1898" s="9">
        <f t="shared" si="118"/>
        <v>0.57279225366745623</v>
      </c>
      <c r="Q1898" s="3" t="str">
        <f t="shared" si="119"/>
        <v>No</v>
      </c>
    </row>
    <row r="1899" spans="1:17" ht="21" customHeight="1">
      <c r="A1899" s="3" t="s">
        <v>2593</v>
      </c>
      <c r="B1899" s="5">
        <v>45811</v>
      </c>
      <c r="C1899" s="3" t="s">
        <v>2051</v>
      </c>
      <c r="D1899" s="3" t="s">
        <v>45</v>
      </c>
      <c r="E1899" s="3" t="s">
        <v>41</v>
      </c>
      <c r="F1899" s="3" t="s">
        <v>113</v>
      </c>
      <c r="G1899" s="3" t="s">
        <v>123</v>
      </c>
      <c r="H1899" s="3">
        <v>1</v>
      </c>
      <c r="I1899" s="7">
        <v>3442.27</v>
      </c>
      <c r="J1899" s="9">
        <v>0.05</v>
      </c>
      <c r="K1899" s="7">
        <v>3270.16</v>
      </c>
      <c r="L1899" s="7">
        <v>1101.3399999999999</v>
      </c>
      <c r="M1899" s="3" t="s">
        <v>60</v>
      </c>
      <c r="N1899" s="3" t="str">
        <f t="shared" si="116"/>
        <v>2025-06</v>
      </c>
      <c r="O1899" s="3" t="str">
        <f t="shared" si="117"/>
        <v>1-10%</v>
      </c>
      <c r="P1899" s="9">
        <f t="shared" si="118"/>
        <v>0.33678474447733442</v>
      </c>
      <c r="Q1899" s="3" t="str">
        <f t="shared" si="119"/>
        <v>No</v>
      </c>
    </row>
    <row r="1900" spans="1:17" ht="21" customHeight="1">
      <c r="A1900" s="3" t="s">
        <v>2594</v>
      </c>
      <c r="B1900" s="5">
        <v>45811</v>
      </c>
      <c r="C1900" s="3" t="s">
        <v>97</v>
      </c>
      <c r="D1900" s="3" t="s">
        <v>46</v>
      </c>
      <c r="E1900" s="3" t="s">
        <v>38</v>
      </c>
      <c r="F1900" s="3" t="s">
        <v>142</v>
      </c>
      <c r="G1900" s="3" t="s">
        <v>245</v>
      </c>
      <c r="H1900" s="3">
        <v>1</v>
      </c>
      <c r="I1900" s="7">
        <v>5100.2</v>
      </c>
      <c r="J1900" s="9">
        <v>0.2</v>
      </c>
      <c r="K1900" s="7">
        <v>4080.16</v>
      </c>
      <c r="L1900" s="7">
        <v>-107.53</v>
      </c>
      <c r="M1900" s="3" t="s">
        <v>56</v>
      </c>
      <c r="N1900" s="3" t="str">
        <f t="shared" si="116"/>
        <v>2025-06</v>
      </c>
      <c r="O1900" s="3" t="str">
        <f t="shared" si="117"/>
        <v>16-20%</v>
      </c>
      <c r="P1900" s="9">
        <f t="shared" si="118"/>
        <v>-2.6354358652601859E-2</v>
      </c>
      <c r="Q1900" s="3" t="str">
        <f t="shared" si="119"/>
        <v>Yes</v>
      </c>
    </row>
    <row r="1901" spans="1:17" ht="21" customHeight="1">
      <c r="A1901" s="3" t="s">
        <v>2595</v>
      </c>
      <c r="B1901" s="5">
        <v>45811</v>
      </c>
      <c r="C1901" s="3" t="s">
        <v>436</v>
      </c>
      <c r="D1901" s="3" t="s">
        <v>44</v>
      </c>
      <c r="E1901" s="3" t="s">
        <v>39</v>
      </c>
      <c r="F1901" s="3" t="s">
        <v>164</v>
      </c>
      <c r="G1901" s="3" t="s">
        <v>200</v>
      </c>
      <c r="H1901" s="3">
        <v>4</v>
      </c>
      <c r="I1901" s="7">
        <v>1301.8499999999999</v>
      </c>
      <c r="J1901" s="9">
        <v>0.2</v>
      </c>
      <c r="K1901" s="7">
        <v>4165.92</v>
      </c>
      <c r="L1901" s="7">
        <v>870.66</v>
      </c>
      <c r="M1901" s="3" t="s">
        <v>60</v>
      </c>
      <c r="N1901" s="3" t="str">
        <f t="shared" si="116"/>
        <v>2025-06</v>
      </c>
      <c r="O1901" s="3" t="str">
        <f t="shared" si="117"/>
        <v>16-20%</v>
      </c>
      <c r="P1901" s="9">
        <f t="shared" si="118"/>
        <v>0.20899585205668855</v>
      </c>
      <c r="Q1901" s="3" t="str">
        <f t="shared" si="119"/>
        <v>No</v>
      </c>
    </row>
    <row r="1902" spans="1:17" ht="21" customHeight="1">
      <c r="A1902" s="3" t="s">
        <v>2596</v>
      </c>
      <c r="B1902" s="5">
        <v>45811</v>
      </c>
      <c r="C1902" s="3" t="s">
        <v>1199</v>
      </c>
      <c r="D1902" s="3" t="s">
        <v>46</v>
      </c>
      <c r="E1902" s="3" t="s">
        <v>41</v>
      </c>
      <c r="F1902" s="3" t="s">
        <v>113</v>
      </c>
      <c r="G1902" s="3" t="s">
        <v>123</v>
      </c>
      <c r="H1902" s="3">
        <v>1</v>
      </c>
      <c r="I1902" s="7">
        <v>3382.21</v>
      </c>
      <c r="J1902" s="9">
        <v>0</v>
      </c>
      <c r="K1902" s="7">
        <v>3382.21</v>
      </c>
      <c r="L1902" s="7">
        <v>1382.7</v>
      </c>
      <c r="M1902" s="3" t="s">
        <v>56</v>
      </c>
      <c r="N1902" s="3" t="str">
        <f t="shared" si="116"/>
        <v>2025-06</v>
      </c>
      <c r="O1902" s="3" t="str">
        <f t="shared" si="117"/>
        <v>No discount</v>
      </c>
      <c r="P1902" s="9">
        <f t="shared" si="118"/>
        <v>0.40881553776968316</v>
      </c>
      <c r="Q1902" s="3" t="str">
        <f t="shared" si="119"/>
        <v>No</v>
      </c>
    </row>
    <row r="1903" spans="1:17" ht="21" customHeight="1">
      <c r="A1903" s="3" t="s">
        <v>2597</v>
      </c>
      <c r="B1903" s="5">
        <v>45812</v>
      </c>
      <c r="C1903" s="3" t="s">
        <v>2598</v>
      </c>
      <c r="D1903" s="3" t="s">
        <v>45</v>
      </c>
      <c r="E1903" s="3" t="s">
        <v>38</v>
      </c>
      <c r="F1903" s="3" t="s">
        <v>142</v>
      </c>
      <c r="G1903" s="3" t="s">
        <v>143</v>
      </c>
      <c r="H1903" s="3">
        <v>1</v>
      </c>
      <c r="I1903" s="7">
        <v>8994.08</v>
      </c>
      <c r="J1903" s="9">
        <v>0.2</v>
      </c>
      <c r="K1903" s="7">
        <v>7195.26</v>
      </c>
      <c r="L1903" s="7">
        <v>-243.72</v>
      </c>
      <c r="M1903" s="3" t="s">
        <v>56</v>
      </c>
      <c r="N1903" s="3" t="str">
        <f t="shared" si="116"/>
        <v>2025-06</v>
      </c>
      <c r="O1903" s="3" t="str">
        <f t="shared" si="117"/>
        <v>16-20%</v>
      </c>
      <c r="P1903" s="9">
        <f t="shared" si="118"/>
        <v>-3.3872299263681925E-2</v>
      </c>
      <c r="Q1903" s="3" t="str">
        <f t="shared" si="119"/>
        <v>Yes</v>
      </c>
    </row>
    <row r="1904" spans="1:17" ht="21" customHeight="1">
      <c r="A1904" s="3" t="s">
        <v>2599</v>
      </c>
      <c r="B1904" s="5">
        <v>45813</v>
      </c>
      <c r="C1904" s="3" t="s">
        <v>1783</v>
      </c>
      <c r="D1904" s="3" t="s">
        <v>45</v>
      </c>
      <c r="E1904" s="3" t="s">
        <v>42</v>
      </c>
      <c r="F1904" s="3" t="s">
        <v>90</v>
      </c>
      <c r="G1904" s="3" t="s">
        <v>91</v>
      </c>
      <c r="H1904" s="3">
        <v>3</v>
      </c>
      <c r="I1904" s="7">
        <v>1168.46</v>
      </c>
      <c r="J1904" s="9">
        <v>0.15</v>
      </c>
      <c r="K1904" s="7">
        <v>2979.57</v>
      </c>
      <c r="L1904" s="7">
        <v>1199.8599999999999</v>
      </c>
      <c r="M1904" s="3" t="s">
        <v>56</v>
      </c>
      <c r="N1904" s="3" t="str">
        <f t="shared" si="116"/>
        <v>2025-06</v>
      </c>
      <c r="O1904" s="3" t="str">
        <f t="shared" si="117"/>
        <v>11-15%</v>
      </c>
      <c r="P1904" s="9">
        <f t="shared" si="118"/>
        <v>0.40269569098896812</v>
      </c>
      <c r="Q1904" s="3" t="str">
        <f t="shared" si="119"/>
        <v>No</v>
      </c>
    </row>
    <row r="1905" spans="1:17" ht="21" customHeight="1">
      <c r="A1905" s="3" t="s">
        <v>2600</v>
      </c>
      <c r="B1905" s="5">
        <v>45814</v>
      </c>
      <c r="C1905" s="3" t="s">
        <v>1193</v>
      </c>
      <c r="D1905" s="3" t="s">
        <v>45</v>
      </c>
      <c r="E1905" s="3" t="s">
        <v>42</v>
      </c>
      <c r="F1905" s="3" t="s">
        <v>126</v>
      </c>
      <c r="G1905" s="3" t="s">
        <v>151</v>
      </c>
      <c r="H1905" s="3">
        <v>3</v>
      </c>
      <c r="I1905" s="7">
        <v>1426.49</v>
      </c>
      <c r="J1905" s="9">
        <v>0</v>
      </c>
      <c r="K1905" s="7">
        <v>4279.47</v>
      </c>
      <c r="L1905" s="7">
        <v>2265.75</v>
      </c>
      <c r="M1905" s="3" t="s">
        <v>58</v>
      </c>
      <c r="N1905" s="3" t="str">
        <f t="shared" si="116"/>
        <v>2025-06</v>
      </c>
      <c r="O1905" s="3" t="str">
        <f t="shared" si="117"/>
        <v>No discount</v>
      </c>
      <c r="P1905" s="9">
        <f t="shared" si="118"/>
        <v>0.52944640340976801</v>
      </c>
      <c r="Q1905" s="3" t="str">
        <f t="shared" si="119"/>
        <v>No</v>
      </c>
    </row>
    <row r="1906" spans="1:17" ht="21" customHeight="1">
      <c r="A1906" s="3" t="s">
        <v>2601</v>
      </c>
      <c r="B1906" s="5">
        <v>45815</v>
      </c>
      <c r="C1906" s="3" t="s">
        <v>391</v>
      </c>
      <c r="D1906" s="3" t="s">
        <v>47</v>
      </c>
      <c r="E1906" s="3" t="s">
        <v>38</v>
      </c>
      <c r="F1906" s="3" t="s">
        <v>94</v>
      </c>
      <c r="G1906" s="3" t="s">
        <v>213</v>
      </c>
      <c r="H1906" s="3">
        <v>1</v>
      </c>
      <c r="I1906" s="7">
        <v>56492.35</v>
      </c>
      <c r="J1906" s="9">
        <v>0.05</v>
      </c>
      <c r="K1906" s="7">
        <v>53667.73</v>
      </c>
      <c r="L1906" s="7">
        <v>8477.77</v>
      </c>
      <c r="M1906" s="3" t="s">
        <v>59</v>
      </c>
      <c r="N1906" s="3" t="str">
        <f t="shared" si="116"/>
        <v>2025-06</v>
      </c>
      <c r="O1906" s="3" t="str">
        <f t="shared" si="117"/>
        <v>1-10%</v>
      </c>
      <c r="P1906" s="9">
        <f t="shared" si="118"/>
        <v>0.15796773964540703</v>
      </c>
      <c r="Q1906" s="3" t="str">
        <f t="shared" si="119"/>
        <v>No</v>
      </c>
    </row>
    <row r="1907" spans="1:17" ht="21" customHeight="1">
      <c r="A1907" s="3" t="s">
        <v>2602</v>
      </c>
      <c r="B1907" s="5">
        <v>45815</v>
      </c>
      <c r="C1907" s="3" t="s">
        <v>1221</v>
      </c>
      <c r="D1907" s="3" t="s">
        <v>44</v>
      </c>
      <c r="E1907" s="3" t="s">
        <v>41</v>
      </c>
      <c r="F1907" s="3" t="s">
        <v>119</v>
      </c>
      <c r="G1907" s="3" t="s">
        <v>168</v>
      </c>
      <c r="H1907" s="3">
        <v>1</v>
      </c>
      <c r="I1907" s="7">
        <v>10175.51</v>
      </c>
      <c r="J1907" s="9">
        <v>0.25</v>
      </c>
      <c r="K1907" s="7">
        <v>7631.63</v>
      </c>
      <c r="L1907" s="7">
        <v>974.68</v>
      </c>
      <c r="M1907" s="3" t="s">
        <v>56</v>
      </c>
      <c r="N1907" s="3" t="str">
        <f t="shared" si="116"/>
        <v>2025-06</v>
      </c>
      <c r="O1907" s="3" t="str">
        <f t="shared" si="117"/>
        <v>21%+</v>
      </c>
      <c r="P1907" s="9">
        <f t="shared" si="118"/>
        <v>0.12771583528027433</v>
      </c>
      <c r="Q1907" s="3" t="str">
        <f t="shared" si="119"/>
        <v>No</v>
      </c>
    </row>
    <row r="1908" spans="1:17" ht="21" customHeight="1">
      <c r="A1908" s="3" t="s">
        <v>2603</v>
      </c>
      <c r="B1908" s="5">
        <v>45815</v>
      </c>
      <c r="C1908" s="3" t="s">
        <v>1243</v>
      </c>
      <c r="D1908" s="3" t="s">
        <v>46</v>
      </c>
      <c r="E1908" s="3" t="s">
        <v>40</v>
      </c>
      <c r="F1908" s="3" t="s">
        <v>102</v>
      </c>
      <c r="G1908" s="3" t="s">
        <v>146</v>
      </c>
      <c r="H1908" s="3">
        <v>2</v>
      </c>
      <c r="I1908" s="7">
        <v>8052.71</v>
      </c>
      <c r="J1908" s="9">
        <v>0.05</v>
      </c>
      <c r="K1908" s="7">
        <v>15300.15</v>
      </c>
      <c r="L1908" s="7">
        <v>4015.02</v>
      </c>
      <c r="M1908" s="3" t="s">
        <v>56</v>
      </c>
      <c r="N1908" s="3" t="str">
        <f t="shared" si="116"/>
        <v>2025-06</v>
      </c>
      <c r="O1908" s="3" t="str">
        <f t="shared" si="117"/>
        <v>1-10%</v>
      </c>
      <c r="P1908" s="9">
        <f t="shared" si="118"/>
        <v>0.26241703512710662</v>
      </c>
      <c r="Q1908" s="3" t="str">
        <f t="shared" si="119"/>
        <v>No</v>
      </c>
    </row>
    <row r="1909" spans="1:17" ht="21" customHeight="1">
      <c r="A1909" s="3" t="s">
        <v>2604</v>
      </c>
      <c r="B1909" s="5">
        <v>45816</v>
      </c>
      <c r="C1909" s="3" t="s">
        <v>962</v>
      </c>
      <c r="D1909" s="3" t="s">
        <v>45</v>
      </c>
      <c r="E1909" s="3" t="s">
        <v>41</v>
      </c>
      <c r="F1909" s="3" t="s">
        <v>119</v>
      </c>
      <c r="G1909" s="3" t="s">
        <v>168</v>
      </c>
      <c r="H1909" s="3">
        <v>2</v>
      </c>
      <c r="I1909" s="7">
        <v>9725.7199999999993</v>
      </c>
      <c r="J1909" s="9">
        <v>0</v>
      </c>
      <c r="K1909" s="7">
        <v>19451.439999999999</v>
      </c>
      <c r="L1909" s="7">
        <v>6787.7</v>
      </c>
      <c r="M1909" s="3" t="s">
        <v>57</v>
      </c>
      <c r="N1909" s="3" t="str">
        <f t="shared" si="116"/>
        <v>2025-06</v>
      </c>
      <c r="O1909" s="3" t="str">
        <f t="shared" si="117"/>
        <v>No discount</v>
      </c>
      <c r="P1909" s="9">
        <f t="shared" si="118"/>
        <v>0.34895616982598721</v>
      </c>
      <c r="Q1909" s="3" t="str">
        <f t="shared" si="119"/>
        <v>No</v>
      </c>
    </row>
    <row r="1910" spans="1:17" ht="21" customHeight="1">
      <c r="A1910" s="3" t="s">
        <v>2605</v>
      </c>
      <c r="B1910" s="5">
        <v>45816</v>
      </c>
      <c r="C1910" s="3" t="s">
        <v>192</v>
      </c>
      <c r="D1910" s="3" t="s">
        <v>47</v>
      </c>
      <c r="E1910" s="3" t="s">
        <v>38</v>
      </c>
      <c r="F1910" s="3" t="s">
        <v>94</v>
      </c>
      <c r="G1910" s="3" t="s">
        <v>95</v>
      </c>
      <c r="H1910" s="3">
        <v>1</v>
      </c>
      <c r="I1910" s="7">
        <v>76264.89</v>
      </c>
      <c r="J1910" s="9">
        <v>0.05</v>
      </c>
      <c r="K1910" s="7">
        <v>72451.649999999994</v>
      </c>
      <c r="L1910" s="7">
        <v>11146.1</v>
      </c>
      <c r="M1910" s="3" t="s">
        <v>56</v>
      </c>
      <c r="N1910" s="3" t="str">
        <f t="shared" si="116"/>
        <v>2025-06</v>
      </c>
      <c r="O1910" s="3" t="str">
        <f t="shared" si="117"/>
        <v>1-10%</v>
      </c>
      <c r="P1910" s="9">
        <f t="shared" si="118"/>
        <v>0.15384190698210465</v>
      </c>
      <c r="Q1910" s="3" t="str">
        <f t="shared" si="119"/>
        <v>No</v>
      </c>
    </row>
    <row r="1911" spans="1:17" ht="21" customHeight="1">
      <c r="A1911" s="3" t="s">
        <v>2606</v>
      </c>
      <c r="B1911" s="5">
        <v>45816</v>
      </c>
      <c r="C1911" s="3" t="s">
        <v>268</v>
      </c>
      <c r="D1911" s="3" t="s">
        <v>44</v>
      </c>
      <c r="E1911" s="3" t="s">
        <v>39</v>
      </c>
      <c r="F1911" s="3" t="s">
        <v>130</v>
      </c>
      <c r="G1911" s="3" t="s">
        <v>193</v>
      </c>
      <c r="H1911" s="3">
        <v>1</v>
      </c>
      <c r="I1911" s="7">
        <v>1752.3</v>
      </c>
      <c r="J1911" s="9">
        <v>0.1</v>
      </c>
      <c r="K1911" s="7">
        <v>1577.07</v>
      </c>
      <c r="L1911" s="7">
        <v>435.69</v>
      </c>
      <c r="M1911" s="3" t="s">
        <v>56</v>
      </c>
      <c r="N1911" s="3" t="str">
        <f t="shared" si="116"/>
        <v>2025-06</v>
      </c>
      <c r="O1911" s="3" t="str">
        <f t="shared" si="117"/>
        <v>1-10%</v>
      </c>
      <c r="P1911" s="9">
        <f t="shared" si="118"/>
        <v>0.27626547965531018</v>
      </c>
      <c r="Q1911" s="3" t="str">
        <f t="shared" si="119"/>
        <v>No</v>
      </c>
    </row>
    <row r="1912" spans="1:17" ht="21" customHeight="1">
      <c r="A1912" s="3" t="s">
        <v>2607</v>
      </c>
      <c r="B1912" s="5">
        <v>45817</v>
      </c>
      <c r="C1912" s="3" t="s">
        <v>654</v>
      </c>
      <c r="D1912" s="3" t="s">
        <v>44</v>
      </c>
      <c r="E1912" s="3" t="s">
        <v>39</v>
      </c>
      <c r="F1912" s="3" t="s">
        <v>109</v>
      </c>
      <c r="G1912" s="3" t="s">
        <v>355</v>
      </c>
      <c r="H1912" s="3">
        <v>1</v>
      </c>
      <c r="I1912" s="7">
        <v>3368.4</v>
      </c>
      <c r="J1912" s="9">
        <v>0</v>
      </c>
      <c r="K1912" s="7">
        <v>3368.4</v>
      </c>
      <c r="L1912" s="7">
        <v>1393.43</v>
      </c>
      <c r="M1912" s="3" t="s">
        <v>56</v>
      </c>
      <c r="N1912" s="3" t="str">
        <f t="shared" si="116"/>
        <v>2025-06</v>
      </c>
      <c r="O1912" s="3" t="str">
        <f t="shared" si="117"/>
        <v>No discount</v>
      </c>
      <c r="P1912" s="9">
        <f t="shared" si="118"/>
        <v>0.4136771167319796</v>
      </c>
      <c r="Q1912" s="3" t="str">
        <f t="shared" si="119"/>
        <v>No</v>
      </c>
    </row>
    <row r="1913" spans="1:17" ht="21" customHeight="1">
      <c r="A1913" s="3" t="s">
        <v>2608</v>
      </c>
      <c r="B1913" s="5">
        <v>45817</v>
      </c>
      <c r="C1913" s="3" t="s">
        <v>375</v>
      </c>
      <c r="D1913" s="3" t="s">
        <v>46</v>
      </c>
      <c r="E1913" s="3" t="s">
        <v>41</v>
      </c>
      <c r="F1913" s="3" t="s">
        <v>113</v>
      </c>
      <c r="G1913" s="3" t="s">
        <v>114</v>
      </c>
      <c r="H1913" s="3">
        <v>2</v>
      </c>
      <c r="I1913" s="7">
        <v>11403.37</v>
      </c>
      <c r="J1913" s="9">
        <v>0</v>
      </c>
      <c r="K1913" s="7">
        <v>22806.74</v>
      </c>
      <c r="L1913" s="7">
        <v>8797.74</v>
      </c>
      <c r="M1913" s="3" t="s">
        <v>56</v>
      </c>
      <c r="N1913" s="3" t="str">
        <f t="shared" si="116"/>
        <v>2025-06</v>
      </c>
      <c r="O1913" s="3" t="str">
        <f t="shared" si="117"/>
        <v>No discount</v>
      </c>
      <c r="P1913" s="9">
        <f t="shared" si="118"/>
        <v>0.38575175584059795</v>
      </c>
      <c r="Q1913" s="3" t="str">
        <f t="shared" si="119"/>
        <v>No</v>
      </c>
    </row>
    <row r="1914" spans="1:17" ht="21" customHeight="1">
      <c r="A1914" s="3" t="s">
        <v>2609</v>
      </c>
      <c r="B1914" s="5">
        <v>45817</v>
      </c>
      <c r="C1914" s="3" t="s">
        <v>1612</v>
      </c>
      <c r="D1914" s="3" t="s">
        <v>47</v>
      </c>
      <c r="E1914" s="3" t="s">
        <v>40</v>
      </c>
      <c r="F1914" s="3" t="s">
        <v>102</v>
      </c>
      <c r="G1914" s="3" t="s">
        <v>103</v>
      </c>
      <c r="H1914" s="3">
        <v>2</v>
      </c>
      <c r="I1914" s="7">
        <v>6242.72</v>
      </c>
      <c r="J1914" s="9">
        <v>0.2</v>
      </c>
      <c r="K1914" s="7">
        <v>9988.35</v>
      </c>
      <c r="L1914" s="7">
        <v>703.23</v>
      </c>
      <c r="M1914" s="3" t="s">
        <v>56</v>
      </c>
      <c r="N1914" s="3" t="str">
        <f t="shared" si="116"/>
        <v>2025-06</v>
      </c>
      <c r="O1914" s="3" t="str">
        <f t="shared" si="117"/>
        <v>16-20%</v>
      </c>
      <c r="P1914" s="9">
        <f t="shared" si="118"/>
        <v>7.0405021850455773E-2</v>
      </c>
      <c r="Q1914" s="3" t="str">
        <f t="shared" si="119"/>
        <v>No</v>
      </c>
    </row>
    <row r="1915" spans="1:17" ht="21" customHeight="1">
      <c r="A1915" s="3" t="s">
        <v>2610</v>
      </c>
      <c r="B1915" s="5">
        <v>45817</v>
      </c>
      <c r="C1915" s="3" t="s">
        <v>844</v>
      </c>
      <c r="D1915" s="3" t="s">
        <v>44</v>
      </c>
      <c r="E1915" s="3" t="s">
        <v>39</v>
      </c>
      <c r="F1915" s="3" t="s">
        <v>109</v>
      </c>
      <c r="G1915" s="3" t="s">
        <v>355</v>
      </c>
      <c r="H1915" s="3">
        <v>4</v>
      </c>
      <c r="I1915" s="7">
        <v>3436.21</v>
      </c>
      <c r="J1915" s="9">
        <v>0.1</v>
      </c>
      <c r="K1915" s="7">
        <v>12370.36</v>
      </c>
      <c r="L1915" s="7">
        <v>3944.67</v>
      </c>
      <c r="M1915" s="3" t="s">
        <v>57</v>
      </c>
      <c r="N1915" s="3" t="str">
        <f t="shared" si="116"/>
        <v>2025-06</v>
      </c>
      <c r="O1915" s="3" t="str">
        <f t="shared" si="117"/>
        <v>1-10%</v>
      </c>
      <c r="P1915" s="9">
        <f t="shared" si="118"/>
        <v>0.3188807763072376</v>
      </c>
      <c r="Q1915" s="3" t="str">
        <f t="shared" si="119"/>
        <v>No</v>
      </c>
    </row>
    <row r="1916" spans="1:17" ht="21" customHeight="1">
      <c r="A1916" s="3" t="s">
        <v>2611</v>
      </c>
      <c r="B1916" s="5">
        <v>45818</v>
      </c>
      <c r="C1916" s="3" t="s">
        <v>1859</v>
      </c>
      <c r="D1916" s="3" t="s">
        <v>44</v>
      </c>
      <c r="E1916" s="3" t="s">
        <v>41</v>
      </c>
      <c r="F1916" s="3" t="s">
        <v>113</v>
      </c>
      <c r="G1916" s="3" t="s">
        <v>123</v>
      </c>
      <c r="H1916" s="3">
        <v>1</v>
      </c>
      <c r="I1916" s="7">
        <v>3576.54</v>
      </c>
      <c r="J1916" s="9">
        <v>0.15</v>
      </c>
      <c r="K1916" s="7">
        <v>3040.06</v>
      </c>
      <c r="L1916" s="7">
        <v>689.83</v>
      </c>
      <c r="M1916" s="3" t="s">
        <v>59</v>
      </c>
      <c r="N1916" s="3" t="str">
        <f t="shared" si="116"/>
        <v>2025-06</v>
      </c>
      <c r="O1916" s="3" t="str">
        <f t="shared" si="117"/>
        <v>11-15%</v>
      </c>
      <c r="P1916" s="9">
        <f t="shared" si="118"/>
        <v>0.2269132846062249</v>
      </c>
      <c r="Q1916" s="3" t="str">
        <f t="shared" si="119"/>
        <v>No</v>
      </c>
    </row>
    <row r="1917" spans="1:17" ht="21" customHeight="1">
      <c r="A1917" s="3" t="s">
        <v>2612</v>
      </c>
      <c r="B1917" s="5">
        <v>45818</v>
      </c>
      <c r="C1917" s="3" t="s">
        <v>329</v>
      </c>
      <c r="D1917" s="3" t="s">
        <v>44</v>
      </c>
      <c r="E1917" s="3" t="s">
        <v>42</v>
      </c>
      <c r="F1917" s="3" t="s">
        <v>126</v>
      </c>
      <c r="G1917" s="3" t="s">
        <v>127</v>
      </c>
      <c r="H1917" s="3">
        <v>3</v>
      </c>
      <c r="I1917" s="7">
        <v>965.46</v>
      </c>
      <c r="J1917" s="9">
        <v>0.2</v>
      </c>
      <c r="K1917" s="7">
        <v>2317.1</v>
      </c>
      <c r="L1917" s="7">
        <v>788.25</v>
      </c>
      <c r="M1917" s="3" t="s">
        <v>57</v>
      </c>
      <c r="N1917" s="3" t="str">
        <f t="shared" si="116"/>
        <v>2025-06</v>
      </c>
      <c r="O1917" s="3" t="str">
        <f t="shared" si="117"/>
        <v>16-20%</v>
      </c>
      <c r="P1917" s="9">
        <f t="shared" si="118"/>
        <v>0.34018816624228565</v>
      </c>
      <c r="Q1917" s="3" t="str">
        <f t="shared" si="119"/>
        <v>No</v>
      </c>
    </row>
    <row r="1918" spans="1:17" ht="21" customHeight="1">
      <c r="A1918" s="3" t="s">
        <v>2613</v>
      </c>
      <c r="B1918" s="5">
        <v>45818</v>
      </c>
      <c r="C1918" s="3" t="s">
        <v>122</v>
      </c>
      <c r="D1918" s="3" t="s">
        <v>45</v>
      </c>
      <c r="E1918" s="3" t="s">
        <v>42</v>
      </c>
      <c r="F1918" s="3" t="s">
        <v>126</v>
      </c>
      <c r="G1918" s="3" t="s">
        <v>151</v>
      </c>
      <c r="H1918" s="3">
        <v>2</v>
      </c>
      <c r="I1918" s="7">
        <v>1556.7</v>
      </c>
      <c r="J1918" s="9">
        <v>0.15</v>
      </c>
      <c r="K1918" s="7">
        <v>2646.39</v>
      </c>
      <c r="L1918" s="7">
        <v>947.21</v>
      </c>
      <c r="M1918" s="3" t="s">
        <v>58</v>
      </c>
      <c r="N1918" s="3" t="str">
        <f t="shared" si="116"/>
        <v>2025-06</v>
      </c>
      <c r="O1918" s="3" t="str">
        <f t="shared" si="117"/>
        <v>11-15%</v>
      </c>
      <c r="P1918" s="9">
        <f t="shared" si="118"/>
        <v>0.3579253246875933</v>
      </c>
      <c r="Q1918" s="3" t="str">
        <f t="shared" si="119"/>
        <v>No</v>
      </c>
    </row>
    <row r="1919" spans="1:17" ht="21" customHeight="1">
      <c r="A1919" s="3" t="s">
        <v>2614</v>
      </c>
      <c r="B1919" s="5">
        <v>45819</v>
      </c>
      <c r="C1919" s="3" t="s">
        <v>487</v>
      </c>
      <c r="D1919" s="3" t="s">
        <v>46</v>
      </c>
      <c r="E1919" s="3" t="s">
        <v>42</v>
      </c>
      <c r="F1919" s="3" t="s">
        <v>90</v>
      </c>
      <c r="G1919" s="3" t="s">
        <v>106</v>
      </c>
      <c r="H1919" s="3">
        <v>2</v>
      </c>
      <c r="I1919" s="7">
        <v>943.38</v>
      </c>
      <c r="J1919" s="9">
        <v>0.05</v>
      </c>
      <c r="K1919" s="7">
        <v>1792.42</v>
      </c>
      <c r="L1919" s="7">
        <v>923.62</v>
      </c>
      <c r="M1919" s="3" t="s">
        <v>58</v>
      </c>
      <c r="N1919" s="3" t="str">
        <f t="shared" si="116"/>
        <v>2025-06</v>
      </c>
      <c r="O1919" s="3" t="str">
        <f t="shared" si="117"/>
        <v>1-10%</v>
      </c>
      <c r="P1919" s="9">
        <f t="shared" si="118"/>
        <v>0.51529217482509682</v>
      </c>
      <c r="Q1919" s="3" t="str">
        <f t="shared" si="119"/>
        <v>No</v>
      </c>
    </row>
    <row r="1920" spans="1:17" ht="21" customHeight="1">
      <c r="A1920" s="3" t="s">
        <v>2615</v>
      </c>
      <c r="B1920" s="5">
        <v>45819</v>
      </c>
      <c r="C1920" s="3" t="s">
        <v>2433</v>
      </c>
      <c r="D1920" s="3" t="s">
        <v>46</v>
      </c>
      <c r="E1920" s="3" t="s">
        <v>42</v>
      </c>
      <c r="F1920" s="3" t="s">
        <v>126</v>
      </c>
      <c r="G1920" s="3" t="s">
        <v>127</v>
      </c>
      <c r="H1920" s="3">
        <v>2</v>
      </c>
      <c r="I1920" s="7">
        <v>1031.94</v>
      </c>
      <c r="J1920" s="9">
        <v>0.05</v>
      </c>
      <c r="K1920" s="7">
        <v>1960.69</v>
      </c>
      <c r="L1920" s="7">
        <v>1010.25</v>
      </c>
      <c r="M1920" s="3" t="s">
        <v>57</v>
      </c>
      <c r="N1920" s="3" t="str">
        <f t="shared" si="116"/>
        <v>2025-06</v>
      </c>
      <c r="O1920" s="3" t="str">
        <f t="shared" si="117"/>
        <v>1-10%</v>
      </c>
      <c r="P1920" s="9">
        <f t="shared" si="118"/>
        <v>0.51525228363484277</v>
      </c>
      <c r="Q1920" s="3" t="str">
        <f t="shared" si="119"/>
        <v>No</v>
      </c>
    </row>
    <row r="1921" spans="1:17" ht="21" customHeight="1">
      <c r="A1921" s="3" t="s">
        <v>2616</v>
      </c>
      <c r="B1921" s="5">
        <v>45819</v>
      </c>
      <c r="C1921" s="3" t="s">
        <v>153</v>
      </c>
      <c r="D1921" s="3" t="s">
        <v>45</v>
      </c>
      <c r="E1921" s="3" t="s">
        <v>40</v>
      </c>
      <c r="F1921" s="3" t="s">
        <v>160</v>
      </c>
      <c r="G1921" s="3" t="s">
        <v>173</v>
      </c>
      <c r="H1921" s="3">
        <v>1</v>
      </c>
      <c r="I1921" s="7">
        <v>8759</v>
      </c>
      <c r="J1921" s="9">
        <v>0</v>
      </c>
      <c r="K1921" s="7">
        <v>8759</v>
      </c>
      <c r="L1921" s="7">
        <v>2662.17</v>
      </c>
      <c r="M1921" s="3" t="s">
        <v>56</v>
      </c>
      <c r="N1921" s="3" t="str">
        <f t="shared" si="116"/>
        <v>2025-06</v>
      </c>
      <c r="O1921" s="3" t="str">
        <f t="shared" si="117"/>
        <v>No discount</v>
      </c>
      <c r="P1921" s="9">
        <f t="shared" si="118"/>
        <v>0.30393538075122734</v>
      </c>
      <c r="Q1921" s="3" t="str">
        <f t="shared" si="119"/>
        <v>No</v>
      </c>
    </row>
    <row r="1922" spans="1:17" ht="21" customHeight="1">
      <c r="A1922" s="3" t="s">
        <v>2617</v>
      </c>
      <c r="B1922" s="5">
        <v>45819</v>
      </c>
      <c r="C1922" s="3" t="s">
        <v>204</v>
      </c>
      <c r="D1922" s="3" t="s">
        <v>44</v>
      </c>
      <c r="E1922" s="3" t="s">
        <v>42</v>
      </c>
      <c r="F1922" s="3" t="s">
        <v>90</v>
      </c>
      <c r="G1922" s="3" t="s">
        <v>106</v>
      </c>
      <c r="H1922" s="3">
        <v>1</v>
      </c>
      <c r="I1922" s="7">
        <v>874.24</v>
      </c>
      <c r="J1922" s="9">
        <v>0.05</v>
      </c>
      <c r="K1922" s="7">
        <v>830.53</v>
      </c>
      <c r="L1922" s="7">
        <v>438.69</v>
      </c>
      <c r="M1922" s="3" t="s">
        <v>56</v>
      </c>
      <c r="N1922" s="3" t="str">
        <f t="shared" ref="N1922:N1985" si="120">TEXT(B1922,"yyyy-mm")</f>
        <v>2025-06</v>
      </c>
      <c r="O1922" s="3" t="str">
        <f t="shared" ref="O1922:O1985" si="121">IF(J1922=0,"No discount",IF(J1922&lt;=0.1,"1-10%",IF(J1922&lt;=0.15,"11-15%",IF(J1922&lt;=0.2,"16-20%","21%+"))))</f>
        <v>1-10%</v>
      </c>
      <c r="P1922" s="9">
        <f t="shared" ref="P1922:P1985" si="122">IF(K1922=0,0,L1922/K1922)</f>
        <v>0.52820488122042553</v>
      </c>
      <c r="Q1922" s="3" t="str">
        <f t="shared" ref="Q1922:Q1985" si="123">IF(L1922&lt;0,"Yes","No")</f>
        <v>No</v>
      </c>
    </row>
    <row r="1923" spans="1:17" ht="21" customHeight="1">
      <c r="A1923" s="3" t="s">
        <v>2618</v>
      </c>
      <c r="B1923" s="5">
        <v>45820</v>
      </c>
      <c r="C1923" s="3" t="s">
        <v>139</v>
      </c>
      <c r="D1923" s="3" t="s">
        <v>45</v>
      </c>
      <c r="E1923" s="3" t="s">
        <v>39</v>
      </c>
      <c r="F1923" s="3" t="s">
        <v>130</v>
      </c>
      <c r="G1923" s="3" t="s">
        <v>131</v>
      </c>
      <c r="H1923" s="3">
        <v>1</v>
      </c>
      <c r="I1923" s="7">
        <v>2272.77</v>
      </c>
      <c r="J1923" s="9">
        <v>0.1</v>
      </c>
      <c r="K1923" s="7">
        <v>2045.49</v>
      </c>
      <c r="L1923" s="7">
        <v>626.6</v>
      </c>
      <c r="M1923" s="3" t="s">
        <v>59</v>
      </c>
      <c r="N1923" s="3" t="str">
        <f t="shared" si="120"/>
        <v>2025-06</v>
      </c>
      <c r="O1923" s="3" t="str">
        <f t="shared" si="121"/>
        <v>1-10%</v>
      </c>
      <c r="P1923" s="9">
        <f t="shared" si="122"/>
        <v>0.30633246801499886</v>
      </c>
      <c r="Q1923" s="3" t="str">
        <f t="shared" si="123"/>
        <v>No</v>
      </c>
    </row>
    <row r="1924" spans="1:17" ht="21" customHeight="1">
      <c r="A1924" s="3" t="s">
        <v>2619</v>
      </c>
      <c r="B1924" s="5">
        <v>45820</v>
      </c>
      <c r="C1924" s="3" t="s">
        <v>175</v>
      </c>
      <c r="D1924" s="3" t="s">
        <v>45</v>
      </c>
      <c r="E1924" s="3" t="s">
        <v>42</v>
      </c>
      <c r="F1924" s="3" t="s">
        <v>90</v>
      </c>
      <c r="G1924" s="3" t="s">
        <v>106</v>
      </c>
      <c r="H1924" s="3">
        <v>1</v>
      </c>
      <c r="I1924" s="7">
        <v>932.61</v>
      </c>
      <c r="J1924" s="9">
        <v>0.05</v>
      </c>
      <c r="K1924" s="7">
        <v>885.98</v>
      </c>
      <c r="L1924" s="7">
        <v>422.9</v>
      </c>
      <c r="M1924" s="3" t="s">
        <v>58</v>
      </c>
      <c r="N1924" s="3" t="str">
        <f t="shared" si="120"/>
        <v>2025-06</v>
      </c>
      <c r="O1924" s="3" t="str">
        <f t="shared" si="121"/>
        <v>1-10%</v>
      </c>
      <c r="P1924" s="9">
        <f t="shared" si="122"/>
        <v>0.47732454457211221</v>
      </c>
      <c r="Q1924" s="3" t="str">
        <f t="shared" si="123"/>
        <v>No</v>
      </c>
    </row>
    <row r="1925" spans="1:17" ht="21" customHeight="1">
      <c r="A1925" s="3" t="s">
        <v>2620</v>
      </c>
      <c r="B1925" s="5">
        <v>45820</v>
      </c>
      <c r="C1925" s="3" t="s">
        <v>1555</v>
      </c>
      <c r="D1925" s="3" t="s">
        <v>44</v>
      </c>
      <c r="E1925" s="3" t="s">
        <v>39</v>
      </c>
      <c r="F1925" s="3" t="s">
        <v>164</v>
      </c>
      <c r="G1925" s="3" t="s">
        <v>165</v>
      </c>
      <c r="H1925" s="3">
        <v>1</v>
      </c>
      <c r="I1925" s="7">
        <v>1912.1</v>
      </c>
      <c r="J1925" s="9">
        <v>0.4</v>
      </c>
      <c r="K1925" s="7">
        <v>1147.26</v>
      </c>
      <c r="L1925" s="7">
        <v>-35.17</v>
      </c>
      <c r="M1925" s="3" t="s">
        <v>58</v>
      </c>
      <c r="N1925" s="3" t="str">
        <f t="shared" si="120"/>
        <v>2025-06</v>
      </c>
      <c r="O1925" s="3" t="str">
        <f t="shared" si="121"/>
        <v>21%+</v>
      </c>
      <c r="P1925" s="9">
        <f t="shared" si="122"/>
        <v>-3.0655649111796805E-2</v>
      </c>
      <c r="Q1925" s="3" t="str">
        <f t="shared" si="123"/>
        <v>Yes</v>
      </c>
    </row>
    <row r="1926" spans="1:17" ht="21" customHeight="1">
      <c r="A1926" s="3" t="s">
        <v>2621</v>
      </c>
      <c r="B1926" s="5">
        <v>45820</v>
      </c>
      <c r="C1926" s="3" t="s">
        <v>1176</v>
      </c>
      <c r="D1926" s="3" t="s">
        <v>46</v>
      </c>
      <c r="E1926" s="3" t="s">
        <v>40</v>
      </c>
      <c r="F1926" s="3" t="s">
        <v>221</v>
      </c>
      <c r="G1926" s="3" t="s">
        <v>279</v>
      </c>
      <c r="H1926" s="3">
        <v>1</v>
      </c>
      <c r="I1926" s="7">
        <v>1502.72</v>
      </c>
      <c r="J1926" s="9">
        <v>0.1</v>
      </c>
      <c r="K1926" s="7">
        <v>1352.45</v>
      </c>
      <c r="L1926" s="7">
        <v>303.52999999999997</v>
      </c>
      <c r="M1926" s="3" t="s">
        <v>58</v>
      </c>
      <c r="N1926" s="3" t="str">
        <f t="shared" si="120"/>
        <v>2025-06</v>
      </c>
      <c r="O1926" s="3" t="str">
        <f t="shared" si="121"/>
        <v>1-10%</v>
      </c>
      <c r="P1926" s="9">
        <f t="shared" si="122"/>
        <v>0.22442973862249987</v>
      </c>
      <c r="Q1926" s="3" t="str">
        <f t="shared" si="123"/>
        <v>No</v>
      </c>
    </row>
    <row r="1927" spans="1:17" ht="21" customHeight="1">
      <c r="A1927" s="3" t="s">
        <v>2622</v>
      </c>
      <c r="B1927" s="5">
        <v>45822</v>
      </c>
      <c r="C1927" s="3" t="s">
        <v>1424</v>
      </c>
      <c r="D1927" s="3" t="s">
        <v>44</v>
      </c>
      <c r="E1927" s="3" t="s">
        <v>39</v>
      </c>
      <c r="F1927" s="3" t="s">
        <v>109</v>
      </c>
      <c r="G1927" s="3" t="s">
        <v>110</v>
      </c>
      <c r="H1927" s="3">
        <v>4</v>
      </c>
      <c r="I1927" s="7">
        <v>3114.6</v>
      </c>
      <c r="J1927" s="9">
        <v>0.2</v>
      </c>
      <c r="K1927" s="7">
        <v>9966.7199999999993</v>
      </c>
      <c r="L1927" s="7">
        <v>2115.67</v>
      </c>
      <c r="M1927" s="3" t="s">
        <v>58</v>
      </c>
      <c r="N1927" s="3" t="str">
        <f t="shared" si="120"/>
        <v>2025-06</v>
      </c>
      <c r="O1927" s="3" t="str">
        <f t="shared" si="121"/>
        <v>16-20%</v>
      </c>
      <c r="P1927" s="9">
        <f t="shared" si="122"/>
        <v>0.21227344602838247</v>
      </c>
      <c r="Q1927" s="3" t="str">
        <f t="shared" si="123"/>
        <v>No</v>
      </c>
    </row>
    <row r="1928" spans="1:17" ht="21" customHeight="1">
      <c r="A1928" s="3" t="s">
        <v>2623</v>
      </c>
      <c r="B1928" s="5">
        <v>45822</v>
      </c>
      <c r="C1928" s="3" t="s">
        <v>2427</v>
      </c>
      <c r="D1928" s="3" t="s">
        <v>44</v>
      </c>
      <c r="E1928" s="3" t="s">
        <v>38</v>
      </c>
      <c r="F1928" s="3" t="s">
        <v>98</v>
      </c>
      <c r="G1928" s="3" t="s">
        <v>99</v>
      </c>
      <c r="H1928" s="3">
        <v>3</v>
      </c>
      <c r="I1928" s="7">
        <v>23816.71</v>
      </c>
      <c r="J1928" s="9">
        <v>0.2</v>
      </c>
      <c r="K1928" s="7">
        <v>57160.1</v>
      </c>
      <c r="L1928" s="7">
        <v>-804.14</v>
      </c>
      <c r="M1928" s="3" t="s">
        <v>59</v>
      </c>
      <c r="N1928" s="3" t="str">
        <f t="shared" si="120"/>
        <v>2025-06</v>
      </c>
      <c r="O1928" s="3" t="str">
        <f t="shared" si="121"/>
        <v>16-20%</v>
      </c>
      <c r="P1928" s="9">
        <f t="shared" si="122"/>
        <v>-1.4068204919165642E-2</v>
      </c>
      <c r="Q1928" s="3" t="str">
        <f t="shared" si="123"/>
        <v>Yes</v>
      </c>
    </row>
    <row r="1929" spans="1:17" ht="21" customHeight="1">
      <c r="A1929" s="3" t="s">
        <v>2624</v>
      </c>
      <c r="B1929" s="5">
        <v>45823</v>
      </c>
      <c r="C1929" s="3" t="s">
        <v>607</v>
      </c>
      <c r="D1929" s="3" t="s">
        <v>47</v>
      </c>
      <c r="E1929" s="3" t="s">
        <v>39</v>
      </c>
      <c r="F1929" s="3" t="s">
        <v>130</v>
      </c>
      <c r="G1929" s="3" t="s">
        <v>193</v>
      </c>
      <c r="H1929" s="3">
        <v>1</v>
      </c>
      <c r="I1929" s="7">
        <v>1731.22</v>
      </c>
      <c r="J1929" s="9">
        <v>0.1</v>
      </c>
      <c r="K1929" s="7">
        <v>1558.1</v>
      </c>
      <c r="L1929" s="7">
        <v>458.86</v>
      </c>
      <c r="M1929" s="3" t="s">
        <v>56</v>
      </c>
      <c r="N1929" s="3" t="str">
        <f t="shared" si="120"/>
        <v>2025-06</v>
      </c>
      <c r="O1929" s="3" t="str">
        <f t="shared" si="121"/>
        <v>1-10%</v>
      </c>
      <c r="P1929" s="9">
        <f t="shared" si="122"/>
        <v>0.29449971118670176</v>
      </c>
      <c r="Q1929" s="3" t="str">
        <f t="shared" si="123"/>
        <v>No</v>
      </c>
    </row>
    <row r="1930" spans="1:17" ht="21" customHeight="1">
      <c r="A1930" s="3" t="s">
        <v>2625</v>
      </c>
      <c r="B1930" s="5">
        <v>45824</v>
      </c>
      <c r="C1930" s="3" t="s">
        <v>1289</v>
      </c>
      <c r="D1930" s="3" t="s">
        <v>44</v>
      </c>
      <c r="E1930" s="3" t="s">
        <v>40</v>
      </c>
      <c r="F1930" s="3" t="s">
        <v>160</v>
      </c>
      <c r="G1930" s="3" t="s">
        <v>161</v>
      </c>
      <c r="H1930" s="3">
        <v>1</v>
      </c>
      <c r="I1930" s="7">
        <v>13006.13</v>
      </c>
      <c r="J1930" s="9">
        <v>0.1</v>
      </c>
      <c r="K1930" s="7">
        <v>11705.52</v>
      </c>
      <c r="L1930" s="7">
        <v>2584.77</v>
      </c>
      <c r="M1930" s="3" t="s">
        <v>56</v>
      </c>
      <c r="N1930" s="3" t="str">
        <f t="shared" si="120"/>
        <v>2025-06</v>
      </c>
      <c r="O1930" s="3" t="str">
        <f t="shared" si="121"/>
        <v>1-10%</v>
      </c>
      <c r="P1930" s="9">
        <f t="shared" si="122"/>
        <v>0.22081633280708587</v>
      </c>
      <c r="Q1930" s="3" t="str">
        <f t="shared" si="123"/>
        <v>No</v>
      </c>
    </row>
    <row r="1931" spans="1:17" ht="21" customHeight="1">
      <c r="A1931" s="3" t="s">
        <v>2626</v>
      </c>
      <c r="B1931" s="5">
        <v>45824</v>
      </c>
      <c r="C1931" s="3" t="s">
        <v>1107</v>
      </c>
      <c r="D1931" s="3" t="s">
        <v>44</v>
      </c>
      <c r="E1931" s="3" t="s">
        <v>39</v>
      </c>
      <c r="F1931" s="3" t="s">
        <v>130</v>
      </c>
      <c r="G1931" s="3" t="s">
        <v>131</v>
      </c>
      <c r="H1931" s="3">
        <v>5</v>
      </c>
      <c r="I1931" s="7">
        <v>2120.36</v>
      </c>
      <c r="J1931" s="9">
        <v>0.3</v>
      </c>
      <c r="K1931" s="7">
        <v>7421.26</v>
      </c>
      <c r="L1931" s="7">
        <v>425.88</v>
      </c>
      <c r="M1931" s="3" t="s">
        <v>56</v>
      </c>
      <c r="N1931" s="3" t="str">
        <f t="shared" si="120"/>
        <v>2025-06</v>
      </c>
      <c r="O1931" s="3" t="str">
        <f t="shared" si="121"/>
        <v>21%+</v>
      </c>
      <c r="P1931" s="9">
        <f t="shared" si="122"/>
        <v>5.7386481540870414E-2</v>
      </c>
      <c r="Q1931" s="3" t="str">
        <f t="shared" si="123"/>
        <v>No</v>
      </c>
    </row>
    <row r="1932" spans="1:17" ht="21" customHeight="1">
      <c r="A1932" s="3" t="s">
        <v>2627</v>
      </c>
      <c r="B1932" s="5">
        <v>45824</v>
      </c>
      <c r="C1932" s="3" t="s">
        <v>700</v>
      </c>
      <c r="D1932" s="3" t="s">
        <v>46</v>
      </c>
      <c r="E1932" s="3" t="s">
        <v>41</v>
      </c>
      <c r="F1932" s="3" t="s">
        <v>113</v>
      </c>
      <c r="G1932" s="3" t="s">
        <v>114</v>
      </c>
      <c r="H1932" s="3">
        <v>1</v>
      </c>
      <c r="I1932" s="7">
        <v>12241.22</v>
      </c>
      <c r="J1932" s="9">
        <v>0</v>
      </c>
      <c r="K1932" s="7">
        <v>12241.22</v>
      </c>
      <c r="L1932" s="7">
        <v>4363.26</v>
      </c>
      <c r="M1932" s="3" t="s">
        <v>56</v>
      </c>
      <c r="N1932" s="3" t="str">
        <f t="shared" si="120"/>
        <v>2025-06</v>
      </c>
      <c r="O1932" s="3" t="str">
        <f t="shared" si="121"/>
        <v>No discount</v>
      </c>
      <c r="P1932" s="9">
        <f t="shared" si="122"/>
        <v>0.35643996268345807</v>
      </c>
      <c r="Q1932" s="3" t="str">
        <f t="shared" si="123"/>
        <v>No</v>
      </c>
    </row>
    <row r="1933" spans="1:17" ht="21" customHeight="1">
      <c r="A1933" s="3" t="s">
        <v>2628</v>
      </c>
      <c r="B1933" s="5">
        <v>45824</v>
      </c>
      <c r="C1933" s="3" t="s">
        <v>944</v>
      </c>
      <c r="D1933" s="3" t="s">
        <v>44</v>
      </c>
      <c r="E1933" s="3" t="s">
        <v>39</v>
      </c>
      <c r="F1933" s="3" t="s">
        <v>130</v>
      </c>
      <c r="G1933" s="3" t="s">
        <v>131</v>
      </c>
      <c r="H1933" s="3">
        <v>1</v>
      </c>
      <c r="I1933" s="7">
        <v>2093.77</v>
      </c>
      <c r="J1933" s="9">
        <v>0.15</v>
      </c>
      <c r="K1933" s="7">
        <v>1779.7</v>
      </c>
      <c r="L1933" s="7">
        <v>396.21</v>
      </c>
      <c r="M1933" s="3" t="s">
        <v>58</v>
      </c>
      <c r="N1933" s="3" t="str">
        <f t="shared" si="120"/>
        <v>2025-06</v>
      </c>
      <c r="O1933" s="3" t="str">
        <f t="shared" si="121"/>
        <v>11-15%</v>
      </c>
      <c r="P1933" s="9">
        <f t="shared" si="122"/>
        <v>0.22262740911389559</v>
      </c>
      <c r="Q1933" s="3" t="str">
        <f t="shared" si="123"/>
        <v>No</v>
      </c>
    </row>
    <row r="1934" spans="1:17" ht="21" customHeight="1">
      <c r="A1934" s="3" t="s">
        <v>2629</v>
      </c>
      <c r="B1934" s="5">
        <v>45824</v>
      </c>
      <c r="C1934" s="3" t="s">
        <v>871</v>
      </c>
      <c r="D1934" s="3" t="s">
        <v>47</v>
      </c>
      <c r="E1934" s="3" t="s">
        <v>41</v>
      </c>
      <c r="F1934" s="3" t="s">
        <v>113</v>
      </c>
      <c r="G1934" s="3" t="s">
        <v>114</v>
      </c>
      <c r="H1934" s="3">
        <v>1</v>
      </c>
      <c r="I1934" s="7">
        <v>12155.16</v>
      </c>
      <c r="J1934" s="9">
        <v>0</v>
      </c>
      <c r="K1934" s="7">
        <v>12155.16</v>
      </c>
      <c r="L1934" s="7">
        <v>4785.1499999999996</v>
      </c>
      <c r="M1934" s="3" t="s">
        <v>58</v>
      </c>
      <c r="N1934" s="3" t="str">
        <f t="shared" si="120"/>
        <v>2025-06</v>
      </c>
      <c r="O1934" s="3" t="str">
        <f t="shared" si="121"/>
        <v>No discount</v>
      </c>
      <c r="P1934" s="9">
        <f t="shared" si="122"/>
        <v>0.39367231694194066</v>
      </c>
      <c r="Q1934" s="3" t="str">
        <f t="shared" si="123"/>
        <v>No</v>
      </c>
    </row>
    <row r="1935" spans="1:17" ht="21" customHeight="1">
      <c r="A1935" s="3" t="s">
        <v>2630</v>
      </c>
      <c r="B1935" s="5">
        <v>45825</v>
      </c>
      <c r="C1935" s="3" t="s">
        <v>357</v>
      </c>
      <c r="D1935" s="3" t="s">
        <v>46</v>
      </c>
      <c r="E1935" s="3" t="s">
        <v>41</v>
      </c>
      <c r="F1935" s="3" t="s">
        <v>113</v>
      </c>
      <c r="G1935" s="3" t="s">
        <v>123</v>
      </c>
      <c r="H1935" s="3">
        <v>2</v>
      </c>
      <c r="I1935" s="7">
        <v>3414.74</v>
      </c>
      <c r="J1935" s="9">
        <v>0.05</v>
      </c>
      <c r="K1935" s="7">
        <v>6488.01</v>
      </c>
      <c r="L1935" s="7">
        <v>1961.19</v>
      </c>
      <c r="M1935" s="3" t="s">
        <v>58</v>
      </c>
      <c r="N1935" s="3" t="str">
        <f t="shared" si="120"/>
        <v>2025-06</v>
      </c>
      <c r="O1935" s="3" t="str">
        <f t="shared" si="121"/>
        <v>1-10%</v>
      </c>
      <c r="P1935" s="9">
        <f t="shared" si="122"/>
        <v>0.30227912719000127</v>
      </c>
      <c r="Q1935" s="3" t="str">
        <f t="shared" si="123"/>
        <v>No</v>
      </c>
    </row>
    <row r="1936" spans="1:17" ht="21" customHeight="1">
      <c r="A1936" s="3" t="s">
        <v>2631</v>
      </c>
      <c r="B1936" s="5">
        <v>45825</v>
      </c>
      <c r="C1936" s="3" t="s">
        <v>657</v>
      </c>
      <c r="D1936" s="3" t="s">
        <v>47</v>
      </c>
      <c r="E1936" s="3" t="s">
        <v>39</v>
      </c>
      <c r="F1936" s="3" t="s">
        <v>109</v>
      </c>
      <c r="G1936" s="3" t="s">
        <v>355</v>
      </c>
      <c r="H1936" s="3">
        <v>2</v>
      </c>
      <c r="I1936" s="7">
        <v>3610.4</v>
      </c>
      <c r="J1936" s="9">
        <v>0.15</v>
      </c>
      <c r="K1936" s="7">
        <v>6137.68</v>
      </c>
      <c r="L1936" s="7">
        <v>1389.89</v>
      </c>
      <c r="M1936" s="3" t="s">
        <v>60</v>
      </c>
      <c r="N1936" s="3" t="str">
        <f t="shared" si="120"/>
        <v>2025-06</v>
      </c>
      <c r="O1936" s="3" t="str">
        <f t="shared" si="121"/>
        <v>11-15%</v>
      </c>
      <c r="P1936" s="9">
        <f t="shared" si="122"/>
        <v>0.22645201444193899</v>
      </c>
      <c r="Q1936" s="3" t="str">
        <f t="shared" si="123"/>
        <v>No</v>
      </c>
    </row>
    <row r="1937" spans="1:17" ht="21" customHeight="1">
      <c r="A1937" s="3" t="s">
        <v>2632</v>
      </c>
      <c r="B1937" s="5">
        <v>45825</v>
      </c>
      <c r="C1937" s="3" t="s">
        <v>636</v>
      </c>
      <c r="D1937" s="3" t="s">
        <v>44</v>
      </c>
      <c r="E1937" s="3" t="s">
        <v>40</v>
      </c>
      <c r="F1937" s="3" t="s">
        <v>102</v>
      </c>
      <c r="G1937" s="3" t="s">
        <v>146</v>
      </c>
      <c r="H1937" s="3">
        <v>1</v>
      </c>
      <c r="I1937" s="7">
        <v>8163.38</v>
      </c>
      <c r="J1937" s="9">
        <v>0.25</v>
      </c>
      <c r="K1937" s="7">
        <v>6122.53</v>
      </c>
      <c r="L1937" s="7">
        <v>319.89999999999998</v>
      </c>
      <c r="M1937" s="3" t="s">
        <v>56</v>
      </c>
      <c r="N1937" s="3" t="str">
        <f t="shared" si="120"/>
        <v>2025-06</v>
      </c>
      <c r="O1937" s="3" t="str">
        <f t="shared" si="121"/>
        <v>21%+</v>
      </c>
      <c r="P1937" s="9">
        <f t="shared" si="122"/>
        <v>5.2249641896405567E-2</v>
      </c>
      <c r="Q1937" s="3" t="str">
        <f t="shared" si="123"/>
        <v>No</v>
      </c>
    </row>
    <row r="1938" spans="1:17" ht="21" customHeight="1">
      <c r="A1938" s="3" t="s">
        <v>2633</v>
      </c>
      <c r="B1938" s="5">
        <v>45825</v>
      </c>
      <c r="C1938" s="3" t="s">
        <v>285</v>
      </c>
      <c r="D1938" s="3" t="s">
        <v>47</v>
      </c>
      <c r="E1938" s="3" t="s">
        <v>39</v>
      </c>
      <c r="F1938" s="3" t="s">
        <v>130</v>
      </c>
      <c r="G1938" s="3" t="s">
        <v>131</v>
      </c>
      <c r="H1938" s="3">
        <v>1</v>
      </c>
      <c r="I1938" s="7">
        <v>2234.2600000000002</v>
      </c>
      <c r="J1938" s="9">
        <v>0.1</v>
      </c>
      <c r="K1938" s="7">
        <v>2010.83</v>
      </c>
      <c r="L1938" s="7">
        <v>606.12</v>
      </c>
      <c r="M1938" s="3" t="s">
        <v>58</v>
      </c>
      <c r="N1938" s="3" t="str">
        <f t="shared" si="120"/>
        <v>2025-06</v>
      </c>
      <c r="O1938" s="3" t="str">
        <f t="shared" si="121"/>
        <v>1-10%</v>
      </c>
      <c r="P1938" s="9">
        <f t="shared" si="122"/>
        <v>0.30142776863285309</v>
      </c>
      <c r="Q1938" s="3" t="str">
        <f t="shared" si="123"/>
        <v>No</v>
      </c>
    </row>
    <row r="1939" spans="1:17" ht="21" customHeight="1">
      <c r="A1939" s="3" t="s">
        <v>2634</v>
      </c>
      <c r="B1939" s="5">
        <v>45825</v>
      </c>
      <c r="C1939" s="3" t="s">
        <v>281</v>
      </c>
      <c r="D1939" s="3" t="s">
        <v>45</v>
      </c>
      <c r="E1939" s="3" t="s">
        <v>38</v>
      </c>
      <c r="F1939" s="3" t="s">
        <v>142</v>
      </c>
      <c r="G1939" s="3" t="s">
        <v>143</v>
      </c>
      <c r="H1939" s="3">
        <v>4</v>
      </c>
      <c r="I1939" s="7">
        <v>9445.67</v>
      </c>
      <c r="J1939" s="9">
        <v>0.15</v>
      </c>
      <c r="K1939" s="7">
        <v>32115.279999999999</v>
      </c>
      <c r="L1939" s="7">
        <v>-264.10000000000002</v>
      </c>
      <c r="M1939" s="3" t="s">
        <v>59</v>
      </c>
      <c r="N1939" s="3" t="str">
        <f t="shared" si="120"/>
        <v>2025-06</v>
      </c>
      <c r="O1939" s="3" t="str">
        <f t="shared" si="121"/>
        <v>11-15%</v>
      </c>
      <c r="P1939" s="9">
        <f t="shared" si="122"/>
        <v>-8.2234998418198452E-3</v>
      </c>
      <c r="Q1939" s="3" t="str">
        <f t="shared" si="123"/>
        <v>Yes</v>
      </c>
    </row>
    <row r="1940" spans="1:17" ht="21" customHeight="1">
      <c r="A1940" s="3" t="s">
        <v>2635</v>
      </c>
      <c r="B1940" s="5">
        <v>45825</v>
      </c>
      <c r="C1940" s="3" t="s">
        <v>1575</v>
      </c>
      <c r="D1940" s="3" t="s">
        <v>46</v>
      </c>
      <c r="E1940" s="3" t="s">
        <v>38</v>
      </c>
      <c r="F1940" s="3" t="s">
        <v>94</v>
      </c>
      <c r="G1940" s="3" t="s">
        <v>95</v>
      </c>
      <c r="H1940" s="3">
        <v>1</v>
      </c>
      <c r="I1940" s="7">
        <v>82855.67</v>
      </c>
      <c r="J1940" s="9">
        <v>0</v>
      </c>
      <c r="K1940" s="7">
        <v>82855.67</v>
      </c>
      <c r="L1940" s="7">
        <v>11638.76</v>
      </c>
      <c r="M1940" s="3" t="s">
        <v>56</v>
      </c>
      <c r="N1940" s="3" t="str">
        <f t="shared" si="120"/>
        <v>2025-06</v>
      </c>
      <c r="O1940" s="3" t="str">
        <f t="shared" si="121"/>
        <v>No discount</v>
      </c>
      <c r="P1940" s="9">
        <f t="shared" si="122"/>
        <v>0.14047029008394959</v>
      </c>
      <c r="Q1940" s="3" t="str">
        <f t="shared" si="123"/>
        <v>No</v>
      </c>
    </row>
    <row r="1941" spans="1:17" ht="21" customHeight="1">
      <c r="A1941" s="3" t="s">
        <v>2636</v>
      </c>
      <c r="B1941" s="5">
        <v>45826</v>
      </c>
      <c r="C1941" s="3" t="s">
        <v>529</v>
      </c>
      <c r="D1941" s="3" t="s">
        <v>46</v>
      </c>
      <c r="E1941" s="3" t="s">
        <v>40</v>
      </c>
      <c r="F1941" s="3" t="s">
        <v>102</v>
      </c>
      <c r="G1941" s="3" t="s">
        <v>146</v>
      </c>
      <c r="H1941" s="3">
        <v>2</v>
      </c>
      <c r="I1941" s="7">
        <v>8363.09</v>
      </c>
      <c r="J1941" s="9">
        <v>0</v>
      </c>
      <c r="K1941" s="7">
        <v>16726.18</v>
      </c>
      <c r="L1941" s="7">
        <v>5575.62</v>
      </c>
      <c r="M1941" s="3" t="s">
        <v>60</v>
      </c>
      <c r="N1941" s="3" t="str">
        <f t="shared" si="120"/>
        <v>2025-06</v>
      </c>
      <c r="O1941" s="3" t="str">
        <f t="shared" si="121"/>
        <v>No discount</v>
      </c>
      <c r="P1941" s="9">
        <f t="shared" si="122"/>
        <v>0.33334688494324466</v>
      </c>
      <c r="Q1941" s="3" t="str">
        <f t="shared" si="123"/>
        <v>No</v>
      </c>
    </row>
    <row r="1942" spans="1:17" ht="21" customHeight="1">
      <c r="A1942" s="3" t="s">
        <v>2637</v>
      </c>
      <c r="B1942" s="5">
        <v>45826</v>
      </c>
      <c r="C1942" s="3" t="s">
        <v>1049</v>
      </c>
      <c r="D1942" s="3" t="s">
        <v>46</v>
      </c>
      <c r="E1942" s="3" t="s">
        <v>42</v>
      </c>
      <c r="F1942" s="3" t="s">
        <v>126</v>
      </c>
      <c r="G1942" s="3" t="s">
        <v>127</v>
      </c>
      <c r="H1942" s="3">
        <v>2</v>
      </c>
      <c r="I1942" s="7">
        <v>1042.47</v>
      </c>
      <c r="J1942" s="9">
        <v>0.05</v>
      </c>
      <c r="K1942" s="7">
        <v>1980.69</v>
      </c>
      <c r="L1942" s="7">
        <v>1052.8699999999999</v>
      </c>
      <c r="M1942" s="3" t="s">
        <v>57</v>
      </c>
      <c r="N1942" s="3" t="str">
        <f t="shared" si="120"/>
        <v>2025-06</v>
      </c>
      <c r="O1942" s="3" t="str">
        <f t="shared" si="121"/>
        <v>1-10%</v>
      </c>
      <c r="P1942" s="9">
        <f t="shared" si="122"/>
        <v>0.53156728210876003</v>
      </c>
      <c r="Q1942" s="3" t="str">
        <f t="shared" si="123"/>
        <v>No</v>
      </c>
    </row>
    <row r="1943" spans="1:17" ht="21" customHeight="1">
      <c r="A1943" s="3" t="s">
        <v>2638</v>
      </c>
      <c r="B1943" s="5">
        <v>45827</v>
      </c>
      <c r="C1943" s="3" t="s">
        <v>97</v>
      </c>
      <c r="D1943" s="3" t="s">
        <v>45</v>
      </c>
      <c r="E1943" s="3" t="s">
        <v>38</v>
      </c>
      <c r="F1943" s="3" t="s">
        <v>98</v>
      </c>
      <c r="G1943" s="3" t="s">
        <v>182</v>
      </c>
      <c r="H1943" s="3">
        <v>1</v>
      </c>
      <c r="I1943" s="7">
        <v>73293.89</v>
      </c>
      <c r="J1943" s="9">
        <v>0.1</v>
      </c>
      <c r="K1943" s="7">
        <v>65964.5</v>
      </c>
      <c r="L1943" s="7">
        <v>4761.1899999999996</v>
      </c>
      <c r="M1943" s="3" t="s">
        <v>58</v>
      </c>
      <c r="N1943" s="3" t="str">
        <f t="shared" si="120"/>
        <v>2025-06</v>
      </c>
      <c r="O1943" s="3" t="str">
        <f t="shared" si="121"/>
        <v>1-10%</v>
      </c>
      <c r="P1943" s="9">
        <f t="shared" si="122"/>
        <v>7.2178065474611336E-2</v>
      </c>
      <c r="Q1943" s="3" t="str">
        <f t="shared" si="123"/>
        <v>No</v>
      </c>
    </row>
    <row r="1944" spans="1:17" ht="21" customHeight="1">
      <c r="A1944" s="3" t="s">
        <v>2639</v>
      </c>
      <c r="B1944" s="5">
        <v>45827</v>
      </c>
      <c r="C1944" s="3" t="s">
        <v>1035</v>
      </c>
      <c r="D1944" s="3" t="s">
        <v>46</v>
      </c>
      <c r="E1944" s="3" t="s">
        <v>41</v>
      </c>
      <c r="F1944" s="3" t="s">
        <v>119</v>
      </c>
      <c r="G1944" s="3" t="s">
        <v>120</v>
      </c>
      <c r="H1944" s="3">
        <v>1</v>
      </c>
      <c r="I1944" s="7">
        <v>1287.1300000000001</v>
      </c>
      <c r="J1944" s="9">
        <v>0.2</v>
      </c>
      <c r="K1944" s="7">
        <v>1029.7</v>
      </c>
      <c r="L1944" s="7">
        <v>128.84</v>
      </c>
      <c r="M1944" s="3" t="s">
        <v>58</v>
      </c>
      <c r="N1944" s="3" t="str">
        <f t="shared" si="120"/>
        <v>2025-06</v>
      </c>
      <c r="O1944" s="3" t="str">
        <f t="shared" si="121"/>
        <v>16-20%</v>
      </c>
      <c r="P1944" s="9">
        <f t="shared" si="122"/>
        <v>0.12512382247256482</v>
      </c>
      <c r="Q1944" s="3" t="str">
        <f t="shared" si="123"/>
        <v>No</v>
      </c>
    </row>
    <row r="1945" spans="1:17" ht="21" customHeight="1">
      <c r="A1945" s="3" t="s">
        <v>2640</v>
      </c>
      <c r="B1945" s="5">
        <v>45827</v>
      </c>
      <c r="C1945" s="3" t="s">
        <v>357</v>
      </c>
      <c r="D1945" s="3" t="s">
        <v>44</v>
      </c>
      <c r="E1945" s="3" t="s">
        <v>38</v>
      </c>
      <c r="F1945" s="3" t="s">
        <v>142</v>
      </c>
      <c r="G1945" s="3" t="s">
        <v>143</v>
      </c>
      <c r="H1945" s="3">
        <v>1</v>
      </c>
      <c r="I1945" s="7">
        <v>9244.2800000000007</v>
      </c>
      <c r="J1945" s="9">
        <v>0.15</v>
      </c>
      <c r="K1945" s="7">
        <v>7857.64</v>
      </c>
      <c r="L1945" s="7">
        <v>179.85</v>
      </c>
      <c r="M1945" s="3" t="s">
        <v>57</v>
      </c>
      <c r="N1945" s="3" t="str">
        <f t="shared" si="120"/>
        <v>2025-06</v>
      </c>
      <c r="O1945" s="3" t="str">
        <f t="shared" si="121"/>
        <v>11-15%</v>
      </c>
      <c r="P1945" s="9">
        <f t="shared" si="122"/>
        <v>2.2888551778905624E-2</v>
      </c>
      <c r="Q1945" s="3" t="str">
        <f t="shared" si="123"/>
        <v>No</v>
      </c>
    </row>
    <row r="1946" spans="1:17" ht="21" customHeight="1">
      <c r="A1946" s="3" t="s">
        <v>2641</v>
      </c>
      <c r="B1946" s="5">
        <v>45827</v>
      </c>
      <c r="C1946" s="3" t="s">
        <v>1707</v>
      </c>
      <c r="D1946" s="3" t="s">
        <v>45</v>
      </c>
      <c r="E1946" s="3" t="s">
        <v>40</v>
      </c>
      <c r="F1946" s="3" t="s">
        <v>160</v>
      </c>
      <c r="G1946" s="3" t="s">
        <v>161</v>
      </c>
      <c r="H1946" s="3">
        <v>5</v>
      </c>
      <c r="I1946" s="7">
        <v>12920.48</v>
      </c>
      <c r="J1946" s="9">
        <v>0</v>
      </c>
      <c r="K1946" s="7">
        <v>64602.400000000001</v>
      </c>
      <c r="L1946" s="7">
        <v>19212.3</v>
      </c>
      <c r="M1946" s="3" t="s">
        <v>56</v>
      </c>
      <c r="N1946" s="3" t="str">
        <f t="shared" si="120"/>
        <v>2025-06</v>
      </c>
      <c r="O1946" s="3" t="str">
        <f t="shared" si="121"/>
        <v>No discount</v>
      </c>
      <c r="P1946" s="9">
        <f t="shared" si="122"/>
        <v>0.29739297611234256</v>
      </c>
      <c r="Q1946" s="3" t="str">
        <f t="shared" si="123"/>
        <v>No</v>
      </c>
    </row>
    <row r="1947" spans="1:17" ht="21" customHeight="1">
      <c r="A1947" s="3" t="s">
        <v>2642</v>
      </c>
      <c r="B1947" s="5">
        <v>45827</v>
      </c>
      <c r="C1947" s="3" t="s">
        <v>2643</v>
      </c>
      <c r="D1947" s="3" t="s">
        <v>44</v>
      </c>
      <c r="E1947" s="3" t="s">
        <v>39</v>
      </c>
      <c r="F1947" s="3" t="s">
        <v>164</v>
      </c>
      <c r="G1947" s="3" t="s">
        <v>200</v>
      </c>
      <c r="H1947" s="3">
        <v>2</v>
      </c>
      <c r="I1947" s="7">
        <v>1258.73</v>
      </c>
      <c r="J1947" s="9">
        <v>0</v>
      </c>
      <c r="K1947" s="7">
        <v>2517.46</v>
      </c>
      <c r="L1947" s="7">
        <v>1123.93</v>
      </c>
      <c r="M1947" s="3" t="s">
        <v>59</v>
      </c>
      <c r="N1947" s="3" t="str">
        <f t="shared" si="120"/>
        <v>2025-06</v>
      </c>
      <c r="O1947" s="3" t="str">
        <f t="shared" si="121"/>
        <v>No discount</v>
      </c>
      <c r="P1947" s="9">
        <f t="shared" si="122"/>
        <v>0.44645396550491367</v>
      </c>
      <c r="Q1947" s="3" t="str">
        <f t="shared" si="123"/>
        <v>No</v>
      </c>
    </row>
    <row r="1948" spans="1:17" ht="21" customHeight="1">
      <c r="A1948" s="3" t="s">
        <v>2644</v>
      </c>
      <c r="B1948" s="5">
        <v>45827</v>
      </c>
      <c r="C1948" s="3" t="s">
        <v>1360</v>
      </c>
      <c r="D1948" s="3" t="s">
        <v>45</v>
      </c>
      <c r="E1948" s="3" t="s">
        <v>40</v>
      </c>
      <c r="F1948" s="3" t="s">
        <v>160</v>
      </c>
      <c r="G1948" s="3" t="s">
        <v>173</v>
      </c>
      <c r="H1948" s="3">
        <v>3</v>
      </c>
      <c r="I1948" s="7">
        <v>8995.7099999999991</v>
      </c>
      <c r="J1948" s="9">
        <v>0</v>
      </c>
      <c r="K1948" s="7">
        <v>26987.13</v>
      </c>
      <c r="L1948" s="7">
        <v>9712.8799999999992</v>
      </c>
      <c r="M1948" s="3" t="s">
        <v>56</v>
      </c>
      <c r="N1948" s="3" t="str">
        <f t="shared" si="120"/>
        <v>2025-06</v>
      </c>
      <c r="O1948" s="3" t="str">
        <f t="shared" si="121"/>
        <v>No discount</v>
      </c>
      <c r="P1948" s="9">
        <f t="shared" si="122"/>
        <v>0.35990785237259387</v>
      </c>
      <c r="Q1948" s="3" t="str">
        <f t="shared" si="123"/>
        <v>No</v>
      </c>
    </row>
    <row r="1949" spans="1:17" ht="21" customHeight="1">
      <c r="A1949" s="3" t="s">
        <v>2645</v>
      </c>
      <c r="B1949" s="5">
        <v>45827</v>
      </c>
      <c r="C1949" s="3" t="s">
        <v>1394</v>
      </c>
      <c r="D1949" s="3" t="s">
        <v>44</v>
      </c>
      <c r="E1949" s="3" t="s">
        <v>40</v>
      </c>
      <c r="F1949" s="3" t="s">
        <v>102</v>
      </c>
      <c r="G1949" s="3" t="s">
        <v>103</v>
      </c>
      <c r="H1949" s="3">
        <v>1</v>
      </c>
      <c r="I1949" s="7">
        <v>6594.89</v>
      </c>
      <c r="J1949" s="9">
        <v>0.05</v>
      </c>
      <c r="K1949" s="7">
        <v>6265.15</v>
      </c>
      <c r="L1949" s="7">
        <v>1662.43</v>
      </c>
      <c r="M1949" s="3" t="s">
        <v>56</v>
      </c>
      <c r="N1949" s="3" t="str">
        <f t="shared" si="120"/>
        <v>2025-06</v>
      </c>
      <c r="O1949" s="3" t="str">
        <f t="shared" si="121"/>
        <v>1-10%</v>
      </c>
      <c r="P1949" s="9">
        <f t="shared" si="122"/>
        <v>0.26534560226012149</v>
      </c>
      <c r="Q1949" s="3" t="str">
        <f t="shared" si="123"/>
        <v>No</v>
      </c>
    </row>
    <row r="1950" spans="1:17" ht="21" customHeight="1">
      <c r="A1950" s="3" t="s">
        <v>2646</v>
      </c>
      <c r="B1950" s="5">
        <v>45827</v>
      </c>
      <c r="C1950" s="3" t="s">
        <v>2532</v>
      </c>
      <c r="D1950" s="3" t="s">
        <v>44</v>
      </c>
      <c r="E1950" s="3" t="s">
        <v>41</v>
      </c>
      <c r="F1950" s="3" t="s">
        <v>113</v>
      </c>
      <c r="G1950" s="3" t="s">
        <v>114</v>
      </c>
      <c r="H1950" s="3">
        <v>1</v>
      </c>
      <c r="I1950" s="7">
        <v>12130.58</v>
      </c>
      <c r="J1950" s="9">
        <v>0.05</v>
      </c>
      <c r="K1950" s="7">
        <v>11524.05</v>
      </c>
      <c r="L1950" s="7">
        <v>4136.6000000000004</v>
      </c>
      <c r="M1950" s="3" t="s">
        <v>56</v>
      </c>
      <c r="N1950" s="3" t="str">
        <f t="shared" si="120"/>
        <v>2025-06</v>
      </c>
      <c r="O1950" s="3" t="str">
        <f t="shared" si="121"/>
        <v>1-10%</v>
      </c>
      <c r="P1950" s="9">
        <f t="shared" si="122"/>
        <v>0.35895366646274535</v>
      </c>
      <c r="Q1950" s="3" t="str">
        <f t="shared" si="123"/>
        <v>No</v>
      </c>
    </row>
    <row r="1951" spans="1:17" ht="21" customHeight="1">
      <c r="A1951" s="3" t="s">
        <v>2647</v>
      </c>
      <c r="B1951" s="5">
        <v>45828</v>
      </c>
      <c r="C1951" s="3" t="s">
        <v>684</v>
      </c>
      <c r="D1951" s="3" t="s">
        <v>44</v>
      </c>
      <c r="E1951" s="3" t="s">
        <v>39</v>
      </c>
      <c r="F1951" s="3" t="s">
        <v>109</v>
      </c>
      <c r="G1951" s="3" t="s">
        <v>355</v>
      </c>
      <c r="H1951" s="3">
        <v>3</v>
      </c>
      <c r="I1951" s="7">
        <v>3354.89</v>
      </c>
      <c r="J1951" s="9">
        <v>0.25</v>
      </c>
      <c r="K1951" s="7">
        <v>7548.5</v>
      </c>
      <c r="L1951" s="7">
        <v>1208.2</v>
      </c>
      <c r="M1951" s="3" t="s">
        <v>57</v>
      </c>
      <c r="N1951" s="3" t="str">
        <f t="shared" si="120"/>
        <v>2025-06</v>
      </c>
      <c r="O1951" s="3" t="str">
        <f t="shared" si="121"/>
        <v>21%+</v>
      </c>
      <c r="P1951" s="9">
        <f t="shared" si="122"/>
        <v>0.16005828972643571</v>
      </c>
      <c r="Q1951" s="3" t="str">
        <f t="shared" si="123"/>
        <v>No</v>
      </c>
    </row>
    <row r="1952" spans="1:17" ht="21" customHeight="1">
      <c r="A1952" s="3" t="s">
        <v>2648</v>
      </c>
      <c r="B1952" s="5">
        <v>45828</v>
      </c>
      <c r="C1952" s="3" t="s">
        <v>1129</v>
      </c>
      <c r="D1952" s="3" t="s">
        <v>46</v>
      </c>
      <c r="E1952" s="3" t="s">
        <v>40</v>
      </c>
      <c r="F1952" s="3" t="s">
        <v>102</v>
      </c>
      <c r="G1952" s="3" t="s">
        <v>103</v>
      </c>
      <c r="H1952" s="3">
        <v>2</v>
      </c>
      <c r="I1952" s="7">
        <v>6282.18</v>
      </c>
      <c r="J1952" s="9">
        <v>0</v>
      </c>
      <c r="K1952" s="7">
        <v>12564.36</v>
      </c>
      <c r="L1952" s="7">
        <v>3945.79</v>
      </c>
      <c r="M1952" s="3" t="s">
        <v>57</v>
      </c>
      <c r="N1952" s="3" t="str">
        <f t="shared" si="120"/>
        <v>2025-06</v>
      </c>
      <c r="O1952" s="3" t="str">
        <f t="shared" si="121"/>
        <v>No discount</v>
      </c>
      <c r="P1952" s="9">
        <f t="shared" si="122"/>
        <v>0.31404623872604731</v>
      </c>
      <c r="Q1952" s="3" t="str">
        <f t="shared" si="123"/>
        <v>No</v>
      </c>
    </row>
    <row r="1953" spans="1:17" ht="21" customHeight="1">
      <c r="A1953" s="3" t="s">
        <v>2649</v>
      </c>
      <c r="B1953" s="5">
        <v>45828</v>
      </c>
      <c r="C1953" s="3" t="s">
        <v>112</v>
      </c>
      <c r="D1953" s="3" t="s">
        <v>47</v>
      </c>
      <c r="E1953" s="3" t="s">
        <v>41</v>
      </c>
      <c r="F1953" s="3" t="s">
        <v>113</v>
      </c>
      <c r="G1953" s="3" t="s">
        <v>114</v>
      </c>
      <c r="H1953" s="3">
        <v>1</v>
      </c>
      <c r="I1953" s="7">
        <v>12139.68</v>
      </c>
      <c r="J1953" s="9">
        <v>0.05</v>
      </c>
      <c r="K1953" s="7">
        <v>11532.7</v>
      </c>
      <c r="L1953" s="7">
        <v>4105.66</v>
      </c>
      <c r="M1953" s="3" t="s">
        <v>60</v>
      </c>
      <c r="N1953" s="3" t="str">
        <f t="shared" si="120"/>
        <v>2025-06</v>
      </c>
      <c r="O1953" s="3" t="str">
        <f t="shared" si="121"/>
        <v>1-10%</v>
      </c>
      <c r="P1953" s="9">
        <f t="shared" si="122"/>
        <v>0.35600163014732017</v>
      </c>
      <c r="Q1953" s="3" t="str">
        <f t="shared" si="123"/>
        <v>No</v>
      </c>
    </row>
    <row r="1954" spans="1:17" ht="21" customHeight="1">
      <c r="A1954" s="3" t="s">
        <v>2650</v>
      </c>
      <c r="B1954" s="5">
        <v>45828</v>
      </c>
      <c r="C1954" s="3" t="s">
        <v>1269</v>
      </c>
      <c r="D1954" s="3" t="s">
        <v>46</v>
      </c>
      <c r="E1954" s="3" t="s">
        <v>38</v>
      </c>
      <c r="F1954" s="3" t="s">
        <v>142</v>
      </c>
      <c r="G1954" s="3" t="s">
        <v>245</v>
      </c>
      <c r="H1954" s="3">
        <v>1</v>
      </c>
      <c r="I1954" s="7">
        <v>4886.76</v>
      </c>
      <c r="J1954" s="9">
        <v>0</v>
      </c>
      <c r="K1954" s="7">
        <v>4886.76</v>
      </c>
      <c r="L1954" s="7">
        <v>812.17</v>
      </c>
      <c r="M1954" s="3" t="s">
        <v>57</v>
      </c>
      <c r="N1954" s="3" t="str">
        <f t="shared" si="120"/>
        <v>2025-06</v>
      </c>
      <c r="O1954" s="3" t="str">
        <f t="shared" si="121"/>
        <v>No discount</v>
      </c>
      <c r="P1954" s="9">
        <f t="shared" si="122"/>
        <v>0.16619805351603106</v>
      </c>
      <c r="Q1954" s="3" t="str">
        <f t="shared" si="123"/>
        <v>No</v>
      </c>
    </row>
    <row r="1955" spans="1:17" ht="21" customHeight="1">
      <c r="A1955" s="3" t="s">
        <v>2651</v>
      </c>
      <c r="B1955" s="5">
        <v>45829</v>
      </c>
      <c r="C1955" s="3" t="s">
        <v>456</v>
      </c>
      <c r="D1955" s="3" t="s">
        <v>47</v>
      </c>
      <c r="E1955" s="3" t="s">
        <v>40</v>
      </c>
      <c r="F1955" s="3" t="s">
        <v>160</v>
      </c>
      <c r="G1955" s="3" t="s">
        <v>161</v>
      </c>
      <c r="H1955" s="3">
        <v>2</v>
      </c>
      <c r="I1955" s="7">
        <v>12993.31</v>
      </c>
      <c r="J1955" s="9">
        <v>0.05</v>
      </c>
      <c r="K1955" s="7">
        <v>24687.29</v>
      </c>
      <c r="L1955" s="7">
        <v>7660.05</v>
      </c>
      <c r="M1955" s="3" t="s">
        <v>57</v>
      </c>
      <c r="N1955" s="3" t="str">
        <f t="shared" si="120"/>
        <v>2025-06</v>
      </c>
      <c r="O1955" s="3" t="str">
        <f t="shared" si="121"/>
        <v>1-10%</v>
      </c>
      <c r="P1955" s="9">
        <f t="shared" si="122"/>
        <v>0.31028314569966975</v>
      </c>
      <c r="Q1955" s="3" t="str">
        <f t="shared" si="123"/>
        <v>No</v>
      </c>
    </row>
    <row r="1956" spans="1:17" ht="21" customHeight="1">
      <c r="A1956" s="3" t="s">
        <v>2652</v>
      </c>
      <c r="B1956" s="5">
        <v>45829</v>
      </c>
      <c r="C1956" s="3" t="s">
        <v>2653</v>
      </c>
      <c r="D1956" s="3" t="s">
        <v>45</v>
      </c>
      <c r="E1956" s="3" t="s">
        <v>39</v>
      </c>
      <c r="F1956" s="3" t="s">
        <v>109</v>
      </c>
      <c r="G1956" s="3" t="s">
        <v>110</v>
      </c>
      <c r="H1956" s="3">
        <v>1</v>
      </c>
      <c r="I1956" s="7">
        <v>3140.53</v>
      </c>
      <c r="J1956" s="9">
        <v>0.05</v>
      </c>
      <c r="K1956" s="7">
        <v>2983.5</v>
      </c>
      <c r="L1956" s="7">
        <v>971.5</v>
      </c>
      <c r="M1956" s="3" t="s">
        <v>56</v>
      </c>
      <c r="N1956" s="3" t="str">
        <f t="shared" si="120"/>
        <v>2025-06</v>
      </c>
      <c r="O1956" s="3" t="str">
        <f t="shared" si="121"/>
        <v>1-10%</v>
      </c>
      <c r="P1956" s="9">
        <f t="shared" si="122"/>
        <v>0.32562426680073742</v>
      </c>
      <c r="Q1956" s="3" t="str">
        <f t="shared" si="123"/>
        <v>No</v>
      </c>
    </row>
    <row r="1957" spans="1:17" ht="21" customHeight="1">
      <c r="A1957" s="3" t="s">
        <v>2654</v>
      </c>
      <c r="B1957" s="5">
        <v>45829</v>
      </c>
      <c r="C1957" s="3" t="s">
        <v>416</v>
      </c>
      <c r="D1957" s="3" t="s">
        <v>47</v>
      </c>
      <c r="E1957" s="3" t="s">
        <v>40</v>
      </c>
      <c r="F1957" s="3" t="s">
        <v>102</v>
      </c>
      <c r="G1957" s="3" t="s">
        <v>146</v>
      </c>
      <c r="H1957" s="3">
        <v>2</v>
      </c>
      <c r="I1957" s="7">
        <v>8017.67</v>
      </c>
      <c r="J1957" s="9">
        <v>0.05</v>
      </c>
      <c r="K1957" s="7">
        <v>15233.57</v>
      </c>
      <c r="L1957" s="7">
        <v>4002.44</v>
      </c>
      <c r="M1957" s="3" t="s">
        <v>57</v>
      </c>
      <c r="N1957" s="3" t="str">
        <f t="shared" si="120"/>
        <v>2025-06</v>
      </c>
      <c r="O1957" s="3" t="str">
        <f t="shared" si="121"/>
        <v>1-10%</v>
      </c>
      <c r="P1957" s="9">
        <f t="shared" si="122"/>
        <v>0.26273815001998874</v>
      </c>
      <c r="Q1957" s="3" t="str">
        <f t="shared" si="123"/>
        <v>No</v>
      </c>
    </row>
    <row r="1958" spans="1:17" ht="21" customHeight="1">
      <c r="A1958" s="3" t="s">
        <v>2655</v>
      </c>
      <c r="B1958" s="5">
        <v>45829</v>
      </c>
      <c r="C1958" s="3" t="s">
        <v>666</v>
      </c>
      <c r="D1958" s="3" t="s">
        <v>47</v>
      </c>
      <c r="E1958" s="3" t="s">
        <v>38</v>
      </c>
      <c r="F1958" s="3" t="s">
        <v>142</v>
      </c>
      <c r="G1958" s="3" t="s">
        <v>143</v>
      </c>
      <c r="H1958" s="3">
        <v>1</v>
      </c>
      <c r="I1958" s="7">
        <v>8818.86</v>
      </c>
      <c r="J1958" s="9">
        <v>0.05</v>
      </c>
      <c r="K1958" s="7">
        <v>8377.92</v>
      </c>
      <c r="L1958" s="7">
        <v>706.41</v>
      </c>
      <c r="M1958" s="3" t="s">
        <v>56</v>
      </c>
      <c r="N1958" s="3" t="str">
        <f t="shared" si="120"/>
        <v>2025-06</v>
      </c>
      <c r="O1958" s="3" t="str">
        <f t="shared" si="121"/>
        <v>1-10%</v>
      </c>
      <c r="P1958" s="9">
        <f t="shared" si="122"/>
        <v>8.4318064627019587E-2</v>
      </c>
      <c r="Q1958" s="3" t="str">
        <f t="shared" si="123"/>
        <v>No</v>
      </c>
    </row>
    <row r="1959" spans="1:17" ht="21" customHeight="1">
      <c r="A1959" s="3" t="s">
        <v>2656</v>
      </c>
      <c r="B1959" s="5">
        <v>45829</v>
      </c>
      <c r="C1959" s="3" t="s">
        <v>2051</v>
      </c>
      <c r="D1959" s="3" t="s">
        <v>47</v>
      </c>
      <c r="E1959" s="3" t="s">
        <v>38</v>
      </c>
      <c r="F1959" s="3" t="s">
        <v>94</v>
      </c>
      <c r="G1959" s="3" t="s">
        <v>213</v>
      </c>
      <c r="H1959" s="3">
        <v>1</v>
      </c>
      <c r="I1959" s="7">
        <v>53864.1</v>
      </c>
      <c r="J1959" s="9">
        <v>0</v>
      </c>
      <c r="K1959" s="7">
        <v>53864.1</v>
      </c>
      <c r="L1959" s="7">
        <v>8004.3</v>
      </c>
      <c r="M1959" s="3" t="s">
        <v>56</v>
      </c>
      <c r="N1959" s="3" t="str">
        <f t="shared" si="120"/>
        <v>2025-06</v>
      </c>
      <c r="O1959" s="3" t="str">
        <f t="shared" si="121"/>
        <v>No discount</v>
      </c>
      <c r="P1959" s="9">
        <f t="shared" si="122"/>
        <v>0.1486017588709363</v>
      </c>
      <c r="Q1959" s="3" t="str">
        <f t="shared" si="123"/>
        <v>No</v>
      </c>
    </row>
    <row r="1960" spans="1:17" ht="21" customHeight="1">
      <c r="A1960" s="3" t="s">
        <v>2657</v>
      </c>
      <c r="B1960" s="5">
        <v>45830</v>
      </c>
      <c r="C1960" s="3" t="s">
        <v>454</v>
      </c>
      <c r="D1960" s="3" t="s">
        <v>47</v>
      </c>
      <c r="E1960" s="3" t="s">
        <v>41</v>
      </c>
      <c r="F1960" s="3" t="s">
        <v>119</v>
      </c>
      <c r="G1960" s="3" t="s">
        <v>168</v>
      </c>
      <c r="H1960" s="3">
        <v>1</v>
      </c>
      <c r="I1960" s="7">
        <v>10163.35</v>
      </c>
      <c r="J1960" s="9">
        <v>0.05</v>
      </c>
      <c r="K1960" s="7">
        <v>9655.18</v>
      </c>
      <c r="L1960" s="7">
        <v>2793.72</v>
      </c>
      <c r="M1960" s="3" t="s">
        <v>56</v>
      </c>
      <c r="N1960" s="3" t="str">
        <f t="shared" si="120"/>
        <v>2025-06</v>
      </c>
      <c r="O1960" s="3" t="str">
        <f t="shared" si="121"/>
        <v>1-10%</v>
      </c>
      <c r="P1960" s="9">
        <f t="shared" si="122"/>
        <v>0.28934934408265817</v>
      </c>
      <c r="Q1960" s="3" t="str">
        <f t="shared" si="123"/>
        <v>No</v>
      </c>
    </row>
    <row r="1961" spans="1:17" ht="21" customHeight="1">
      <c r="A1961" s="3" t="s">
        <v>2658</v>
      </c>
      <c r="B1961" s="5">
        <v>45830</v>
      </c>
      <c r="C1961" s="3" t="s">
        <v>1629</v>
      </c>
      <c r="D1961" s="3" t="s">
        <v>47</v>
      </c>
      <c r="E1961" s="3" t="s">
        <v>41</v>
      </c>
      <c r="F1961" s="3" t="s">
        <v>119</v>
      </c>
      <c r="G1961" s="3" t="s">
        <v>168</v>
      </c>
      <c r="H1961" s="3">
        <v>1</v>
      </c>
      <c r="I1961" s="7">
        <v>10157.959999999999</v>
      </c>
      <c r="J1961" s="9">
        <v>0.05</v>
      </c>
      <c r="K1961" s="7">
        <v>9650.06</v>
      </c>
      <c r="L1961" s="7">
        <v>3170.85</v>
      </c>
      <c r="M1961" s="3" t="s">
        <v>58</v>
      </c>
      <c r="N1961" s="3" t="str">
        <f t="shared" si="120"/>
        <v>2025-06</v>
      </c>
      <c r="O1961" s="3" t="str">
        <f t="shared" si="121"/>
        <v>1-10%</v>
      </c>
      <c r="P1961" s="9">
        <f t="shared" si="122"/>
        <v>0.32858344922207738</v>
      </c>
      <c r="Q1961" s="3" t="str">
        <f t="shared" si="123"/>
        <v>No</v>
      </c>
    </row>
    <row r="1962" spans="1:17" ht="21" customHeight="1">
      <c r="A1962" s="3" t="s">
        <v>2659</v>
      </c>
      <c r="B1962" s="5">
        <v>45831</v>
      </c>
      <c r="C1962" s="3" t="s">
        <v>1707</v>
      </c>
      <c r="D1962" s="3" t="s">
        <v>46</v>
      </c>
      <c r="E1962" s="3" t="s">
        <v>39</v>
      </c>
      <c r="F1962" s="3" t="s">
        <v>164</v>
      </c>
      <c r="G1962" s="3" t="s">
        <v>200</v>
      </c>
      <c r="H1962" s="3">
        <v>1</v>
      </c>
      <c r="I1962" s="7">
        <v>1362.95</v>
      </c>
      <c r="J1962" s="9">
        <v>0.1</v>
      </c>
      <c r="K1962" s="7">
        <v>1226.6500000000001</v>
      </c>
      <c r="L1962" s="7">
        <v>393.27</v>
      </c>
      <c r="M1962" s="3" t="s">
        <v>56</v>
      </c>
      <c r="N1962" s="3" t="str">
        <f t="shared" si="120"/>
        <v>2025-06</v>
      </c>
      <c r="O1962" s="3" t="str">
        <f t="shared" si="121"/>
        <v>1-10%</v>
      </c>
      <c r="P1962" s="9">
        <f t="shared" si="122"/>
        <v>0.32060489952309129</v>
      </c>
      <c r="Q1962" s="3" t="str">
        <f t="shared" si="123"/>
        <v>No</v>
      </c>
    </row>
    <row r="1963" spans="1:17" ht="21" customHeight="1">
      <c r="A1963" s="3" t="s">
        <v>2660</v>
      </c>
      <c r="B1963" s="5">
        <v>45831</v>
      </c>
      <c r="C1963" s="3" t="s">
        <v>184</v>
      </c>
      <c r="D1963" s="3" t="s">
        <v>44</v>
      </c>
      <c r="E1963" s="3" t="s">
        <v>41</v>
      </c>
      <c r="F1963" s="3" t="s">
        <v>113</v>
      </c>
      <c r="G1963" s="3" t="s">
        <v>114</v>
      </c>
      <c r="H1963" s="3">
        <v>1</v>
      </c>
      <c r="I1963" s="7">
        <v>12042.45</v>
      </c>
      <c r="J1963" s="9">
        <v>0.05</v>
      </c>
      <c r="K1963" s="7">
        <v>11440.33</v>
      </c>
      <c r="L1963" s="7">
        <v>3442.5</v>
      </c>
      <c r="M1963" s="3" t="s">
        <v>58</v>
      </c>
      <c r="N1963" s="3" t="str">
        <f t="shared" si="120"/>
        <v>2025-06</v>
      </c>
      <c r="O1963" s="3" t="str">
        <f t="shared" si="121"/>
        <v>1-10%</v>
      </c>
      <c r="P1963" s="9">
        <f t="shared" si="122"/>
        <v>0.30090915209613711</v>
      </c>
      <c r="Q1963" s="3" t="str">
        <f t="shared" si="123"/>
        <v>No</v>
      </c>
    </row>
    <row r="1964" spans="1:17" ht="21" customHeight="1">
      <c r="A1964" s="3" t="s">
        <v>2661</v>
      </c>
      <c r="B1964" s="5">
        <v>45831</v>
      </c>
      <c r="C1964" s="3" t="s">
        <v>568</v>
      </c>
      <c r="D1964" s="3" t="s">
        <v>45</v>
      </c>
      <c r="E1964" s="3" t="s">
        <v>39</v>
      </c>
      <c r="F1964" s="3" t="s">
        <v>130</v>
      </c>
      <c r="G1964" s="3" t="s">
        <v>193</v>
      </c>
      <c r="H1964" s="3">
        <v>5</v>
      </c>
      <c r="I1964" s="7">
        <v>1831.17</v>
      </c>
      <c r="J1964" s="9">
        <v>0.2</v>
      </c>
      <c r="K1964" s="7">
        <v>7324.68</v>
      </c>
      <c r="L1964" s="7">
        <v>1625.62</v>
      </c>
      <c r="M1964" s="3" t="s">
        <v>60</v>
      </c>
      <c r="N1964" s="3" t="str">
        <f t="shared" si="120"/>
        <v>2025-06</v>
      </c>
      <c r="O1964" s="3" t="str">
        <f t="shared" si="121"/>
        <v>16-20%</v>
      </c>
      <c r="P1964" s="9">
        <f t="shared" si="122"/>
        <v>0.22193734060737122</v>
      </c>
      <c r="Q1964" s="3" t="str">
        <f t="shared" si="123"/>
        <v>No</v>
      </c>
    </row>
    <row r="1965" spans="1:17" ht="21" customHeight="1">
      <c r="A1965" s="3" t="s">
        <v>2662</v>
      </c>
      <c r="B1965" s="5">
        <v>45831</v>
      </c>
      <c r="C1965" s="3" t="s">
        <v>2038</v>
      </c>
      <c r="D1965" s="3" t="s">
        <v>44</v>
      </c>
      <c r="E1965" s="3" t="s">
        <v>39</v>
      </c>
      <c r="F1965" s="3" t="s">
        <v>109</v>
      </c>
      <c r="G1965" s="3" t="s">
        <v>110</v>
      </c>
      <c r="H1965" s="3">
        <v>2</v>
      </c>
      <c r="I1965" s="7">
        <v>2901.19</v>
      </c>
      <c r="J1965" s="9">
        <v>0.05</v>
      </c>
      <c r="K1965" s="7">
        <v>5512.26</v>
      </c>
      <c r="L1965" s="7">
        <v>2161.41</v>
      </c>
      <c r="M1965" s="3" t="s">
        <v>56</v>
      </c>
      <c r="N1965" s="3" t="str">
        <f t="shared" si="120"/>
        <v>2025-06</v>
      </c>
      <c r="O1965" s="3" t="str">
        <f t="shared" si="121"/>
        <v>1-10%</v>
      </c>
      <c r="P1965" s="9">
        <f t="shared" si="122"/>
        <v>0.39210958844466692</v>
      </c>
      <c r="Q1965" s="3" t="str">
        <f t="shared" si="123"/>
        <v>No</v>
      </c>
    </row>
    <row r="1966" spans="1:17" ht="21" customHeight="1">
      <c r="A1966" s="3" t="s">
        <v>2663</v>
      </c>
      <c r="B1966" s="5">
        <v>45832</v>
      </c>
      <c r="C1966" s="3" t="s">
        <v>711</v>
      </c>
      <c r="D1966" s="3" t="s">
        <v>47</v>
      </c>
      <c r="E1966" s="3" t="s">
        <v>41</v>
      </c>
      <c r="F1966" s="3" t="s">
        <v>119</v>
      </c>
      <c r="G1966" s="3" t="s">
        <v>168</v>
      </c>
      <c r="H1966" s="3">
        <v>1</v>
      </c>
      <c r="I1966" s="7">
        <v>9578.27</v>
      </c>
      <c r="J1966" s="9">
        <v>0</v>
      </c>
      <c r="K1966" s="7">
        <v>9578.27</v>
      </c>
      <c r="L1966" s="7">
        <v>3452.72</v>
      </c>
      <c r="M1966" s="3" t="s">
        <v>57</v>
      </c>
      <c r="N1966" s="3" t="str">
        <f t="shared" si="120"/>
        <v>2025-06</v>
      </c>
      <c r="O1966" s="3" t="str">
        <f t="shared" si="121"/>
        <v>No discount</v>
      </c>
      <c r="P1966" s="9">
        <f t="shared" si="122"/>
        <v>0.3604742818901534</v>
      </c>
      <c r="Q1966" s="3" t="str">
        <f t="shared" si="123"/>
        <v>No</v>
      </c>
    </row>
    <row r="1967" spans="1:17" ht="21" customHeight="1">
      <c r="A1967" s="3" t="s">
        <v>2664</v>
      </c>
      <c r="B1967" s="5">
        <v>45832</v>
      </c>
      <c r="C1967" s="3" t="s">
        <v>1367</v>
      </c>
      <c r="D1967" s="3" t="s">
        <v>44</v>
      </c>
      <c r="E1967" s="3" t="s">
        <v>42</v>
      </c>
      <c r="F1967" s="3" t="s">
        <v>126</v>
      </c>
      <c r="G1967" s="3" t="s">
        <v>151</v>
      </c>
      <c r="H1967" s="3">
        <v>2</v>
      </c>
      <c r="I1967" s="7">
        <v>1564.03</v>
      </c>
      <c r="J1967" s="9">
        <v>0.05</v>
      </c>
      <c r="K1967" s="7">
        <v>2971.66</v>
      </c>
      <c r="L1967" s="7">
        <v>1425.49</v>
      </c>
      <c r="M1967" s="3" t="s">
        <v>56</v>
      </c>
      <c r="N1967" s="3" t="str">
        <f t="shared" si="120"/>
        <v>2025-06</v>
      </c>
      <c r="O1967" s="3" t="str">
        <f t="shared" si="121"/>
        <v>1-10%</v>
      </c>
      <c r="P1967" s="9">
        <f t="shared" si="122"/>
        <v>0.47969485068951362</v>
      </c>
      <c r="Q1967" s="3" t="str">
        <f t="shared" si="123"/>
        <v>No</v>
      </c>
    </row>
    <row r="1968" spans="1:17" ht="21" customHeight="1">
      <c r="A1968" s="3" t="s">
        <v>2665</v>
      </c>
      <c r="B1968" s="5">
        <v>45832</v>
      </c>
      <c r="C1968" s="3" t="s">
        <v>1156</v>
      </c>
      <c r="D1968" s="3" t="s">
        <v>45</v>
      </c>
      <c r="E1968" s="3" t="s">
        <v>39</v>
      </c>
      <c r="F1968" s="3" t="s">
        <v>130</v>
      </c>
      <c r="G1968" s="3" t="s">
        <v>193</v>
      </c>
      <c r="H1968" s="3">
        <v>2</v>
      </c>
      <c r="I1968" s="7">
        <v>1882.8</v>
      </c>
      <c r="J1968" s="9">
        <v>0.2</v>
      </c>
      <c r="K1968" s="7">
        <v>3012.48</v>
      </c>
      <c r="L1968" s="7">
        <v>551.48</v>
      </c>
      <c r="M1968" s="3" t="s">
        <v>56</v>
      </c>
      <c r="N1968" s="3" t="str">
        <f t="shared" si="120"/>
        <v>2025-06</v>
      </c>
      <c r="O1968" s="3" t="str">
        <f t="shared" si="121"/>
        <v>16-20%</v>
      </c>
      <c r="P1968" s="9">
        <f t="shared" si="122"/>
        <v>0.18306511578500106</v>
      </c>
      <c r="Q1968" s="3" t="str">
        <f t="shared" si="123"/>
        <v>No</v>
      </c>
    </row>
    <row r="1969" spans="1:17" ht="21" customHeight="1">
      <c r="A1969" s="3" t="s">
        <v>2666</v>
      </c>
      <c r="B1969" s="5">
        <v>45832</v>
      </c>
      <c r="C1969" s="3" t="s">
        <v>626</v>
      </c>
      <c r="D1969" s="3" t="s">
        <v>44</v>
      </c>
      <c r="E1969" s="3" t="s">
        <v>38</v>
      </c>
      <c r="F1969" s="3" t="s">
        <v>98</v>
      </c>
      <c r="G1969" s="3" t="s">
        <v>362</v>
      </c>
      <c r="H1969" s="3">
        <v>1</v>
      </c>
      <c r="I1969" s="7">
        <v>32062.28</v>
      </c>
      <c r="J1969" s="9">
        <v>0</v>
      </c>
      <c r="K1969" s="7">
        <v>32062.28</v>
      </c>
      <c r="L1969" s="7">
        <v>6588.19</v>
      </c>
      <c r="M1969" s="3" t="s">
        <v>56</v>
      </c>
      <c r="N1969" s="3" t="str">
        <f t="shared" si="120"/>
        <v>2025-06</v>
      </c>
      <c r="O1969" s="3" t="str">
        <f t="shared" si="121"/>
        <v>No discount</v>
      </c>
      <c r="P1969" s="9">
        <f t="shared" si="122"/>
        <v>0.20548102006469907</v>
      </c>
      <c r="Q1969" s="3" t="str">
        <f t="shared" si="123"/>
        <v>No</v>
      </c>
    </row>
    <row r="1970" spans="1:17" ht="21" customHeight="1">
      <c r="A1970" s="3" t="s">
        <v>2667</v>
      </c>
      <c r="B1970" s="5">
        <v>45832</v>
      </c>
      <c r="C1970" s="3" t="s">
        <v>2643</v>
      </c>
      <c r="D1970" s="3" t="s">
        <v>47</v>
      </c>
      <c r="E1970" s="3" t="s">
        <v>38</v>
      </c>
      <c r="F1970" s="3" t="s">
        <v>94</v>
      </c>
      <c r="G1970" s="3" t="s">
        <v>95</v>
      </c>
      <c r="H1970" s="3">
        <v>2</v>
      </c>
      <c r="I1970" s="7">
        <v>77740.639999999999</v>
      </c>
      <c r="J1970" s="9">
        <v>0.2</v>
      </c>
      <c r="K1970" s="7">
        <v>124385.02</v>
      </c>
      <c r="L1970" s="7">
        <v>-4404.6099999999997</v>
      </c>
      <c r="M1970" s="3" t="s">
        <v>58</v>
      </c>
      <c r="N1970" s="3" t="str">
        <f t="shared" si="120"/>
        <v>2025-06</v>
      </c>
      <c r="O1970" s="3" t="str">
        <f t="shared" si="121"/>
        <v>16-20%</v>
      </c>
      <c r="P1970" s="9">
        <f t="shared" si="122"/>
        <v>-3.5411096931125624E-2</v>
      </c>
      <c r="Q1970" s="3" t="str">
        <f t="shared" si="123"/>
        <v>Yes</v>
      </c>
    </row>
    <row r="1971" spans="1:17" ht="21" customHeight="1">
      <c r="A1971" s="3" t="s">
        <v>2668</v>
      </c>
      <c r="B1971" s="5">
        <v>45832</v>
      </c>
      <c r="C1971" s="3" t="s">
        <v>1046</v>
      </c>
      <c r="D1971" s="3" t="s">
        <v>45</v>
      </c>
      <c r="E1971" s="3" t="s">
        <v>39</v>
      </c>
      <c r="F1971" s="3" t="s">
        <v>109</v>
      </c>
      <c r="G1971" s="3" t="s">
        <v>355</v>
      </c>
      <c r="H1971" s="3">
        <v>5</v>
      </c>
      <c r="I1971" s="7">
        <v>3413.43</v>
      </c>
      <c r="J1971" s="9">
        <v>0.05</v>
      </c>
      <c r="K1971" s="7">
        <v>16213.79</v>
      </c>
      <c r="L1971" s="7">
        <v>5927.91</v>
      </c>
      <c r="M1971" s="3" t="s">
        <v>57</v>
      </c>
      <c r="N1971" s="3" t="str">
        <f t="shared" si="120"/>
        <v>2025-06</v>
      </c>
      <c r="O1971" s="3" t="str">
        <f t="shared" si="121"/>
        <v>1-10%</v>
      </c>
      <c r="P1971" s="9">
        <f t="shared" si="122"/>
        <v>0.3656091512225087</v>
      </c>
      <c r="Q1971" s="3" t="str">
        <f t="shared" si="123"/>
        <v>No</v>
      </c>
    </row>
    <row r="1972" spans="1:17" ht="21" customHeight="1">
      <c r="A1972" s="3" t="s">
        <v>2669</v>
      </c>
      <c r="B1972" s="5">
        <v>45832</v>
      </c>
      <c r="C1972" s="3" t="s">
        <v>1221</v>
      </c>
      <c r="D1972" s="3" t="s">
        <v>45</v>
      </c>
      <c r="E1972" s="3" t="s">
        <v>39</v>
      </c>
      <c r="F1972" s="3" t="s">
        <v>164</v>
      </c>
      <c r="G1972" s="3" t="s">
        <v>200</v>
      </c>
      <c r="H1972" s="3">
        <v>1</v>
      </c>
      <c r="I1972" s="7">
        <v>1322.01</v>
      </c>
      <c r="J1972" s="9">
        <v>0</v>
      </c>
      <c r="K1972" s="7">
        <v>1322.01</v>
      </c>
      <c r="L1972" s="7">
        <v>585.79999999999995</v>
      </c>
      <c r="M1972" s="3" t="s">
        <v>59</v>
      </c>
      <c r="N1972" s="3" t="str">
        <f t="shared" si="120"/>
        <v>2025-06</v>
      </c>
      <c r="O1972" s="3" t="str">
        <f t="shared" si="121"/>
        <v>No discount</v>
      </c>
      <c r="P1972" s="9">
        <f t="shared" si="122"/>
        <v>0.44311313832724408</v>
      </c>
      <c r="Q1972" s="3" t="str">
        <f t="shared" si="123"/>
        <v>No</v>
      </c>
    </row>
    <row r="1973" spans="1:17" ht="21" customHeight="1">
      <c r="A1973" s="3" t="s">
        <v>2670</v>
      </c>
      <c r="B1973" s="5">
        <v>45832</v>
      </c>
      <c r="C1973" s="3" t="s">
        <v>795</v>
      </c>
      <c r="D1973" s="3" t="s">
        <v>46</v>
      </c>
      <c r="E1973" s="3" t="s">
        <v>40</v>
      </c>
      <c r="F1973" s="3" t="s">
        <v>160</v>
      </c>
      <c r="G1973" s="3" t="s">
        <v>173</v>
      </c>
      <c r="H1973" s="3">
        <v>1</v>
      </c>
      <c r="I1973" s="7">
        <v>8771.4500000000007</v>
      </c>
      <c r="J1973" s="9">
        <v>0.15</v>
      </c>
      <c r="K1973" s="7">
        <v>7455.73</v>
      </c>
      <c r="L1973" s="7">
        <v>893.53</v>
      </c>
      <c r="M1973" s="3" t="s">
        <v>56</v>
      </c>
      <c r="N1973" s="3" t="str">
        <f t="shared" si="120"/>
        <v>2025-06</v>
      </c>
      <c r="O1973" s="3" t="str">
        <f t="shared" si="121"/>
        <v>11-15%</v>
      </c>
      <c r="P1973" s="9">
        <f t="shared" si="122"/>
        <v>0.1198447368668125</v>
      </c>
      <c r="Q1973" s="3" t="str">
        <f t="shared" si="123"/>
        <v>No</v>
      </c>
    </row>
    <row r="1974" spans="1:17" ht="21" customHeight="1">
      <c r="A1974" s="3" t="s">
        <v>2671</v>
      </c>
      <c r="B1974" s="5">
        <v>45832</v>
      </c>
      <c r="C1974" s="3" t="s">
        <v>746</v>
      </c>
      <c r="D1974" s="3" t="s">
        <v>44</v>
      </c>
      <c r="E1974" s="3" t="s">
        <v>42</v>
      </c>
      <c r="F1974" s="3" t="s">
        <v>126</v>
      </c>
      <c r="G1974" s="3" t="s">
        <v>151</v>
      </c>
      <c r="H1974" s="3">
        <v>2</v>
      </c>
      <c r="I1974" s="7">
        <v>1448.33</v>
      </c>
      <c r="J1974" s="9">
        <v>0.05</v>
      </c>
      <c r="K1974" s="7">
        <v>2751.83</v>
      </c>
      <c r="L1974" s="7">
        <v>1283.24</v>
      </c>
      <c r="M1974" s="3" t="s">
        <v>58</v>
      </c>
      <c r="N1974" s="3" t="str">
        <f t="shared" si="120"/>
        <v>2025-06</v>
      </c>
      <c r="O1974" s="3" t="str">
        <f t="shared" si="121"/>
        <v>1-10%</v>
      </c>
      <c r="P1974" s="9">
        <f t="shared" si="122"/>
        <v>0.46632241090474341</v>
      </c>
      <c r="Q1974" s="3" t="str">
        <f t="shared" si="123"/>
        <v>No</v>
      </c>
    </row>
    <row r="1975" spans="1:17" ht="21" customHeight="1">
      <c r="A1975" s="3" t="s">
        <v>2672</v>
      </c>
      <c r="B1975" s="5">
        <v>45833</v>
      </c>
      <c r="C1975" s="3" t="s">
        <v>1394</v>
      </c>
      <c r="D1975" s="3" t="s">
        <v>44</v>
      </c>
      <c r="E1975" s="3" t="s">
        <v>41</v>
      </c>
      <c r="F1975" s="3" t="s">
        <v>113</v>
      </c>
      <c r="G1975" s="3" t="s">
        <v>114</v>
      </c>
      <c r="H1975" s="3">
        <v>3</v>
      </c>
      <c r="I1975" s="7">
        <v>11551.59</v>
      </c>
      <c r="J1975" s="9">
        <v>0</v>
      </c>
      <c r="K1975" s="7">
        <v>34654.769999999997</v>
      </c>
      <c r="L1975" s="7">
        <v>13754.2</v>
      </c>
      <c r="M1975" s="3" t="s">
        <v>58</v>
      </c>
      <c r="N1975" s="3" t="str">
        <f t="shared" si="120"/>
        <v>2025-06</v>
      </c>
      <c r="O1975" s="3" t="str">
        <f t="shared" si="121"/>
        <v>No discount</v>
      </c>
      <c r="P1975" s="9">
        <f t="shared" si="122"/>
        <v>0.39689197186996195</v>
      </c>
      <c r="Q1975" s="3" t="str">
        <f t="shared" si="123"/>
        <v>No</v>
      </c>
    </row>
    <row r="1976" spans="1:17" ht="21" customHeight="1">
      <c r="A1976" s="3" t="s">
        <v>2673</v>
      </c>
      <c r="B1976" s="5">
        <v>45833</v>
      </c>
      <c r="C1976" s="3" t="s">
        <v>1274</v>
      </c>
      <c r="D1976" s="3" t="s">
        <v>47</v>
      </c>
      <c r="E1976" s="3" t="s">
        <v>41</v>
      </c>
      <c r="F1976" s="3" t="s">
        <v>113</v>
      </c>
      <c r="G1976" s="3" t="s">
        <v>114</v>
      </c>
      <c r="H1976" s="3">
        <v>1</v>
      </c>
      <c r="I1976" s="7">
        <v>11415.44</v>
      </c>
      <c r="J1976" s="9">
        <v>0</v>
      </c>
      <c r="K1976" s="7">
        <v>11415.44</v>
      </c>
      <c r="L1976" s="7">
        <v>4385.1400000000003</v>
      </c>
      <c r="M1976" s="3" t="s">
        <v>56</v>
      </c>
      <c r="N1976" s="3" t="str">
        <f t="shared" si="120"/>
        <v>2025-06</v>
      </c>
      <c r="O1976" s="3" t="str">
        <f t="shared" si="121"/>
        <v>No discount</v>
      </c>
      <c r="P1976" s="9">
        <f t="shared" si="122"/>
        <v>0.38414112815625157</v>
      </c>
      <c r="Q1976" s="3" t="str">
        <f t="shared" si="123"/>
        <v>No</v>
      </c>
    </row>
    <row r="1977" spans="1:17" ht="21" customHeight="1">
      <c r="A1977" s="3" t="s">
        <v>2674</v>
      </c>
      <c r="B1977" s="5">
        <v>45833</v>
      </c>
      <c r="C1977" s="3" t="s">
        <v>2675</v>
      </c>
      <c r="D1977" s="3" t="s">
        <v>46</v>
      </c>
      <c r="E1977" s="3" t="s">
        <v>39</v>
      </c>
      <c r="F1977" s="3" t="s">
        <v>130</v>
      </c>
      <c r="G1977" s="3" t="s">
        <v>193</v>
      </c>
      <c r="H1977" s="3">
        <v>4</v>
      </c>
      <c r="I1977" s="7">
        <v>1833.1</v>
      </c>
      <c r="J1977" s="9">
        <v>0</v>
      </c>
      <c r="K1977" s="7">
        <v>7332.4</v>
      </c>
      <c r="L1977" s="7">
        <v>2831.8</v>
      </c>
      <c r="M1977" s="3" t="s">
        <v>56</v>
      </c>
      <c r="N1977" s="3" t="str">
        <f t="shared" si="120"/>
        <v>2025-06</v>
      </c>
      <c r="O1977" s="3" t="str">
        <f t="shared" si="121"/>
        <v>No discount</v>
      </c>
      <c r="P1977" s="9">
        <f t="shared" si="122"/>
        <v>0.38620369865255583</v>
      </c>
      <c r="Q1977" s="3" t="str">
        <f t="shared" si="123"/>
        <v>No</v>
      </c>
    </row>
    <row r="1978" spans="1:17" ht="21" customHeight="1">
      <c r="A1978" s="3" t="s">
        <v>2676</v>
      </c>
      <c r="B1978" s="5">
        <v>45833</v>
      </c>
      <c r="C1978" s="3" t="s">
        <v>301</v>
      </c>
      <c r="D1978" s="3" t="s">
        <v>45</v>
      </c>
      <c r="E1978" s="3" t="s">
        <v>41</v>
      </c>
      <c r="F1978" s="3" t="s">
        <v>119</v>
      </c>
      <c r="G1978" s="3" t="s">
        <v>120</v>
      </c>
      <c r="H1978" s="3">
        <v>1</v>
      </c>
      <c r="I1978" s="7">
        <v>1317.09</v>
      </c>
      <c r="J1978" s="9">
        <v>0.1</v>
      </c>
      <c r="K1978" s="7">
        <v>1185.3800000000001</v>
      </c>
      <c r="L1978" s="7">
        <v>352.75</v>
      </c>
      <c r="M1978" s="3" t="s">
        <v>56</v>
      </c>
      <c r="N1978" s="3" t="str">
        <f t="shared" si="120"/>
        <v>2025-06</v>
      </c>
      <c r="O1978" s="3" t="str">
        <f t="shared" si="121"/>
        <v>1-10%</v>
      </c>
      <c r="P1978" s="9">
        <f t="shared" si="122"/>
        <v>0.29758389714690647</v>
      </c>
      <c r="Q1978" s="3" t="str">
        <f t="shared" si="123"/>
        <v>No</v>
      </c>
    </row>
    <row r="1979" spans="1:17" ht="21" customHeight="1">
      <c r="A1979" s="3" t="s">
        <v>2677</v>
      </c>
      <c r="B1979" s="5">
        <v>45834</v>
      </c>
      <c r="C1979" s="3" t="s">
        <v>465</v>
      </c>
      <c r="D1979" s="3" t="s">
        <v>45</v>
      </c>
      <c r="E1979" s="3" t="s">
        <v>41</v>
      </c>
      <c r="F1979" s="3" t="s">
        <v>119</v>
      </c>
      <c r="G1979" s="3" t="s">
        <v>168</v>
      </c>
      <c r="H1979" s="3">
        <v>1</v>
      </c>
      <c r="I1979" s="7">
        <v>9972.52</v>
      </c>
      <c r="J1979" s="9">
        <v>0.15</v>
      </c>
      <c r="K1979" s="7">
        <v>8476.64</v>
      </c>
      <c r="L1979" s="7">
        <v>1995.8</v>
      </c>
      <c r="M1979" s="3" t="s">
        <v>58</v>
      </c>
      <c r="N1979" s="3" t="str">
        <f t="shared" si="120"/>
        <v>2025-06</v>
      </c>
      <c r="O1979" s="3" t="str">
        <f t="shared" si="121"/>
        <v>11-15%</v>
      </c>
      <c r="P1979" s="9">
        <f t="shared" si="122"/>
        <v>0.23544706393099155</v>
      </c>
      <c r="Q1979" s="3" t="str">
        <f t="shared" si="123"/>
        <v>No</v>
      </c>
    </row>
    <row r="1980" spans="1:17" ht="21" customHeight="1">
      <c r="A1980" s="3" t="s">
        <v>2678</v>
      </c>
      <c r="B1980" s="5">
        <v>45834</v>
      </c>
      <c r="C1980" s="3" t="s">
        <v>426</v>
      </c>
      <c r="D1980" s="3" t="s">
        <v>45</v>
      </c>
      <c r="E1980" s="3" t="s">
        <v>41</v>
      </c>
      <c r="F1980" s="3" t="s">
        <v>113</v>
      </c>
      <c r="G1980" s="3" t="s">
        <v>123</v>
      </c>
      <c r="H1980" s="3">
        <v>1</v>
      </c>
      <c r="I1980" s="7">
        <v>3425.1</v>
      </c>
      <c r="J1980" s="9">
        <v>0.05</v>
      </c>
      <c r="K1980" s="7">
        <v>3253.84</v>
      </c>
      <c r="L1980" s="7">
        <v>1126.76</v>
      </c>
      <c r="M1980" s="3" t="s">
        <v>56</v>
      </c>
      <c r="N1980" s="3" t="str">
        <f t="shared" si="120"/>
        <v>2025-06</v>
      </c>
      <c r="O1980" s="3" t="str">
        <f t="shared" si="121"/>
        <v>1-10%</v>
      </c>
      <c r="P1980" s="9">
        <f t="shared" si="122"/>
        <v>0.34628623411108106</v>
      </c>
      <c r="Q1980" s="3" t="str">
        <f t="shared" si="123"/>
        <v>No</v>
      </c>
    </row>
    <row r="1981" spans="1:17" ht="21" customHeight="1">
      <c r="A1981" s="3" t="s">
        <v>2679</v>
      </c>
      <c r="B1981" s="5">
        <v>45834</v>
      </c>
      <c r="C1981" s="3" t="s">
        <v>1082</v>
      </c>
      <c r="D1981" s="3" t="s">
        <v>45</v>
      </c>
      <c r="E1981" s="3" t="s">
        <v>41</v>
      </c>
      <c r="F1981" s="3" t="s">
        <v>113</v>
      </c>
      <c r="G1981" s="3" t="s">
        <v>123</v>
      </c>
      <c r="H1981" s="3">
        <v>1</v>
      </c>
      <c r="I1981" s="7">
        <v>3425.98</v>
      </c>
      <c r="J1981" s="9">
        <v>0.2</v>
      </c>
      <c r="K1981" s="7">
        <v>2740.78</v>
      </c>
      <c r="L1981" s="7">
        <v>445.2</v>
      </c>
      <c r="M1981" s="3" t="s">
        <v>56</v>
      </c>
      <c r="N1981" s="3" t="str">
        <f t="shared" si="120"/>
        <v>2025-06</v>
      </c>
      <c r="O1981" s="3" t="str">
        <f t="shared" si="121"/>
        <v>16-20%</v>
      </c>
      <c r="P1981" s="9">
        <f t="shared" si="122"/>
        <v>0.16243551105889562</v>
      </c>
      <c r="Q1981" s="3" t="str">
        <f t="shared" si="123"/>
        <v>No</v>
      </c>
    </row>
    <row r="1982" spans="1:17" ht="21" customHeight="1">
      <c r="A1982" s="3" t="s">
        <v>2680</v>
      </c>
      <c r="B1982" s="5">
        <v>45835</v>
      </c>
      <c r="C1982" s="3" t="s">
        <v>543</v>
      </c>
      <c r="D1982" s="3" t="s">
        <v>45</v>
      </c>
      <c r="E1982" s="3" t="s">
        <v>40</v>
      </c>
      <c r="F1982" s="3" t="s">
        <v>102</v>
      </c>
      <c r="G1982" s="3" t="s">
        <v>146</v>
      </c>
      <c r="H1982" s="3">
        <v>1</v>
      </c>
      <c r="I1982" s="7">
        <v>8105.45</v>
      </c>
      <c r="J1982" s="9">
        <v>0</v>
      </c>
      <c r="K1982" s="7">
        <v>8105.45</v>
      </c>
      <c r="L1982" s="7">
        <v>2706.15</v>
      </c>
      <c r="M1982" s="3" t="s">
        <v>60</v>
      </c>
      <c r="N1982" s="3" t="str">
        <f t="shared" si="120"/>
        <v>2025-06</v>
      </c>
      <c r="O1982" s="3" t="str">
        <f t="shared" si="121"/>
        <v>No discount</v>
      </c>
      <c r="P1982" s="9">
        <f t="shared" si="122"/>
        <v>0.33386795304393957</v>
      </c>
      <c r="Q1982" s="3" t="str">
        <f t="shared" si="123"/>
        <v>No</v>
      </c>
    </row>
    <row r="1983" spans="1:17" ht="21" customHeight="1">
      <c r="A1983" s="3" t="s">
        <v>2681</v>
      </c>
      <c r="B1983" s="5">
        <v>45835</v>
      </c>
      <c r="C1983" s="3" t="s">
        <v>871</v>
      </c>
      <c r="D1983" s="3" t="s">
        <v>45</v>
      </c>
      <c r="E1983" s="3" t="s">
        <v>41</v>
      </c>
      <c r="F1983" s="3" t="s">
        <v>119</v>
      </c>
      <c r="G1983" s="3" t="s">
        <v>120</v>
      </c>
      <c r="H1983" s="3">
        <v>2</v>
      </c>
      <c r="I1983" s="7">
        <v>1286.45</v>
      </c>
      <c r="J1983" s="9">
        <v>0.1</v>
      </c>
      <c r="K1983" s="7">
        <v>2315.61</v>
      </c>
      <c r="L1983" s="7">
        <v>699.84</v>
      </c>
      <c r="M1983" s="3" t="s">
        <v>56</v>
      </c>
      <c r="N1983" s="3" t="str">
        <f t="shared" si="120"/>
        <v>2025-06</v>
      </c>
      <c r="O1983" s="3" t="str">
        <f t="shared" si="121"/>
        <v>1-10%</v>
      </c>
      <c r="P1983" s="9">
        <f t="shared" si="122"/>
        <v>0.30222705896070584</v>
      </c>
      <c r="Q1983" s="3" t="str">
        <f t="shared" si="123"/>
        <v>No</v>
      </c>
    </row>
    <row r="1984" spans="1:17" ht="21" customHeight="1">
      <c r="A1984" s="3" t="s">
        <v>2682</v>
      </c>
      <c r="B1984" s="5">
        <v>45835</v>
      </c>
      <c r="C1984" s="3" t="s">
        <v>345</v>
      </c>
      <c r="D1984" s="3" t="s">
        <v>45</v>
      </c>
      <c r="E1984" s="3" t="s">
        <v>39</v>
      </c>
      <c r="F1984" s="3" t="s">
        <v>130</v>
      </c>
      <c r="G1984" s="3" t="s">
        <v>131</v>
      </c>
      <c r="H1984" s="3">
        <v>1</v>
      </c>
      <c r="I1984" s="7">
        <v>2135.9699999999998</v>
      </c>
      <c r="J1984" s="9">
        <v>0</v>
      </c>
      <c r="K1984" s="7">
        <v>2135.9699999999998</v>
      </c>
      <c r="L1984" s="7">
        <v>868.38</v>
      </c>
      <c r="M1984" s="3" t="s">
        <v>56</v>
      </c>
      <c r="N1984" s="3" t="str">
        <f t="shared" si="120"/>
        <v>2025-06</v>
      </c>
      <c r="O1984" s="3" t="str">
        <f t="shared" si="121"/>
        <v>No discount</v>
      </c>
      <c r="P1984" s="9">
        <f t="shared" si="122"/>
        <v>0.4065506538013175</v>
      </c>
      <c r="Q1984" s="3" t="str">
        <f t="shared" si="123"/>
        <v>No</v>
      </c>
    </row>
    <row r="1985" spans="1:17" ht="21" customHeight="1">
      <c r="A1985" s="3" t="s">
        <v>2683</v>
      </c>
      <c r="B1985" s="5">
        <v>45835</v>
      </c>
      <c r="C1985" s="3" t="s">
        <v>730</v>
      </c>
      <c r="D1985" s="3" t="s">
        <v>44</v>
      </c>
      <c r="E1985" s="3" t="s">
        <v>41</v>
      </c>
      <c r="F1985" s="3" t="s">
        <v>119</v>
      </c>
      <c r="G1985" s="3" t="s">
        <v>120</v>
      </c>
      <c r="H1985" s="3">
        <v>1</v>
      </c>
      <c r="I1985" s="7">
        <v>1313.73</v>
      </c>
      <c r="J1985" s="9">
        <v>0.1</v>
      </c>
      <c r="K1985" s="7">
        <v>1182.3599999999999</v>
      </c>
      <c r="L1985" s="7">
        <v>325.72000000000003</v>
      </c>
      <c r="M1985" s="3" t="s">
        <v>56</v>
      </c>
      <c r="N1985" s="3" t="str">
        <f t="shared" si="120"/>
        <v>2025-06</v>
      </c>
      <c r="O1985" s="3" t="str">
        <f t="shared" si="121"/>
        <v>1-10%</v>
      </c>
      <c r="P1985" s="9">
        <f t="shared" si="122"/>
        <v>0.27548293244020439</v>
      </c>
      <c r="Q1985" s="3" t="str">
        <f t="shared" si="123"/>
        <v>No</v>
      </c>
    </row>
    <row r="1986" spans="1:17" ht="21" customHeight="1">
      <c r="A1986" s="3" t="s">
        <v>2684</v>
      </c>
      <c r="B1986" s="5">
        <v>45835</v>
      </c>
      <c r="C1986" s="3" t="s">
        <v>335</v>
      </c>
      <c r="D1986" s="3" t="s">
        <v>46</v>
      </c>
      <c r="E1986" s="3" t="s">
        <v>39</v>
      </c>
      <c r="F1986" s="3" t="s">
        <v>164</v>
      </c>
      <c r="G1986" s="3" t="s">
        <v>165</v>
      </c>
      <c r="H1986" s="3">
        <v>3</v>
      </c>
      <c r="I1986" s="7">
        <v>2047.89</v>
      </c>
      <c r="J1986" s="9">
        <v>0</v>
      </c>
      <c r="K1986" s="7">
        <v>6143.67</v>
      </c>
      <c r="L1986" s="7">
        <v>2592.91</v>
      </c>
      <c r="M1986" s="3" t="s">
        <v>57</v>
      </c>
      <c r="N1986" s="3" t="str">
        <f t="shared" ref="N1986:N2001" si="124">TEXT(B1986,"yyyy-mm")</f>
        <v>2025-06</v>
      </c>
      <c r="O1986" s="3" t="str">
        <f t="shared" ref="O1986:O2001" si="125">IF(J1986=0,"No discount",IF(J1986&lt;=0.1,"1-10%",IF(J1986&lt;=0.15,"11-15%",IF(J1986&lt;=0.2,"16-20%","21%+"))))</f>
        <v>No discount</v>
      </c>
      <c r="P1986" s="9">
        <f t="shared" ref="P1986:P2001" si="126">IF(K1986=0,0,L1986/K1986)</f>
        <v>0.42204578045370272</v>
      </c>
      <c r="Q1986" s="3" t="str">
        <f t="shared" ref="Q1986:Q2001" si="127">IF(L1986&lt;0,"Yes","No")</f>
        <v>No</v>
      </c>
    </row>
    <row r="1987" spans="1:17" ht="21" customHeight="1">
      <c r="A1987" s="3" t="s">
        <v>2685</v>
      </c>
      <c r="B1987" s="5">
        <v>45835</v>
      </c>
      <c r="C1987" s="3" t="s">
        <v>1387</v>
      </c>
      <c r="D1987" s="3" t="s">
        <v>47</v>
      </c>
      <c r="E1987" s="3" t="s">
        <v>40</v>
      </c>
      <c r="F1987" s="3" t="s">
        <v>160</v>
      </c>
      <c r="G1987" s="3" t="s">
        <v>161</v>
      </c>
      <c r="H1987" s="3">
        <v>2</v>
      </c>
      <c r="I1987" s="7">
        <v>12749.07</v>
      </c>
      <c r="J1987" s="9">
        <v>0.05</v>
      </c>
      <c r="K1987" s="7">
        <v>24223.23</v>
      </c>
      <c r="L1987" s="7">
        <v>7166.87</v>
      </c>
      <c r="M1987" s="3" t="s">
        <v>57</v>
      </c>
      <c r="N1987" s="3" t="str">
        <f t="shared" si="124"/>
        <v>2025-06</v>
      </c>
      <c r="O1987" s="3" t="str">
        <f t="shared" si="125"/>
        <v>1-10%</v>
      </c>
      <c r="P1987" s="9">
        <f t="shared" si="126"/>
        <v>0.29586764440580388</v>
      </c>
      <c r="Q1987" s="3" t="str">
        <f t="shared" si="127"/>
        <v>No</v>
      </c>
    </row>
    <row r="1988" spans="1:17" ht="21" customHeight="1">
      <c r="A1988" s="3" t="s">
        <v>2686</v>
      </c>
      <c r="B1988" s="5">
        <v>45835</v>
      </c>
      <c r="C1988" s="3" t="s">
        <v>1035</v>
      </c>
      <c r="D1988" s="3" t="s">
        <v>45</v>
      </c>
      <c r="E1988" s="3" t="s">
        <v>38</v>
      </c>
      <c r="F1988" s="3" t="s">
        <v>98</v>
      </c>
      <c r="G1988" s="3" t="s">
        <v>362</v>
      </c>
      <c r="H1988" s="3">
        <v>2</v>
      </c>
      <c r="I1988" s="7">
        <v>34469.74</v>
      </c>
      <c r="J1988" s="9">
        <v>0.2</v>
      </c>
      <c r="K1988" s="7">
        <v>55151.58</v>
      </c>
      <c r="L1988" s="7">
        <v>-3576.39</v>
      </c>
      <c r="M1988" s="3" t="s">
        <v>58</v>
      </c>
      <c r="N1988" s="3" t="str">
        <f t="shared" si="124"/>
        <v>2025-06</v>
      </c>
      <c r="O1988" s="3" t="str">
        <f t="shared" si="125"/>
        <v>16-20%</v>
      </c>
      <c r="P1988" s="9">
        <f t="shared" si="126"/>
        <v>-6.484655561998405E-2</v>
      </c>
      <c r="Q1988" s="3" t="str">
        <f t="shared" si="127"/>
        <v>Yes</v>
      </c>
    </row>
    <row r="1989" spans="1:17" ht="21" customHeight="1">
      <c r="A1989" s="3" t="s">
        <v>2687</v>
      </c>
      <c r="B1989" s="5">
        <v>45835</v>
      </c>
      <c r="C1989" s="3" t="s">
        <v>800</v>
      </c>
      <c r="D1989" s="3" t="s">
        <v>47</v>
      </c>
      <c r="E1989" s="3" t="s">
        <v>41</v>
      </c>
      <c r="F1989" s="3" t="s">
        <v>113</v>
      </c>
      <c r="G1989" s="3" t="s">
        <v>114</v>
      </c>
      <c r="H1989" s="3">
        <v>1</v>
      </c>
      <c r="I1989" s="7">
        <v>12009.9</v>
      </c>
      <c r="J1989" s="9">
        <v>0.2</v>
      </c>
      <c r="K1989" s="7">
        <v>9607.92</v>
      </c>
      <c r="L1989" s="7">
        <v>1424.83</v>
      </c>
      <c r="M1989" s="3" t="s">
        <v>56</v>
      </c>
      <c r="N1989" s="3" t="str">
        <f t="shared" si="124"/>
        <v>2025-06</v>
      </c>
      <c r="O1989" s="3" t="str">
        <f t="shared" si="125"/>
        <v>16-20%</v>
      </c>
      <c r="P1989" s="9">
        <f t="shared" si="126"/>
        <v>0.14829744627349103</v>
      </c>
      <c r="Q1989" s="3" t="str">
        <f t="shared" si="127"/>
        <v>No</v>
      </c>
    </row>
    <row r="1990" spans="1:17" ht="21" customHeight="1">
      <c r="A1990" s="3" t="s">
        <v>2688</v>
      </c>
      <c r="B1990" s="5">
        <v>45836</v>
      </c>
      <c r="C1990" s="3" t="s">
        <v>728</v>
      </c>
      <c r="D1990" s="3" t="s">
        <v>44</v>
      </c>
      <c r="E1990" s="3" t="s">
        <v>38</v>
      </c>
      <c r="F1990" s="3" t="s">
        <v>98</v>
      </c>
      <c r="G1990" s="3" t="s">
        <v>99</v>
      </c>
      <c r="H1990" s="3">
        <v>3</v>
      </c>
      <c r="I1990" s="7">
        <v>25339.32</v>
      </c>
      <c r="J1990" s="9">
        <v>0.25</v>
      </c>
      <c r="K1990" s="7">
        <v>57013.47</v>
      </c>
      <c r="L1990" s="7">
        <v>-8408.65</v>
      </c>
      <c r="M1990" s="3" t="s">
        <v>56</v>
      </c>
      <c r="N1990" s="3" t="str">
        <f t="shared" si="124"/>
        <v>2025-06</v>
      </c>
      <c r="O1990" s="3" t="str">
        <f t="shared" si="125"/>
        <v>21%+</v>
      </c>
      <c r="P1990" s="9">
        <f t="shared" si="126"/>
        <v>-0.14748532232821471</v>
      </c>
      <c r="Q1990" s="3" t="str">
        <f t="shared" si="127"/>
        <v>Yes</v>
      </c>
    </row>
    <row r="1991" spans="1:17" ht="21" customHeight="1">
      <c r="A1991" s="3" t="s">
        <v>2689</v>
      </c>
      <c r="B1991" s="5">
        <v>45836</v>
      </c>
      <c r="C1991" s="3" t="s">
        <v>335</v>
      </c>
      <c r="D1991" s="3" t="s">
        <v>47</v>
      </c>
      <c r="E1991" s="3" t="s">
        <v>42</v>
      </c>
      <c r="F1991" s="3" t="s">
        <v>126</v>
      </c>
      <c r="G1991" s="3" t="s">
        <v>151</v>
      </c>
      <c r="H1991" s="3">
        <v>1</v>
      </c>
      <c r="I1991" s="7">
        <v>1491.87</v>
      </c>
      <c r="J1991" s="9">
        <v>0.05</v>
      </c>
      <c r="K1991" s="7">
        <v>1417.28</v>
      </c>
      <c r="L1991" s="7">
        <v>698.17</v>
      </c>
      <c r="M1991" s="3" t="s">
        <v>57</v>
      </c>
      <c r="N1991" s="3" t="str">
        <f t="shared" si="124"/>
        <v>2025-06</v>
      </c>
      <c r="O1991" s="3" t="str">
        <f t="shared" si="125"/>
        <v>1-10%</v>
      </c>
      <c r="P1991" s="9">
        <f t="shared" si="126"/>
        <v>0.49261261006999318</v>
      </c>
      <c r="Q1991" s="3" t="str">
        <f t="shared" si="127"/>
        <v>No</v>
      </c>
    </row>
    <row r="1992" spans="1:17" ht="21" customHeight="1">
      <c r="A1992" s="3" t="s">
        <v>2690</v>
      </c>
      <c r="B1992" s="5">
        <v>45836</v>
      </c>
      <c r="C1992" s="3" t="s">
        <v>463</v>
      </c>
      <c r="D1992" s="3" t="s">
        <v>46</v>
      </c>
      <c r="E1992" s="3" t="s">
        <v>38</v>
      </c>
      <c r="F1992" s="3" t="s">
        <v>98</v>
      </c>
      <c r="G1992" s="3" t="s">
        <v>99</v>
      </c>
      <c r="H1992" s="3">
        <v>1</v>
      </c>
      <c r="I1992" s="7">
        <v>25736.74</v>
      </c>
      <c r="J1992" s="9">
        <v>0.2</v>
      </c>
      <c r="K1992" s="7">
        <v>20589.39</v>
      </c>
      <c r="L1992" s="7">
        <v>-932.86</v>
      </c>
      <c r="M1992" s="3" t="s">
        <v>60</v>
      </c>
      <c r="N1992" s="3" t="str">
        <f t="shared" si="124"/>
        <v>2025-06</v>
      </c>
      <c r="O1992" s="3" t="str">
        <f t="shared" si="125"/>
        <v>16-20%</v>
      </c>
      <c r="P1992" s="9">
        <f t="shared" si="126"/>
        <v>-4.5307801736719742E-2</v>
      </c>
      <c r="Q1992" s="3" t="str">
        <f t="shared" si="127"/>
        <v>Yes</v>
      </c>
    </row>
    <row r="1993" spans="1:17" ht="21" customHeight="1">
      <c r="A1993" s="3" t="s">
        <v>2691</v>
      </c>
      <c r="B1993" s="5">
        <v>45836</v>
      </c>
      <c r="C1993" s="3" t="s">
        <v>1567</v>
      </c>
      <c r="D1993" s="3" t="s">
        <v>45</v>
      </c>
      <c r="E1993" s="3" t="s">
        <v>41</v>
      </c>
      <c r="F1993" s="3" t="s">
        <v>119</v>
      </c>
      <c r="G1993" s="3" t="s">
        <v>168</v>
      </c>
      <c r="H1993" s="3">
        <v>1</v>
      </c>
      <c r="I1993" s="7">
        <v>9652.9500000000007</v>
      </c>
      <c r="J1993" s="9">
        <v>0.15</v>
      </c>
      <c r="K1993" s="7">
        <v>8205.01</v>
      </c>
      <c r="L1993" s="7">
        <v>1921.84</v>
      </c>
      <c r="M1993" s="3" t="s">
        <v>57</v>
      </c>
      <c r="N1993" s="3" t="str">
        <f t="shared" si="124"/>
        <v>2025-06</v>
      </c>
      <c r="O1993" s="3" t="str">
        <f t="shared" si="125"/>
        <v>11-15%</v>
      </c>
      <c r="P1993" s="9">
        <f t="shared" si="126"/>
        <v>0.23422762434171315</v>
      </c>
      <c r="Q1993" s="3" t="str">
        <f t="shared" si="127"/>
        <v>No</v>
      </c>
    </row>
    <row r="1994" spans="1:17" ht="21" customHeight="1">
      <c r="A1994" s="3" t="s">
        <v>2692</v>
      </c>
      <c r="B1994" s="5">
        <v>45836</v>
      </c>
      <c r="C1994" s="3" t="s">
        <v>1058</v>
      </c>
      <c r="D1994" s="3" t="s">
        <v>44</v>
      </c>
      <c r="E1994" s="3" t="s">
        <v>41</v>
      </c>
      <c r="F1994" s="3" t="s">
        <v>119</v>
      </c>
      <c r="G1994" s="3" t="s">
        <v>120</v>
      </c>
      <c r="H1994" s="3">
        <v>1</v>
      </c>
      <c r="I1994" s="7">
        <v>1273.75</v>
      </c>
      <c r="J1994" s="9">
        <v>0</v>
      </c>
      <c r="K1994" s="7">
        <v>1273.75</v>
      </c>
      <c r="L1994" s="7">
        <v>439.59</v>
      </c>
      <c r="M1994" s="3" t="s">
        <v>57</v>
      </c>
      <c r="N1994" s="3" t="str">
        <f t="shared" si="124"/>
        <v>2025-06</v>
      </c>
      <c r="O1994" s="3" t="str">
        <f t="shared" si="125"/>
        <v>No discount</v>
      </c>
      <c r="P1994" s="9">
        <f t="shared" si="126"/>
        <v>0.34511481844946024</v>
      </c>
      <c r="Q1994" s="3" t="str">
        <f t="shared" si="127"/>
        <v>No</v>
      </c>
    </row>
    <row r="1995" spans="1:17" ht="21" customHeight="1">
      <c r="A1995" s="3" t="s">
        <v>2693</v>
      </c>
      <c r="B1995" s="5">
        <v>45836</v>
      </c>
      <c r="C1995" s="3" t="s">
        <v>700</v>
      </c>
      <c r="D1995" s="3" t="s">
        <v>46</v>
      </c>
      <c r="E1995" s="3" t="s">
        <v>38</v>
      </c>
      <c r="F1995" s="3" t="s">
        <v>94</v>
      </c>
      <c r="G1995" s="3" t="s">
        <v>95</v>
      </c>
      <c r="H1995" s="3">
        <v>4</v>
      </c>
      <c r="I1995" s="7">
        <v>77249.3</v>
      </c>
      <c r="J1995" s="9">
        <v>0.05</v>
      </c>
      <c r="K1995" s="7">
        <v>293547.34000000003</v>
      </c>
      <c r="L1995" s="7">
        <v>35495.69</v>
      </c>
      <c r="M1995" s="3" t="s">
        <v>58</v>
      </c>
      <c r="N1995" s="3" t="str">
        <f t="shared" si="124"/>
        <v>2025-06</v>
      </c>
      <c r="O1995" s="3" t="str">
        <f t="shared" si="125"/>
        <v>1-10%</v>
      </c>
      <c r="P1995" s="9">
        <f t="shared" si="126"/>
        <v>0.12091981484144942</v>
      </c>
      <c r="Q1995" s="3" t="str">
        <f t="shared" si="127"/>
        <v>No</v>
      </c>
    </row>
    <row r="1996" spans="1:17" ht="21" customHeight="1">
      <c r="A1996" s="3" t="s">
        <v>2694</v>
      </c>
      <c r="B1996" s="5">
        <v>45837</v>
      </c>
      <c r="C1996" s="3" t="s">
        <v>1372</v>
      </c>
      <c r="D1996" s="3" t="s">
        <v>44</v>
      </c>
      <c r="E1996" s="3" t="s">
        <v>38</v>
      </c>
      <c r="F1996" s="3" t="s">
        <v>142</v>
      </c>
      <c r="G1996" s="3" t="s">
        <v>143</v>
      </c>
      <c r="H1996" s="3">
        <v>1</v>
      </c>
      <c r="I1996" s="7">
        <v>9123.9500000000007</v>
      </c>
      <c r="J1996" s="9">
        <v>0.15</v>
      </c>
      <c r="K1996" s="7">
        <v>7755.36</v>
      </c>
      <c r="L1996" s="7">
        <v>-121.85</v>
      </c>
      <c r="M1996" s="3" t="s">
        <v>56</v>
      </c>
      <c r="N1996" s="3" t="str">
        <f t="shared" si="124"/>
        <v>2025-06</v>
      </c>
      <c r="O1996" s="3" t="str">
        <f t="shared" si="125"/>
        <v>11-15%</v>
      </c>
      <c r="P1996" s="9">
        <f t="shared" si="126"/>
        <v>-1.5711714220874338E-2</v>
      </c>
      <c r="Q1996" s="3" t="str">
        <f t="shared" si="127"/>
        <v>Yes</v>
      </c>
    </row>
    <row r="1997" spans="1:17" ht="21" customHeight="1">
      <c r="A1997" s="3" t="s">
        <v>2695</v>
      </c>
      <c r="B1997" s="5">
        <v>45837</v>
      </c>
      <c r="C1997" s="3" t="s">
        <v>1103</v>
      </c>
      <c r="D1997" s="3" t="s">
        <v>45</v>
      </c>
      <c r="E1997" s="3" t="s">
        <v>39</v>
      </c>
      <c r="F1997" s="3" t="s">
        <v>109</v>
      </c>
      <c r="G1997" s="3" t="s">
        <v>355</v>
      </c>
      <c r="H1997" s="3">
        <v>1</v>
      </c>
      <c r="I1997" s="7">
        <v>3610.8</v>
      </c>
      <c r="J1997" s="9">
        <v>0</v>
      </c>
      <c r="K1997" s="7">
        <v>3610.8</v>
      </c>
      <c r="L1997" s="7">
        <v>1387.28</v>
      </c>
      <c r="M1997" s="3" t="s">
        <v>57</v>
      </c>
      <c r="N1997" s="3" t="str">
        <f t="shared" si="124"/>
        <v>2025-06</v>
      </c>
      <c r="O1997" s="3" t="str">
        <f t="shared" si="125"/>
        <v>No discount</v>
      </c>
      <c r="P1997" s="9">
        <f t="shared" si="126"/>
        <v>0.38420294671540928</v>
      </c>
      <c r="Q1997" s="3" t="str">
        <f t="shared" si="127"/>
        <v>No</v>
      </c>
    </row>
    <row r="1998" spans="1:17" ht="21" customHeight="1">
      <c r="A1998" s="3" t="s">
        <v>2696</v>
      </c>
      <c r="B1998" s="5">
        <v>45837</v>
      </c>
      <c r="C1998" s="3" t="s">
        <v>272</v>
      </c>
      <c r="D1998" s="3" t="s">
        <v>44</v>
      </c>
      <c r="E1998" s="3" t="s">
        <v>41</v>
      </c>
      <c r="F1998" s="3" t="s">
        <v>113</v>
      </c>
      <c r="G1998" s="3" t="s">
        <v>123</v>
      </c>
      <c r="H1998" s="3">
        <v>1</v>
      </c>
      <c r="I1998" s="7">
        <v>3472.04</v>
      </c>
      <c r="J1998" s="9">
        <v>0</v>
      </c>
      <c r="K1998" s="7">
        <v>3472.04</v>
      </c>
      <c r="L1998" s="7">
        <v>1410.97</v>
      </c>
      <c r="M1998" s="3" t="s">
        <v>56</v>
      </c>
      <c r="N1998" s="3" t="str">
        <f t="shared" si="124"/>
        <v>2025-06</v>
      </c>
      <c r="O1998" s="3" t="str">
        <f t="shared" si="125"/>
        <v>No discount</v>
      </c>
      <c r="P1998" s="9">
        <f t="shared" si="126"/>
        <v>0.40638068685844636</v>
      </c>
      <c r="Q1998" s="3" t="str">
        <f t="shared" si="127"/>
        <v>No</v>
      </c>
    </row>
    <row r="1999" spans="1:17" ht="21" customHeight="1">
      <c r="A1999" s="3" t="s">
        <v>2697</v>
      </c>
      <c r="B1999" s="5">
        <v>45838</v>
      </c>
      <c r="C1999" s="3" t="s">
        <v>2698</v>
      </c>
      <c r="D1999" s="3" t="s">
        <v>47</v>
      </c>
      <c r="E1999" s="3" t="s">
        <v>39</v>
      </c>
      <c r="F1999" s="3" t="s">
        <v>109</v>
      </c>
      <c r="G1999" s="3" t="s">
        <v>355</v>
      </c>
      <c r="H1999" s="3">
        <v>2</v>
      </c>
      <c r="I1999" s="7">
        <v>3520.79</v>
      </c>
      <c r="J1999" s="9">
        <v>0.15</v>
      </c>
      <c r="K1999" s="7">
        <v>5985.34</v>
      </c>
      <c r="L1999" s="7">
        <v>1521.02</v>
      </c>
      <c r="M1999" s="3" t="s">
        <v>58</v>
      </c>
      <c r="N1999" s="3" t="str">
        <f t="shared" si="124"/>
        <v>2025-06</v>
      </c>
      <c r="O1999" s="3" t="str">
        <f t="shared" si="125"/>
        <v>11-15%</v>
      </c>
      <c r="P1999" s="9">
        <f t="shared" si="126"/>
        <v>0.25412424356845226</v>
      </c>
      <c r="Q1999" s="3" t="str">
        <f t="shared" si="127"/>
        <v>No</v>
      </c>
    </row>
    <row r="2000" spans="1:17" ht="21" customHeight="1">
      <c r="A2000" s="3" t="s">
        <v>2699</v>
      </c>
      <c r="B2000" s="5">
        <v>45838</v>
      </c>
      <c r="C2000" s="3" t="s">
        <v>473</v>
      </c>
      <c r="D2000" s="3" t="s">
        <v>47</v>
      </c>
      <c r="E2000" s="3" t="s">
        <v>39</v>
      </c>
      <c r="F2000" s="3" t="s">
        <v>130</v>
      </c>
      <c r="G2000" s="3" t="s">
        <v>193</v>
      </c>
      <c r="H2000" s="3">
        <v>1</v>
      </c>
      <c r="I2000" s="7">
        <v>1830.82</v>
      </c>
      <c r="J2000" s="9">
        <v>0</v>
      </c>
      <c r="K2000" s="7">
        <v>1830.82</v>
      </c>
      <c r="L2000" s="7">
        <v>822.71</v>
      </c>
      <c r="M2000" s="3" t="s">
        <v>59</v>
      </c>
      <c r="N2000" s="3" t="str">
        <f t="shared" si="124"/>
        <v>2025-06</v>
      </c>
      <c r="O2000" s="3" t="str">
        <f t="shared" si="125"/>
        <v>No discount</v>
      </c>
      <c r="P2000" s="9">
        <f t="shared" si="126"/>
        <v>0.44936695032826823</v>
      </c>
      <c r="Q2000" s="3" t="str">
        <f t="shared" si="127"/>
        <v>No</v>
      </c>
    </row>
    <row r="2001" spans="1:17" ht="21" customHeight="1">
      <c r="A2001" s="3" t="s">
        <v>2700</v>
      </c>
      <c r="B2001" s="5">
        <v>45838</v>
      </c>
      <c r="C2001" s="3" t="s">
        <v>153</v>
      </c>
      <c r="D2001" s="3" t="s">
        <v>45</v>
      </c>
      <c r="E2001" s="3" t="s">
        <v>42</v>
      </c>
      <c r="F2001" s="3" t="s">
        <v>126</v>
      </c>
      <c r="G2001" s="3" t="s">
        <v>127</v>
      </c>
      <c r="H2001" s="3">
        <v>1</v>
      </c>
      <c r="I2001" s="7">
        <v>1029.81</v>
      </c>
      <c r="J2001" s="9">
        <v>0.1</v>
      </c>
      <c r="K2001" s="7">
        <v>926.83</v>
      </c>
      <c r="L2001" s="7">
        <v>374.02</v>
      </c>
      <c r="M2001" s="3" t="s">
        <v>58</v>
      </c>
      <c r="N2001" s="3" t="str">
        <f t="shared" si="124"/>
        <v>2025-06</v>
      </c>
      <c r="O2001" s="3" t="str">
        <f t="shared" si="125"/>
        <v>1-10%</v>
      </c>
      <c r="P2001" s="9">
        <f t="shared" si="126"/>
        <v>0.40354757614665038</v>
      </c>
      <c r="Q2001" s="3" t="str">
        <f t="shared" si="127"/>
        <v>No</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AA3AA"/>
  </sheetPr>
  <dimension ref="A1:Q2001"/>
  <sheetViews>
    <sheetView showGridLines="0" workbookViewId="0">
      <pane ySplit="1" topLeftCell="A2" activePane="bottomLeft" state="frozen"/>
      <selection pane="bottomLeft"/>
    </sheetView>
  </sheetViews>
  <sheetFormatPr defaultRowHeight="14"/>
  <cols>
    <col min="1" max="6" width="19" customWidth="1"/>
    <col min="7" max="7" width="30" customWidth="1"/>
    <col min="8" max="17" width="19" customWidth="1"/>
  </cols>
  <sheetData>
    <row r="1" spans="1:17" ht="21" customHeight="1">
      <c r="A1" s="2" t="s">
        <v>74</v>
      </c>
      <c r="B1" s="2" t="s">
        <v>75</v>
      </c>
      <c r="C1" s="2" t="s">
        <v>76</v>
      </c>
      <c r="D1" s="2" t="s">
        <v>77</v>
      </c>
      <c r="E1" s="2" t="s">
        <v>78</v>
      </c>
      <c r="F1" s="2" t="s">
        <v>79</v>
      </c>
      <c r="G1" s="2" t="s">
        <v>80</v>
      </c>
      <c r="H1" s="2" t="s">
        <v>81</v>
      </c>
      <c r="I1" s="2" t="s">
        <v>82</v>
      </c>
      <c r="J1" s="2" t="s">
        <v>83</v>
      </c>
      <c r="K1" s="2" t="s">
        <v>84</v>
      </c>
      <c r="L1" s="2" t="s">
        <v>85</v>
      </c>
      <c r="M1" s="2" t="s">
        <v>86</v>
      </c>
      <c r="N1" s="3"/>
      <c r="O1" s="3"/>
      <c r="P1" s="3"/>
      <c r="Q1" s="3"/>
    </row>
    <row r="2" spans="1:17" ht="21" customHeight="1">
      <c r="A2" s="2" t="s">
        <v>88</v>
      </c>
      <c r="B2" s="4">
        <v>45292</v>
      </c>
      <c r="C2" s="2" t="s">
        <v>89</v>
      </c>
      <c r="D2" s="2" t="s">
        <v>47</v>
      </c>
      <c r="E2" s="2" t="s">
        <v>42</v>
      </c>
      <c r="F2" s="2" t="s">
        <v>90</v>
      </c>
      <c r="G2" s="2" t="s">
        <v>91</v>
      </c>
      <c r="H2" s="2">
        <v>1</v>
      </c>
      <c r="I2" s="6">
        <v>1234.3699999999999</v>
      </c>
      <c r="J2" s="8">
        <v>0.1</v>
      </c>
      <c r="K2" s="6">
        <v>1110.93</v>
      </c>
      <c r="L2" s="6">
        <v>498.1</v>
      </c>
      <c r="M2" s="2" t="s">
        <v>56</v>
      </c>
      <c r="N2" s="3"/>
      <c r="O2" s="3"/>
      <c r="P2" s="3"/>
      <c r="Q2" s="3"/>
    </row>
    <row r="3" spans="1:17" ht="21" customHeight="1">
      <c r="A3" s="2" t="s">
        <v>92</v>
      </c>
      <c r="B3" s="4">
        <v>45292</v>
      </c>
      <c r="C3" s="2" t="s">
        <v>93</v>
      </c>
      <c r="D3" s="2" t="s">
        <v>46</v>
      </c>
      <c r="E3" s="2" t="s">
        <v>38</v>
      </c>
      <c r="F3" s="2" t="s">
        <v>94</v>
      </c>
      <c r="G3" s="2" t="s">
        <v>95</v>
      </c>
      <c r="H3" s="2">
        <v>1</v>
      </c>
      <c r="I3" s="6">
        <v>80111.490000000005</v>
      </c>
      <c r="J3" s="8">
        <v>0.1</v>
      </c>
      <c r="K3" s="6">
        <v>72100.34</v>
      </c>
      <c r="L3" s="6">
        <v>5701.57</v>
      </c>
      <c r="M3" s="2" t="s">
        <v>60</v>
      </c>
      <c r="N3" s="3"/>
      <c r="O3" s="3"/>
      <c r="P3" s="3"/>
      <c r="Q3" s="3"/>
    </row>
    <row r="4" spans="1:17" ht="21" customHeight="1">
      <c r="A4" s="2" t="s">
        <v>96</v>
      </c>
      <c r="B4" s="4">
        <v>45293</v>
      </c>
      <c r="C4" s="2" t="s">
        <v>97</v>
      </c>
      <c r="D4" s="2" t="s">
        <v>46</v>
      </c>
      <c r="E4" s="2" t="s">
        <v>38</v>
      </c>
      <c r="F4" s="2" t="s">
        <v>98</v>
      </c>
      <c r="G4" s="2" t="s">
        <v>99</v>
      </c>
      <c r="H4" s="2">
        <v>1</v>
      </c>
      <c r="I4" s="6">
        <v>24219.42</v>
      </c>
      <c r="J4" s="8">
        <v>0.1</v>
      </c>
      <c r="K4" s="6">
        <v>21797.48</v>
      </c>
      <c r="L4" s="6">
        <v>2187.61</v>
      </c>
      <c r="M4" s="2" t="s">
        <v>56</v>
      </c>
      <c r="N4" s="3"/>
      <c r="O4" s="3"/>
      <c r="P4" s="3"/>
      <c r="Q4" s="3"/>
    </row>
    <row r="5" spans="1:17" ht="21" customHeight="1">
      <c r="A5" s="2" t="s">
        <v>100</v>
      </c>
      <c r="B5" s="4">
        <v>45293</v>
      </c>
      <c r="C5" s="2" t="s">
        <v>101</v>
      </c>
      <c r="D5" s="2" t="s">
        <v>44</v>
      </c>
      <c r="E5" s="2" t="s">
        <v>40</v>
      </c>
      <c r="F5" s="2" t="s">
        <v>102</v>
      </c>
      <c r="G5" s="2" t="s">
        <v>103</v>
      </c>
      <c r="H5" s="2">
        <v>1</v>
      </c>
      <c r="I5" s="6">
        <v>6807.91</v>
      </c>
      <c r="J5" s="8">
        <v>0</v>
      </c>
      <c r="K5" s="6">
        <v>6807.91</v>
      </c>
      <c r="L5" s="6">
        <v>2498.96</v>
      </c>
      <c r="M5" s="2" t="s">
        <v>57</v>
      </c>
      <c r="N5" s="3"/>
      <c r="O5" s="3"/>
      <c r="P5" s="3"/>
      <c r="Q5" s="3"/>
    </row>
    <row r="6" spans="1:17" ht="21" customHeight="1">
      <c r="A6" s="2" t="s">
        <v>104</v>
      </c>
      <c r="B6" s="4">
        <v>45294</v>
      </c>
      <c r="C6" s="2" t="s">
        <v>105</v>
      </c>
      <c r="D6" s="2" t="s">
        <v>44</v>
      </c>
      <c r="E6" s="2" t="s">
        <v>42</v>
      </c>
      <c r="F6" s="2" t="s">
        <v>90</v>
      </c>
      <c r="G6" s="2" t="s">
        <v>106</v>
      </c>
      <c r="H6" s="2">
        <v>1</v>
      </c>
      <c r="I6" s="6">
        <v>924.01</v>
      </c>
      <c r="J6" s="8">
        <v>0.1</v>
      </c>
      <c r="K6" s="6">
        <v>831.61</v>
      </c>
      <c r="L6" s="6">
        <v>394.97</v>
      </c>
      <c r="M6" s="2" t="s">
        <v>56</v>
      </c>
      <c r="N6" s="3"/>
      <c r="O6" s="3"/>
      <c r="P6" s="3"/>
      <c r="Q6" s="3"/>
    </row>
    <row r="7" spans="1:17" ht="21" customHeight="1">
      <c r="A7" s="2" t="s">
        <v>107</v>
      </c>
      <c r="B7" s="4">
        <v>45295</v>
      </c>
      <c r="C7" s="2" t="s">
        <v>108</v>
      </c>
      <c r="D7" s="2" t="s">
        <v>45</v>
      </c>
      <c r="E7" s="2" t="s">
        <v>39</v>
      </c>
      <c r="F7" s="2" t="s">
        <v>109</v>
      </c>
      <c r="G7" s="2" t="s">
        <v>110</v>
      </c>
      <c r="H7" s="2">
        <v>1</v>
      </c>
      <c r="I7" s="6">
        <v>2908.04</v>
      </c>
      <c r="J7" s="8">
        <v>0.05</v>
      </c>
      <c r="K7" s="6">
        <v>2762.64</v>
      </c>
      <c r="L7" s="6">
        <v>926.6</v>
      </c>
      <c r="M7" s="2" t="s">
        <v>57</v>
      </c>
      <c r="N7" s="3"/>
      <c r="O7" s="3"/>
      <c r="P7" s="3"/>
      <c r="Q7" s="3"/>
    </row>
    <row r="8" spans="1:17" ht="21" customHeight="1">
      <c r="A8" s="2" t="s">
        <v>111</v>
      </c>
      <c r="B8" s="4">
        <v>45296</v>
      </c>
      <c r="C8" s="2" t="s">
        <v>112</v>
      </c>
      <c r="D8" s="2" t="s">
        <v>46</v>
      </c>
      <c r="E8" s="2" t="s">
        <v>41</v>
      </c>
      <c r="F8" s="2" t="s">
        <v>113</v>
      </c>
      <c r="G8" s="2" t="s">
        <v>114</v>
      </c>
      <c r="H8" s="2">
        <v>4</v>
      </c>
      <c r="I8" s="6">
        <v>12379.05</v>
      </c>
      <c r="J8" s="8">
        <v>0.2</v>
      </c>
      <c r="K8" s="6">
        <v>39612.959999999999</v>
      </c>
      <c r="L8" s="6">
        <v>6475.71</v>
      </c>
      <c r="M8" s="2" t="s">
        <v>56</v>
      </c>
      <c r="N8" s="3"/>
      <c r="O8" s="3"/>
      <c r="P8" s="3"/>
      <c r="Q8" s="3"/>
    </row>
    <row r="9" spans="1:17" ht="21" customHeight="1">
      <c r="A9" s="2" t="s">
        <v>115</v>
      </c>
      <c r="B9" s="4">
        <v>45296</v>
      </c>
      <c r="C9" s="2" t="s">
        <v>116</v>
      </c>
      <c r="D9" s="2" t="s">
        <v>44</v>
      </c>
      <c r="E9" s="2" t="s">
        <v>38</v>
      </c>
      <c r="F9" s="2" t="s">
        <v>94</v>
      </c>
      <c r="G9" s="2" t="s">
        <v>95</v>
      </c>
      <c r="H9" s="2">
        <v>1</v>
      </c>
      <c r="I9" s="6">
        <v>80903.62</v>
      </c>
      <c r="J9" s="8">
        <v>0.05</v>
      </c>
      <c r="K9" s="6">
        <v>76858.44</v>
      </c>
      <c r="L9" s="6">
        <v>7182.52</v>
      </c>
      <c r="M9" s="2" t="s">
        <v>60</v>
      </c>
      <c r="N9" s="3"/>
      <c r="O9" s="3"/>
      <c r="P9" s="3"/>
      <c r="Q9" s="3"/>
    </row>
    <row r="10" spans="1:17" ht="21" customHeight="1">
      <c r="A10" s="2" t="s">
        <v>117</v>
      </c>
      <c r="B10" s="4">
        <v>45297</v>
      </c>
      <c r="C10" s="2" t="s">
        <v>118</v>
      </c>
      <c r="D10" s="2" t="s">
        <v>45</v>
      </c>
      <c r="E10" s="2" t="s">
        <v>41</v>
      </c>
      <c r="F10" s="2" t="s">
        <v>119</v>
      </c>
      <c r="G10" s="2" t="s">
        <v>120</v>
      </c>
      <c r="H10" s="2">
        <v>3</v>
      </c>
      <c r="I10" s="6">
        <v>1307.21</v>
      </c>
      <c r="J10" s="8">
        <v>0.05</v>
      </c>
      <c r="K10" s="6">
        <v>3725.55</v>
      </c>
      <c r="L10" s="6">
        <v>1285.69</v>
      </c>
      <c r="M10" s="2" t="s">
        <v>56</v>
      </c>
      <c r="N10" s="3"/>
      <c r="O10" s="3"/>
      <c r="P10" s="3"/>
      <c r="Q10" s="3"/>
    </row>
    <row r="11" spans="1:17" ht="21" customHeight="1">
      <c r="A11" s="2" t="s">
        <v>121</v>
      </c>
      <c r="B11" s="4">
        <v>45297</v>
      </c>
      <c r="C11" s="2" t="s">
        <v>122</v>
      </c>
      <c r="D11" s="2" t="s">
        <v>45</v>
      </c>
      <c r="E11" s="2" t="s">
        <v>41</v>
      </c>
      <c r="F11" s="2" t="s">
        <v>113</v>
      </c>
      <c r="G11" s="2" t="s">
        <v>123</v>
      </c>
      <c r="H11" s="2">
        <v>2</v>
      </c>
      <c r="I11" s="6">
        <v>3333.3</v>
      </c>
      <c r="J11" s="8">
        <v>0.2</v>
      </c>
      <c r="K11" s="6">
        <v>5333.28</v>
      </c>
      <c r="L11" s="6">
        <v>623.79</v>
      </c>
      <c r="M11" s="2" t="s">
        <v>59</v>
      </c>
      <c r="N11" s="3"/>
      <c r="O11" s="3"/>
      <c r="P11" s="3"/>
      <c r="Q11" s="3"/>
    </row>
    <row r="12" spans="1:17" ht="21" customHeight="1">
      <c r="A12" s="2" t="s">
        <v>124</v>
      </c>
      <c r="B12" s="4">
        <v>45298</v>
      </c>
      <c r="C12" s="2" t="s">
        <v>125</v>
      </c>
      <c r="D12" s="2" t="s">
        <v>47</v>
      </c>
      <c r="E12" s="2" t="s">
        <v>42</v>
      </c>
      <c r="F12" s="2" t="s">
        <v>126</v>
      </c>
      <c r="G12" s="2" t="s">
        <v>127</v>
      </c>
      <c r="H12" s="2">
        <v>2</v>
      </c>
      <c r="I12" s="6">
        <v>1036.74</v>
      </c>
      <c r="J12" s="8">
        <v>0.2</v>
      </c>
      <c r="K12" s="6">
        <v>1658.78</v>
      </c>
      <c r="L12" s="6">
        <v>471.56</v>
      </c>
      <c r="M12" s="2" t="s">
        <v>56</v>
      </c>
      <c r="N12" s="3"/>
      <c r="O12" s="3"/>
      <c r="P12" s="3"/>
      <c r="Q12" s="3"/>
    </row>
    <row r="13" spans="1:17" ht="21" customHeight="1">
      <c r="A13" s="2" t="s">
        <v>128</v>
      </c>
      <c r="B13" s="4">
        <v>45298</v>
      </c>
      <c r="C13" s="2" t="s">
        <v>129</v>
      </c>
      <c r="D13" s="2" t="s">
        <v>46</v>
      </c>
      <c r="E13" s="2" t="s">
        <v>39</v>
      </c>
      <c r="F13" s="2" t="s">
        <v>130</v>
      </c>
      <c r="G13" s="2" t="s">
        <v>131</v>
      </c>
      <c r="H13" s="2">
        <v>2</v>
      </c>
      <c r="I13" s="6">
        <v>2226.69</v>
      </c>
      <c r="J13" s="8">
        <v>0.05</v>
      </c>
      <c r="K13" s="6">
        <v>4230.71</v>
      </c>
      <c r="L13" s="6">
        <v>1402.13</v>
      </c>
      <c r="M13" s="2" t="s">
        <v>56</v>
      </c>
      <c r="N13" s="3"/>
      <c r="O13" s="3"/>
      <c r="P13" s="3"/>
      <c r="Q13" s="3"/>
    </row>
    <row r="14" spans="1:17" ht="21" customHeight="1">
      <c r="A14" s="2" t="s">
        <v>132</v>
      </c>
      <c r="B14" s="4">
        <v>45298</v>
      </c>
      <c r="C14" s="2" t="s">
        <v>133</v>
      </c>
      <c r="D14" s="2" t="s">
        <v>45</v>
      </c>
      <c r="E14" s="2" t="s">
        <v>39</v>
      </c>
      <c r="F14" s="2" t="s">
        <v>130</v>
      </c>
      <c r="G14" s="2" t="s">
        <v>131</v>
      </c>
      <c r="H14" s="2">
        <v>2</v>
      </c>
      <c r="I14" s="6">
        <v>2115.88</v>
      </c>
      <c r="J14" s="8">
        <v>0.25</v>
      </c>
      <c r="K14" s="6">
        <v>3173.82</v>
      </c>
      <c r="L14" s="6">
        <v>443.82</v>
      </c>
      <c r="M14" s="2" t="s">
        <v>56</v>
      </c>
      <c r="N14" s="3"/>
      <c r="O14" s="3"/>
      <c r="P14" s="3"/>
      <c r="Q14" s="3"/>
    </row>
    <row r="15" spans="1:17" ht="21" customHeight="1">
      <c r="A15" s="2" t="s">
        <v>134</v>
      </c>
      <c r="B15" s="4">
        <v>45298</v>
      </c>
      <c r="C15" s="2" t="s">
        <v>135</v>
      </c>
      <c r="D15" s="2" t="s">
        <v>45</v>
      </c>
      <c r="E15" s="2" t="s">
        <v>38</v>
      </c>
      <c r="F15" s="2" t="s">
        <v>94</v>
      </c>
      <c r="G15" s="2" t="s">
        <v>95</v>
      </c>
      <c r="H15" s="2">
        <v>2</v>
      </c>
      <c r="I15" s="6">
        <v>75503.570000000007</v>
      </c>
      <c r="J15" s="8">
        <v>0</v>
      </c>
      <c r="K15" s="6">
        <v>151007.14000000001</v>
      </c>
      <c r="L15" s="6">
        <v>25183.27</v>
      </c>
      <c r="M15" s="2" t="s">
        <v>56</v>
      </c>
      <c r="N15" s="3"/>
      <c r="O15" s="3"/>
      <c r="P15" s="3"/>
      <c r="Q15" s="3"/>
    </row>
    <row r="16" spans="1:17" ht="21" customHeight="1">
      <c r="A16" s="2" t="s">
        <v>136</v>
      </c>
      <c r="B16" s="4">
        <v>45298</v>
      </c>
      <c r="C16" s="2" t="s">
        <v>137</v>
      </c>
      <c r="D16" s="2" t="s">
        <v>44</v>
      </c>
      <c r="E16" s="2" t="s">
        <v>41</v>
      </c>
      <c r="F16" s="2" t="s">
        <v>113</v>
      </c>
      <c r="G16" s="2" t="s">
        <v>114</v>
      </c>
      <c r="H16" s="2">
        <v>1</v>
      </c>
      <c r="I16" s="6">
        <v>12085.24</v>
      </c>
      <c r="J16" s="8">
        <v>0.1</v>
      </c>
      <c r="K16" s="6">
        <v>10876.72</v>
      </c>
      <c r="L16" s="6">
        <v>3298.41</v>
      </c>
      <c r="M16" s="2" t="s">
        <v>58</v>
      </c>
      <c r="N16" s="3"/>
      <c r="O16" s="3"/>
      <c r="P16" s="3"/>
      <c r="Q16" s="3"/>
    </row>
    <row r="17" spans="1:17" ht="21" customHeight="1">
      <c r="A17" s="2" t="s">
        <v>138</v>
      </c>
      <c r="B17" s="4">
        <v>45298</v>
      </c>
      <c r="C17" s="2" t="s">
        <v>139</v>
      </c>
      <c r="D17" s="2" t="s">
        <v>45</v>
      </c>
      <c r="E17" s="2" t="s">
        <v>41</v>
      </c>
      <c r="F17" s="2" t="s">
        <v>113</v>
      </c>
      <c r="G17" s="2" t="s">
        <v>123</v>
      </c>
      <c r="H17" s="2">
        <v>1</v>
      </c>
      <c r="I17" s="6">
        <v>3426.47</v>
      </c>
      <c r="J17" s="8">
        <v>0.15</v>
      </c>
      <c r="K17" s="6">
        <v>2912.5</v>
      </c>
      <c r="L17" s="6">
        <v>602.80999999999995</v>
      </c>
      <c r="M17" s="2" t="s">
        <v>59</v>
      </c>
      <c r="N17" s="3"/>
      <c r="O17" s="3"/>
      <c r="P17" s="3"/>
      <c r="Q17" s="3"/>
    </row>
    <row r="18" spans="1:17" ht="21" customHeight="1">
      <c r="A18" s="2" t="s">
        <v>140</v>
      </c>
      <c r="B18" s="4">
        <v>45299</v>
      </c>
      <c r="C18" s="2" t="s">
        <v>141</v>
      </c>
      <c r="D18" s="2" t="s">
        <v>44</v>
      </c>
      <c r="E18" s="2" t="s">
        <v>38</v>
      </c>
      <c r="F18" s="2" t="s">
        <v>142</v>
      </c>
      <c r="G18" s="2" t="s">
        <v>143</v>
      </c>
      <c r="H18" s="2">
        <v>4</v>
      </c>
      <c r="I18" s="6">
        <v>8557.27</v>
      </c>
      <c r="J18" s="8">
        <v>0.05</v>
      </c>
      <c r="K18" s="6">
        <v>32517.63</v>
      </c>
      <c r="L18" s="6">
        <v>3802.44</v>
      </c>
      <c r="M18" s="2" t="s">
        <v>56</v>
      </c>
      <c r="N18" s="3"/>
      <c r="O18" s="3"/>
      <c r="P18" s="3"/>
      <c r="Q18" s="3"/>
    </row>
    <row r="19" spans="1:17" ht="21" customHeight="1">
      <c r="A19" s="2" t="s">
        <v>144</v>
      </c>
      <c r="B19" s="4">
        <v>45299</v>
      </c>
      <c r="C19" s="2" t="s">
        <v>145</v>
      </c>
      <c r="D19" s="2" t="s">
        <v>45</v>
      </c>
      <c r="E19" s="2" t="s">
        <v>40</v>
      </c>
      <c r="F19" s="2" t="s">
        <v>102</v>
      </c>
      <c r="G19" s="2" t="s">
        <v>146</v>
      </c>
      <c r="H19" s="2">
        <v>1</v>
      </c>
      <c r="I19" s="6">
        <v>8013.29</v>
      </c>
      <c r="J19" s="8">
        <v>0</v>
      </c>
      <c r="K19" s="6">
        <v>8013.29</v>
      </c>
      <c r="L19" s="6">
        <v>2928.63</v>
      </c>
      <c r="M19" s="2" t="s">
        <v>60</v>
      </c>
      <c r="N19" s="3"/>
      <c r="O19" s="3"/>
      <c r="P19" s="3"/>
      <c r="Q19" s="3"/>
    </row>
    <row r="20" spans="1:17" ht="21" customHeight="1">
      <c r="A20" s="2" t="s">
        <v>147</v>
      </c>
      <c r="B20" s="4">
        <v>45300</v>
      </c>
      <c r="C20" s="2" t="s">
        <v>148</v>
      </c>
      <c r="D20" s="2" t="s">
        <v>45</v>
      </c>
      <c r="E20" s="2" t="s">
        <v>42</v>
      </c>
      <c r="F20" s="2" t="s">
        <v>90</v>
      </c>
      <c r="G20" s="2" t="s">
        <v>91</v>
      </c>
      <c r="H20" s="2">
        <v>2</v>
      </c>
      <c r="I20" s="6">
        <v>1236.5</v>
      </c>
      <c r="J20" s="8">
        <v>0.05</v>
      </c>
      <c r="K20" s="6">
        <v>2349.35</v>
      </c>
      <c r="L20" s="6">
        <v>1218.5999999999999</v>
      </c>
      <c r="M20" s="2" t="s">
        <v>56</v>
      </c>
      <c r="N20" s="3"/>
      <c r="O20" s="3"/>
      <c r="P20" s="3"/>
      <c r="Q20" s="3"/>
    </row>
    <row r="21" spans="1:17" ht="21" customHeight="1">
      <c r="A21" s="2" t="s">
        <v>149</v>
      </c>
      <c r="B21" s="4">
        <v>45300</v>
      </c>
      <c r="C21" s="2" t="s">
        <v>150</v>
      </c>
      <c r="D21" s="2" t="s">
        <v>46</v>
      </c>
      <c r="E21" s="2" t="s">
        <v>42</v>
      </c>
      <c r="F21" s="2" t="s">
        <v>126</v>
      </c>
      <c r="G21" s="2" t="s">
        <v>151</v>
      </c>
      <c r="H21" s="2">
        <v>2</v>
      </c>
      <c r="I21" s="6">
        <v>1445.88</v>
      </c>
      <c r="J21" s="8">
        <v>0.1</v>
      </c>
      <c r="K21" s="6">
        <v>2602.58</v>
      </c>
      <c r="L21" s="6">
        <v>1125.78</v>
      </c>
      <c r="M21" s="2" t="s">
        <v>56</v>
      </c>
      <c r="N21" s="3"/>
      <c r="O21" s="3"/>
      <c r="P21" s="3"/>
      <c r="Q21" s="3"/>
    </row>
    <row r="22" spans="1:17" ht="21" customHeight="1">
      <c r="A22" s="2" t="s">
        <v>152</v>
      </c>
      <c r="B22" s="4">
        <v>45300</v>
      </c>
      <c r="C22" s="2" t="s">
        <v>153</v>
      </c>
      <c r="D22" s="2" t="s">
        <v>47</v>
      </c>
      <c r="E22" s="2" t="s">
        <v>38</v>
      </c>
      <c r="F22" s="2" t="s">
        <v>98</v>
      </c>
      <c r="G22" s="2" t="s">
        <v>99</v>
      </c>
      <c r="H22" s="2">
        <v>1</v>
      </c>
      <c r="I22" s="6">
        <v>25460.080000000002</v>
      </c>
      <c r="J22" s="8">
        <v>0</v>
      </c>
      <c r="K22" s="6">
        <v>25460.080000000002</v>
      </c>
      <c r="L22" s="6">
        <v>3670.41</v>
      </c>
      <c r="M22" s="2" t="s">
        <v>57</v>
      </c>
      <c r="N22" s="3"/>
      <c r="O22" s="3"/>
      <c r="P22" s="3"/>
      <c r="Q22" s="3"/>
    </row>
    <row r="23" spans="1:17" ht="21" customHeight="1">
      <c r="A23" s="2" t="s">
        <v>154</v>
      </c>
      <c r="B23" s="4">
        <v>45300</v>
      </c>
      <c r="C23" s="2" t="s">
        <v>155</v>
      </c>
      <c r="D23" s="2" t="s">
        <v>45</v>
      </c>
      <c r="E23" s="2" t="s">
        <v>38</v>
      </c>
      <c r="F23" s="2" t="s">
        <v>142</v>
      </c>
      <c r="G23" s="2" t="s">
        <v>143</v>
      </c>
      <c r="H23" s="2">
        <v>4</v>
      </c>
      <c r="I23" s="6">
        <v>8639.43</v>
      </c>
      <c r="J23" s="8">
        <v>0</v>
      </c>
      <c r="K23" s="6">
        <v>34557.72</v>
      </c>
      <c r="L23" s="6">
        <v>6787.42</v>
      </c>
      <c r="M23" s="2" t="s">
        <v>56</v>
      </c>
      <c r="N23" s="3"/>
      <c r="O23" s="3"/>
      <c r="P23" s="3"/>
      <c r="Q23" s="3"/>
    </row>
    <row r="24" spans="1:17" ht="21" customHeight="1">
      <c r="A24" s="2" t="s">
        <v>156</v>
      </c>
      <c r="B24" s="4">
        <v>45300</v>
      </c>
      <c r="C24" s="2" t="s">
        <v>157</v>
      </c>
      <c r="D24" s="2" t="s">
        <v>44</v>
      </c>
      <c r="E24" s="2" t="s">
        <v>42</v>
      </c>
      <c r="F24" s="2" t="s">
        <v>126</v>
      </c>
      <c r="G24" s="2" t="s">
        <v>151</v>
      </c>
      <c r="H24" s="2">
        <v>2</v>
      </c>
      <c r="I24" s="6">
        <v>1559.15</v>
      </c>
      <c r="J24" s="8">
        <v>0.1</v>
      </c>
      <c r="K24" s="6">
        <v>2806.47</v>
      </c>
      <c r="L24" s="6">
        <v>1180.93</v>
      </c>
      <c r="M24" s="2" t="s">
        <v>56</v>
      </c>
      <c r="N24" s="3"/>
      <c r="O24" s="3"/>
      <c r="P24" s="3"/>
      <c r="Q24" s="3"/>
    </row>
    <row r="25" spans="1:17" ht="21" customHeight="1">
      <c r="A25" s="2" t="s">
        <v>158</v>
      </c>
      <c r="B25" s="4">
        <v>45300</v>
      </c>
      <c r="C25" s="2" t="s">
        <v>159</v>
      </c>
      <c r="D25" s="2" t="s">
        <v>44</v>
      </c>
      <c r="E25" s="2" t="s">
        <v>40</v>
      </c>
      <c r="F25" s="2" t="s">
        <v>160</v>
      </c>
      <c r="G25" s="2" t="s">
        <v>161</v>
      </c>
      <c r="H25" s="2">
        <v>1</v>
      </c>
      <c r="I25" s="6">
        <v>13120.47</v>
      </c>
      <c r="J25" s="8">
        <v>0.1</v>
      </c>
      <c r="K25" s="6">
        <v>11808.42</v>
      </c>
      <c r="L25" s="6">
        <v>2872.47</v>
      </c>
      <c r="M25" s="2" t="s">
        <v>56</v>
      </c>
      <c r="N25" s="3"/>
      <c r="O25" s="3"/>
      <c r="P25" s="3"/>
      <c r="Q25" s="3"/>
    </row>
    <row r="26" spans="1:17" ht="21" customHeight="1">
      <c r="A26" s="2" t="s">
        <v>162</v>
      </c>
      <c r="B26" s="4">
        <v>45300</v>
      </c>
      <c r="C26" s="2" t="s">
        <v>163</v>
      </c>
      <c r="D26" s="2" t="s">
        <v>44</v>
      </c>
      <c r="E26" s="2" t="s">
        <v>39</v>
      </c>
      <c r="F26" s="2" t="s">
        <v>164</v>
      </c>
      <c r="G26" s="2" t="s">
        <v>165</v>
      </c>
      <c r="H26" s="2">
        <v>1</v>
      </c>
      <c r="I26" s="6">
        <v>2035.59</v>
      </c>
      <c r="J26" s="8">
        <v>0.15</v>
      </c>
      <c r="K26" s="6">
        <v>1730.25</v>
      </c>
      <c r="L26" s="6">
        <v>445.59</v>
      </c>
      <c r="M26" s="2" t="s">
        <v>56</v>
      </c>
      <c r="N26" s="3"/>
      <c r="O26" s="3"/>
      <c r="P26" s="3"/>
      <c r="Q26" s="3"/>
    </row>
    <row r="27" spans="1:17" ht="21" customHeight="1">
      <c r="A27" s="2" t="s">
        <v>166</v>
      </c>
      <c r="B27" s="4">
        <v>45300</v>
      </c>
      <c r="C27" s="2" t="s">
        <v>167</v>
      </c>
      <c r="D27" s="2" t="s">
        <v>45</v>
      </c>
      <c r="E27" s="2" t="s">
        <v>41</v>
      </c>
      <c r="F27" s="2" t="s">
        <v>119</v>
      </c>
      <c r="G27" s="2" t="s">
        <v>168</v>
      </c>
      <c r="H27" s="2">
        <v>1</v>
      </c>
      <c r="I27" s="6">
        <v>9578.1200000000008</v>
      </c>
      <c r="J27" s="8">
        <v>0</v>
      </c>
      <c r="K27" s="6">
        <v>9578.1200000000008</v>
      </c>
      <c r="L27" s="6">
        <v>3519.58</v>
      </c>
      <c r="M27" s="2" t="s">
        <v>57</v>
      </c>
      <c r="N27" s="3"/>
      <c r="O27" s="3"/>
      <c r="P27" s="3"/>
      <c r="Q27" s="3"/>
    </row>
    <row r="28" spans="1:17" ht="21" customHeight="1">
      <c r="A28" s="2" t="s">
        <v>169</v>
      </c>
      <c r="B28" s="4">
        <v>45300</v>
      </c>
      <c r="C28" s="2" t="s">
        <v>170</v>
      </c>
      <c r="D28" s="2" t="s">
        <v>45</v>
      </c>
      <c r="E28" s="2" t="s">
        <v>42</v>
      </c>
      <c r="F28" s="2" t="s">
        <v>126</v>
      </c>
      <c r="G28" s="2" t="s">
        <v>127</v>
      </c>
      <c r="H28" s="2">
        <v>2</v>
      </c>
      <c r="I28" s="6">
        <v>981.13</v>
      </c>
      <c r="J28" s="8">
        <v>0.05</v>
      </c>
      <c r="K28" s="6">
        <v>1864.15</v>
      </c>
      <c r="L28" s="6">
        <v>850.92</v>
      </c>
      <c r="M28" s="2" t="s">
        <v>57</v>
      </c>
      <c r="N28" s="3"/>
      <c r="O28" s="3"/>
      <c r="P28" s="3"/>
      <c r="Q28" s="3"/>
    </row>
    <row r="29" spans="1:17" ht="21" customHeight="1">
      <c r="A29" s="2" t="s">
        <v>171</v>
      </c>
      <c r="B29" s="4">
        <v>45300</v>
      </c>
      <c r="C29" s="2" t="s">
        <v>172</v>
      </c>
      <c r="D29" s="2" t="s">
        <v>45</v>
      </c>
      <c r="E29" s="2" t="s">
        <v>40</v>
      </c>
      <c r="F29" s="2" t="s">
        <v>160</v>
      </c>
      <c r="G29" s="2" t="s">
        <v>173</v>
      </c>
      <c r="H29" s="2">
        <v>5</v>
      </c>
      <c r="I29" s="6">
        <v>8706.41</v>
      </c>
      <c r="J29" s="8">
        <v>0</v>
      </c>
      <c r="K29" s="6">
        <v>43532.05</v>
      </c>
      <c r="L29" s="6">
        <v>13561.59</v>
      </c>
      <c r="M29" s="2" t="s">
        <v>58</v>
      </c>
      <c r="N29" s="3"/>
      <c r="O29" s="3"/>
      <c r="P29" s="3"/>
      <c r="Q29" s="3"/>
    </row>
    <row r="30" spans="1:17" ht="21" customHeight="1">
      <c r="A30" s="2" t="s">
        <v>174</v>
      </c>
      <c r="B30" s="4">
        <v>45301</v>
      </c>
      <c r="C30" s="2" t="s">
        <v>175</v>
      </c>
      <c r="D30" s="2" t="s">
        <v>46</v>
      </c>
      <c r="E30" s="2" t="s">
        <v>39</v>
      </c>
      <c r="F30" s="2" t="s">
        <v>164</v>
      </c>
      <c r="G30" s="2" t="s">
        <v>165</v>
      </c>
      <c r="H30" s="2">
        <v>2</v>
      </c>
      <c r="I30" s="6">
        <v>1980.91</v>
      </c>
      <c r="J30" s="8">
        <v>0</v>
      </c>
      <c r="K30" s="6">
        <v>3961.82</v>
      </c>
      <c r="L30" s="6">
        <v>1511.85</v>
      </c>
      <c r="M30" s="2" t="s">
        <v>58</v>
      </c>
      <c r="N30" s="3"/>
      <c r="O30" s="3"/>
      <c r="P30" s="3"/>
      <c r="Q30" s="3"/>
    </row>
    <row r="31" spans="1:17" ht="21" customHeight="1">
      <c r="A31" s="2" t="s">
        <v>176</v>
      </c>
      <c r="B31" s="4">
        <v>45301</v>
      </c>
      <c r="C31" s="2" t="s">
        <v>177</v>
      </c>
      <c r="D31" s="2" t="s">
        <v>46</v>
      </c>
      <c r="E31" s="2" t="s">
        <v>39</v>
      </c>
      <c r="F31" s="2" t="s">
        <v>109</v>
      </c>
      <c r="G31" s="2" t="s">
        <v>110</v>
      </c>
      <c r="H31" s="2">
        <v>3</v>
      </c>
      <c r="I31" s="6">
        <v>3005.89</v>
      </c>
      <c r="J31" s="8">
        <v>0.1</v>
      </c>
      <c r="K31" s="6">
        <v>8115.9</v>
      </c>
      <c r="L31" s="6">
        <v>2620.5700000000002</v>
      </c>
      <c r="M31" s="2" t="s">
        <v>56</v>
      </c>
      <c r="N31" s="3"/>
      <c r="O31" s="3"/>
      <c r="P31" s="3"/>
      <c r="Q31" s="3"/>
    </row>
    <row r="32" spans="1:17" ht="21" customHeight="1">
      <c r="A32" s="2" t="s">
        <v>178</v>
      </c>
      <c r="B32" s="4">
        <v>45301</v>
      </c>
      <c r="C32" s="2" t="s">
        <v>179</v>
      </c>
      <c r="D32" s="2" t="s">
        <v>44</v>
      </c>
      <c r="E32" s="2" t="s">
        <v>38</v>
      </c>
      <c r="F32" s="2" t="s">
        <v>98</v>
      </c>
      <c r="G32" s="2" t="s">
        <v>99</v>
      </c>
      <c r="H32" s="2">
        <v>1</v>
      </c>
      <c r="I32" s="6">
        <v>25495.85</v>
      </c>
      <c r="J32" s="8">
        <v>0</v>
      </c>
      <c r="K32" s="6">
        <v>25495.85</v>
      </c>
      <c r="L32" s="6">
        <v>3772.82</v>
      </c>
      <c r="M32" s="2" t="s">
        <v>57</v>
      </c>
      <c r="N32" s="3"/>
      <c r="O32" s="3"/>
      <c r="P32" s="3"/>
      <c r="Q32" s="3"/>
    </row>
    <row r="33" spans="1:17" ht="21" customHeight="1">
      <c r="A33" s="2" t="s">
        <v>180</v>
      </c>
      <c r="B33" s="4">
        <v>45302</v>
      </c>
      <c r="C33" s="2" t="s">
        <v>181</v>
      </c>
      <c r="D33" s="2" t="s">
        <v>46</v>
      </c>
      <c r="E33" s="2" t="s">
        <v>38</v>
      </c>
      <c r="F33" s="2" t="s">
        <v>98</v>
      </c>
      <c r="G33" s="2" t="s">
        <v>182</v>
      </c>
      <c r="H33" s="2">
        <v>1</v>
      </c>
      <c r="I33" s="6">
        <v>72448.47</v>
      </c>
      <c r="J33" s="8">
        <v>0</v>
      </c>
      <c r="K33" s="6">
        <v>72448.47</v>
      </c>
      <c r="L33" s="6">
        <v>12470.89</v>
      </c>
      <c r="M33" s="2" t="s">
        <v>56</v>
      </c>
      <c r="N33" s="3"/>
      <c r="O33" s="3"/>
      <c r="P33" s="3"/>
      <c r="Q33" s="3"/>
    </row>
    <row r="34" spans="1:17" ht="21" customHeight="1">
      <c r="A34" s="2" t="s">
        <v>183</v>
      </c>
      <c r="B34" s="4">
        <v>45302</v>
      </c>
      <c r="C34" s="2" t="s">
        <v>184</v>
      </c>
      <c r="D34" s="2" t="s">
        <v>44</v>
      </c>
      <c r="E34" s="2" t="s">
        <v>39</v>
      </c>
      <c r="F34" s="2" t="s">
        <v>109</v>
      </c>
      <c r="G34" s="2" t="s">
        <v>110</v>
      </c>
      <c r="H34" s="2">
        <v>1</v>
      </c>
      <c r="I34" s="6">
        <v>2948.07</v>
      </c>
      <c r="J34" s="8">
        <v>0</v>
      </c>
      <c r="K34" s="6">
        <v>2948.07</v>
      </c>
      <c r="L34" s="6">
        <v>1255.55</v>
      </c>
      <c r="M34" s="2" t="s">
        <v>56</v>
      </c>
      <c r="N34" s="3"/>
      <c r="O34" s="3"/>
      <c r="P34" s="3"/>
      <c r="Q34" s="3"/>
    </row>
    <row r="35" spans="1:17" ht="21" customHeight="1">
      <c r="A35" s="2" t="s">
        <v>185</v>
      </c>
      <c r="B35" s="4">
        <v>45302</v>
      </c>
      <c r="C35" s="2" t="s">
        <v>186</v>
      </c>
      <c r="D35" s="2" t="s">
        <v>45</v>
      </c>
      <c r="E35" s="2" t="s">
        <v>39</v>
      </c>
      <c r="F35" s="2" t="s">
        <v>130</v>
      </c>
      <c r="G35" s="2" t="s">
        <v>131</v>
      </c>
      <c r="H35" s="2">
        <v>1</v>
      </c>
      <c r="I35" s="6">
        <v>2241.2800000000002</v>
      </c>
      <c r="J35" s="8">
        <v>0</v>
      </c>
      <c r="K35" s="6">
        <v>2241.2800000000002</v>
      </c>
      <c r="L35" s="6">
        <v>971.88</v>
      </c>
      <c r="M35" s="2" t="s">
        <v>57</v>
      </c>
      <c r="N35" s="3"/>
      <c r="O35" s="3"/>
      <c r="P35" s="3"/>
      <c r="Q35" s="3"/>
    </row>
    <row r="36" spans="1:17" ht="21" customHeight="1">
      <c r="A36" s="2" t="s">
        <v>187</v>
      </c>
      <c r="B36" s="4">
        <v>45303</v>
      </c>
      <c r="C36" s="2" t="s">
        <v>188</v>
      </c>
      <c r="D36" s="2" t="s">
        <v>45</v>
      </c>
      <c r="E36" s="2" t="s">
        <v>41</v>
      </c>
      <c r="F36" s="2" t="s">
        <v>113</v>
      </c>
      <c r="G36" s="2" t="s">
        <v>123</v>
      </c>
      <c r="H36" s="2">
        <v>1</v>
      </c>
      <c r="I36" s="6">
        <v>3480.36</v>
      </c>
      <c r="J36" s="8">
        <v>0.05</v>
      </c>
      <c r="K36" s="6">
        <v>3306.34</v>
      </c>
      <c r="L36" s="6">
        <v>1004.66</v>
      </c>
      <c r="M36" s="2" t="s">
        <v>57</v>
      </c>
      <c r="N36" s="3"/>
      <c r="O36" s="3"/>
      <c r="P36" s="3"/>
      <c r="Q36" s="3"/>
    </row>
    <row r="37" spans="1:17" ht="21" customHeight="1">
      <c r="A37" s="2" t="s">
        <v>189</v>
      </c>
      <c r="B37" s="4">
        <v>45303</v>
      </c>
      <c r="C37" s="2" t="s">
        <v>190</v>
      </c>
      <c r="D37" s="2" t="s">
        <v>46</v>
      </c>
      <c r="E37" s="2" t="s">
        <v>41</v>
      </c>
      <c r="F37" s="2" t="s">
        <v>113</v>
      </c>
      <c r="G37" s="2" t="s">
        <v>123</v>
      </c>
      <c r="H37" s="2">
        <v>1</v>
      </c>
      <c r="I37" s="6">
        <v>3661.83</v>
      </c>
      <c r="J37" s="8">
        <v>0.2</v>
      </c>
      <c r="K37" s="6">
        <v>2929.46</v>
      </c>
      <c r="L37" s="6">
        <v>525.46</v>
      </c>
      <c r="M37" s="2" t="s">
        <v>60</v>
      </c>
      <c r="N37" s="3"/>
      <c r="O37" s="3"/>
      <c r="P37" s="3"/>
      <c r="Q37" s="3"/>
    </row>
    <row r="38" spans="1:17" ht="21" customHeight="1">
      <c r="A38" s="2" t="s">
        <v>191</v>
      </c>
      <c r="B38" s="4">
        <v>45304</v>
      </c>
      <c r="C38" s="2" t="s">
        <v>192</v>
      </c>
      <c r="D38" s="2" t="s">
        <v>44</v>
      </c>
      <c r="E38" s="2" t="s">
        <v>39</v>
      </c>
      <c r="F38" s="2" t="s">
        <v>130</v>
      </c>
      <c r="G38" s="2" t="s">
        <v>193</v>
      </c>
      <c r="H38" s="2">
        <v>1</v>
      </c>
      <c r="I38" s="6">
        <v>1812.3</v>
      </c>
      <c r="J38" s="8">
        <v>0</v>
      </c>
      <c r="K38" s="6">
        <v>1812.3</v>
      </c>
      <c r="L38" s="6">
        <v>793.47</v>
      </c>
      <c r="M38" s="2" t="s">
        <v>57</v>
      </c>
      <c r="N38" s="3"/>
      <c r="O38" s="3"/>
      <c r="P38" s="3"/>
      <c r="Q38" s="3"/>
    </row>
    <row r="39" spans="1:17" ht="21" customHeight="1">
      <c r="A39" s="2" t="s">
        <v>194</v>
      </c>
      <c r="B39" s="4">
        <v>45304</v>
      </c>
      <c r="C39" s="2" t="s">
        <v>195</v>
      </c>
      <c r="D39" s="2" t="s">
        <v>47</v>
      </c>
      <c r="E39" s="2" t="s">
        <v>42</v>
      </c>
      <c r="F39" s="2" t="s">
        <v>126</v>
      </c>
      <c r="G39" s="2" t="s">
        <v>127</v>
      </c>
      <c r="H39" s="2">
        <v>3</v>
      </c>
      <c r="I39" s="6">
        <v>983.68</v>
      </c>
      <c r="J39" s="8">
        <v>0</v>
      </c>
      <c r="K39" s="6">
        <v>2951.04</v>
      </c>
      <c r="L39" s="6">
        <v>1740.37</v>
      </c>
      <c r="M39" s="2" t="s">
        <v>58</v>
      </c>
      <c r="N39" s="3"/>
      <c r="O39" s="3"/>
      <c r="P39" s="3"/>
      <c r="Q39" s="3"/>
    </row>
    <row r="40" spans="1:17" ht="21" customHeight="1">
      <c r="A40" s="2" t="s">
        <v>196</v>
      </c>
      <c r="B40" s="4">
        <v>45304</v>
      </c>
      <c r="C40" s="2" t="s">
        <v>197</v>
      </c>
      <c r="D40" s="2" t="s">
        <v>44</v>
      </c>
      <c r="E40" s="2" t="s">
        <v>42</v>
      </c>
      <c r="F40" s="2" t="s">
        <v>126</v>
      </c>
      <c r="G40" s="2" t="s">
        <v>151</v>
      </c>
      <c r="H40" s="2">
        <v>2</v>
      </c>
      <c r="I40" s="6">
        <v>1465.16</v>
      </c>
      <c r="J40" s="8">
        <v>0</v>
      </c>
      <c r="K40" s="6">
        <v>2930.32</v>
      </c>
      <c r="L40" s="6">
        <v>1557.46</v>
      </c>
      <c r="M40" s="2" t="s">
        <v>57</v>
      </c>
      <c r="N40" s="3"/>
      <c r="O40" s="3"/>
      <c r="P40" s="3"/>
      <c r="Q40" s="3"/>
    </row>
    <row r="41" spans="1:17" ht="21" customHeight="1">
      <c r="A41" s="2" t="s">
        <v>198</v>
      </c>
      <c r="B41" s="4">
        <v>45304</v>
      </c>
      <c r="C41" s="2" t="s">
        <v>199</v>
      </c>
      <c r="D41" s="2" t="s">
        <v>46</v>
      </c>
      <c r="E41" s="2" t="s">
        <v>39</v>
      </c>
      <c r="F41" s="2" t="s">
        <v>164</v>
      </c>
      <c r="G41" s="2" t="s">
        <v>200</v>
      </c>
      <c r="H41" s="2">
        <v>2</v>
      </c>
      <c r="I41" s="6">
        <v>1294.44</v>
      </c>
      <c r="J41" s="8">
        <v>0.2</v>
      </c>
      <c r="K41" s="6">
        <v>2071.1</v>
      </c>
      <c r="L41" s="6">
        <v>324.36</v>
      </c>
      <c r="M41" s="2" t="s">
        <v>56</v>
      </c>
      <c r="N41" s="3"/>
      <c r="O41" s="3"/>
      <c r="P41" s="3"/>
      <c r="Q41" s="3"/>
    </row>
    <row r="42" spans="1:17" ht="21" customHeight="1">
      <c r="A42" s="2" t="s">
        <v>201</v>
      </c>
      <c r="B42" s="4">
        <v>45304</v>
      </c>
      <c r="C42" s="2" t="s">
        <v>202</v>
      </c>
      <c r="D42" s="2" t="s">
        <v>44</v>
      </c>
      <c r="E42" s="2" t="s">
        <v>40</v>
      </c>
      <c r="F42" s="2" t="s">
        <v>102</v>
      </c>
      <c r="G42" s="2" t="s">
        <v>103</v>
      </c>
      <c r="H42" s="2">
        <v>2</v>
      </c>
      <c r="I42" s="6">
        <v>6607.16</v>
      </c>
      <c r="J42" s="8">
        <v>0.25</v>
      </c>
      <c r="K42" s="6">
        <v>9910.74</v>
      </c>
      <c r="L42" s="6">
        <v>682.24</v>
      </c>
      <c r="M42" s="2" t="s">
        <v>60</v>
      </c>
      <c r="N42" s="3"/>
      <c r="O42" s="3"/>
      <c r="P42" s="3"/>
      <c r="Q42" s="3"/>
    </row>
    <row r="43" spans="1:17" ht="21" customHeight="1">
      <c r="A43" s="2" t="s">
        <v>203</v>
      </c>
      <c r="B43" s="4">
        <v>45304</v>
      </c>
      <c r="C43" s="2" t="s">
        <v>204</v>
      </c>
      <c r="D43" s="2" t="s">
        <v>45</v>
      </c>
      <c r="E43" s="2" t="s">
        <v>41</v>
      </c>
      <c r="F43" s="2" t="s">
        <v>119</v>
      </c>
      <c r="G43" s="2" t="s">
        <v>120</v>
      </c>
      <c r="H43" s="2">
        <v>1</v>
      </c>
      <c r="I43" s="6">
        <v>1274.71</v>
      </c>
      <c r="J43" s="8">
        <v>0.05</v>
      </c>
      <c r="K43" s="6">
        <v>1210.97</v>
      </c>
      <c r="L43" s="6">
        <v>347.91</v>
      </c>
      <c r="M43" s="2" t="s">
        <v>56</v>
      </c>
      <c r="N43" s="3"/>
      <c r="O43" s="3"/>
      <c r="P43" s="3"/>
      <c r="Q43" s="3"/>
    </row>
    <row r="44" spans="1:17" ht="21" customHeight="1">
      <c r="A44" s="2" t="s">
        <v>205</v>
      </c>
      <c r="B44" s="4">
        <v>45305</v>
      </c>
      <c r="C44" s="2" t="s">
        <v>206</v>
      </c>
      <c r="D44" s="2" t="s">
        <v>46</v>
      </c>
      <c r="E44" s="2" t="s">
        <v>41</v>
      </c>
      <c r="F44" s="2" t="s">
        <v>119</v>
      </c>
      <c r="G44" s="2" t="s">
        <v>168</v>
      </c>
      <c r="H44" s="2">
        <v>1</v>
      </c>
      <c r="I44" s="6">
        <v>9947.92</v>
      </c>
      <c r="J44" s="8">
        <v>0.25</v>
      </c>
      <c r="K44" s="6">
        <v>7460.94</v>
      </c>
      <c r="L44" s="6">
        <v>696.72</v>
      </c>
      <c r="M44" s="2" t="s">
        <v>57</v>
      </c>
      <c r="N44" s="3"/>
      <c r="O44" s="3"/>
      <c r="P44" s="3"/>
      <c r="Q44" s="3"/>
    </row>
    <row r="45" spans="1:17" ht="21" customHeight="1">
      <c r="A45" s="2" t="s">
        <v>207</v>
      </c>
      <c r="B45" s="4">
        <v>45306</v>
      </c>
      <c r="C45" s="2" t="s">
        <v>208</v>
      </c>
      <c r="D45" s="2" t="s">
        <v>46</v>
      </c>
      <c r="E45" s="2" t="s">
        <v>38</v>
      </c>
      <c r="F45" s="2" t="s">
        <v>98</v>
      </c>
      <c r="G45" s="2" t="s">
        <v>99</v>
      </c>
      <c r="H45" s="2">
        <v>2</v>
      </c>
      <c r="I45" s="6">
        <v>25490.1</v>
      </c>
      <c r="J45" s="8">
        <v>0</v>
      </c>
      <c r="K45" s="6">
        <v>50980.2</v>
      </c>
      <c r="L45" s="6">
        <v>10295.49</v>
      </c>
      <c r="M45" s="2" t="s">
        <v>56</v>
      </c>
      <c r="N45" s="3"/>
      <c r="O45" s="3"/>
      <c r="P45" s="3"/>
      <c r="Q45" s="3"/>
    </row>
    <row r="46" spans="1:17" ht="21" customHeight="1">
      <c r="A46" s="2" t="s">
        <v>209</v>
      </c>
      <c r="B46" s="4">
        <v>45306</v>
      </c>
      <c r="C46" s="2" t="s">
        <v>210</v>
      </c>
      <c r="D46" s="2" t="s">
        <v>47</v>
      </c>
      <c r="E46" s="2" t="s">
        <v>39</v>
      </c>
      <c r="F46" s="2" t="s">
        <v>164</v>
      </c>
      <c r="G46" s="2" t="s">
        <v>165</v>
      </c>
      <c r="H46" s="2">
        <v>2</v>
      </c>
      <c r="I46" s="6">
        <v>1925.63</v>
      </c>
      <c r="J46" s="8">
        <v>0.1</v>
      </c>
      <c r="K46" s="6">
        <v>3466.13</v>
      </c>
      <c r="L46" s="6">
        <v>979.01</v>
      </c>
      <c r="M46" s="2" t="s">
        <v>57</v>
      </c>
      <c r="N46" s="3"/>
      <c r="O46" s="3"/>
      <c r="P46" s="3"/>
      <c r="Q46" s="3"/>
    </row>
    <row r="47" spans="1:17" ht="21" customHeight="1">
      <c r="A47" s="2" t="s">
        <v>211</v>
      </c>
      <c r="B47" s="4">
        <v>45306</v>
      </c>
      <c r="C47" s="2" t="s">
        <v>212</v>
      </c>
      <c r="D47" s="2" t="s">
        <v>44</v>
      </c>
      <c r="E47" s="2" t="s">
        <v>38</v>
      </c>
      <c r="F47" s="2" t="s">
        <v>94</v>
      </c>
      <c r="G47" s="2" t="s">
        <v>213</v>
      </c>
      <c r="H47" s="2">
        <v>1</v>
      </c>
      <c r="I47" s="6">
        <v>53234.47</v>
      </c>
      <c r="J47" s="8">
        <v>0.2</v>
      </c>
      <c r="K47" s="6">
        <v>42587.58</v>
      </c>
      <c r="L47" s="6">
        <v>-3732.08</v>
      </c>
      <c r="M47" s="2" t="s">
        <v>56</v>
      </c>
      <c r="N47" s="3"/>
      <c r="O47" s="3"/>
      <c r="P47" s="3"/>
      <c r="Q47" s="3"/>
    </row>
    <row r="48" spans="1:17" ht="21" customHeight="1">
      <c r="A48" s="2" t="s">
        <v>214</v>
      </c>
      <c r="B48" s="4">
        <v>45307</v>
      </c>
      <c r="C48" s="2" t="s">
        <v>215</v>
      </c>
      <c r="D48" s="2" t="s">
        <v>45</v>
      </c>
      <c r="E48" s="2" t="s">
        <v>38</v>
      </c>
      <c r="F48" s="2" t="s">
        <v>98</v>
      </c>
      <c r="G48" s="2" t="s">
        <v>182</v>
      </c>
      <c r="H48" s="2">
        <v>2</v>
      </c>
      <c r="I48" s="6">
        <v>69854.759999999995</v>
      </c>
      <c r="J48" s="8">
        <v>0.1</v>
      </c>
      <c r="K48" s="6">
        <v>125738.57</v>
      </c>
      <c r="L48" s="6">
        <v>11889.58</v>
      </c>
      <c r="M48" s="2" t="s">
        <v>60</v>
      </c>
      <c r="N48" s="3"/>
      <c r="O48" s="3"/>
      <c r="P48" s="3"/>
      <c r="Q48" s="3"/>
    </row>
    <row r="49" spans="1:17" ht="21" customHeight="1">
      <c r="A49" s="2" t="s">
        <v>216</v>
      </c>
      <c r="B49" s="4">
        <v>45307</v>
      </c>
      <c r="C49" s="2" t="s">
        <v>89</v>
      </c>
      <c r="D49" s="2" t="s">
        <v>44</v>
      </c>
      <c r="E49" s="2" t="s">
        <v>39</v>
      </c>
      <c r="F49" s="2" t="s">
        <v>164</v>
      </c>
      <c r="G49" s="2" t="s">
        <v>200</v>
      </c>
      <c r="H49" s="2">
        <v>4</v>
      </c>
      <c r="I49" s="6">
        <v>1326.59</v>
      </c>
      <c r="J49" s="8">
        <v>0.2</v>
      </c>
      <c r="K49" s="6">
        <v>4245.09</v>
      </c>
      <c r="L49" s="6">
        <v>661.54</v>
      </c>
      <c r="M49" s="2" t="s">
        <v>56</v>
      </c>
      <c r="N49" s="3"/>
      <c r="O49" s="3"/>
      <c r="P49" s="3"/>
      <c r="Q49" s="3"/>
    </row>
    <row r="50" spans="1:17" ht="21" customHeight="1">
      <c r="A50" s="2" t="s">
        <v>217</v>
      </c>
      <c r="B50" s="4">
        <v>45307</v>
      </c>
      <c r="C50" s="2" t="s">
        <v>218</v>
      </c>
      <c r="D50" s="2" t="s">
        <v>46</v>
      </c>
      <c r="E50" s="2" t="s">
        <v>41</v>
      </c>
      <c r="F50" s="2" t="s">
        <v>113</v>
      </c>
      <c r="G50" s="2" t="s">
        <v>123</v>
      </c>
      <c r="H50" s="2">
        <v>1</v>
      </c>
      <c r="I50" s="6">
        <v>3406.61</v>
      </c>
      <c r="J50" s="8">
        <v>0.25</v>
      </c>
      <c r="K50" s="6">
        <v>2554.96</v>
      </c>
      <c r="L50" s="6">
        <v>216.93</v>
      </c>
      <c r="M50" s="2" t="s">
        <v>56</v>
      </c>
      <c r="N50" s="3"/>
      <c r="O50" s="3"/>
      <c r="P50" s="3"/>
      <c r="Q50" s="3"/>
    </row>
    <row r="51" spans="1:17" ht="21" customHeight="1">
      <c r="A51" s="3" t="s">
        <v>219</v>
      </c>
      <c r="B51" s="5">
        <v>45307</v>
      </c>
      <c r="C51" s="3" t="s">
        <v>220</v>
      </c>
      <c r="D51" s="3" t="s">
        <v>45</v>
      </c>
      <c r="E51" s="3" t="s">
        <v>40</v>
      </c>
      <c r="F51" s="3" t="s">
        <v>221</v>
      </c>
      <c r="G51" s="3" t="s">
        <v>222</v>
      </c>
      <c r="H51" s="3">
        <v>3</v>
      </c>
      <c r="I51" s="7">
        <v>951.93</v>
      </c>
      <c r="J51" s="9">
        <v>0.1</v>
      </c>
      <c r="K51" s="7">
        <v>2570.21</v>
      </c>
      <c r="L51" s="7">
        <v>485.59</v>
      </c>
      <c r="M51" s="3" t="s">
        <v>58</v>
      </c>
      <c r="N51" s="3"/>
      <c r="O51" s="3"/>
      <c r="P51" s="3"/>
      <c r="Q51" s="3"/>
    </row>
    <row r="52" spans="1:17" ht="21" customHeight="1">
      <c r="A52" s="3" t="s">
        <v>223</v>
      </c>
      <c r="B52" s="5">
        <v>45308</v>
      </c>
      <c r="C52" s="3" t="s">
        <v>224</v>
      </c>
      <c r="D52" s="3" t="s">
        <v>44</v>
      </c>
      <c r="E52" s="3" t="s">
        <v>39</v>
      </c>
      <c r="F52" s="3" t="s">
        <v>130</v>
      </c>
      <c r="G52" s="3" t="s">
        <v>131</v>
      </c>
      <c r="H52" s="3">
        <v>1</v>
      </c>
      <c r="I52" s="7">
        <v>2281.5100000000002</v>
      </c>
      <c r="J52" s="9">
        <v>0</v>
      </c>
      <c r="K52" s="7">
        <v>2281.5100000000002</v>
      </c>
      <c r="L52" s="7">
        <v>1006.69</v>
      </c>
      <c r="M52" s="3" t="s">
        <v>57</v>
      </c>
      <c r="N52" s="3"/>
      <c r="O52" s="3"/>
      <c r="P52" s="3"/>
      <c r="Q52" s="3"/>
    </row>
    <row r="53" spans="1:17" ht="21" customHeight="1">
      <c r="A53" s="3" t="s">
        <v>225</v>
      </c>
      <c r="B53" s="5">
        <v>45308</v>
      </c>
      <c r="C53" s="3" t="s">
        <v>226</v>
      </c>
      <c r="D53" s="3" t="s">
        <v>45</v>
      </c>
      <c r="E53" s="3" t="s">
        <v>42</v>
      </c>
      <c r="F53" s="3" t="s">
        <v>90</v>
      </c>
      <c r="G53" s="3" t="s">
        <v>91</v>
      </c>
      <c r="H53" s="3">
        <v>2</v>
      </c>
      <c r="I53" s="7">
        <v>1169.52</v>
      </c>
      <c r="J53" s="9">
        <v>0.25</v>
      </c>
      <c r="K53" s="7">
        <v>1754.28</v>
      </c>
      <c r="L53" s="7">
        <v>525.29</v>
      </c>
      <c r="M53" s="3" t="s">
        <v>56</v>
      </c>
      <c r="N53" s="3"/>
      <c r="O53" s="3"/>
      <c r="P53" s="3"/>
      <c r="Q53" s="3"/>
    </row>
    <row r="54" spans="1:17" ht="21" customHeight="1">
      <c r="A54" s="3" t="s">
        <v>227</v>
      </c>
      <c r="B54" s="5">
        <v>45308</v>
      </c>
      <c r="C54" s="3" t="s">
        <v>228</v>
      </c>
      <c r="D54" s="3" t="s">
        <v>44</v>
      </c>
      <c r="E54" s="3" t="s">
        <v>42</v>
      </c>
      <c r="F54" s="3" t="s">
        <v>126</v>
      </c>
      <c r="G54" s="3" t="s">
        <v>151</v>
      </c>
      <c r="H54" s="3">
        <v>3</v>
      </c>
      <c r="I54" s="7">
        <v>1573.57</v>
      </c>
      <c r="J54" s="9">
        <v>0</v>
      </c>
      <c r="K54" s="7">
        <v>4720.71</v>
      </c>
      <c r="L54" s="7">
        <v>2660.62</v>
      </c>
      <c r="M54" s="3" t="s">
        <v>56</v>
      </c>
      <c r="N54" s="3"/>
      <c r="O54" s="3"/>
      <c r="P54" s="3"/>
      <c r="Q54" s="3"/>
    </row>
    <row r="55" spans="1:17" ht="21" customHeight="1">
      <c r="A55" s="3" t="s">
        <v>229</v>
      </c>
      <c r="B55" s="5">
        <v>45308</v>
      </c>
      <c r="C55" s="3" t="s">
        <v>230</v>
      </c>
      <c r="D55" s="3" t="s">
        <v>47</v>
      </c>
      <c r="E55" s="3" t="s">
        <v>42</v>
      </c>
      <c r="F55" s="3" t="s">
        <v>90</v>
      </c>
      <c r="G55" s="3" t="s">
        <v>91</v>
      </c>
      <c r="H55" s="3">
        <v>1</v>
      </c>
      <c r="I55" s="7">
        <v>1216.19</v>
      </c>
      <c r="J55" s="9">
        <v>0.15</v>
      </c>
      <c r="K55" s="7">
        <v>1033.76</v>
      </c>
      <c r="L55" s="7">
        <v>390.22</v>
      </c>
      <c r="M55" s="3" t="s">
        <v>58</v>
      </c>
      <c r="N55" s="3"/>
      <c r="O55" s="3"/>
      <c r="P55" s="3"/>
      <c r="Q55" s="3"/>
    </row>
    <row r="56" spans="1:17" ht="21" customHeight="1">
      <c r="A56" s="3" t="s">
        <v>231</v>
      </c>
      <c r="B56" s="5">
        <v>45308</v>
      </c>
      <c r="C56" s="3" t="s">
        <v>232</v>
      </c>
      <c r="D56" s="3" t="s">
        <v>47</v>
      </c>
      <c r="E56" s="3" t="s">
        <v>41</v>
      </c>
      <c r="F56" s="3" t="s">
        <v>119</v>
      </c>
      <c r="G56" s="3" t="s">
        <v>120</v>
      </c>
      <c r="H56" s="3">
        <v>1</v>
      </c>
      <c r="I56" s="7">
        <v>1260.26</v>
      </c>
      <c r="J56" s="9">
        <v>0.05</v>
      </c>
      <c r="K56" s="7">
        <v>1197.25</v>
      </c>
      <c r="L56" s="7">
        <v>362.14</v>
      </c>
      <c r="M56" s="3" t="s">
        <v>56</v>
      </c>
      <c r="N56" s="3"/>
      <c r="O56" s="3"/>
      <c r="P56" s="3"/>
      <c r="Q56" s="3"/>
    </row>
    <row r="57" spans="1:17" ht="21" customHeight="1">
      <c r="A57" s="3" t="s">
        <v>233</v>
      </c>
      <c r="B57" s="5">
        <v>45310</v>
      </c>
      <c r="C57" s="3" t="s">
        <v>234</v>
      </c>
      <c r="D57" s="3" t="s">
        <v>45</v>
      </c>
      <c r="E57" s="3" t="s">
        <v>41</v>
      </c>
      <c r="F57" s="3" t="s">
        <v>119</v>
      </c>
      <c r="G57" s="3" t="s">
        <v>120</v>
      </c>
      <c r="H57" s="3">
        <v>1</v>
      </c>
      <c r="I57" s="7">
        <v>1292.26</v>
      </c>
      <c r="J57" s="9">
        <v>0.15</v>
      </c>
      <c r="K57" s="7">
        <v>1098.42</v>
      </c>
      <c r="L57" s="7">
        <v>259.26</v>
      </c>
      <c r="M57" s="3" t="s">
        <v>56</v>
      </c>
      <c r="N57" s="3"/>
      <c r="O57" s="3"/>
      <c r="P57" s="3"/>
      <c r="Q57" s="3"/>
    </row>
    <row r="58" spans="1:17" ht="21" customHeight="1">
      <c r="A58" s="3" t="s">
        <v>235</v>
      </c>
      <c r="B58" s="5">
        <v>45310</v>
      </c>
      <c r="C58" s="3" t="s">
        <v>236</v>
      </c>
      <c r="D58" s="3" t="s">
        <v>44</v>
      </c>
      <c r="E58" s="3" t="s">
        <v>39</v>
      </c>
      <c r="F58" s="3" t="s">
        <v>109</v>
      </c>
      <c r="G58" s="3" t="s">
        <v>110</v>
      </c>
      <c r="H58" s="3">
        <v>1</v>
      </c>
      <c r="I58" s="7">
        <v>3046.32</v>
      </c>
      <c r="J58" s="9">
        <v>0.05</v>
      </c>
      <c r="K58" s="7">
        <v>2894</v>
      </c>
      <c r="L58" s="7">
        <v>1039.33</v>
      </c>
      <c r="M58" s="3" t="s">
        <v>59</v>
      </c>
      <c r="N58" s="3"/>
      <c r="O58" s="3"/>
      <c r="P58" s="3"/>
      <c r="Q58" s="3"/>
    </row>
    <row r="59" spans="1:17" ht="21" customHeight="1">
      <c r="A59" s="3" t="s">
        <v>237</v>
      </c>
      <c r="B59" s="5">
        <v>45310</v>
      </c>
      <c r="C59" s="3" t="s">
        <v>238</v>
      </c>
      <c r="D59" s="3" t="s">
        <v>47</v>
      </c>
      <c r="E59" s="3" t="s">
        <v>42</v>
      </c>
      <c r="F59" s="3" t="s">
        <v>90</v>
      </c>
      <c r="G59" s="3" t="s">
        <v>91</v>
      </c>
      <c r="H59" s="3">
        <v>1</v>
      </c>
      <c r="I59" s="7">
        <v>1235.55</v>
      </c>
      <c r="J59" s="9">
        <v>0.05</v>
      </c>
      <c r="K59" s="7">
        <v>1173.77</v>
      </c>
      <c r="L59" s="7">
        <v>536.78</v>
      </c>
      <c r="M59" s="3" t="s">
        <v>58</v>
      </c>
      <c r="N59" s="3"/>
      <c r="O59" s="3"/>
      <c r="P59" s="3"/>
      <c r="Q59" s="3"/>
    </row>
    <row r="60" spans="1:17" ht="21" customHeight="1">
      <c r="A60" s="3" t="s">
        <v>239</v>
      </c>
      <c r="B60" s="5">
        <v>45310</v>
      </c>
      <c r="C60" s="3" t="s">
        <v>240</v>
      </c>
      <c r="D60" s="3" t="s">
        <v>45</v>
      </c>
      <c r="E60" s="3" t="s">
        <v>39</v>
      </c>
      <c r="F60" s="3" t="s">
        <v>164</v>
      </c>
      <c r="G60" s="3" t="s">
        <v>165</v>
      </c>
      <c r="H60" s="3">
        <v>2</v>
      </c>
      <c r="I60" s="7">
        <v>1939.5</v>
      </c>
      <c r="J60" s="9">
        <v>0.15</v>
      </c>
      <c r="K60" s="7">
        <v>3297.15</v>
      </c>
      <c r="L60" s="7">
        <v>760.63</v>
      </c>
      <c r="M60" s="3" t="s">
        <v>59</v>
      </c>
      <c r="N60" s="3"/>
      <c r="O60" s="3"/>
      <c r="P60" s="3"/>
      <c r="Q60" s="3"/>
    </row>
    <row r="61" spans="1:17" ht="21" customHeight="1">
      <c r="A61" s="3" t="s">
        <v>241</v>
      </c>
      <c r="B61" s="5">
        <v>45310</v>
      </c>
      <c r="C61" s="3" t="s">
        <v>242</v>
      </c>
      <c r="D61" s="3" t="s">
        <v>47</v>
      </c>
      <c r="E61" s="3" t="s">
        <v>40</v>
      </c>
      <c r="F61" s="3" t="s">
        <v>160</v>
      </c>
      <c r="G61" s="3" t="s">
        <v>173</v>
      </c>
      <c r="H61" s="3">
        <v>2</v>
      </c>
      <c r="I61" s="7">
        <v>8676.41</v>
      </c>
      <c r="J61" s="9">
        <v>0.05</v>
      </c>
      <c r="K61" s="7">
        <v>16485.18</v>
      </c>
      <c r="L61" s="7">
        <v>4588.92</v>
      </c>
      <c r="M61" s="3" t="s">
        <v>56</v>
      </c>
      <c r="N61" s="3"/>
      <c r="O61" s="3"/>
      <c r="P61" s="3"/>
      <c r="Q61" s="3"/>
    </row>
    <row r="62" spans="1:17" ht="21" customHeight="1">
      <c r="A62" s="3" t="s">
        <v>243</v>
      </c>
      <c r="B62" s="5">
        <v>45310</v>
      </c>
      <c r="C62" s="3" t="s">
        <v>244</v>
      </c>
      <c r="D62" s="3" t="s">
        <v>47</v>
      </c>
      <c r="E62" s="3" t="s">
        <v>38</v>
      </c>
      <c r="F62" s="3" t="s">
        <v>142</v>
      </c>
      <c r="G62" s="3" t="s">
        <v>245</v>
      </c>
      <c r="H62" s="3">
        <v>2</v>
      </c>
      <c r="I62" s="7">
        <v>5063.16</v>
      </c>
      <c r="J62" s="9">
        <v>0.25</v>
      </c>
      <c r="K62" s="7">
        <v>7594.74</v>
      </c>
      <c r="L62" s="7">
        <v>-642.48</v>
      </c>
      <c r="M62" s="3" t="s">
        <v>56</v>
      </c>
      <c r="N62" s="3"/>
      <c r="O62" s="3"/>
      <c r="P62" s="3"/>
      <c r="Q62" s="3"/>
    </row>
    <row r="63" spans="1:17" ht="21" customHeight="1">
      <c r="A63" s="3" t="s">
        <v>246</v>
      </c>
      <c r="B63" s="5">
        <v>45312</v>
      </c>
      <c r="C63" s="3" t="s">
        <v>247</v>
      </c>
      <c r="D63" s="3" t="s">
        <v>44</v>
      </c>
      <c r="E63" s="3" t="s">
        <v>39</v>
      </c>
      <c r="F63" s="3" t="s">
        <v>164</v>
      </c>
      <c r="G63" s="3" t="s">
        <v>165</v>
      </c>
      <c r="H63" s="3">
        <v>2</v>
      </c>
      <c r="I63" s="7">
        <v>1972.33</v>
      </c>
      <c r="J63" s="9">
        <v>0</v>
      </c>
      <c r="K63" s="7">
        <v>3944.66</v>
      </c>
      <c r="L63" s="7">
        <v>1704.26</v>
      </c>
      <c r="M63" s="3" t="s">
        <v>59</v>
      </c>
      <c r="N63" s="3"/>
      <c r="O63" s="3"/>
      <c r="P63" s="3"/>
      <c r="Q63" s="3"/>
    </row>
    <row r="64" spans="1:17" ht="21" customHeight="1">
      <c r="A64" s="3" t="s">
        <v>248</v>
      </c>
      <c r="B64" s="5">
        <v>45312</v>
      </c>
      <c r="C64" s="3" t="s">
        <v>249</v>
      </c>
      <c r="D64" s="3" t="s">
        <v>45</v>
      </c>
      <c r="E64" s="3" t="s">
        <v>38</v>
      </c>
      <c r="F64" s="3" t="s">
        <v>142</v>
      </c>
      <c r="G64" s="3" t="s">
        <v>245</v>
      </c>
      <c r="H64" s="3">
        <v>4</v>
      </c>
      <c r="I64" s="7">
        <v>4768.74</v>
      </c>
      <c r="J64" s="9">
        <v>0</v>
      </c>
      <c r="K64" s="7">
        <v>19074.96</v>
      </c>
      <c r="L64" s="7">
        <v>4013.73</v>
      </c>
      <c r="M64" s="3" t="s">
        <v>57</v>
      </c>
      <c r="N64" s="3"/>
      <c r="O64" s="3"/>
      <c r="P64" s="3"/>
      <c r="Q64" s="3"/>
    </row>
    <row r="65" spans="1:17" ht="21" customHeight="1">
      <c r="A65" s="3" t="s">
        <v>250</v>
      </c>
      <c r="B65" s="5">
        <v>45312</v>
      </c>
      <c r="C65" s="3" t="s">
        <v>251</v>
      </c>
      <c r="D65" s="3" t="s">
        <v>44</v>
      </c>
      <c r="E65" s="3" t="s">
        <v>42</v>
      </c>
      <c r="F65" s="3" t="s">
        <v>90</v>
      </c>
      <c r="G65" s="3" t="s">
        <v>91</v>
      </c>
      <c r="H65" s="3">
        <v>1</v>
      </c>
      <c r="I65" s="7">
        <v>1234.3399999999999</v>
      </c>
      <c r="J65" s="9">
        <v>0.1</v>
      </c>
      <c r="K65" s="7">
        <v>1110.9100000000001</v>
      </c>
      <c r="L65" s="7">
        <v>463.62</v>
      </c>
      <c r="M65" s="3" t="s">
        <v>56</v>
      </c>
      <c r="N65" s="3"/>
      <c r="O65" s="3"/>
      <c r="P65" s="3"/>
      <c r="Q65" s="3"/>
    </row>
    <row r="66" spans="1:17" ht="21" customHeight="1">
      <c r="A66" s="3" t="s">
        <v>252</v>
      </c>
      <c r="B66" s="5">
        <v>45313</v>
      </c>
      <c r="C66" s="3" t="s">
        <v>253</v>
      </c>
      <c r="D66" s="3" t="s">
        <v>46</v>
      </c>
      <c r="E66" s="3" t="s">
        <v>39</v>
      </c>
      <c r="F66" s="3" t="s">
        <v>130</v>
      </c>
      <c r="G66" s="3" t="s">
        <v>193</v>
      </c>
      <c r="H66" s="3">
        <v>1</v>
      </c>
      <c r="I66" s="7">
        <v>1790.94</v>
      </c>
      <c r="J66" s="9">
        <v>0.05</v>
      </c>
      <c r="K66" s="7">
        <v>1701.39</v>
      </c>
      <c r="L66" s="7">
        <v>679.67</v>
      </c>
      <c r="M66" s="3" t="s">
        <v>57</v>
      </c>
      <c r="N66" s="3"/>
      <c r="O66" s="3"/>
      <c r="P66" s="3"/>
      <c r="Q66" s="3"/>
    </row>
    <row r="67" spans="1:17" ht="21" customHeight="1">
      <c r="A67" s="3" t="s">
        <v>254</v>
      </c>
      <c r="B67" s="5">
        <v>45314</v>
      </c>
      <c r="C67" s="3" t="s">
        <v>255</v>
      </c>
      <c r="D67" s="3" t="s">
        <v>44</v>
      </c>
      <c r="E67" s="3" t="s">
        <v>39</v>
      </c>
      <c r="F67" s="3" t="s">
        <v>130</v>
      </c>
      <c r="G67" s="3" t="s">
        <v>131</v>
      </c>
      <c r="H67" s="3">
        <v>2</v>
      </c>
      <c r="I67" s="7">
        <v>2194.34</v>
      </c>
      <c r="J67" s="9">
        <v>0.05</v>
      </c>
      <c r="K67" s="7">
        <v>4169.25</v>
      </c>
      <c r="L67" s="7">
        <v>1414.86</v>
      </c>
      <c r="M67" s="3" t="s">
        <v>58</v>
      </c>
      <c r="N67" s="3"/>
      <c r="O67" s="3"/>
      <c r="P67" s="3"/>
      <c r="Q67" s="3"/>
    </row>
    <row r="68" spans="1:17" ht="21" customHeight="1">
      <c r="A68" s="3" t="s">
        <v>256</v>
      </c>
      <c r="B68" s="5">
        <v>45314</v>
      </c>
      <c r="C68" s="3" t="s">
        <v>257</v>
      </c>
      <c r="D68" s="3" t="s">
        <v>45</v>
      </c>
      <c r="E68" s="3" t="s">
        <v>39</v>
      </c>
      <c r="F68" s="3" t="s">
        <v>164</v>
      </c>
      <c r="G68" s="3" t="s">
        <v>200</v>
      </c>
      <c r="H68" s="3">
        <v>2</v>
      </c>
      <c r="I68" s="7">
        <v>1290.98</v>
      </c>
      <c r="J68" s="9">
        <v>0.1</v>
      </c>
      <c r="K68" s="7">
        <v>2323.7600000000002</v>
      </c>
      <c r="L68" s="7">
        <v>676.74</v>
      </c>
      <c r="M68" s="3" t="s">
        <v>57</v>
      </c>
      <c r="N68" s="3"/>
      <c r="O68" s="3"/>
      <c r="P68" s="3"/>
      <c r="Q68" s="3"/>
    </row>
    <row r="69" spans="1:17" ht="21" customHeight="1">
      <c r="A69" s="3" t="s">
        <v>258</v>
      </c>
      <c r="B69" s="5">
        <v>45314</v>
      </c>
      <c r="C69" s="3" t="s">
        <v>259</v>
      </c>
      <c r="D69" s="3" t="s">
        <v>44</v>
      </c>
      <c r="E69" s="3" t="s">
        <v>41</v>
      </c>
      <c r="F69" s="3" t="s">
        <v>119</v>
      </c>
      <c r="G69" s="3" t="s">
        <v>120</v>
      </c>
      <c r="H69" s="3">
        <v>2</v>
      </c>
      <c r="I69" s="7">
        <v>1246.3699999999999</v>
      </c>
      <c r="J69" s="9">
        <v>0</v>
      </c>
      <c r="K69" s="7">
        <v>2492.7399999999998</v>
      </c>
      <c r="L69" s="7">
        <v>925.56</v>
      </c>
      <c r="M69" s="3" t="s">
        <v>56</v>
      </c>
      <c r="N69" s="3"/>
      <c r="O69" s="3"/>
      <c r="P69" s="3"/>
      <c r="Q69" s="3"/>
    </row>
    <row r="70" spans="1:17" ht="21" customHeight="1">
      <c r="A70" s="3" t="s">
        <v>260</v>
      </c>
      <c r="B70" s="5">
        <v>45314</v>
      </c>
      <c r="C70" s="3" t="s">
        <v>139</v>
      </c>
      <c r="D70" s="3" t="s">
        <v>44</v>
      </c>
      <c r="E70" s="3" t="s">
        <v>39</v>
      </c>
      <c r="F70" s="3" t="s">
        <v>130</v>
      </c>
      <c r="G70" s="3" t="s">
        <v>131</v>
      </c>
      <c r="H70" s="3">
        <v>5</v>
      </c>
      <c r="I70" s="7">
        <v>2212.92</v>
      </c>
      <c r="J70" s="9">
        <v>0.1</v>
      </c>
      <c r="K70" s="7">
        <v>9958.14</v>
      </c>
      <c r="L70" s="7">
        <v>3153.13</v>
      </c>
      <c r="M70" s="3" t="s">
        <v>58</v>
      </c>
      <c r="N70" s="3"/>
      <c r="O70" s="3"/>
      <c r="P70" s="3"/>
      <c r="Q70" s="3"/>
    </row>
    <row r="71" spans="1:17" ht="21" customHeight="1">
      <c r="A71" s="3" t="s">
        <v>261</v>
      </c>
      <c r="B71" s="5">
        <v>45314</v>
      </c>
      <c r="C71" s="3" t="s">
        <v>262</v>
      </c>
      <c r="D71" s="3" t="s">
        <v>44</v>
      </c>
      <c r="E71" s="3" t="s">
        <v>40</v>
      </c>
      <c r="F71" s="3" t="s">
        <v>102</v>
      </c>
      <c r="G71" s="3" t="s">
        <v>103</v>
      </c>
      <c r="H71" s="3">
        <v>1</v>
      </c>
      <c r="I71" s="7">
        <v>6228.5</v>
      </c>
      <c r="J71" s="9">
        <v>0.25</v>
      </c>
      <c r="K71" s="7">
        <v>4671.38</v>
      </c>
      <c r="L71" s="7">
        <v>118.58</v>
      </c>
      <c r="M71" s="3" t="s">
        <v>56</v>
      </c>
      <c r="N71" s="3"/>
      <c r="O71" s="3"/>
      <c r="P71" s="3"/>
      <c r="Q71" s="3"/>
    </row>
    <row r="72" spans="1:17" ht="21" customHeight="1">
      <c r="A72" s="3" t="s">
        <v>263</v>
      </c>
      <c r="B72" s="5">
        <v>45315</v>
      </c>
      <c r="C72" s="3" t="s">
        <v>264</v>
      </c>
      <c r="D72" s="3" t="s">
        <v>44</v>
      </c>
      <c r="E72" s="3" t="s">
        <v>39</v>
      </c>
      <c r="F72" s="3" t="s">
        <v>109</v>
      </c>
      <c r="G72" s="3" t="s">
        <v>110</v>
      </c>
      <c r="H72" s="3">
        <v>3</v>
      </c>
      <c r="I72" s="7">
        <v>2853.17</v>
      </c>
      <c r="J72" s="9">
        <v>0.2</v>
      </c>
      <c r="K72" s="7">
        <v>6847.61</v>
      </c>
      <c r="L72" s="7">
        <v>1407.21</v>
      </c>
      <c r="M72" s="3" t="s">
        <v>57</v>
      </c>
      <c r="N72" s="3"/>
      <c r="O72" s="3"/>
      <c r="P72" s="3"/>
      <c r="Q72" s="3"/>
    </row>
    <row r="73" spans="1:17" ht="21" customHeight="1">
      <c r="A73" s="3" t="s">
        <v>265</v>
      </c>
      <c r="B73" s="5">
        <v>45315</v>
      </c>
      <c r="C73" s="3" t="s">
        <v>266</v>
      </c>
      <c r="D73" s="3" t="s">
        <v>47</v>
      </c>
      <c r="E73" s="3" t="s">
        <v>39</v>
      </c>
      <c r="F73" s="3" t="s">
        <v>130</v>
      </c>
      <c r="G73" s="3" t="s">
        <v>193</v>
      </c>
      <c r="H73" s="3">
        <v>1</v>
      </c>
      <c r="I73" s="7">
        <v>1834.46</v>
      </c>
      <c r="J73" s="9">
        <v>0</v>
      </c>
      <c r="K73" s="7">
        <v>1834.46</v>
      </c>
      <c r="L73" s="7">
        <v>769.93</v>
      </c>
      <c r="M73" s="3" t="s">
        <v>57</v>
      </c>
      <c r="N73" s="3"/>
      <c r="O73" s="3"/>
      <c r="P73" s="3"/>
      <c r="Q73" s="3"/>
    </row>
    <row r="74" spans="1:17" ht="21" customHeight="1">
      <c r="A74" s="3" t="s">
        <v>267</v>
      </c>
      <c r="B74" s="5">
        <v>45315</v>
      </c>
      <c r="C74" s="3" t="s">
        <v>268</v>
      </c>
      <c r="D74" s="3" t="s">
        <v>46</v>
      </c>
      <c r="E74" s="3" t="s">
        <v>41</v>
      </c>
      <c r="F74" s="3" t="s">
        <v>113</v>
      </c>
      <c r="G74" s="3" t="s">
        <v>114</v>
      </c>
      <c r="H74" s="3">
        <v>1</v>
      </c>
      <c r="I74" s="7">
        <v>12302.13</v>
      </c>
      <c r="J74" s="9">
        <v>0.05</v>
      </c>
      <c r="K74" s="7">
        <v>11687.02</v>
      </c>
      <c r="L74" s="7">
        <v>4014.81</v>
      </c>
      <c r="M74" s="3" t="s">
        <v>56</v>
      </c>
      <c r="N74" s="3"/>
      <c r="O74" s="3"/>
      <c r="P74" s="3"/>
      <c r="Q74" s="3"/>
    </row>
    <row r="75" spans="1:17" ht="21" customHeight="1">
      <c r="A75" s="3" t="s">
        <v>269</v>
      </c>
      <c r="B75" s="5">
        <v>45315</v>
      </c>
      <c r="C75" s="3" t="s">
        <v>270</v>
      </c>
      <c r="D75" s="3" t="s">
        <v>44</v>
      </c>
      <c r="E75" s="3" t="s">
        <v>39</v>
      </c>
      <c r="F75" s="3" t="s">
        <v>130</v>
      </c>
      <c r="G75" s="3" t="s">
        <v>193</v>
      </c>
      <c r="H75" s="3">
        <v>1</v>
      </c>
      <c r="I75" s="7">
        <v>1859.38</v>
      </c>
      <c r="J75" s="9">
        <v>0.05</v>
      </c>
      <c r="K75" s="7">
        <v>1766.41</v>
      </c>
      <c r="L75" s="7">
        <v>574.77</v>
      </c>
      <c r="M75" s="3" t="s">
        <v>57</v>
      </c>
      <c r="N75" s="3"/>
      <c r="O75" s="3"/>
      <c r="P75" s="3"/>
      <c r="Q75" s="3"/>
    </row>
    <row r="76" spans="1:17" ht="21" customHeight="1">
      <c r="A76" s="3" t="s">
        <v>271</v>
      </c>
      <c r="B76" s="5">
        <v>45316</v>
      </c>
      <c r="C76" s="3" t="s">
        <v>272</v>
      </c>
      <c r="D76" s="3" t="s">
        <v>44</v>
      </c>
      <c r="E76" s="3" t="s">
        <v>40</v>
      </c>
      <c r="F76" s="3" t="s">
        <v>102</v>
      </c>
      <c r="G76" s="3" t="s">
        <v>146</v>
      </c>
      <c r="H76" s="3">
        <v>5</v>
      </c>
      <c r="I76" s="7">
        <v>7614.63</v>
      </c>
      <c r="J76" s="9">
        <v>0.15</v>
      </c>
      <c r="K76" s="7">
        <v>32362.18</v>
      </c>
      <c r="L76" s="7">
        <v>5626.07</v>
      </c>
      <c r="M76" s="3" t="s">
        <v>58</v>
      </c>
      <c r="N76" s="3"/>
      <c r="O76" s="3"/>
      <c r="P76" s="3"/>
      <c r="Q76" s="3"/>
    </row>
    <row r="77" spans="1:17" ht="21" customHeight="1">
      <c r="A77" s="3" t="s">
        <v>273</v>
      </c>
      <c r="B77" s="5">
        <v>45316</v>
      </c>
      <c r="C77" s="3" t="s">
        <v>274</v>
      </c>
      <c r="D77" s="3" t="s">
        <v>47</v>
      </c>
      <c r="E77" s="3" t="s">
        <v>40</v>
      </c>
      <c r="F77" s="3" t="s">
        <v>102</v>
      </c>
      <c r="G77" s="3" t="s">
        <v>103</v>
      </c>
      <c r="H77" s="3">
        <v>1</v>
      </c>
      <c r="I77" s="7">
        <v>6445.54</v>
      </c>
      <c r="J77" s="9">
        <v>0.2</v>
      </c>
      <c r="K77" s="7">
        <v>5156.43</v>
      </c>
      <c r="L77" s="7">
        <v>379.13</v>
      </c>
      <c r="M77" s="3" t="s">
        <v>56</v>
      </c>
      <c r="N77" s="3"/>
      <c r="O77" s="3"/>
      <c r="P77" s="3"/>
      <c r="Q77" s="3"/>
    </row>
    <row r="78" spans="1:17" ht="21" customHeight="1">
      <c r="A78" s="3" t="s">
        <v>275</v>
      </c>
      <c r="B78" s="5">
        <v>45316</v>
      </c>
      <c r="C78" s="3" t="s">
        <v>276</v>
      </c>
      <c r="D78" s="3" t="s">
        <v>44</v>
      </c>
      <c r="E78" s="3" t="s">
        <v>40</v>
      </c>
      <c r="F78" s="3" t="s">
        <v>102</v>
      </c>
      <c r="G78" s="3" t="s">
        <v>103</v>
      </c>
      <c r="H78" s="3">
        <v>1</v>
      </c>
      <c r="I78" s="7">
        <v>6629.49</v>
      </c>
      <c r="J78" s="9">
        <v>0.05</v>
      </c>
      <c r="K78" s="7">
        <v>6298.02</v>
      </c>
      <c r="L78" s="7">
        <v>1923.62</v>
      </c>
      <c r="M78" s="3" t="s">
        <v>56</v>
      </c>
      <c r="N78" s="3"/>
      <c r="O78" s="3"/>
      <c r="P78" s="3"/>
      <c r="Q78" s="3"/>
    </row>
    <row r="79" spans="1:17" ht="21" customHeight="1">
      <c r="A79" s="3" t="s">
        <v>277</v>
      </c>
      <c r="B79" s="5">
        <v>45317</v>
      </c>
      <c r="C79" s="3" t="s">
        <v>278</v>
      </c>
      <c r="D79" s="3" t="s">
        <v>46</v>
      </c>
      <c r="E79" s="3" t="s">
        <v>40</v>
      </c>
      <c r="F79" s="3" t="s">
        <v>221</v>
      </c>
      <c r="G79" s="3" t="s">
        <v>279</v>
      </c>
      <c r="H79" s="3">
        <v>4</v>
      </c>
      <c r="I79" s="7">
        <v>1461.45</v>
      </c>
      <c r="J79" s="9">
        <v>0</v>
      </c>
      <c r="K79" s="7">
        <v>5845.8</v>
      </c>
      <c r="L79" s="7">
        <v>1743.35</v>
      </c>
      <c r="M79" s="3" t="s">
        <v>59</v>
      </c>
      <c r="N79" s="3"/>
      <c r="O79" s="3"/>
      <c r="P79" s="3"/>
      <c r="Q79" s="3"/>
    </row>
    <row r="80" spans="1:17" ht="21" customHeight="1">
      <c r="A80" s="3" t="s">
        <v>280</v>
      </c>
      <c r="B80" s="5">
        <v>45317</v>
      </c>
      <c r="C80" s="3" t="s">
        <v>281</v>
      </c>
      <c r="D80" s="3" t="s">
        <v>46</v>
      </c>
      <c r="E80" s="3" t="s">
        <v>40</v>
      </c>
      <c r="F80" s="3" t="s">
        <v>102</v>
      </c>
      <c r="G80" s="3" t="s">
        <v>146</v>
      </c>
      <c r="H80" s="3">
        <v>4</v>
      </c>
      <c r="I80" s="7">
        <v>7934.18</v>
      </c>
      <c r="J80" s="9">
        <v>0.3</v>
      </c>
      <c r="K80" s="7">
        <v>22215.7</v>
      </c>
      <c r="L80" s="7">
        <v>-833.07</v>
      </c>
      <c r="M80" s="3" t="s">
        <v>56</v>
      </c>
      <c r="N80" s="3"/>
      <c r="O80" s="3"/>
      <c r="P80" s="3"/>
      <c r="Q80" s="3"/>
    </row>
    <row r="81" spans="1:17" ht="21" customHeight="1">
      <c r="A81" s="3" t="s">
        <v>282</v>
      </c>
      <c r="B81" s="5">
        <v>45318</v>
      </c>
      <c r="C81" s="3" t="s">
        <v>283</v>
      </c>
      <c r="D81" s="3" t="s">
        <v>46</v>
      </c>
      <c r="E81" s="3" t="s">
        <v>39</v>
      </c>
      <c r="F81" s="3" t="s">
        <v>109</v>
      </c>
      <c r="G81" s="3" t="s">
        <v>110</v>
      </c>
      <c r="H81" s="3">
        <v>3</v>
      </c>
      <c r="I81" s="7">
        <v>3081.28</v>
      </c>
      <c r="J81" s="9">
        <v>0</v>
      </c>
      <c r="K81" s="7">
        <v>9243.84</v>
      </c>
      <c r="L81" s="7">
        <v>4095.87</v>
      </c>
      <c r="M81" s="3" t="s">
        <v>56</v>
      </c>
      <c r="N81" s="3"/>
      <c r="O81" s="3"/>
      <c r="P81" s="3"/>
      <c r="Q81" s="3"/>
    </row>
    <row r="82" spans="1:17" ht="21" customHeight="1">
      <c r="A82" s="3" t="s">
        <v>284</v>
      </c>
      <c r="B82" s="5">
        <v>45318</v>
      </c>
      <c r="C82" s="3" t="s">
        <v>285</v>
      </c>
      <c r="D82" s="3" t="s">
        <v>44</v>
      </c>
      <c r="E82" s="3" t="s">
        <v>42</v>
      </c>
      <c r="F82" s="3" t="s">
        <v>90</v>
      </c>
      <c r="G82" s="3" t="s">
        <v>106</v>
      </c>
      <c r="H82" s="3">
        <v>2</v>
      </c>
      <c r="I82" s="7">
        <v>934.12</v>
      </c>
      <c r="J82" s="9">
        <v>0</v>
      </c>
      <c r="K82" s="7">
        <v>1868.24</v>
      </c>
      <c r="L82" s="7">
        <v>1033.2</v>
      </c>
      <c r="M82" s="3" t="s">
        <v>57</v>
      </c>
      <c r="N82" s="3"/>
      <c r="O82" s="3"/>
      <c r="P82" s="3"/>
      <c r="Q82" s="3"/>
    </row>
    <row r="83" spans="1:17" ht="21" customHeight="1">
      <c r="A83" s="3" t="s">
        <v>286</v>
      </c>
      <c r="B83" s="5">
        <v>45318</v>
      </c>
      <c r="C83" s="3" t="s">
        <v>287</v>
      </c>
      <c r="D83" s="3" t="s">
        <v>44</v>
      </c>
      <c r="E83" s="3" t="s">
        <v>41</v>
      </c>
      <c r="F83" s="3" t="s">
        <v>119</v>
      </c>
      <c r="G83" s="3" t="s">
        <v>168</v>
      </c>
      <c r="H83" s="3">
        <v>2</v>
      </c>
      <c r="I83" s="7">
        <v>9959.75</v>
      </c>
      <c r="J83" s="9">
        <v>0.05</v>
      </c>
      <c r="K83" s="7">
        <v>18923.52</v>
      </c>
      <c r="L83" s="7">
        <v>6653</v>
      </c>
      <c r="M83" s="3" t="s">
        <v>56</v>
      </c>
      <c r="N83" s="3"/>
      <c r="O83" s="3"/>
      <c r="P83" s="3"/>
      <c r="Q83" s="3"/>
    </row>
    <row r="84" spans="1:17" ht="21" customHeight="1">
      <c r="A84" s="3" t="s">
        <v>288</v>
      </c>
      <c r="B84" s="5">
        <v>45318</v>
      </c>
      <c r="C84" s="3" t="s">
        <v>289</v>
      </c>
      <c r="D84" s="3" t="s">
        <v>44</v>
      </c>
      <c r="E84" s="3" t="s">
        <v>42</v>
      </c>
      <c r="F84" s="3" t="s">
        <v>126</v>
      </c>
      <c r="G84" s="3" t="s">
        <v>151</v>
      </c>
      <c r="H84" s="3">
        <v>3</v>
      </c>
      <c r="I84" s="7">
        <v>1530.88</v>
      </c>
      <c r="J84" s="9">
        <v>0.05</v>
      </c>
      <c r="K84" s="7">
        <v>4363.01</v>
      </c>
      <c r="L84" s="7">
        <v>2188.4499999999998</v>
      </c>
      <c r="M84" s="3" t="s">
        <v>56</v>
      </c>
      <c r="N84" s="3"/>
      <c r="O84" s="3"/>
      <c r="P84" s="3"/>
      <c r="Q84" s="3"/>
    </row>
    <row r="85" spans="1:17" ht="21" customHeight="1">
      <c r="A85" s="3" t="s">
        <v>290</v>
      </c>
      <c r="B85" s="5">
        <v>45319</v>
      </c>
      <c r="C85" s="3" t="s">
        <v>291</v>
      </c>
      <c r="D85" s="3" t="s">
        <v>47</v>
      </c>
      <c r="E85" s="3" t="s">
        <v>42</v>
      </c>
      <c r="F85" s="3" t="s">
        <v>126</v>
      </c>
      <c r="G85" s="3" t="s">
        <v>151</v>
      </c>
      <c r="H85" s="3">
        <v>1</v>
      </c>
      <c r="I85" s="7">
        <v>1449.39</v>
      </c>
      <c r="J85" s="9">
        <v>0.05</v>
      </c>
      <c r="K85" s="7">
        <v>1376.92</v>
      </c>
      <c r="L85" s="7">
        <v>628.74</v>
      </c>
      <c r="M85" s="3" t="s">
        <v>58</v>
      </c>
      <c r="N85" s="3"/>
      <c r="O85" s="3"/>
      <c r="P85" s="3"/>
      <c r="Q85" s="3"/>
    </row>
    <row r="86" spans="1:17" ht="21" customHeight="1">
      <c r="A86" s="3" t="s">
        <v>292</v>
      </c>
      <c r="B86" s="5">
        <v>45319</v>
      </c>
      <c r="C86" s="3" t="s">
        <v>293</v>
      </c>
      <c r="D86" s="3" t="s">
        <v>47</v>
      </c>
      <c r="E86" s="3" t="s">
        <v>40</v>
      </c>
      <c r="F86" s="3" t="s">
        <v>160</v>
      </c>
      <c r="G86" s="3" t="s">
        <v>161</v>
      </c>
      <c r="H86" s="3">
        <v>1</v>
      </c>
      <c r="I86" s="7">
        <v>13637.26</v>
      </c>
      <c r="J86" s="9">
        <v>0</v>
      </c>
      <c r="K86" s="7">
        <v>13637.26</v>
      </c>
      <c r="L86" s="7">
        <v>4208.9799999999996</v>
      </c>
      <c r="M86" s="3" t="s">
        <v>58</v>
      </c>
      <c r="N86" s="3"/>
      <c r="O86" s="3"/>
      <c r="P86" s="3"/>
      <c r="Q86" s="3"/>
    </row>
    <row r="87" spans="1:17" ht="21" customHeight="1">
      <c r="A87" s="3" t="s">
        <v>294</v>
      </c>
      <c r="B87" s="5">
        <v>45320</v>
      </c>
      <c r="C87" s="3" t="s">
        <v>295</v>
      </c>
      <c r="D87" s="3" t="s">
        <v>45</v>
      </c>
      <c r="E87" s="3" t="s">
        <v>39</v>
      </c>
      <c r="F87" s="3" t="s">
        <v>164</v>
      </c>
      <c r="G87" s="3" t="s">
        <v>200</v>
      </c>
      <c r="H87" s="3">
        <v>4</v>
      </c>
      <c r="I87" s="7">
        <v>1308.26</v>
      </c>
      <c r="J87" s="9">
        <v>0.15</v>
      </c>
      <c r="K87" s="7">
        <v>4448.08</v>
      </c>
      <c r="L87" s="7">
        <v>984.67</v>
      </c>
      <c r="M87" s="3" t="s">
        <v>56</v>
      </c>
      <c r="N87" s="3"/>
      <c r="O87" s="3"/>
      <c r="P87" s="3"/>
      <c r="Q87" s="3"/>
    </row>
    <row r="88" spans="1:17" ht="21" customHeight="1">
      <c r="A88" s="3" t="s">
        <v>296</v>
      </c>
      <c r="B88" s="5">
        <v>45320</v>
      </c>
      <c r="C88" s="3" t="s">
        <v>297</v>
      </c>
      <c r="D88" s="3" t="s">
        <v>45</v>
      </c>
      <c r="E88" s="3" t="s">
        <v>41</v>
      </c>
      <c r="F88" s="3" t="s">
        <v>113</v>
      </c>
      <c r="G88" s="3" t="s">
        <v>123</v>
      </c>
      <c r="H88" s="3">
        <v>2</v>
      </c>
      <c r="I88" s="7">
        <v>3632.6</v>
      </c>
      <c r="J88" s="9">
        <v>0.05</v>
      </c>
      <c r="K88" s="7">
        <v>6901.94</v>
      </c>
      <c r="L88" s="7">
        <v>2225.77</v>
      </c>
      <c r="M88" s="3" t="s">
        <v>56</v>
      </c>
      <c r="N88" s="3"/>
      <c r="O88" s="3"/>
      <c r="P88" s="3"/>
      <c r="Q88" s="3"/>
    </row>
    <row r="89" spans="1:17" ht="21" customHeight="1">
      <c r="A89" s="3" t="s">
        <v>298</v>
      </c>
      <c r="B89" s="5">
        <v>45320</v>
      </c>
      <c r="C89" s="3" t="s">
        <v>299</v>
      </c>
      <c r="D89" s="3" t="s">
        <v>44</v>
      </c>
      <c r="E89" s="3" t="s">
        <v>41</v>
      </c>
      <c r="F89" s="3" t="s">
        <v>113</v>
      </c>
      <c r="G89" s="3" t="s">
        <v>114</v>
      </c>
      <c r="H89" s="3">
        <v>1</v>
      </c>
      <c r="I89" s="7">
        <v>12024.58</v>
      </c>
      <c r="J89" s="9">
        <v>0.15</v>
      </c>
      <c r="K89" s="7">
        <v>10220.89</v>
      </c>
      <c r="L89" s="7">
        <v>2254.9299999999998</v>
      </c>
      <c r="M89" s="3" t="s">
        <v>56</v>
      </c>
      <c r="N89" s="3"/>
      <c r="O89" s="3"/>
      <c r="P89" s="3"/>
      <c r="Q89" s="3"/>
    </row>
    <row r="90" spans="1:17" ht="21" customHeight="1">
      <c r="A90" s="3" t="s">
        <v>300</v>
      </c>
      <c r="B90" s="5">
        <v>45321</v>
      </c>
      <c r="C90" s="3" t="s">
        <v>301</v>
      </c>
      <c r="D90" s="3" t="s">
        <v>46</v>
      </c>
      <c r="E90" s="3" t="s">
        <v>41</v>
      </c>
      <c r="F90" s="3" t="s">
        <v>119</v>
      </c>
      <c r="G90" s="3" t="s">
        <v>168</v>
      </c>
      <c r="H90" s="3">
        <v>3</v>
      </c>
      <c r="I90" s="7">
        <v>10494.16</v>
      </c>
      <c r="J90" s="9">
        <v>0.1</v>
      </c>
      <c r="K90" s="7">
        <v>28334.23</v>
      </c>
      <c r="L90" s="7">
        <v>7016.61</v>
      </c>
      <c r="M90" s="3" t="s">
        <v>56</v>
      </c>
      <c r="N90" s="3"/>
      <c r="O90" s="3"/>
      <c r="P90" s="3"/>
      <c r="Q90" s="3"/>
    </row>
    <row r="91" spans="1:17" ht="21" customHeight="1">
      <c r="A91" s="3" t="s">
        <v>302</v>
      </c>
      <c r="B91" s="5">
        <v>45321</v>
      </c>
      <c r="C91" s="3" t="s">
        <v>303</v>
      </c>
      <c r="D91" s="3" t="s">
        <v>46</v>
      </c>
      <c r="E91" s="3" t="s">
        <v>41</v>
      </c>
      <c r="F91" s="3" t="s">
        <v>119</v>
      </c>
      <c r="G91" s="3" t="s">
        <v>168</v>
      </c>
      <c r="H91" s="3">
        <v>1</v>
      </c>
      <c r="I91" s="7">
        <v>9714.1</v>
      </c>
      <c r="J91" s="9">
        <v>0.05</v>
      </c>
      <c r="K91" s="7">
        <v>9228.4</v>
      </c>
      <c r="L91" s="7">
        <v>2934</v>
      </c>
      <c r="M91" s="3" t="s">
        <v>56</v>
      </c>
      <c r="N91" s="3"/>
      <c r="O91" s="3"/>
      <c r="P91" s="3"/>
      <c r="Q91" s="3"/>
    </row>
    <row r="92" spans="1:17" ht="21" customHeight="1">
      <c r="A92" s="3" t="s">
        <v>304</v>
      </c>
      <c r="B92" s="5">
        <v>45321</v>
      </c>
      <c r="C92" s="3" t="s">
        <v>274</v>
      </c>
      <c r="D92" s="3" t="s">
        <v>44</v>
      </c>
      <c r="E92" s="3" t="s">
        <v>39</v>
      </c>
      <c r="F92" s="3" t="s">
        <v>130</v>
      </c>
      <c r="G92" s="3" t="s">
        <v>131</v>
      </c>
      <c r="H92" s="3">
        <v>1</v>
      </c>
      <c r="I92" s="7">
        <v>2248.4499999999998</v>
      </c>
      <c r="J92" s="9">
        <v>0.15</v>
      </c>
      <c r="K92" s="7">
        <v>1911.18</v>
      </c>
      <c r="L92" s="7">
        <v>411.95</v>
      </c>
      <c r="M92" s="3" t="s">
        <v>57</v>
      </c>
      <c r="N92" s="3"/>
      <c r="O92" s="3"/>
      <c r="P92" s="3"/>
      <c r="Q92" s="3"/>
    </row>
    <row r="93" spans="1:17" ht="21" customHeight="1">
      <c r="A93" s="3" t="s">
        <v>305</v>
      </c>
      <c r="B93" s="5">
        <v>45322</v>
      </c>
      <c r="C93" s="3" t="s">
        <v>167</v>
      </c>
      <c r="D93" s="3" t="s">
        <v>46</v>
      </c>
      <c r="E93" s="3" t="s">
        <v>39</v>
      </c>
      <c r="F93" s="3" t="s">
        <v>130</v>
      </c>
      <c r="G93" s="3" t="s">
        <v>193</v>
      </c>
      <c r="H93" s="3">
        <v>1</v>
      </c>
      <c r="I93" s="7">
        <v>1736.28</v>
      </c>
      <c r="J93" s="9">
        <v>0.05</v>
      </c>
      <c r="K93" s="7">
        <v>1649.47</v>
      </c>
      <c r="L93" s="7">
        <v>638.76</v>
      </c>
      <c r="M93" s="3" t="s">
        <v>56</v>
      </c>
      <c r="N93" s="3"/>
      <c r="O93" s="3"/>
      <c r="P93" s="3"/>
      <c r="Q93" s="3"/>
    </row>
    <row r="94" spans="1:17" ht="21" customHeight="1">
      <c r="A94" s="3" t="s">
        <v>306</v>
      </c>
      <c r="B94" s="5">
        <v>45323</v>
      </c>
      <c r="C94" s="3" t="s">
        <v>307</v>
      </c>
      <c r="D94" s="3" t="s">
        <v>44</v>
      </c>
      <c r="E94" s="3" t="s">
        <v>40</v>
      </c>
      <c r="F94" s="3" t="s">
        <v>221</v>
      </c>
      <c r="G94" s="3" t="s">
        <v>222</v>
      </c>
      <c r="H94" s="3">
        <v>1</v>
      </c>
      <c r="I94" s="7">
        <v>1005.63</v>
      </c>
      <c r="J94" s="9">
        <v>0.2</v>
      </c>
      <c r="K94" s="7">
        <v>804.5</v>
      </c>
      <c r="L94" s="7">
        <v>74.06</v>
      </c>
      <c r="M94" s="3" t="s">
        <v>57</v>
      </c>
      <c r="N94" s="3"/>
      <c r="O94" s="3"/>
      <c r="P94" s="3"/>
      <c r="Q94" s="3"/>
    </row>
    <row r="95" spans="1:17" ht="21" customHeight="1">
      <c r="A95" s="3" t="s">
        <v>308</v>
      </c>
      <c r="B95" s="5">
        <v>45323</v>
      </c>
      <c r="C95" s="3" t="s">
        <v>309</v>
      </c>
      <c r="D95" s="3" t="s">
        <v>46</v>
      </c>
      <c r="E95" s="3" t="s">
        <v>38</v>
      </c>
      <c r="F95" s="3" t="s">
        <v>98</v>
      </c>
      <c r="G95" s="3" t="s">
        <v>99</v>
      </c>
      <c r="H95" s="3">
        <v>1</v>
      </c>
      <c r="I95" s="7">
        <v>25190.92</v>
      </c>
      <c r="J95" s="9">
        <v>0.1</v>
      </c>
      <c r="K95" s="7">
        <v>22671.83</v>
      </c>
      <c r="L95" s="7">
        <v>1747.78</v>
      </c>
      <c r="M95" s="3" t="s">
        <v>56</v>
      </c>
      <c r="N95" s="3"/>
      <c r="O95" s="3"/>
      <c r="P95" s="3"/>
      <c r="Q95" s="3"/>
    </row>
    <row r="96" spans="1:17" ht="21" customHeight="1">
      <c r="A96" s="3" t="s">
        <v>310</v>
      </c>
      <c r="B96" s="5">
        <v>45323</v>
      </c>
      <c r="C96" s="3" t="s">
        <v>220</v>
      </c>
      <c r="D96" s="3" t="s">
        <v>46</v>
      </c>
      <c r="E96" s="3" t="s">
        <v>39</v>
      </c>
      <c r="F96" s="3" t="s">
        <v>109</v>
      </c>
      <c r="G96" s="3" t="s">
        <v>110</v>
      </c>
      <c r="H96" s="3">
        <v>1</v>
      </c>
      <c r="I96" s="7">
        <v>2876.97</v>
      </c>
      <c r="J96" s="9">
        <v>0.2</v>
      </c>
      <c r="K96" s="7">
        <v>2301.58</v>
      </c>
      <c r="L96" s="7">
        <v>454.61</v>
      </c>
      <c r="M96" s="3" t="s">
        <v>57</v>
      </c>
      <c r="N96" s="3"/>
      <c r="O96" s="3"/>
      <c r="P96" s="3"/>
      <c r="Q96" s="3"/>
    </row>
    <row r="97" spans="1:17" ht="21" customHeight="1">
      <c r="A97" s="3" t="s">
        <v>311</v>
      </c>
      <c r="B97" s="5">
        <v>45323</v>
      </c>
      <c r="C97" s="3" t="s">
        <v>312</v>
      </c>
      <c r="D97" s="3" t="s">
        <v>44</v>
      </c>
      <c r="E97" s="3" t="s">
        <v>42</v>
      </c>
      <c r="F97" s="3" t="s">
        <v>90</v>
      </c>
      <c r="G97" s="3" t="s">
        <v>106</v>
      </c>
      <c r="H97" s="3">
        <v>2</v>
      </c>
      <c r="I97" s="7">
        <v>936.42</v>
      </c>
      <c r="J97" s="9">
        <v>0.05</v>
      </c>
      <c r="K97" s="7">
        <v>1779.2</v>
      </c>
      <c r="L97" s="7">
        <v>918.36</v>
      </c>
      <c r="M97" s="3" t="s">
        <v>56</v>
      </c>
      <c r="N97" s="3"/>
      <c r="O97" s="3"/>
      <c r="P97" s="3"/>
      <c r="Q97" s="3"/>
    </row>
    <row r="98" spans="1:17" ht="21" customHeight="1">
      <c r="A98" s="3" t="s">
        <v>313</v>
      </c>
      <c r="B98" s="5">
        <v>45324</v>
      </c>
      <c r="C98" s="3" t="s">
        <v>314</v>
      </c>
      <c r="D98" s="3" t="s">
        <v>47</v>
      </c>
      <c r="E98" s="3" t="s">
        <v>41</v>
      </c>
      <c r="F98" s="3" t="s">
        <v>119</v>
      </c>
      <c r="G98" s="3" t="s">
        <v>168</v>
      </c>
      <c r="H98" s="3">
        <v>1</v>
      </c>
      <c r="I98" s="7">
        <v>9802.81</v>
      </c>
      <c r="J98" s="9">
        <v>0.05</v>
      </c>
      <c r="K98" s="7">
        <v>9312.67</v>
      </c>
      <c r="L98" s="7">
        <v>3092.18</v>
      </c>
      <c r="M98" s="3" t="s">
        <v>57</v>
      </c>
      <c r="N98" s="3"/>
      <c r="O98" s="3"/>
      <c r="P98" s="3"/>
      <c r="Q98" s="3"/>
    </row>
    <row r="99" spans="1:17" ht="21" customHeight="1">
      <c r="A99" s="3" t="s">
        <v>315</v>
      </c>
      <c r="B99" s="5">
        <v>45324</v>
      </c>
      <c r="C99" s="3" t="s">
        <v>316</v>
      </c>
      <c r="D99" s="3" t="s">
        <v>47</v>
      </c>
      <c r="E99" s="3" t="s">
        <v>40</v>
      </c>
      <c r="F99" s="3" t="s">
        <v>160</v>
      </c>
      <c r="G99" s="3" t="s">
        <v>161</v>
      </c>
      <c r="H99" s="3">
        <v>2</v>
      </c>
      <c r="I99" s="7">
        <v>12861.86</v>
      </c>
      <c r="J99" s="9">
        <v>0.05</v>
      </c>
      <c r="K99" s="7">
        <v>24437.53</v>
      </c>
      <c r="L99" s="7">
        <v>5701.11</v>
      </c>
      <c r="M99" s="3" t="s">
        <v>56</v>
      </c>
      <c r="N99" s="3"/>
      <c r="O99" s="3"/>
      <c r="P99" s="3"/>
      <c r="Q99" s="3"/>
    </row>
    <row r="100" spans="1:17" ht="21" customHeight="1">
      <c r="A100" s="3" t="s">
        <v>317</v>
      </c>
      <c r="B100" s="5">
        <v>45324</v>
      </c>
      <c r="C100" s="3" t="s">
        <v>318</v>
      </c>
      <c r="D100" s="3" t="s">
        <v>45</v>
      </c>
      <c r="E100" s="3" t="s">
        <v>41</v>
      </c>
      <c r="F100" s="3" t="s">
        <v>119</v>
      </c>
      <c r="G100" s="3" t="s">
        <v>168</v>
      </c>
      <c r="H100" s="3">
        <v>1</v>
      </c>
      <c r="I100" s="7">
        <v>10022.36</v>
      </c>
      <c r="J100" s="9">
        <v>0.2</v>
      </c>
      <c r="K100" s="7">
        <v>8017.89</v>
      </c>
      <c r="L100" s="7">
        <v>1187.68</v>
      </c>
      <c r="M100" s="3" t="s">
        <v>59</v>
      </c>
      <c r="N100" s="3"/>
      <c r="O100" s="3"/>
      <c r="P100" s="3"/>
      <c r="Q100" s="3"/>
    </row>
    <row r="101" spans="1:17" ht="21" customHeight="1">
      <c r="A101" s="3" t="s">
        <v>319</v>
      </c>
      <c r="B101" s="5">
        <v>45324</v>
      </c>
      <c r="C101" s="3" t="s">
        <v>320</v>
      </c>
      <c r="D101" s="3" t="s">
        <v>46</v>
      </c>
      <c r="E101" s="3" t="s">
        <v>42</v>
      </c>
      <c r="F101" s="3" t="s">
        <v>90</v>
      </c>
      <c r="G101" s="3" t="s">
        <v>91</v>
      </c>
      <c r="H101" s="3">
        <v>1</v>
      </c>
      <c r="I101" s="7">
        <v>1226.43</v>
      </c>
      <c r="J101" s="9">
        <v>0.2</v>
      </c>
      <c r="K101" s="7">
        <v>981.14</v>
      </c>
      <c r="L101" s="7">
        <v>352.96</v>
      </c>
      <c r="M101" s="3" t="s">
        <v>59</v>
      </c>
      <c r="N101" s="3"/>
      <c r="O101" s="3"/>
      <c r="P101" s="3"/>
      <c r="Q101" s="3"/>
    </row>
    <row r="102" spans="1:17" ht="21" customHeight="1">
      <c r="A102" s="3" t="s">
        <v>321</v>
      </c>
      <c r="B102" s="5">
        <v>45325</v>
      </c>
      <c r="C102" s="3" t="s">
        <v>322</v>
      </c>
      <c r="D102" s="3" t="s">
        <v>44</v>
      </c>
      <c r="E102" s="3" t="s">
        <v>42</v>
      </c>
      <c r="F102" s="3" t="s">
        <v>126</v>
      </c>
      <c r="G102" s="3" t="s">
        <v>127</v>
      </c>
      <c r="H102" s="3">
        <v>2</v>
      </c>
      <c r="I102" s="7">
        <v>986.85</v>
      </c>
      <c r="J102" s="9">
        <v>0.15</v>
      </c>
      <c r="K102" s="7">
        <v>1677.64</v>
      </c>
      <c r="L102" s="7">
        <v>664.71</v>
      </c>
      <c r="M102" s="3" t="s">
        <v>56</v>
      </c>
      <c r="N102" s="3"/>
      <c r="O102" s="3"/>
      <c r="P102" s="3"/>
      <c r="Q102" s="3"/>
    </row>
    <row r="103" spans="1:17" ht="21" customHeight="1">
      <c r="A103" s="3" t="s">
        <v>323</v>
      </c>
      <c r="B103" s="5">
        <v>45325</v>
      </c>
      <c r="C103" s="3" t="s">
        <v>324</v>
      </c>
      <c r="D103" s="3" t="s">
        <v>45</v>
      </c>
      <c r="E103" s="3" t="s">
        <v>39</v>
      </c>
      <c r="F103" s="3" t="s">
        <v>109</v>
      </c>
      <c r="G103" s="3" t="s">
        <v>110</v>
      </c>
      <c r="H103" s="3">
        <v>1</v>
      </c>
      <c r="I103" s="7">
        <v>3075.93</v>
      </c>
      <c r="J103" s="9">
        <v>0.1</v>
      </c>
      <c r="K103" s="7">
        <v>2768.34</v>
      </c>
      <c r="L103" s="7">
        <v>802.07</v>
      </c>
      <c r="M103" s="3" t="s">
        <v>57</v>
      </c>
      <c r="N103" s="3"/>
      <c r="O103" s="3"/>
      <c r="P103" s="3"/>
      <c r="Q103" s="3"/>
    </row>
    <row r="104" spans="1:17" ht="21" customHeight="1">
      <c r="A104" s="3" t="s">
        <v>325</v>
      </c>
      <c r="B104" s="5">
        <v>45325</v>
      </c>
      <c r="C104" s="3" t="s">
        <v>262</v>
      </c>
      <c r="D104" s="3" t="s">
        <v>44</v>
      </c>
      <c r="E104" s="3" t="s">
        <v>40</v>
      </c>
      <c r="F104" s="3" t="s">
        <v>160</v>
      </c>
      <c r="G104" s="3" t="s">
        <v>173</v>
      </c>
      <c r="H104" s="3">
        <v>3</v>
      </c>
      <c r="I104" s="7">
        <v>8861.82</v>
      </c>
      <c r="J104" s="9">
        <v>0.05</v>
      </c>
      <c r="K104" s="7">
        <v>25256.19</v>
      </c>
      <c r="L104" s="7">
        <v>7267.47</v>
      </c>
      <c r="M104" s="3" t="s">
        <v>59</v>
      </c>
      <c r="N104" s="3"/>
      <c r="O104" s="3"/>
      <c r="P104" s="3"/>
      <c r="Q104" s="3"/>
    </row>
    <row r="105" spans="1:17" ht="21" customHeight="1">
      <c r="A105" s="3" t="s">
        <v>326</v>
      </c>
      <c r="B105" s="5">
        <v>45325</v>
      </c>
      <c r="C105" s="3" t="s">
        <v>327</v>
      </c>
      <c r="D105" s="3" t="s">
        <v>44</v>
      </c>
      <c r="E105" s="3" t="s">
        <v>42</v>
      </c>
      <c r="F105" s="3" t="s">
        <v>90</v>
      </c>
      <c r="G105" s="3" t="s">
        <v>106</v>
      </c>
      <c r="H105" s="3">
        <v>1</v>
      </c>
      <c r="I105" s="7">
        <v>887.44</v>
      </c>
      <c r="J105" s="9">
        <v>0</v>
      </c>
      <c r="K105" s="7">
        <v>887.44</v>
      </c>
      <c r="L105" s="7">
        <v>511.19</v>
      </c>
      <c r="M105" s="3" t="s">
        <v>58</v>
      </c>
      <c r="N105" s="3"/>
      <c r="O105" s="3"/>
      <c r="P105" s="3"/>
      <c r="Q105" s="3"/>
    </row>
    <row r="106" spans="1:17" ht="21" customHeight="1">
      <c r="A106" s="3" t="s">
        <v>328</v>
      </c>
      <c r="B106" s="5">
        <v>45326</v>
      </c>
      <c r="C106" s="3" t="s">
        <v>329</v>
      </c>
      <c r="D106" s="3" t="s">
        <v>45</v>
      </c>
      <c r="E106" s="3" t="s">
        <v>39</v>
      </c>
      <c r="F106" s="3" t="s">
        <v>164</v>
      </c>
      <c r="G106" s="3" t="s">
        <v>165</v>
      </c>
      <c r="H106" s="3">
        <v>1</v>
      </c>
      <c r="I106" s="7">
        <v>1963.01</v>
      </c>
      <c r="J106" s="9">
        <v>0.05</v>
      </c>
      <c r="K106" s="7">
        <v>1864.86</v>
      </c>
      <c r="L106" s="7">
        <v>637.11</v>
      </c>
      <c r="M106" s="3" t="s">
        <v>56</v>
      </c>
      <c r="N106" s="3"/>
      <c r="O106" s="3"/>
      <c r="P106" s="3"/>
      <c r="Q106" s="3"/>
    </row>
    <row r="107" spans="1:17" ht="21" customHeight="1">
      <c r="A107" s="3" t="s">
        <v>330</v>
      </c>
      <c r="B107" s="5">
        <v>45327</v>
      </c>
      <c r="C107" s="3" t="s">
        <v>206</v>
      </c>
      <c r="D107" s="3" t="s">
        <v>44</v>
      </c>
      <c r="E107" s="3" t="s">
        <v>38</v>
      </c>
      <c r="F107" s="3" t="s">
        <v>142</v>
      </c>
      <c r="G107" s="3" t="s">
        <v>143</v>
      </c>
      <c r="H107" s="3">
        <v>3</v>
      </c>
      <c r="I107" s="7">
        <v>8664.9699999999993</v>
      </c>
      <c r="J107" s="9">
        <v>0</v>
      </c>
      <c r="K107" s="7">
        <v>25994.91</v>
      </c>
      <c r="L107" s="7">
        <v>4068.16</v>
      </c>
      <c r="M107" s="3" t="s">
        <v>57</v>
      </c>
      <c r="N107" s="3"/>
      <c r="O107" s="3"/>
      <c r="P107" s="3"/>
      <c r="Q107" s="3"/>
    </row>
    <row r="108" spans="1:17" ht="21" customHeight="1">
      <c r="A108" s="3" t="s">
        <v>331</v>
      </c>
      <c r="B108" s="5">
        <v>45328</v>
      </c>
      <c r="C108" s="3" t="s">
        <v>257</v>
      </c>
      <c r="D108" s="3" t="s">
        <v>46</v>
      </c>
      <c r="E108" s="3" t="s">
        <v>40</v>
      </c>
      <c r="F108" s="3" t="s">
        <v>102</v>
      </c>
      <c r="G108" s="3" t="s">
        <v>146</v>
      </c>
      <c r="H108" s="3">
        <v>1</v>
      </c>
      <c r="I108" s="7">
        <v>8360.2800000000007</v>
      </c>
      <c r="J108" s="9">
        <v>0</v>
      </c>
      <c r="K108" s="7">
        <v>8360.2800000000007</v>
      </c>
      <c r="L108" s="7">
        <v>2915.23</v>
      </c>
      <c r="M108" s="3" t="s">
        <v>58</v>
      </c>
      <c r="N108" s="3"/>
      <c r="O108" s="3"/>
      <c r="P108" s="3"/>
      <c r="Q108" s="3"/>
    </row>
    <row r="109" spans="1:17" ht="21" customHeight="1">
      <c r="A109" s="3" t="s">
        <v>332</v>
      </c>
      <c r="B109" s="5">
        <v>45329</v>
      </c>
      <c r="C109" s="3" t="s">
        <v>333</v>
      </c>
      <c r="D109" s="3" t="s">
        <v>47</v>
      </c>
      <c r="E109" s="3" t="s">
        <v>38</v>
      </c>
      <c r="F109" s="3" t="s">
        <v>94</v>
      </c>
      <c r="G109" s="3" t="s">
        <v>95</v>
      </c>
      <c r="H109" s="3">
        <v>2</v>
      </c>
      <c r="I109" s="7">
        <v>78678.759999999995</v>
      </c>
      <c r="J109" s="9">
        <v>0.3</v>
      </c>
      <c r="K109" s="7">
        <v>110150.26</v>
      </c>
      <c r="L109" s="7">
        <v>-20290.05</v>
      </c>
      <c r="M109" s="3" t="s">
        <v>57</v>
      </c>
      <c r="N109" s="3"/>
      <c r="O109" s="3"/>
      <c r="P109" s="3"/>
      <c r="Q109" s="3"/>
    </row>
    <row r="110" spans="1:17" ht="21" customHeight="1">
      <c r="A110" s="3" t="s">
        <v>334</v>
      </c>
      <c r="B110" s="5">
        <v>45329</v>
      </c>
      <c r="C110" s="3" t="s">
        <v>335</v>
      </c>
      <c r="D110" s="3" t="s">
        <v>46</v>
      </c>
      <c r="E110" s="3" t="s">
        <v>40</v>
      </c>
      <c r="F110" s="3" t="s">
        <v>221</v>
      </c>
      <c r="G110" s="3" t="s">
        <v>222</v>
      </c>
      <c r="H110" s="3">
        <v>1</v>
      </c>
      <c r="I110" s="7">
        <v>954.31</v>
      </c>
      <c r="J110" s="9">
        <v>0.25</v>
      </c>
      <c r="K110" s="7">
        <v>715.73</v>
      </c>
      <c r="L110" s="7">
        <v>35.43</v>
      </c>
      <c r="M110" s="3" t="s">
        <v>56</v>
      </c>
      <c r="N110" s="3"/>
      <c r="O110" s="3"/>
      <c r="P110" s="3"/>
      <c r="Q110" s="3"/>
    </row>
    <row r="111" spans="1:17" ht="21" customHeight="1">
      <c r="A111" s="3" t="s">
        <v>336</v>
      </c>
      <c r="B111" s="5">
        <v>45332</v>
      </c>
      <c r="C111" s="3" t="s">
        <v>337</v>
      </c>
      <c r="D111" s="3" t="s">
        <v>44</v>
      </c>
      <c r="E111" s="3" t="s">
        <v>41</v>
      </c>
      <c r="F111" s="3" t="s">
        <v>113</v>
      </c>
      <c r="G111" s="3" t="s">
        <v>114</v>
      </c>
      <c r="H111" s="3">
        <v>3</v>
      </c>
      <c r="I111" s="7">
        <v>12268.17</v>
      </c>
      <c r="J111" s="9">
        <v>0.1</v>
      </c>
      <c r="K111" s="7">
        <v>33124.06</v>
      </c>
      <c r="L111" s="7">
        <v>8123.89</v>
      </c>
      <c r="M111" s="3" t="s">
        <v>57</v>
      </c>
      <c r="N111" s="3"/>
      <c r="O111" s="3"/>
      <c r="P111" s="3"/>
      <c r="Q111" s="3"/>
    </row>
    <row r="112" spans="1:17" ht="21" customHeight="1">
      <c r="A112" s="3" t="s">
        <v>338</v>
      </c>
      <c r="B112" s="5">
        <v>45332</v>
      </c>
      <c r="C112" s="3" t="s">
        <v>339</v>
      </c>
      <c r="D112" s="3" t="s">
        <v>44</v>
      </c>
      <c r="E112" s="3" t="s">
        <v>41</v>
      </c>
      <c r="F112" s="3" t="s">
        <v>119</v>
      </c>
      <c r="G112" s="3" t="s">
        <v>120</v>
      </c>
      <c r="H112" s="3">
        <v>2</v>
      </c>
      <c r="I112" s="7">
        <v>1334.48</v>
      </c>
      <c r="J112" s="9">
        <v>0</v>
      </c>
      <c r="K112" s="7">
        <v>2668.96</v>
      </c>
      <c r="L112" s="7">
        <v>999.84</v>
      </c>
      <c r="M112" s="3" t="s">
        <v>56</v>
      </c>
      <c r="N112" s="3"/>
      <c r="O112" s="3"/>
      <c r="P112" s="3"/>
      <c r="Q112" s="3"/>
    </row>
    <row r="113" spans="1:17" ht="21" customHeight="1">
      <c r="A113" s="3" t="s">
        <v>340</v>
      </c>
      <c r="B113" s="5">
        <v>45332</v>
      </c>
      <c r="C113" s="3" t="s">
        <v>341</v>
      </c>
      <c r="D113" s="3" t="s">
        <v>44</v>
      </c>
      <c r="E113" s="3" t="s">
        <v>39</v>
      </c>
      <c r="F113" s="3" t="s">
        <v>130</v>
      </c>
      <c r="G113" s="3" t="s">
        <v>193</v>
      </c>
      <c r="H113" s="3">
        <v>3</v>
      </c>
      <c r="I113" s="7">
        <v>1885.29</v>
      </c>
      <c r="J113" s="9">
        <v>0.15</v>
      </c>
      <c r="K113" s="7">
        <v>4807.49</v>
      </c>
      <c r="L113" s="7">
        <v>1104.7</v>
      </c>
      <c r="M113" s="3" t="s">
        <v>57</v>
      </c>
      <c r="N113" s="3"/>
      <c r="O113" s="3"/>
      <c r="P113" s="3"/>
      <c r="Q113" s="3"/>
    </row>
    <row r="114" spans="1:17" ht="21" customHeight="1">
      <c r="A114" s="3" t="s">
        <v>342</v>
      </c>
      <c r="B114" s="5">
        <v>45332</v>
      </c>
      <c r="C114" s="3" t="s">
        <v>343</v>
      </c>
      <c r="D114" s="3" t="s">
        <v>46</v>
      </c>
      <c r="E114" s="3" t="s">
        <v>39</v>
      </c>
      <c r="F114" s="3" t="s">
        <v>164</v>
      </c>
      <c r="G114" s="3" t="s">
        <v>165</v>
      </c>
      <c r="H114" s="3">
        <v>3</v>
      </c>
      <c r="I114" s="7">
        <v>1940.83</v>
      </c>
      <c r="J114" s="9">
        <v>0</v>
      </c>
      <c r="K114" s="7">
        <v>5822.49</v>
      </c>
      <c r="L114" s="7">
        <v>2390.77</v>
      </c>
      <c r="M114" s="3" t="s">
        <v>58</v>
      </c>
      <c r="N114" s="3"/>
      <c r="O114" s="3"/>
      <c r="P114" s="3"/>
      <c r="Q114" s="3"/>
    </row>
    <row r="115" spans="1:17" ht="21" customHeight="1">
      <c r="A115" s="3" t="s">
        <v>344</v>
      </c>
      <c r="B115" s="5">
        <v>45333</v>
      </c>
      <c r="C115" s="3" t="s">
        <v>345</v>
      </c>
      <c r="D115" s="3" t="s">
        <v>47</v>
      </c>
      <c r="E115" s="3" t="s">
        <v>38</v>
      </c>
      <c r="F115" s="3" t="s">
        <v>98</v>
      </c>
      <c r="G115" s="3" t="s">
        <v>99</v>
      </c>
      <c r="H115" s="3">
        <v>1</v>
      </c>
      <c r="I115" s="7">
        <v>25513.89</v>
      </c>
      <c r="J115" s="9">
        <v>0</v>
      </c>
      <c r="K115" s="7">
        <v>25513.89</v>
      </c>
      <c r="L115" s="7">
        <v>4462.75</v>
      </c>
      <c r="M115" s="3" t="s">
        <v>59</v>
      </c>
      <c r="N115" s="3"/>
      <c r="O115" s="3"/>
      <c r="P115" s="3"/>
      <c r="Q115" s="3"/>
    </row>
    <row r="116" spans="1:17" ht="21" customHeight="1">
      <c r="A116" s="3" t="s">
        <v>346</v>
      </c>
      <c r="B116" s="5">
        <v>45333</v>
      </c>
      <c r="C116" s="3" t="s">
        <v>347</v>
      </c>
      <c r="D116" s="3" t="s">
        <v>47</v>
      </c>
      <c r="E116" s="3" t="s">
        <v>40</v>
      </c>
      <c r="F116" s="3" t="s">
        <v>102</v>
      </c>
      <c r="G116" s="3" t="s">
        <v>103</v>
      </c>
      <c r="H116" s="3">
        <v>1</v>
      </c>
      <c r="I116" s="7">
        <v>6430.34</v>
      </c>
      <c r="J116" s="9">
        <v>0.1</v>
      </c>
      <c r="K116" s="7">
        <v>5787.31</v>
      </c>
      <c r="L116" s="7">
        <v>1040.97</v>
      </c>
      <c r="M116" s="3" t="s">
        <v>58</v>
      </c>
      <c r="N116" s="3"/>
      <c r="O116" s="3"/>
      <c r="P116" s="3"/>
      <c r="Q116" s="3"/>
    </row>
    <row r="117" spans="1:17" ht="21" customHeight="1">
      <c r="A117" s="3" t="s">
        <v>348</v>
      </c>
      <c r="B117" s="5">
        <v>45334</v>
      </c>
      <c r="C117" s="3" t="s">
        <v>349</v>
      </c>
      <c r="D117" s="3" t="s">
        <v>46</v>
      </c>
      <c r="E117" s="3" t="s">
        <v>38</v>
      </c>
      <c r="F117" s="3" t="s">
        <v>94</v>
      </c>
      <c r="G117" s="3" t="s">
        <v>95</v>
      </c>
      <c r="H117" s="3">
        <v>5</v>
      </c>
      <c r="I117" s="7">
        <v>82748.759999999995</v>
      </c>
      <c r="J117" s="9">
        <v>0.15</v>
      </c>
      <c r="K117" s="7">
        <v>351682.23</v>
      </c>
      <c r="L117" s="7">
        <v>10561.79</v>
      </c>
      <c r="M117" s="3" t="s">
        <v>59</v>
      </c>
      <c r="N117" s="3"/>
      <c r="O117" s="3"/>
      <c r="P117" s="3"/>
      <c r="Q117" s="3"/>
    </row>
    <row r="118" spans="1:17" ht="21" customHeight="1">
      <c r="A118" s="3" t="s">
        <v>350</v>
      </c>
      <c r="B118" s="5">
        <v>45334</v>
      </c>
      <c r="C118" s="3" t="s">
        <v>181</v>
      </c>
      <c r="D118" s="3" t="s">
        <v>47</v>
      </c>
      <c r="E118" s="3" t="s">
        <v>39</v>
      </c>
      <c r="F118" s="3" t="s">
        <v>164</v>
      </c>
      <c r="G118" s="3" t="s">
        <v>200</v>
      </c>
      <c r="H118" s="3">
        <v>1</v>
      </c>
      <c r="I118" s="7">
        <v>1265.9000000000001</v>
      </c>
      <c r="J118" s="9">
        <v>0</v>
      </c>
      <c r="K118" s="7">
        <v>1265.9000000000001</v>
      </c>
      <c r="L118" s="7">
        <v>577.51</v>
      </c>
      <c r="M118" s="3" t="s">
        <v>57</v>
      </c>
      <c r="N118" s="3"/>
      <c r="O118" s="3"/>
      <c r="P118" s="3"/>
      <c r="Q118" s="3"/>
    </row>
    <row r="119" spans="1:17" ht="21" customHeight="1">
      <c r="A119" s="3" t="s">
        <v>351</v>
      </c>
      <c r="B119" s="5">
        <v>45334</v>
      </c>
      <c r="C119" s="3" t="s">
        <v>352</v>
      </c>
      <c r="D119" s="3" t="s">
        <v>46</v>
      </c>
      <c r="E119" s="3" t="s">
        <v>38</v>
      </c>
      <c r="F119" s="3" t="s">
        <v>142</v>
      </c>
      <c r="G119" s="3" t="s">
        <v>245</v>
      </c>
      <c r="H119" s="3">
        <v>1</v>
      </c>
      <c r="I119" s="7">
        <v>4799.4399999999996</v>
      </c>
      <c r="J119" s="9">
        <v>0.1</v>
      </c>
      <c r="K119" s="7">
        <v>4319.5</v>
      </c>
      <c r="L119" s="7">
        <v>129.09</v>
      </c>
      <c r="M119" s="3" t="s">
        <v>56</v>
      </c>
      <c r="N119" s="3"/>
      <c r="O119" s="3"/>
      <c r="P119" s="3"/>
      <c r="Q119" s="3"/>
    </row>
    <row r="120" spans="1:17" ht="21" customHeight="1">
      <c r="A120" s="3" t="s">
        <v>353</v>
      </c>
      <c r="B120" s="5">
        <v>45334</v>
      </c>
      <c r="C120" s="3" t="s">
        <v>268</v>
      </c>
      <c r="D120" s="3" t="s">
        <v>44</v>
      </c>
      <c r="E120" s="3" t="s">
        <v>38</v>
      </c>
      <c r="F120" s="3" t="s">
        <v>98</v>
      </c>
      <c r="G120" s="3" t="s">
        <v>182</v>
      </c>
      <c r="H120" s="3">
        <v>3</v>
      </c>
      <c r="I120" s="7">
        <v>67310.58</v>
      </c>
      <c r="J120" s="9">
        <v>0.1</v>
      </c>
      <c r="K120" s="7">
        <v>181738.57</v>
      </c>
      <c r="L120" s="7">
        <v>10105.86</v>
      </c>
      <c r="M120" s="3" t="s">
        <v>59</v>
      </c>
      <c r="N120" s="3"/>
      <c r="O120" s="3"/>
      <c r="P120" s="3"/>
      <c r="Q120" s="3"/>
    </row>
    <row r="121" spans="1:17" ht="21" customHeight="1">
      <c r="A121" s="3" t="s">
        <v>354</v>
      </c>
      <c r="B121" s="5">
        <v>45334</v>
      </c>
      <c r="C121" s="3" t="s">
        <v>218</v>
      </c>
      <c r="D121" s="3" t="s">
        <v>45</v>
      </c>
      <c r="E121" s="3" t="s">
        <v>39</v>
      </c>
      <c r="F121" s="3" t="s">
        <v>109</v>
      </c>
      <c r="G121" s="3" t="s">
        <v>355</v>
      </c>
      <c r="H121" s="3">
        <v>1</v>
      </c>
      <c r="I121" s="7">
        <v>3469.75</v>
      </c>
      <c r="J121" s="9">
        <v>0.15</v>
      </c>
      <c r="K121" s="7">
        <v>2949.29</v>
      </c>
      <c r="L121" s="7">
        <v>811.38</v>
      </c>
      <c r="M121" s="3" t="s">
        <v>58</v>
      </c>
      <c r="N121" s="3"/>
      <c r="O121" s="3"/>
      <c r="P121" s="3"/>
      <c r="Q121" s="3"/>
    </row>
    <row r="122" spans="1:17" ht="21" customHeight="1">
      <c r="A122" s="3" t="s">
        <v>356</v>
      </c>
      <c r="B122" s="5">
        <v>45334</v>
      </c>
      <c r="C122" s="3" t="s">
        <v>357</v>
      </c>
      <c r="D122" s="3" t="s">
        <v>47</v>
      </c>
      <c r="E122" s="3" t="s">
        <v>41</v>
      </c>
      <c r="F122" s="3" t="s">
        <v>113</v>
      </c>
      <c r="G122" s="3" t="s">
        <v>123</v>
      </c>
      <c r="H122" s="3">
        <v>1</v>
      </c>
      <c r="I122" s="7">
        <v>3464.46</v>
      </c>
      <c r="J122" s="9">
        <v>0.05</v>
      </c>
      <c r="K122" s="7">
        <v>3291.24</v>
      </c>
      <c r="L122" s="7">
        <v>1016.83</v>
      </c>
      <c r="M122" s="3" t="s">
        <v>56</v>
      </c>
      <c r="N122" s="3"/>
      <c r="O122" s="3"/>
      <c r="P122" s="3"/>
      <c r="Q122" s="3"/>
    </row>
    <row r="123" spans="1:17" ht="21" customHeight="1">
      <c r="A123" s="3" t="s">
        <v>358</v>
      </c>
      <c r="B123" s="5">
        <v>45334</v>
      </c>
      <c r="C123" s="3" t="s">
        <v>359</v>
      </c>
      <c r="D123" s="3" t="s">
        <v>47</v>
      </c>
      <c r="E123" s="3" t="s">
        <v>41</v>
      </c>
      <c r="F123" s="3" t="s">
        <v>113</v>
      </c>
      <c r="G123" s="3" t="s">
        <v>114</v>
      </c>
      <c r="H123" s="3">
        <v>2</v>
      </c>
      <c r="I123" s="7">
        <v>12427.93</v>
      </c>
      <c r="J123" s="9">
        <v>0.05</v>
      </c>
      <c r="K123" s="7">
        <v>23613.07</v>
      </c>
      <c r="L123" s="7">
        <v>7755.91</v>
      </c>
      <c r="M123" s="3" t="s">
        <v>60</v>
      </c>
      <c r="N123" s="3"/>
      <c r="O123" s="3"/>
      <c r="P123" s="3"/>
      <c r="Q123" s="3"/>
    </row>
    <row r="124" spans="1:17" ht="21" customHeight="1">
      <c r="A124" s="3" t="s">
        <v>360</v>
      </c>
      <c r="B124" s="5">
        <v>45336</v>
      </c>
      <c r="C124" s="3" t="s">
        <v>361</v>
      </c>
      <c r="D124" s="3" t="s">
        <v>45</v>
      </c>
      <c r="E124" s="3" t="s">
        <v>38</v>
      </c>
      <c r="F124" s="3" t="s">
        <v>98</v>
      </c>
      <c r="G124" s="3" t="s">
        <v>362</v>
      </c>
      <c r="H124" s="3">
        <v>2</v>
      </c>
      <c r="I124" s="7">
        <v>31704.84</v>
      </c>
      <c r="J124" s="9">
        <v>0</v>
      </c>
      <c r="K124" s="7">
        <v>63409.68</v>
      </c>
      <c r="L124" s="7">
        <v>12900.35</v>
      </c>
      <c r="M124" s="3" t="s">
        <v>56</v>
      </c>
      <c r="N124" s="3"/>
      <c r="O124" s="3"/>
      <c r="P124" s="3"/>
      <c r="Q124" s="3"/>
    </row>
    <row r="125" spans="1:17" ht="21" customHeight="1">
      <c r="A125" s="3" t="s">
        <v>363</v>
      </c>
      <c r="B125" s="5">
        <v>45336</v>
      </c>
      <c r="C125" s="3" t="s">
        <v>364</v>
      </c>
      <c r="D125" s="3" t="s">
        <v>45</v>
      </c>
      <c r="E125" s="3" t="s">
        <v>41</v>
      </c>
      <c r="F125" s="3" t="s">
        <v>119</v>
      </c>
      <c r="G125" s="3" t="s">
        <v>120</v>
      </c>
      <c r="H125" s="3">
        <v>5</v>
      </c>
      <c r="I125" s="7">
        <v>1296.68</v>
      </c>
      <c r="J125" s="9">
        <v>0</v>
      </c>
      <c r="K125" s="7">
        <v>6483.4</v>
      </c>
      <c r="L125" s="7">
        <v>2333.5300000000002</v>
      </c>
      <c r="M125" s="3" t="s">
        <v>58</v>
      </c>
      <c r="N125" s="3"/>
      <c r="O125" s="3"/>
      <c r="P125" s="3"/>
      <c r="Q125" s="3"/>
    </row>
    <row r="126" spans="1:17" ht="21" customHeight="1">
      <c r="A126" s="3" t="s">
        <v>365</v>
      </c>
      <c r="B126" s="5">
        <v>45336</v>
      </c>
      <c r="C126" s="3" t="s">
        <v>366</v>
      </c>
      <c r="D126" s="3" t="s">
        <v>44</v>
      </c>
      <c r="E126" s="3" t="s">
        <v>38</v>
      </c>
      <c r="F126" s="3" t="s">
        <v>98</v>
      </c>
      <c r="G126" s="3" t="s">
        <v>99</v>
      </c>
      <c r="H126" s="3">
        <v>1</v>
      </c>
      <c r="I126" s="7">
        <v>25984.5</v>
      </c>
      <c r="J126" s="9">
        <v>0</v>
      </c>
      <c r="K126" s="7">
        <v>25984.5</v>
      </c>
      <c r="L126" s="7">
        <v>4824.82</v>
      </c>
      <c r="M126" s="3" t="s">
        <v>57</v>
      </c>
      <c r="N126" s="3"/>
      <c r="O126" s="3"/>
      <c r="P126" s="3"/>
      <c r="Q126" s="3"/>
    </row>
    <row r="127" spans="1:17" ht="21" customHeight="1">
      <c r="A127" s="3" t="s">
        <v>367</v>
      </c>
      <c r="B127" s="5">
        <v>45337</v>
      </c>
      <c r="C127" s="3" t="s">
        <v>368</v>
      </c>
      <c r="D127" s="3" t="s">
        <v>46</v>
      </c>
      <c r="E127" s="3" t="s">
        <v>40</v>
      </c>
      <c r="F127" s="3" t="s">
        <v>160</v>
      </c>
      <c r="G127" s="3" t="s">
        <v>173</v>
      </c>
      <c r="H127" s="3">
        <v>1</v>
      </c>
      <c r="I127" s="7">
        <v>9366.2999999999993</v>
      </c>
      <c r="J127" s="9">
        <v>0</v>
      </c>
      <c r="K127" s="7">
        <v>9366.2999999999993</v>
      </c>
      <c r="L127" s="7">
        <v>2754.29</v>
      </c>
      <c r="M127" s="3" t="s">
        <v>58</v>
      </c>
      <c r="N127" s="3"/>
      <c r="O127" s="3"/>
      <c r="P127" s="3"/>
      <c r="Q127" s="3"/>
    </row>
    <row r="128" spans="1:17" ht="21" customHeight="1">
      <c r="A128" s="3" t="s">
        <v>369</v>
      </c>
      <c r="B128" s="5">
        <v>45337</v>
      </c>
      <c r="C128" s="3" t="s">
        <v>370</v>
      </c>
      <c r="D128" s="3" t="s">
        <v>45</v>
      </c>
      <c r="E128" s="3" t="s">
        <v>39</v>
      </c>
      <c r="F128" s="3" t="s">
        <v>109</v>
      </c>
      <c r="G128" s="3" t="s">
        <v>355</v>
      </c>
      <c r="H128" s="3">
        <v>2</v>
      </c>
      <c r="I128" s="7">
        <v>3669.06</v>
      </c>
      <c r="J128" s="9">
        <v>0.1</v>
      </c>
      <c r="K128" s="7">
        <v>6604.31</v>
      </c>
      <c r="L128" s="7">
        <v>1936.18</v>
      </c>
      <c r="M128" s="3" t="s">
        <v>56</v>
      </c>
      <c r="N128" s="3"/>
      <c r="O128" s="3"/>
      <c r="P128" s="3"/>
      <c r="Q128" s="3"/>
    </row>
    <row r="129" spans="1:17" ht="21" customHeight="1">
      <c r="A129" s="3" t="s">
        <v>371</v>
      </c>
      <c r="B129" s="5">
        <v>45337</v>
      </c>
      <c r="C129" s="3" t="s">
        <v>266</v>
      </c>
      <c r="D129" s="3" t="s">
        <v>46</v>
      </c>
      <c r="E129" s="3" t="s">
        <v>41</v>
      </c>
      <c r="F129" s="3" t="s">
        <v>119</v>
      </c>
      <c r="G129" s="3" t="s">
        <v>120</v>
      </c>
      <c r="H129" s="3">
        <v>1</v>
      </c>
      <c r="I129" s="7">
        <v>1355.35</v>
      </c>
      <c r="J129" s="9">
        <v>0.05</v>
      </c>
      <c r="K129" s="7">
        <v>1287.58</v>
      </c>
      <c r="L129" s="7">
        <v>440.19</v>
      </c>
      <c r="M129" s="3" t="s">
        <v>57</v>
      </c>
      <c r="N129" s="3"/>
      <c r="O129" s="3"/>
      <c r="P129" s="3"/>
      <c r="Q129" s="3"/>
    </row>
    <row r="130" spans="1:17" ht="21" customHeight="1">
      <c r="A130" s="3" t="s">
        <v>372</v>
      </c>
      <c r="B130" s="5">
        <v>45338</v>
      </c>
      <c r="C130" s="3" t="s">
        <v>373</v>
      </c>
      <c r="D130" s="3" t="s">
        <v>46</v>
      </c>
      <c r="E130" s="3" t="s">
        <v>38</v>
      </c>
      <c r="F130" s="3" t="s">
        <v>98</v>
      </c>
      <c r="G130" s="3" t="s">
        <v>362</v>
      </c>
      <c r="H130" s="3">
        <v>4</v>
      </c>
      <c r="I130" s="7">
        <v>32518.21</v>
      </c>
      <c r="J130" s="9">
        <v>0.05</v>
      </c>
      <c r="K130" s="7">
        <v>123569.2</v>
      </c>
      <c r="L130" s="7">
        <v>16188.8</v>
      </c>
      <c r="M130" s="3" t="s">
        <v>58</v>
      </c>
      <c r="N130" s="3"/>
      <c r="O130" s="3"/>
      <c r="P130" s="3"/>
      <c r="Q130" s="3"/>
    </row>
    <row r="131" spans="1:17" ht="21" customHeight="1">
      <c r="A131" s="3" t="s">
        <v>374</v>
      </c>
      <c r="B131" s="5">
        <v>45339</v>
      </c>
      <c r="C131" s="3" t="s">
        <v>375</v>
      </c>
      <c r="D131" s="3" t="s">
        <v>45</v>
      </c>
      <c r="E131" s="3" t="s">
        <v>41</v>
      </c>
      <c r="F131" s="3" t="s">
        <v>113</v>
      </c>
      <c r="G131" s="3" t="s">
        <v>114</v>
      </c>
      <c r="H131" s="3">
        <v>2</v>
      </c>
      <c r="I131" s="7">
        <v>11430.04</v>
      </c>
      <c r="J131" s="9">
        <v>0</v>
      </c>
      <c r="K131" s="7">
        <v>22860.080000000002</v>
      </c>
      <c r="L131" s="7">
        <v>7824.54</v>
      </c>
      <c r="M131" s="3" t="s">
        <v>58</v>
      </c>
      <c r="N131" s="3"/>
      <c r="O131" s="3"/>
      <c r="P131" s="3"/>
      <c r="Q131" s="3"/>
    </row>
    <row r="132" spans="1:17" ht="21" customHeight="1">
      <c r="A132" s="3" t="s">
        <v>376</v>
      </c>
      <c r="B132" s="5">
        <v>45339</v>
      </c>
      <c r="C132" s="3" t="s">
        <v>377</v>
      </c>
      <c r="D132" s="3" t="s">
        <v>45</v>
      </c>
      <c r="E132" s="3" t="s">
        <v>41</v>
      </c>
      <c r="F132" s="3" t="s">
        <v>119</v>
      </c>
      <c r="G132" s="3" t="s">
        <v>168</v>
      </c>
      <c r="H132" s="3">
        <v>2</v>
      </c>
      <c r="I132" s="7">
        <v>9836.51</v>
      </c>
      <c r="J132" s="9">
        <v>0.15</v>
      </c>
      <c r="K132" s="7">
        <v>16722.07</v>
      </c>
      <c r="L132" s="7">
        <v>3459.63</v>
      </c>
      <c r="M132" s="3" t="s">
        <v>57</v>
      </c>
      <c r="N132" s="3"/>
      <c r="O132" s="3"/>
      <c r="P132" s="3"/>
      <c r="Q132" s="3"/>
    </row>
    <row r="133" spans="1:17" ht="21" customHeight="1">
      <c r="A133" s="3" t="s">
        <v>378</v>
      </c>
      <c r="B133" s="5">
        <v>45339</v>
      </c>
      <c r="C133" s="3" t="s">
        <v>379</v>
      </c>
      <c r="D133" s="3" t="s">
        <v>47</v>
      </c>
      <c r="E133" s="3" t="s">
        <v>39</v>
      </c>
      <c r="F133" s="3" t="s">
        <v>109</v>
      </c>
      <c r="G133" s="3" t="s">
        <v>355</v>
      </c>
      <c r="H133" s="3">
        <v>3</v>
      </c>
      <c r="I133" s="7">
        <v>3334.21</v>
      </c>
      <c r="J133" s="9">
        <v>0</v>
      </c>
      <c r="K133" s="7">
        <v>10002.629999999999</v>
      </c>
      <c r="L133" s="7">
        <v>4017.74</v>
      </c>
      <c r="M133" s="3" t="s">
        <v>58</v>
      </c>
      <c r="N133" s="3"/>
      <c r="O133" s="3"/>
      <c r="P133" s="3"/>
      <c r="Q133" s="3"/>
    </row>
    <row r="134" spans="1:17" ht="21" customHeight="1">
      <c r="A134" s="3" t="s">
        <v>380</v>
      </c>
      <c r="B134" s="5">
        <v>45339</v>
      </c>
      <c r="C134" s="3" t="s">
        <v>381</v>
      </c>
      <c r="D134" s="3" t="s">
        <v>45</v>
      </c>
      <c r="E134" s="3" t="s">
        <v>40</v>
      </c>
      <c r="F134" s="3" t="s">
        <v>221</v>
      </c>
      <c r="G134" s="3" t="s">
        <v>222</v>
      </c>
      <c r="H134" s="3">
        <v>1</v>
      </c>
      <c r="I134" s="7">
        <v>1003.44</v>
      </c>
      <c r="J134" s="9">
        <v>0</v>
      </c>
      <c r="K134" s="7">
        <v>1003.44</v>
      </c>
      <c r="L134" s="7">
        <v>359.4</v>
      </c>
      <c r="M134" s="3" t="s">
        <v>56</v>
      </c>
      <c r="N134" s="3"/>
      <c r="O134" s="3"/>
      <c r="P134" s="3"/>
      <c r="Q134" s="3"/>
    </row>
    <row r="135" spans="1:17" ht="21" customHeight="1">
      <c r="A135" s="3" t="s">
        <v>382</v>
      </c>
      <c r="B135" s="5">
        <v>45340</v>
      </c>
      <c r="C135" s="3" t="s">
        <v>177</v>
      </c>
      <c r="D135" s="3" t="s">
        <v>44</v>
      </c>
      <c r="E135" s="3" t="s">
        <v>42</v>
      </c>
      <c r="F135" s="3" t="s">
        <v>90</v>
      </c>
      <c r="G135" s="3" t="s">
        <v>91</v>
      </c>
      <c r="H135" s="3">
        <v>1</v>
      </c>
      <c r="I135" s="7">
        <v>1183.93</v>
      </c>
      <c r="J135" s="9">
        <v>0</v>
      </c>
      <c r="K135" s="7">
        <v>1183.93</v>
      </c>
      <c r="L135" s="7">
        <v>672.36</v>
      </c>
      <c r="M135" s="3" t="s">
        <v>57</v>
      </c>
      <c r="N135" s="3"/>
      <c r="O135" s="3"/>
      <c r="P135" s="3"/>
      <c r="Q135" s="3"/>
    </row>
    <row r="136" spans="1:17" ht="21" customHeight="1">
      <c r="A136" s="3" t="s">
        <v>383</v>
      </c>
      <c r="B136" s="5">
        <v>45340</v>
      </c>
      <c r="C136" s="3" t="s">
        <v>384</v>
      </c>
      <c r="D136" s="3" t="s">
        <v>44</v>
      </c>
      <c r="E136" s="3" t="s">
        <v>39</v>
      </c>
      <c r="F136" s="3" t="s">
        <v>130</v>
      </c>
      <c r="G136" s="3" t="s">
        <v>193</v>
      </c>
      <c r="H136" s="3">
        <v>1</v>
      </c>
      <c r="I136" s="7">
        <v>1872.35</v>
      </c>
      <c r="J136" s="9">
        <v>0.4</v>
      </c>
      <c r="K136" s="7">
        <v>1123.4100000000001</v>
      </c>
      <c r="L136" s="7">
        <v>-2.78</v>
      </c>
      <c r="M136" s="3" t="s">
        <v>59</v>
      </c>
      <c r="N136" s="3"/>
      <c r="O136" s="3"/>
      <c r="P136" s="3"/>
      <c r="Q136" s="3"/>
    </row>
    <row r="137" spans="1:17" ht="21" customHeight="1">
      <c r="A137" s="3" t="s">
        <v>385</v>
      </c>
      <c r="B137" s="5">
        <v>45340</v>
      </c>
      <c r="C137" s="3" t="s">
        <v>108</v>
      </c>
      <c r="D137" s="3" t="s">
        <v>46</v>
      </c>
      <c r="E137" s="3" t="s">
        <v>42</v>
      </c>
      <c r="F137" s="3" t="s">
        <v>126</v>
      </c>
      <c r="G137" s="3" t="s">
        <v>151</v>
      </c>
      <c r="H137" s="3">
        <v>5</v>
      </c>
      <c r="I137" s="7">
        <v>1446.44</v>
      </c>
      <c r="J137" s="9">
        <v>0</v>
      </c>
      <c r="K137" s="7">
        <v>7232.2</v>
      </c>
      <c r="L137" s="7">
        <v>4243.93</v>
      </c>
      <c r="M137" s="3" t="s">
        <v>59</v>
      </c>
      <c r="N137" s="3"/>
      <c r="O137" s="3"/>
      <c r="P137" s="3"/>
      <c r="Q137" s="3"/>
    </row>
    <row r="138" spans="1:17" ht="21" customHeight="1">
      <c r="A138" s="3" t="s">
        <v>386</v>
      </c>
      <c r="B138" s="5">
        <v>45340</v>
      </c>
      <c r="C138" s="3" t="s">
        <v>387</v>
      </c>
      <c r="D138" s="3" t="s">
        <v>46</v>
      </c>
      <c r="E138" s="3" t="s">
        <v>42</v>
      </c>
      <c r="F138" s="3" t="s">
        <v>90</v>
      </c>
      <c r="G138" s="3" t="s">
        <v>106</v>
      </c>
      <c r="H138" s="3">
        <v>2</v>
      </c>
      <c r="I138" s="7">
        <v>885.18</v>
      </c>
      <c r="J138" s="9">
        <v>0.05</v>
      </c>
      <c r="K138" s="7">
        <v>1681.84</v>
      </c>
      <c r="L138" s="7">
        <v>768.47</v>
      </c>
      <c r="M138" s="3" t="s">
        <v>57</v>
      </c>
      <c r="N138" s="3"/>
      <c r="O138" s="3"/>
      <c r="P138" s="3"/>
      <c r="Q138" s="3"/>
    </row>
    <row r="139" spans="1:17" ht="21" customHeight="1">
      <c r="A139" s="3" t="s">
        <v>388</v>
      </c>
      <c r="B139" s="5">
        <v>45341</v>
      </c>
      <c r="C139" s="3" t="s">
        <v>389</v>
      </c>
      <c r="D139" s="3" t="s">
        <v>47</v>
      </c>
      <c r="E139" s="3" t="s">
        <v>39</v>
      </c>
      <c r="F139" s="3" t="s">
        <v>130</v>
      </c>
      <c r="G139" s="3" t="s">
        <v>131</v>
      </c>
      <c r="H139" s="3">
        <v>1</v>
      </c>
      <c r="I139" s="7">
        <v>2209.4</v>
      </c>
      <c r="J139" s="9">
        <v>0</v>
      </c>
      <c r="K139" s="7">
        <v>2209.4</v>
      </c>
      <c r="L139" s="7">
        <v>862.65</v>
      </c>
      <c r="M139" s="3" t="s">
        <v>58</v>
      </c>
      <c r="N139" s="3"/>
      <c r="O139" s="3"/>
      <c r="P139" s="3"/>
      <c r="Q139" s="3"/>
    </row>
    <row r="140" spans="1:17" ht="21" customHeight="1">
      <c r="A140" s="3" t="s">
        <v>390</v>
      </c>
      <c r="B140" s="5">
        <v>45342</v>
      </c>
      <c r="C140" s="3" t="s">
        <v>391</v>
      </c>
      <c r="D140" s="3" t="s">
        <v>44</v>
      </c>
      <c r="E140" s="3" t="s">
        <v>39</v>
      </c>
      <c r="F140" s="3" t="s">
        <v>130</v>
      </c>
      <c r="G140" s="3" t="s">
        <v>131</v>
      </c>
      <c r="H140" s="3">
        <v>1</v>
      </c>
      <c r="I140" s="7">
        <v>2145.9299999999998</v>
      </c>
      <c r="J140" s="9">
        <v>0.2</v>
      </c>
      <c r="K140" s="7">
        <v>1716.74</v>
      </c>
      <c r="L140" s="7">
        <v>371.62</v>
      </c>
      <c r="M140" s="3" t="s">
        <v>56</v>
      </c>
      <c r="N140" s="3"/>
      <c r="O140" s="3"/>
      <c r="P140" s="3"/>
      <c r="Q140" s="3"/>
    </row>
    <row r="141" spans="1:17" ht="21" customHeight="1">
      <c r="A141" s="3" t="s">
        <v>392</v>
      </c>
      <c r="B141" s="5">
        <v>45342</v>
      </c>
      <c r="C141" s="3" t="s">
        <v>293</v>
      </c>
      <c r="D141" s="3" t="s">
        <v>45</v>
      </c>
      <c r="E141" s="3" t="s">
        <v>42</v>
      </c>
      <c r="F141" s="3" t="s">
        <v>90</v>
      </c>
      <c r="G141" s="3" t="s">
        <v>106</v>
      </c>
      <c r="H141" s="3">
        <v>1</v>
      </c>
      <c r="I141" s="7">
        <v>857.86</v>
      </c>
      <c r="J141" s="9">
        <v>0.2</v>
      </c>
      <c r="K141" s="7">
        <v>686.29</v>
      </c>
      <c r="L141" s="7">
        <v>246.84</v>
      </c>
      <c r="M141" s="3" t="s">
        <v>56</v>
      </c>
      <c r="N141" s="3"/>
      <c r="O141" s="3"/>
      <c r="P141" s="3"/>
      <c r="Q141" s="3"/>
    </row>
    <row r="142" spans="1:17" ht="21" customHeight="1">
      <c r="A142" s="3" t="s">
        <v>393</v>
      </c>
      <c r="B142" s="5">
        <v>45342</v>
      </c>
      <c r="C142" s="3" t="s">
        <v>394</v>
      </c>
      <c r="D142" s="3" t="s">
        <v>45</v>
      </c>
      <c r="E142" s="3" t="s">
        <v>40</v>
      </c>
      <c r="F142" s="3" t="s">
        <v>221</v>
      </c>
      <c r="G142" s="3" t="s">
        <v>279</v>
      </c>
      <c r="H142" s="3">
        <v>1</v>
      </c>
      <c r="I142" s="7">
        <v>1442.99</v>
      </c>
      <c r="J142" s="9">
        <v>0.1</v>
      </c>
      <c r="K142" s="7">
        <v>1298.69</v>
      </c>
      <c r="L142" s="7">
        <v>317.62</v>
      </c>
      <c r="M142" s="3" t="s">
        <v>56</v>
      </c>
      <c r="N142" s="3"/>
      <c r="O142" s="3"/>
      <c r="P142" s="3"/>
      <c r="Q142" s="3"/>
    </row>
    <row r="143" spans="1:17" ht="21" customHeight="1">
      <c r="A143" s="3" t="s">
        <v>395</v>
      </c>
      <c r="B143" s="5">
        <v>45343</v>
      </c>
      <c r="C143" s="3" t="s">
        <v>396</v>
      </c>
      <c r="D143" s="3" t="s">
        <v>44</v>
      </c>
      <c r="E143" s="3" t="s">
        <v>42</v>
      </c>
      <c r="F143" s="3" t="s">
        <v>90</v>
      </c>
      <c r="G143" s="3" t="s">
        <v>106</v>
      </c>
      <c r="H143" s="3">
        <v>1</v>
      </c>
      <c r="I143" s="7">
        <v>884.5</v>
      </c>
      <c r="J143" s="9">
        <v>0.1</v>
      </c>
      <c r="K143" s="7">
        <v>796.05</v>
      </c>
      <c r="L143" s="7">
        <v>342.69</v>
      </c>
      <c r="M143" s="3" t="s">
        <v>57</v>
      </c>
      <c r="N143" s="3"/>
      <c r="O143" s="3"/>
      <c r="P143" s="3"/>
      <c r="Q143" s="3"/>
    </row>
    <row r="144" spans="1:17" ht="21" customHeight="1">
      <c r="A144" s="3" t="s">
        <v>397</v>
      </c>
      <c r="B144" s="5">
        <v>45343</v>
      </c>
      <c r="C144" s="3" t="s">
        <v>398</v>
      </c>
      <c r="D144" s="3" t="s">
        <v>46</v>
      </c>
      <c r="E144" s="3" t="s">
        <v>40</v>
      </c>
      <c r="F144" s="3" t="s">
        <v>221</v>
      </c>
      <c r="G144" s="3" t="s">
        <v>222</v>
      </c>
      <c r="H144" s="3">
        <v>1</v>
      </c>
      <c r="I144" s="7">
        <v>982.05</v>
      </c>
      <c r="J144" s="9">
        <v>0.05</v>
      </c>
      <c r="K144" s="7">
        <v>932.95</v>
      </c>
      <c r="L144" s="7">
        <v>260.89</v>
      </c>
      <c r="M144" s="3" t="s">
        <v>58</v>
      </c>
      <c r="N144" s="3"/>
      <c r="O144" s="3"/>
      <c r="P144" s="3"/>
      <c r="Q144" s="3"/>
    </row>
    <row r="145" spans="1:17" ht="21" customHeight="1">
      <c r="A145" s="3" t="s">
        <v>399</v>
      </c>
      <c r="B145" s="5">
        <v>45343</v>
      </c>
      <c r="C145" s="3" t="s">
        <v>400</v>
      </c>
      <c r="D145" s="3" t="s">
        <v>47</v>
      </c>
      <c r="E145" s="3" t="s">
        <v>42</v>
      </c>
      <c r="F145" s="3" t="s">
        <v>90</v>
      </c>
      <c r="G145" s="3" t="s">
        <v>91</v>
      </c>
      <c r="H145" s="3">
        <v>2</v>
      </c>
      <c r="I145" s="7">
        <v>1252.1500000000001</v>
      </c>
      <c r="J145" s="9">
        <v>0.05</v>
      </c>
      <c r="K145" s="7">
        <v>2379.09</v>
      </c>
      <c r="L145" s="7">
        <v>1204.1099999999999</v>
      </c>
      <c r="M145" s="3" t="s">
        <v>57</v>
      </c>
      <c r="N145" s="3"/>
      <c r="O145" s="3"/>
      <c r="P145" s="3"/>
      <c r="Q145" s="3"/>
    </row>
    <row r="146" spans="1:17" ht="21" customHeight="1">
      <c r="A146" s="3" t="s">
        <v>401</v>
      </c>
      <c r="B146" s="5">
        <v>45343</v>
      </c>
      <c r="C146" s="3" t="s">
        <v>402</v>
      </c>
      <c r="D146" s="3" t="s">
        <v>44</v>
      </c>
      <c r="E146" s="3" t="s">
        <v>38</v>
      </c>
      <c r="F146" s="3" t="s">
        <v>142</v>
      </c>
      <c r="G146" s="3" t="s">
        <v>245</v>
      </c>
      <c r="H146" s="3">
        <v>2</v>
      </c>
      <c r="I146" s="7">
        <v>5058.84</v>
      </c>
      <c r="J146" s="9">
        <v>0.05</v>
      </c>
      <c r="K146" s="7">
        <v>9611.7999999999993</v>
      </c>
      <c r="L146" s="7">
        <v>1229.1600000000001</v>
      </c>
      <c r="M146" s="3" t="s">
        <v>56</v>
      </c>
      <c r="N146" s="3"/>
      <c r="O146" s="3"/>
      <c r="P146" s="3"/>
      <c r="Q146" s="3"/>
    </row>
    <row r="147" spans="1:17" ht="21" customHeight="1">
      <c r="A147" s="3" t="s">
        <v>403</v>
      </c>
      <c r="B147" s="5">
        <v>45343</v>
      </c>
      <c r="C147" s="3" t="s">
        <v>404</v>
      </c>
      <c r="D147" s="3" t="s">
        <v>44</v>
      </c>
      <c r="E147" s="3" t="s">
        <v>40</v>
      </c>
      <c r="F147" s="3" t="s">
        <v>221</v>
      </c>
      <c r="G147" s="3" t="s">
        <v>279</v>
      </c>
      <c r="H147" s="3">
        <v>4</v>
      </c>
      <c r="I147" s="7">
        <v>1506.14</v>
      </c>
      <c r="J147" s="9">
        <v>0.2</v>
      </c>
      <c r="K147" s="7">
        <v>4819.6499999999996</v>
      </c>
      <c r="L147" s="7">
        <v>474.26</v>
      </c>
      <c r="M147" s="3" t="s">
        <v>56</v>
      </c>
      <c r="N147" s="3"/>
      <c r="O147" s="3"/>
      <c r="P147" s="3"/>
      <c r="Q147" s="3"/>
    </row>
    <row r="148" spans="1:17" ht="21" customHeight="1">
      <c r="A148" s="3" t="s">
        <v>405</v>
      </c>
      <c r="B148" s="5">
        <v>45345</v>
      </c>
      <c r="C148" s="3" t="s">
        <v>406</v>
      </c>
      <c r="D148" s="3" t="s">
        <v>47</v>
      </c>
      <c r="E148" s="3" t="s">
        <v>39</v>
      </c>
      <c r="F148" s="3" t="s">
        <v>130</v>
      </c>
      <c r="G148" s="3" t="s">
        <v>131</v>
      </c>
      <c r="H148" s="3">
        <v>1</v>
      </c>
      <c r="I148" s="7">
        <v>2157.58</v>
      </c>
      <c r="J148" s="9">
        <v>0</v>
      </c>
      <c r="K148" s="7">
        <v>2157.58</v>
      </c>
      <c r="L148" s="7">
        <v>875.87</v>
      </c>
      <c r="M148" s="3" t="s">
        <v>57</v>
      </c>
      <c r="N148" s="3"/>
      <c r="O148" s="3"/>
      <c r="P148" s="3"/>
      <c r="Q148" s="3"/>
    </row>
    <row r="149" spans="1:17" ht="21" customHeight="1">
      <c r="A149" s="3" t="s">
        <v>407</v>
      </c>
      <c r="B149" s="5">
        <v>45345</v>
      </c>
      <c r="C149" s="3" t="s">
        <v>408</v>
      </c>
      <c r="D149" s="3" t="s">
        <v>44</v>
      </c>
      <c r="E149" s="3" t="s">
        <v>38</v>
      </c>
      <c r="F149" s="3" t="s">
        <v>98</v>
      </c>
      <c r="G149" s="3" t="s">
        <v>99</v>
      </c>
      <c r="H149" s="3">
        <v>5</v>
      </c>
      <c r="I149" s="7">
        <v>25559.61</v>
      </c>
      <c r="J149" s="9">
        <v>0.2</v>
      </c>
      <c r="K149" s="7">
        <v>102238.44</v>
      </c>
      <c r="L149" s="7">
        <v>-7350.2</v>
      </c>
      <c r="M149" s="3" t="s">
        <v>58</v>
      </c>
      <c r="N149" s="3"/>
      <c r="O149" s="3"/>
      <c r="P149" s="3"/>
      <c r="Q149" s="3"/>
    </row>
    <row r="150" spans="1:17" ht="21" customHeight="1">
      <c r="A150" s="3" t="s">
        <v>409</v>
      </c>
      <c r="B150" s="5">
        <v>45345</v>
      </c>
      <c r="C150" s="3" t="s">
        <v>410</v>
      </c>
      <c r="D150" s="3" t="s">
        <v>44</v>
      </c>
      <c r="E150" s="3" t="s">
        <v>42</v>
      </c>
      <c r="F150" s="3" t="s">
        <v>126</v>
      </c>
      <c r="G150" s="3" t="s">
        <v>127</v>
      </c>
      <c r="H150" s="3">
        <v>3</v>
      </c>
      <c r="I150" s="7">
        <v>1015.48</v>
      </c>
      <c r="J150" s="9">
        <v>0.3</v>
      </c>
      <c r="K150" s="7">
        <v>2132.5100000000002</v>
      </c>
      <c r="L150" s="7">
        <v>504.93</v>
      </c>
      <c r="M150" s="3" t="s">
        <v>57</v>
      </c>
      <c r="N150" s="3"/>
      <c r="O150" s="3"/>
      <c r="P150" s="3"/>
      <c r="Q150" s="3"/>
    </row>
    <row r="151" spans="1:17" ht="21" customHeight="1">
      <c r="A151" s="3" t="s">
        <v>411</v>
      </c>
      <c r="B151" s="5">
        <v>45345</v>
      </c>
      <c r="C151" s="3" t="s">
        <v>412</v>
      </c>
      <c r="D151" s="3" t="s">
        <v>46</v>
      </c>
      <c r="E151" s="3" t="s">
        <v>41</v>
      </c>
      <c r="F151" s="3" t="s">
        <v>113</v>
      </c>
      <c r="G151" s="3" t="s">
        <v>114</v>
      </c>
      <c r="H151" s="3">
        <v>2</v>
      </c>
      <c r="I151" s="7">
        <v>11811.5</v>
      </c>
      <c r="J151" s="9">
        <v>0.1</v>
      </c>
      <c r="K151" s="7">
        <v>21260.7</v>
      </c>
      <c r="L151" s="7">
        <v>5881.05</v>
      </c>
      <c r="M151" s="3" t="s">
        <v>58</v>
      </c>
      <c r="N151" s="3"/>
      <c r="O151" s="3"/>
      <c r="P151" s="3"/>
      <c r="Q151" s="3"/>
    </row>
    <row r="152" spans="1:17" ht="21" customHeight="1">
      <c r="A152" s="3" t="s">
        <v>413</v>
      </c>
      <c r="B152" s="5">
        <v>45345</v>
      </c>
      <c r="C152" s="3" t="s">
        <v>414</v>
      </c>
      <c r="D152" s="3" t="s">
        <v>47</v>
      </c>
      <c r="E152" s="3" t="s">
        <v>38</v>
      </c>
      <c r="F152" s="3" t="s">
        <v>94</v>
      </c>
      <c r="G152" s="3" t="s">
        <v>95</v>
      </c>
      <c r="H152" s="3">
        <v>3</v>
      </c>
      <c r="I152" s="7">
        <v>78479.83</v>
      </c>
      <c r="J152" s="9">
        <v>0.25</v>
      </c>
      <c r="K152" s="7">
        <v>176579.62</v>
      </c>
      <c r="L152" s="7">
        <v>-21706.3</v>
      </c>
      <c r="M152" s="3" t="s">
        <v>56</v>
      </c>
      <c r="N152" s="3"/>
      <c r="O152" s="3"/>
      <c r="P152" s="3"/>
      <c r="Q152" s="3"/>
    </row>
    <row r="153" spans="1:17" ht="21" customHeight="1">
      <c r="A153" s="3" t="s">
        <v>415</v>
      </c>
      <c r="B153" s="5">
        <v>45345</v>
      </c>
      <c r="C153" s="3" t="s">
        <v>416</v>
      </c>
      <c r="D153" s="3" t="s">
        <v>46</v>
      </c>
      <c r="E153" s="3" t="s">
        <v>39</v>
      </c>
      <c r="F153" s="3" t="s">
        <v>164</v>
      </c>
      <c r="G153" s="3" t="s">
        <v>165</v>
      </c>
      <c r="H153" s="3">
        <v>3</v>
      </c>
      <c r="I153" s="7">
        <v>1954.75</v>
      </c>
      <c r="J153" s="9">
        <v>0.15</v>
      </c>
      <c r="K153" s="7">
        <v>4984.6099999999997</v>
      </c>
      <c r="L153" s="7">
        <v>1111.45</v>
      </c>
      <c r="M153" s="3" t="s">
        <v>57</v>
      </c>
      <c r="N153" s="3"/>
      <c r="O153" s="3"/>
      <c r="P153" s="3"/>
      <c r="Q153" s="3"/>
    </row>
    <row r="154" spans="1:17" ht="21" customHeight="1">
      <c r="A154" s="3" t="s">
        <v>417</v>
      </c>
      <c r="B154" s="5">
        <v>45346</v>
      </c>
      <c r="C154" s="3" t="s">
        <v>418</v>
      </c>
      <c r="D154" s="3" t="s">
        <v>47</v>
      </c>
      <c r="E154" s="3" t="s">
        <v>40</v>
      </c>
      <c r="F154" s="3" t="s">
        <v>160</v>
      </c>
      <c r="G154" s="3" t="s">
        <v>161</v>
      </c>
      <c r="H154" s="3">
        <v>2</v>
      </c>
      <c r="I154" s="7">
        <v>13187.44</v>
      </c>
      <c r="J154" s="9">
        <v>0.15</v>
      </c>
      <c r="K154" s="7">
        <v>22418.65</v>
      </c>
      <c r="L154" s="7">
        <v>3627.92</v>
      </c>
      <c r="M154" s="3" t="s">
        <v>57</v>
      </c>
      <c r="N154" s="3"/>
      <c r="O154" s="3"/>
      <c r="P154" s="3"/>
      <c r="Q154" s="3"/>
    </row>
    <row r="155" spans="1:17" ht="21" customHeight="1">
      <c r="A155" s="3" t="s">
        <v>419</v>
      </c>
      <c r="B155" s="5">
        <v>45347</v>
      </c>
      <c r="C155" s="3" t="s">
        <v>420</v>
      </c>
      <c r="D155" s="3" t="s">
        <v>45</v>
      </c>
      <c r="E155" s="3" t="s">
        <v>41</v>
      </c>
      <c r="F155" s="3" t="s">
        <v>119</v>
      </c>
      <c r="G155" s="3" t="s">
        <v>168</v>
      </c>
      <c r="H155" s="3">
        <v>1</v>
      </c>
      <c r="I155" s="7">
        <v>9883.89</v>
      </c>
      <c r="J155" s="9">
        <v>0.1</v>
      </c>
      <c r="K155" s="7">
        <v>8895.5</v>
      </c>
      <c r="L155" s="7">
        <v>2598.58</v>
      </c>
      <c r="M155" s="3" t="s">
        <v>60</v>
      </c>
      <c r="N155" s="3"/>
      <c r="O155" s="3"/>
      <c r="P155" s="3"/>
      <c r="Q155" s="3"/>
    </row>
    <row r="156" spans="1:17" ht="21" customHeight="1">
      <c r="A156" s="3" t="s">
        <v>421</v>
      </c>
      <c r="B156" s="5">
        <v>45347</v>
      </c>
      <c r="C156" s="3" t="s">
        <v>422</v>
      </c>
      <c r="D156" s="3" t="s">
        <v>46</v>
      </c>
      <c r="E156" s="3" t="s">
        <v>42</v>
      </c>
      <c r="F156" s="3" t="s">
        <v>90</v>
      </c>
      <c r="G156" s="3" t="s">
        <v>106</v>
      </c>
      <c r="H156" s="3">
        <v>1</v>
      </c>
      <c r="I156" s="7">
        <v>921.72</v>
      </c>
      <c r="J156" s="9">
        <v>0.15</v>
      </c>
      <c r="K156" s="7">
        <v>783.46</v>
      </c>
      <c r="L156" s="7">
        <v>270.58999999999997</v>
      </c>
      <c r="M156" s="3" t="s">
        <v>56</v>
      </c>
      <c r="N156" s="3"/>
      <c r="O156" s="3"/>
      <c r="P156" s="3"/>
      <c r="Q156" s="3"/>
    </row>
    <row r="157" spans="1:17" ht="21" customHeight="1">
      <c r="A157" s="3" t="s">
        <v>423</v>
      </c>
      <c r="B157" s="5">
        <v>45348</v>
      </c>
      <c r="C157" s="3" t="s">
        <v>424</v>
      </c>
      <c r="D157" s="3" t="s">
        <v>47</v>
      </c>
      <c r="E157" s="3" t="s">
        <v>38</v>
      </c>
      <c r="F157" s="3" t="s">
        <v>94</v>
      </c>
      <c r="G157" s="3" t="s">
        <v>213</v>
      </c>
      <c r="H157" s="3">
        <v>2</v>
      </c>
      <c r="I157" s="7">
        <v>53917.82</v>
      </c>
      <c r="J157" s="9">
        <v>0.05</v>
      </c>
      <c r="K157" s="7">
        <v>102443.86</v>
      </c>
      <c r="L157" s="7">
        <v>15416.44</v>
      </c>
      <c r="M157" s="3" t="s">
        <v>56</v>
      </c>
      <c r="N157" s="3"/>
      <c r="O157" s="3"/>
      <c r="P157" s="3"/>
      <c r="Q157" s="3"/>
    </row>
    <row r="158" spans="1:17" ht="21" customHeight="1">
      <c r="A158" s="3" t="s">
        <v>425</v>
      </c>
      <c r="B158" s="5">
        <v>45348</v>
      </c>
      <c r="C158" s="3" t="s">
        <v>426</v>
      </c>
      <c r="D158" s="3" t="s">
        <v>46</v>
      </c>
      <c r="E158" s="3" t="s">
        <v>41</v>
      </c>
      <c r="F158" s="3" t="s">
        <v>119</v>
      </c>
      <c r="G158" s="3" t="s">
        <v>168</v>
      </c>
      <c r="H158" s="3">
        <v>2</v>
      </c>
      <c r="I158" s="7">
        <v>9804.92</v>
      </c>
      <c r="J158" s="9">
        <v>0.1</v>
      </c>
      <c r="K158" s="7">
        <v>17648.86</v>
      </c>
      <c r="L158" s="7">
        <v>5372.01</v>
      </c>
      <c r="M158" s="3" t="s">
        <v>58</v>
      </c>
      <c r="N158" s="3"/>
      <c r="O158" s="3"/>
      <c r="P158" s="3"/>
      <c r="Q158" s="3"/>
    </row>
    <row r="159" spans="1:17" ht="21" customHeight="1">
      <c r="A159" s="3" t="s">
        <v>427</v>
      </c>
      <c r="B159" s="5">
        <v>45348</v>
      </c>
      <c r="C159" s="3" t="s">
        <v>428</v>
      </c>
      <c r="D159" s="3" t="s">
        <v>45</v>
      </c>
      <c r="E159" s="3" t="s">
        <v>38</v>
      </c>
      <c r="F159" s="3" t="s">
        <v>94</v>
      </c>
      <c r="G159" s="3" t="s">
        <v>213</v>
      </c>
      <c r="H159" s="3">
        <v>4</v>
      </c>
      <c r="I159" s="7">
        <v>54921.2</v>
      </c>
      <c r="J159" s="9">
        <v>0</v>
      </c>
      <c r="K159" s="7">
        <v>219684.8</v>
      </c>
      <c r="L159" s="7">
        <v>31410.92</v>
      </c>
      <c r="M159" s="3" t="s">
        <v>56</v>
      </c>
      <c r="N159" s="3"/>
      <c r="O159" s="3"/>
      <c r="P159" s="3"/>
      <c r="Q159" s="3"/>
    </row>
    <row r="160" spans="1:17" ht="21" customHeight="1">
      <c r="A160" s="3" t="s">
        <v>429</v>
      </c>
      <c r="B160" s="5">
        <v>45349</v>
      </c>
      <c r="C160" s="3" t="s">
        <v>153</v>
      </c>
      <c r="D160" s="3" t="s">
        <v>44</v>
      </c>
      <c r="E160" s="3" t="s">
        <v>38</v>
      </c>
      <c r="F160" s="3" t="s">
        <v>142</v>
      </c>
      <c r="G160" s="3" t="s">
        <v>245</v>
      </c>
      <c r="H160" s="3">
        <v>1</v>
      </c>
      <c r="I160" s="7">
        <v>5185.07</v>
      </c>
      <c r="J160" s="9">
        <v>0.1</v>
      </c>
      <c r="K160" s="7">
        <v>4666.5600000000004</v>
      </c>
      <c r="L160" s="7">
        <v>208.03</v>
      </c>
      <c r="M160" s="3" t="s">
        <v>57</v>
      </c>
      <c r="N160" s="3"/>
      <c r="O160" s="3"/>
      <c r="P160" s="3"/>
      <c r="Q160" s="3"/>
    </row>
    <row r="161" spans="1:17" ht="21" customHeight="1">
      <c r="A161" s="3" t="s">
        <v>430</v>
      </c>
      <c r="B161" s="5">
        <v>45349</v>
      </c>
      <c r="C161" s="3" t="s">
        <v>259</v>
      </c>
      <c r="D161" s="3" t="s">
        <v>45</v>
      </c>
      <c r="E161" s="3" t="s">
        <v>42</v>
      </c>
      <c r="F161" s="3" t="s">
        <v>90</v>
      </c>
      <c r="G161" s="3" t="s">
        <v>106</v>
      </c>
      <c r="H161" s="3">
        <v>1</v>
      </c>
      <c r="I161" s="7">
        <v>890.65</v>
      </c>
      <c r="J161" s="9">
        <v>0.25</v>
      </c>
      <c r="K161" s="7">
        <v>667.99</v>
      </c>
      <c r="L161" s="7">
        <v>174.52</v>
      </c>
      <c r="M161" s="3" t="s">
        <v>56</v>
      </c>
      <c r="N161" s="3"/>
      <c r="O161" s="3"/>
      <c r="P161" s="3"/>
      <c r="Q161" s="3"/>
    </row>
    <row r="162" spans="1:17" ht="21" customHeight="1">
      <c r="A162" s="3" t="s">
        <v>431</v>
      </c>
      <c r="B162" s="5">
        <v>45349</v>
      </c>
      <c r="C162" s="3" t="s">
        <v>432</v>
      </c>
      <c r="D162" s="3" t="s">
        <v>45</v>
      </c>
      <c r="E162" s="3" t="s">
        <v>38</v>
      </c>
      <c r="F162" s="3" t="s">
        <v>98</v>
      </c>
      <c r="G162" s="3" t="s">
        <v>99</v>
      </c>
      <c r="H162" s="3">
        <v>1</v>
      </c>
      <c r="I162" s="7">
        <v>24859.82</v>
      </c>
      <c r="J162" s="9">
        <v>0.1</v>
      </c>
      <c r="K162" s="7">
        <v>22373.84</v>
      </c>
      <c r="L162" s="7">
        <v>851.36</v>
      </c>
      <c r="M162" s="3" t="s">
        <v>56</v>
      </c>
      <c r="N162" s="3"/>
      <c r="O162" s="3"/>
      <c r="P162" s="3"/>
      <c r="Q162" s="3"/>
    </row>
    <row r="163" spans="1:17" ht="21" customHeight="1">
      <c r="A163" s="3" t="s">
        <v>433</v>
      </c>
      <c r="B163" s="5">
        <v>45349</v>
      </c>
      <c r="C163" s="3" t="s">
        <v>422</v>
      </c>
      <c r="D163" s="3" t="s">
        <v>44</v>
      </c>
      <c r="E163" s="3" t="s">
        <v>39</v>
      </c>
      <c r="F163" s="3" t="s">
        <v>130</v>
      </c>
      <c r="G163" s="3" t="s">
        <v>131</v>
      </c>
      <c r="H163" s="3">
        <v>2</v>
      </c>
      <c r="I163" s="7">
        <v>2286.66</v>
      </c>
      <c r="J163" s="9">
        <v>0.05</v>
      </c>
      <c r="K163" s="7">
        <v>4344.6499999999996</v>
      </c>
      <c r="L163" s="7">
        <v>1420.84</v>
      </c>
      <c r="M163" s="3" t="s">
        <v>56</v>
      </c>
      <c r="N163" s="3"/>
      <c r="O163" s="3"/>
      <c r="P163" s="3"/>
      <c r="Q163" s="3"/>
    </row>
    <row r="164" spans="1:17" ht="21" customHeight="1">
      <c r="A164" s="3" t="s">
        <v>434</v>
      </c>
      <c r="B164" s="5">
        <v>45350</v>
      </c>
      <c r="C164" s="3" t="s">
        <v>116</v>
      </c>
      <c r="D164" s="3" t="s">
        <v>45</v>
      </c>
      <c r="E164" s="3" t="s">
        <v>40</v>
      </c>
      <c r="F164" s="3" t="s">
        <v>221</v>
      </c>
      <c r="G164" s="3" t="s">
        <v>222</v>
      </c>
      <c r="H164" s="3">
        <v>1</v>
      </c>
      <c r="I164" s="7">
        <v>1045.82</v>
      </c>
      <c r="J164" s="9">
        <v>0</v>
      </c>
      <c r="K164" s="7">
        <v>1045.82</v>
      </c>
      <c r="L164" s="7">
        <v>351.75</v>
      </c>
      <c r="M164" s="3" t="s">
        <v>58</v>
      </c>
      <c r="N164" s="3"/>
      <c r="O164" s="3"/>
      <c r="P164" s="3"/>
      <c r="Q164" s="3"/>
    </row>
    <row r="165" spans="1:17" ht="21" customHeight="1">
      <c r="A165" s="3" t="s">
        <v>435</v>
      </c>
      <c r="B165" s="5">
        <v>45350</v>
      </c>
      <c r="C165" s="3" t="s">
        <v>436</v>
      </c>
      <c r="D165" s="3" t="s">
        <v>46</v>
      </c>
      <c r="E165" s="3" t="s">
        <v>38</v>
      </c>
      <c r="F165" s="3" t="s">
        <v>98</v>
      </c>
      <c r="G165" s="3" t="s">
        <v>99</v>
      </c>
      <c r="H165" s="3">
        <v>1</v>
      </c>
      <c r="I165" s="7">
        <v>24458.57</v>
      </c>
      <c r="J165" s="9">
        <v>0.3</v>
      </c>
      <c r="K165" s="7">
        <v>17121</v>
      </c>
      <c r="L165" s="7">
        <v>-3190.62</v>
      </c>
      <c r="M165" s="3" t="s">
        <v>56</v>
      </c>
      <c r="N165" s="3"/>
      <c r="O165" s="3"/>
      <c r="P165" s="3"/>
      <c r="Q165" s="3"/>
    </row>
    <row r="166" spans="1:17" ht="21" customHeight="1">
      <c r="A166" s="3" t="s">
        <v>437</v>
      </c>
      <c r="B166" s="5">
        <v>45350</v>
      </c>
      <c r="C166" s="3" t="s">
        <v>438</v>
      </c>
      <c r="D166" s="3" t="s">
        <v>45</v>
      </c>
      <c r="E166" s="3" t="s">
        <v>38</v>
      </c>
      <c r="F166" s="3" t="s">
        <v>98</v>
      </c>
      <c r="G166" s="3" t="s">
        <v>362</v>
      </c>
      <c r="H166" s="3">
        <v>1</v>
      </c>
      <c r="I166" s="7">
        <v>34164.51</v>
      </c>
      <c r="J166" s="9">
        <v>0.1</v>
      </c>
      <c r="K166" s="7">
        <v>30748.06</v>
      </c>
      <c r="L166" s="7">
        <v>3060.81</v>
      </c>
      <c r="M166" s="3" t="s">
        <v>56</v>
      </c>
      <c r="N166" s="3"/>
      <c r="O166" s="3"/>
      <c r="P166" s="3"/>
      <c r="Q166" s="3"/>
    </row>
    <row r="167" spans="1:17" ht="21" customHeight="1">
      <c r="A167" s="3" t="s">
        <v>439</v>
      </c>
      <c r="B167" s="5">
        <v>45350</v>
      </c>
      <c r="C167" s="3" t="s">
        <v>440</v>
      </c>
      <c r="D167" s="3" t="s">
        <v>44</v>
      </c>
      <c r="E167" s="3" t="s">
        <v>38</v>
      </c>
      <c r="F167" s="3" t="s">
        <v>142</v>
      </c>
      <c r="G167" s="3" t="s">
        <v>143</v>
      </c>
      <c r="H167" s="3">
        <v>1</v>
      </c>
      <c r="I167" s="7">
        <v>9058.91</v>
      </c>
      <c r="J167" s="9">
        <v>0.05</v>
      </c>
      <c r="K167" s="7">
        <v>8605.9599999999991</v>
      </c>
      <c r="L167" s="7">
        <v>915.9</v>
      </c>
      <c r="M167" s="3" t="s">
        <v>57</v>
      </c>
      <c r="N167" s="3"/>
      <c r="O167" s="3"/>
      <c r="P167" s="3"/>
      <c r="Q167" s="3"/>
    </row>
    <row r="168" spans="1:17" ht="21" customHeight="1">
      <c r="A168" s="3" t="s">
        <v>441</v>
      </c>
      <c r="B168" s="5">
        <v>45351</v>
      </c>
      <c r="C168" s="3" t="s">
        <v>442</v>
      </c>
      <c r="D168" s="3" t="s">
        <v>44</v>
      </c>
      <c r="E168" s="3" t="s">
        <v>38</v>
      </c>
      <c r="F168" s="3" t="s">
        <v>94</v>
      </c>
      <c r="G168" s="3" t="s">
        <v>95</v>
      </c>
      <c r="H168" s="3">
        <v>1</v>
      </c>
      <c r="I168" s="7">
        <v>81995.69</v>
      </c>
      <c r="J168" s="9">
        <v>0.2</v>
      </c>
      <c r="K168" s="7">
        <v>65596.55</v>
      </c>
      <c r="L168" s="7">
        <v>-5751.78</v>
      </c>
      <c r="M168" s="3" t="s">
        <v>58</v>
      </c>
      <c r="N168" s="3"/>
      <c r="O168" s="3"/>
      <c r="P168" s="3"/>
      <c r="Q168" s="3"/>
    </row>
    <row r="169" spans="1:17" ht="21" customHeight="1">
      <c r="A169" s="3" t="s">
        <v>443</v>
      </c>
      <c r="B169" s="5">
        <v>45351</v>
      </c>
      <c r="C169" s="3" t="s">
        <v>444</v>
      </c>
      <c r="D169" s="3" t="s">
        <v>45</v>
      </c>
      <c r="E169" s="3" t="s">
        <v>38</v>
      </c>
      <c r="F169" s="3" t="s">
        <v>94</v>
      </c>
      <c r="G169" s="3" t="s">
        <v>95</v>
      </c>
      <c r="H169" s="3">
        <v>1</v>
      </c>
      <c r="I169" s="7">
        <v>82367.86</v>
      </c>
      <c r="J169" s="9">
        <v>0.05</v>
      </c>
      <c r="K169" s="7">
        <v>78249.47</v>
      </c>
      <c r="L169" s="7">
        <v>9073.84</v>
      </c>
      <c r="M169" s="3" t="s">
        <v>56</v>
      </c>
      <c r="N169" s="3"/>
      <c r="O169" s="3"/>
      <c r="P169" s="3"/>
      <c r="Q169" s="3"/>
    </row>
    <row r="170" spans="1:17" ht="21" customHeight="1">
      <c r="A170" s="3" t="s">
        <v>445</v>
      </c>
      <c r="B170" s="5">
        <v>45352</v>
      </c>
      <c r="C170" s="3" t="s">
        <v>446</v>
      </c>
      <c r="D170" s="3" t="s">
        <v>47</v>
      </c>
      <c r="E170" s="3" t="s">
        <v>40</v>
      </c>
      <c r="F170" s="3" t="s">
        <v>102</v>
      </c>
      <c r="G170" s="3" t="s">
        <v>103</v>
      </c>
      <c r="H170" s="3">
        <v>1</v>
      </c>
      <c r="I170" s="7">
        <v>6219.97</v>
      </c>
      <c r="J170" s="9">
        <v>0.05</v>
      </c>
      <c r="K170" s="7">
        <v>5908.97</v>
      </c>
      <c r="L170" s="7">
        <v>1401.88</v>
      </c>
      <c r="M170" s="3" t="s">
        <v>57</v>
      </c>
      <c r="N170" s="3"/>
      <c r="O170" s="3"/>
      <c r="P170" s="3"/>
      <c r="Q170" s="3"/>
    </row>
    <row r="171" spans="1:17" ht="21" customHeight="1">
      <c r="A171" s="3" t="s">
        <v>447</v>
      </c>
      <c r="B171" s="5">
        <v>45352</v>
      </c>
      <c r="C171" s="3" t="s">
        <v>448</v>
      </c>
      <c r="D171" s="3" t="s">
        <v>45</v>
      </c>
      <c r="E171" s="3" t="s">
        <v>39</v>
      </c>
      <c r="F171" s="3" t="s">
        <v>130</v>
      </c>
      <c r="G171" s="3" t="s">
        <v>193</v>
      </c>
      <c r="H171" s="3">
        <v>1</v>
      </c>
      <c r="I171" s="7">
        <v>1801.01</v>
      </c>
      <c r="J171" s="9">
        <v>0.1</v>
      </c>
      <c r="K171" s="7">
        <v>1620.91</v>
      </c>
      <c r="L171" s="7">
        <v>531.14</v>
      </c>
      <c r="M171" s="3" t="s">
        <v>56</v>
      </c>
      <c r="N171" s="3"/>
      <c r="O171" s="3"/>
      <c r="P171" s="3"/>
      <c r="Q171" s="3"/>
    </row>
    <row r="172" spans="1:17" ht="21" customHeight="1">
      <c r="A172" s="3" t="s">
        <v>449</v>
      </c>
      <c r="B172" s="5">
        <v>45353</v>
      </c>
      <c r="C172" s="3" t="s">
        <v>450</v>
      </c>
      <c r="D172" s="3" t="s">
        <v>47</v>
      </c>
      <c r="E172" s="3" t="s">
        <v>40</v>
      </c>
      <c r="F172" s="3" t="s">
        <v>102</v>
      </c>
      <c r="G172" s="3" t="s">
        <v>103</v>
      </c>
      <c r="H172" s="3">
        <v>1</v>
      </c>
      <c r="I172" s="7">
        <v>6644.4</v>
      </c>
      <c r="J172" s="9">
        <v>0.05</v>
      </c>
      <c r="K172" s="7">
        <v>6312.18</v>
      </c>
      <c r="L172" s="7">
        <v>1686.16</v>
      </c>
      <c r="M172" s="3" t="s">
        <v>56</v>
      </c>
      <c r="N172" s="3"/>
      <c r="O172" s="3"/>
      <c r="P172" s="3"/>
      <c r="Q172" s="3"/>
    </row>
    <row r="173" spans="1:17" ht="21" customHeight="1">
      <c r="A173" s="3" t="s">
        <v>451</v>
      </c>
      <c r="B173" s="5">
        <v>45354</v>
      </c>
      <c r="C173" s="3" t="s">
        <v>452</v>
      </c>
      <c r="D173" s="3" t="s">
        <v>44</v>
      </c>
      <c r="E173" s="3" t="s">
        <v>41</v>
      </c>
      <c r="F173" s="3" t="s">
        <v>119</v>
      </c>
      <c r="G173" s="3" t="s">
        <v>120</v>
      </c>
      <c r="H173" s="3">
        <v>1</v>
      </c>
      <c r="I173" s="7">
        <v>1318.47</v>
      </c>
      <c r="J173" s="9">
        <v>0.2</v>
      </c>
      <c r="K173" s="7">
        <v>1054.78</v>
      </c>
      <c r="L173" s="7">
        <v>144.16999999999999</v>
      </c>
      <c r="M173" s="3" t="s">
        <v>56</v>
      </c>
      <c r="N173" s="3"/>
      <c r="O173" s="3"/>
      <c r="P173" s="3"/>
      <c r="Q173" s="3"/>
    </row>
    <row r="174" spans="1:17" ht="21" customHeight="1">
      <c r="A174" s="3" t="s">
        <v>453</v>
      </c>
      <c r="B174" s="5">
        <v>45354</v>
      </c>
      <c r="C174" s="3" t="s">
        <v>454</v>
      </c>
      <c r="D174" s="3" t="s">
        <v>46</v>
      </c>
      <c r="E174" s="3" t="s">
        <v>39</v>
      </c>
      <c r="F174" s="3" t="s">
        <v>130</v>
      </c>
      <c r="G174" s="3" t="s">
        <v>193</v>
      </c>
      <c r="H174" s="3">
        <v>2</v>
      </c>
      <c r="I174" s="7">
        <v>1836.11</v>
      </c>
      <c r="J174" s="9">
        <v>0.05</v>
      </c>
      <c r="K174" s="7">
        <v>3488.61</v>
      </c>
      <c r="L174" s="7">
        <v>1256.03</v>
      </c>
      <c r="M174" s="3" t="s">
        <v>57</v>
      </c>
      <c r="N174" s="3"/>
      <c r="O174" s="3"/>
      <c r="P174" s="3"/>
      <c r="Q174" s="3"/>
    </row>
    <row r="175" spans="1:17" ht="21" customHeight="1">
      <c r="A175" s="3" t="s">
        <v>455</v>
      </c>
      <c r="B175" s="5">
        <v>45354</v>
      </c>
      <c r="C175" s="3" t="s">
        <v>456</v>
      </c>
      <c r="D175" s="3" t="s">
        <v>44</v>
      </c>
      <c r="E175" s="3" t="s">
        <v>42</v>
      </c>
      <c r="F175" s="3" t="s">
        <v>90</v>
      </c>
      <c r="G175" s="3" t="s">
        <v>91</v>
      </c>
      <c r="H175" s="3">
        <v>1</v>
      </c>
      <c r="I175" s="7">
        <v>1254.21</v>
      </c>
      <c r="J175" s="9">
        <v>0.2</v>
      </c>
      <c r="K175" s="7">
        <v>1003.37</v>
      </c>
      <c r="L175" s="7">
        <v>310.62</v>
      </c>
      <c r="M175" s="3" t="s">
        <v>57</v>
      </c>
      <c r="N175" s="3"/>
      <c r="O175" s="3"/>
      <c r="P175" s="3"/>
      <c r="Q175" s="3"/>
    </row>
    <row r="176" spans="1:17" ht="21" customHeight="1">
      <c r="A176" s="3" t="s">
        <v>457</v>
      </c>
      <c r="B176" s="5">
        <v>45354</v>
      </c>
      <c r="C176" s="3" t="s">
        <v>291</v>
      </c>
      <c r="D176" s="3" t="s">
        <v>47</v>
      </c>
      <c r="E176" s="3" t="s">
        <v>38</v>
      </c>
      <c r="F176" s="3" t="s">
        <v>142</v>
      </c>
      <c r="G176" s="3" t="s">
        <v>143</v>
      </c>
      <c r="H176" s="3">
        <v>1</v>
      </c>
      <c r="I176" s="7">
        <v>9208.2199999999993</v>
      </c>
      <c r="J176" s="9">
        <v>0</v>
      </c>
      <c r="K176" s="7">
        <v>9208.2199999999993</v>
      </c>
      <c r="L176" s="7">
        <v>1769.8</v>
      </c>
      <c r="M176" s="3" t="s">
        <v>56</v>
      </c>
      <c r="N176" s="3"/>
      <c r="O176" s="3"/>
      <c r="P176" s="3"/>
      <c r="Q176" s="3"/>
    </row>
    <row r="177" spans="1:17" ht="21" customHeight="1">
      <c r="A177" s="3" t="s">
        <v>458</v>
      </c>
      <c r="B177" s="5">
        <v>45355</v>
      </c>
      <c r="C177" s="3" t="s">
        <v>459</v>
      </c>
      <c r="D177" s="3" t="s">
        <v>45</v>
      </c>
      <c r="E177" s="3" t="s">
        <v>41</v>
      </c>
      <c r="F177" s="3" t="s">
        <v>113</v>
      </c>
      <c r="G177" s="3" t="s">
        <v>123</v>
      </c>
      <c r="H177" s="3">
        <v>1</v>
      </c>
      <c r="I177" s="7">
        <v>3552.13</v>
      </c>
      <c r="J177" s="9">
        <v>0.15</v>
      </c>
      <c r="K177" s="7">
        <v>3019.31</v>
      </c>
      <c r="L177" s="7">
        <v>583.4</v>
      </c>
      <c r="M177" s="3" t="s">
        <v>56</v>
      </c>
      <c r="N177" s="3"/>
      <c r="O177" s="3"/>
      <c r="P177" s="3"/>
      <c r="Q177" s="3"/>
    </row>
    <row r="178" spans="1:17" ht="21" customHeight="1">
      <c r="A178" s="3" t="s">
        <v>460</v>
      </c>
      <c r="B178" s="5">
        <v>45355</v>
      </c>
      <c r="C178" s="3" t="s">
        <v>461</v>
      </c>
      <c r="D178" s="3" t="s">
        <v>44</v>
      </c>
      <c r="E178" s="3" t="s">
        <v>42</v>
      </c>
      <c r="F178" s="3" t="s">
        <v>90</v>
      </c>
      <c r="G178" s="3" t="s">
        <v>106</v>
      </c>
      <c r="H178" s="3">
        <v>3</v>
      </c>
      <c r="I178" s="7">
        <v>891.77</v>
      </c>
      <c r="J178" s="9">
        <v>0</v>
      </c>
      <c r="K178" s="7">
        <v>2675.31</v>
      </c>
      <c r="L178" s="7">
        <v>1545.43</v>
      </c>
      <c r="M178" s="3" t="s">
        <v>57</v>
      </c>
      <c r="N178" s="3"/>
      <c r="O178" s="3"/>
      <c r="P178" s="3"/>
      <c r="Q178" s="3"/>
    </row>
    <row r="179" spans="1:17" ht="21" customHeight="1">
      <c r="A179" s="3" t="s">
        <v>462</v>
      </c>
      <c r="B179" s="5">
        <v>45357</v>
      </c>
      <c r="C179" s="3" t="s">
        <v>463</v>
      </c>
      <c r="D179" s="3" t="s">
        <v>47</v>
      </c>
      <c r="E179" s="3" t="s">
        <v>38</v>
      </c>
      <c r="F179" s="3" t="s">
        <v>98</v>
      </c>
      <c r="G179" s="3" t="s">
        <v>362</v>
      </c>
      <c r="H179" s="3">
        <v>3</v>
      </c>
      <c r="I179" s="7">
        <v>31872.43</v>
      </c>
      <c r="J179" s="9">
        <v>0.05</v>
      </c>
      <c r="K179" s="7">
        <v>90836.43</v>
      </c>
      <c r="L179" s="7">
        <v>13510.64</v>
      </c>
      <c r="M179" s="3" t="s">
        <v>56</v>
      </c>
      <c r="N179" s="3"/>
      <c r="O179" s="3"/>
      <c r="P179" s="3"/>
      <c r="Q179" s="3"/>
    </row>
    <row r="180" spans="1:17" ht="21" customHeight="1">
      <c r="A180" s="3" t="s">
        <v>464</v>
      </c>
      <c r="B180" s="5">
        <v>45357</v>
      </c>
      <c r="C180" s="3" t="s">
        <v>465</v>
      </c>
      <c r="D180" s="3" t="s">
        <v>46</v>
      </c>
      <c r="E180" s="3" t="s">
        <v>39</v>
      </c>
      <c r="F180" s="3" t="s">
        <v>109</v>
      </c>
      <c r="G180" s="3" t="s">
        <v>355</v>
      </c>
      <c r="H180" s="3">
        <v>1</v>
      </c>
      <c r="I180" s="7">
        <v>3504.48</v>
      </c>
      <c r="J180" s="9">
        <v>0.25</v>
      </c>
      <c r="K180" s="7">
        <v>2628.36</v>
      </c>
      <c r="L180" s="7">
        <v>322.62</v>
      </c>
      <c r="M180" s="3" t="s">
        <v>57</v>
      </c>
      <c r="N180" s="3"/>
      <c r="O180" s="3"/>
      <c r="P180" s="3"/>
      <c r="Q180" s="3"/>
    </row>
    <row r="181" spans="1:17" ht="21" customHeight="1">
      <c r="A181" s="3" t="s">
        <v>466</v>
      </c>
      <c r="B181" s="5">
        <v>45358</v>
      </c>
      <c r="C181" s="3" t="s">
        <v>368</v>
      </c>
      <c r="D181" s="3" t="s">
        <v>46</v>
      </c>
      <c r="E181" s="3" t="s">
        <v>40</v>
      </c>
      <c r="F181" s="3" t="s">
        <v>221</v>
      </c>
      <c r="G181" s="3" t="s">
        <v>279</v>
      </c>
      <c r="H181" s="3">
        <v>1</v>
      </c>
      <c r="I181" s="7">
        <v>1449.74</v>
      </c>
      <c r="J181" s="9">
        <v>0.05</v>
      </c>
      <c r="K181" s="7">
        <v>1377.25</v>
      </c>
      <c r="L181" s="7">
        <v>378.27</v>
      </c>
      <c r="M181" s="3" t="s">
        <v>57</v>
      </c>
      <c r="N181" s="3"/>
      <c r="O181" s="3"/>
      <c r="P181" s="3"/>
      <c r="Q181" s="3"/>
    </row>
    <row r="182" spans="1:17" ht="21" customHeight="1">
      <c r="A182" s="3" t="s">
        <v>467</v>
      </c>
      <c r="B182" s="5">
        <v>45358</v>
      </c>
      <c r="C182" s="3" t="s">
        <v>468</v>
      </c>
      <c r="D182" s="3" t="s">
        <v>44</v>
      </c>
      <c r="E182" s="3" t="s">
        <v>39</v>
      </c>
      <c r="F182" s="3" t="s">
        <v>164</v>
      </c>
      <c r="G182" s="3" t="s">
        <v>200</v>
      </c>
      <c r="H182" s="3">
        <v>3</v>
      </c>
      <c r="I182" s="7">
        <v>1359.84</v>
      </c>
      <c r="J182" s="9">
        <v>0.2</v>
      </c>
      <c r="K182" s="7">
        <v>3263.62</v>
      </c>
      <c r="L182" s="7">
        <v>720.83</v>
      </c>
      <c r="M182" s="3" t="s">
        <v>56</v>
      </c>
      <c r="N182" s="3"/>
      <c r="O182" s="3"/>
      <c r="P182" s="3"/>
      <c r="Q182" s="3"/>
    </row>
    <row r="183" spans="1:17" ht="21" customHeight="1">
      <c r="A183" s="3" t="s">
        <v>469</v>
      </c>
      <c r="B183" s="5">
        <v>45358</v>
      </c>
      <c r="C183" s="3" t="s">
        <v>283</v>
      </c>
      <c r="D183" s="3" t="s">
        <v>45</v>
      </c>
      <c r="E183" s="3" t="s">
        <v>41</v>
      </c>
      <c r="F183" s="3" t="s">
        <v>119</v>
      </c>
      <c r="G183" s="3" t="s">
        <v>168</v>
      </c>
      <c r="H183" s="3">
        <v>2</v>
      </c>
      <c r="I183" s="7">
        <v>9972.66</v>
      </c>
      <c r="J183" s="9">
        <v>0</v>
      </c>
      <c r="K183" s="7">
        <v>19945.32</v>
      </c>
      <c r="L183" s="7">
        <v>7226.43</v>
      </c>
      <c r="M183" s="3" t="s">
        <v>57</v>
      </c>
      <c r="N183" s="3"/>
      <c r="O183" s="3"/>
      <c r="P183" s="3"/>
      <c r="Q183" s="3"/>
    </row>
    <row r="184" spans="1:17" ht="21" customHeight="1">
      <c r="A184" s="3" t="s">
        <v>470</v>
      </c>
      <c r="B184" s="5">
        <v>45359</v>
      </c>
      <c r="C184" s="3" t="s">
        <v>471</v>
      </c>
      <c r="D184" s="3" t="s">
        <v>47</v>
      </c>
      <c r="E184" s="3" t="s">
        <v>38</v>
      </c>
      <c r="F184" s="3" t="s">
        <v>142</v>
      </c>
      <c r="G184" s="3" t="s">
        <v>245</v>
      </c>
      <c r="H184" s="3">
        <v>1</v>
      </c>
      <c r="I184" s="7">
        <v>5004.6499999999996</v>
      </c>
      <c r="J184" s="9">
        <v>0.05</v>
      </c>
      <c r="K184" s="7">
        <v>4754.42</v>
      </c>
      <c r="L184" s="7">
        <v>469.53</v>
      </c>
      <c r="M184" s="3" t="s">
        <v>57</v>
      </c>
      <c r="N184" s="3"/>
      <c r="O184" s="3"/>
      <c r="P184" s="3"/>
      <c r="Q184" s="3"/>
    </row>
    <row r="185" spans="1:17" ht="21" customHeight="1">
      <c r="A185" s="3" t="s">
        <v>472</v>
      </c>
      <c r="B185" s="5">
        <v>45359</v>
      </c>
      <c r="C185" s="3" t="s">
        <v>473</v>
      </c>
      <c r="D185" s="3" t="s">
        <v>47</v>
      </c>
      <c r="E185" s="3" t="s">
        <v>41</v>
      </c>
      <c r="F185" s="3" t="s">
        <v>113</v>
      </c>
      <c r="G185" s="3" t="s">
        <v>123</v>
      </c>
      <c r="H185" s="3">
        <v>1</v>
      </c>
      <c r="I185" s="7">
        <v>3467.02</v>
      </c>
      <c r="J185" s="9">
        <v>0</v>
      </c>
      <c r="K185" s="7">
        <v>3467.02</v>
      </c>
      <c r="L185" s="7">
        <v>1447.5</v>
      </c>
      <c r="M185" s="3" t="s">
        <v>60</v>
      </c>
      <c r="N185" s="3"/>
      <c r="O185" s="3"/>
      <c r="P185" s="3"/>
      <c r="Q185" s="3"/>
    </row>
    <row r="186" spans="1:17" ht="21" customHeight="1">
      <c r="A186" s="3" t="s">
        <v>474</v>
      </c>
      <c r="B186" s="5">
        <v>45359</v>
      </c>
      <c r="C186" s="3" t="s">
        <v>475</v>
      </c>
      <c r="D186" s="3" t="s">
        <v>45</v>
      </c>
      <c r="E186" s="3" t="s">
        <v>42</v>
      </c>
      <c r="F186" s="3" t="s">
        <v>90</v>
      </c>
      <c r="G186" s="3" t="s">
        <v>91</v>
      </c>
      <c r="H186" s="3">
        <v>1</v>
      </c>
      <c r="I186" s="7">
        <v>1252.8800000000001</v>
      </c>
      <c r="J186" s="9">
        <v>0.05</v>
      </c>
      <c r="K186" s="7">
        <v>1190.24</v>
      </c>
      <c r="L186" s="7">
        <v>564.22</v>
      </c>
      <c r="M186" s="3" t="s">
        <v>57</v>
      </c>
      <c r="N186" s="3"/>
      <c r="O186" s="3"/>
      <c r="P186" s="3"/>
      <c r="Q186" s="3"/>
    </row>
    <row r="187" spans="1:17" ht="21" customHeight="1">
      <c r="A187" s="3" t="s">
        <v>476</v>
      </c>
      <c r="B187" s="5">
        <v>45359</v>
      </c>
      <c r="C187" s="3" t="s">
        <v>477</v>
      </c>
      <c r="D187" s="3" t="s">
        <v>47</v>
      </c>
      <c r="E187" s="3" t="s">
        <v>42</v>
      </c>
      <c r="F187" s="3" t="s">
        <v>90</v>
      </c>
      <c r="G187" s="3" t="s">
        <v>106</v>
      </c>
      <c r="H187" s="3">
        <v>1</v>
      </c>
      <c r="I187" s="7">
        <v>943.71</v>
      </c>
      <c r="J187" s="9">
        <v>0.1</v>
      </c>
      <c r="K187" s="7">
        <v>849.34</v>
      </c>
      <c r="L187" s="7">
        <v>398</v>
      </c>
      <c r="M187" s="3" t="s">
        <v>59</v>
      </c>
      <c r="N187" s="3"/>
      <c r="O187" s="3"/>
      <c r="P187" s="3"/>
      <c r="Q187" s="3"/>
    </row>
    <row r="188" spans="1:17" ht="21" customHeight="1">
      <c r="A188" s="3" t="s">
        <v>478</v>
      </c>
      <c r="B188" s="5">
        <v>45359</v>
      </c>
      <c r="C188" s="3" t="s">
        <v>314</v>
      </c>
      <c r="D188" s="3" t="s">
        <v>46</v>
      </c>
      <c r="E188" s="3" t="s">
        <v>38</v>
      </c>
      <c r="F188" s="3" t="s">
        <v>98</v>
      </c>
      <c r="G188" s="3" t="s">
        <v>362</v>
      </c>
      <c r="H188" s="3">
        <v>1</v>
      </c>
      <c r="I188" s="7">
        <v>33138.400000000001</v>
      </c>
      <c r="J188" s="9">
        <v>0.25</v>
      </c>
      <c r="K188" s="7">
        <v>24853.8</v>
      </c>
      <c r="L188" s="7">
        <v>-1814.36</v>
      </c>
      <c r="M188" s="3" t="s">
        <v>56</v>
      </c>
      <c r="N188" s="3"/>
      <c r="O188" s="3"/>
      <c r="P188" s="3"/>
      <c r="Q188" s="3"/>
    </row>
    <row r="189" spans="1:17" ht="21" customHeight="1">
      <c r="A189" s="3" t="s">
        <v>479</v>
      </c>
      <c r="B189" s="5">
        <v>45359</v>
      </c>
      <c r="C189" s="3" t="s">
        <v>188</v>
      </c>
      <c r="D189" s="3" t="s">
        <v>44</v>
      </c>
      <c r="E189" s="3" t="s">
        <v>38</v>
      </c>
      <c r="F189" s="3" t="s">
        <v>94</v>
      </c>
      <c r="G189" s="3" t="s">
        <v>213</v>
      </c>
      <c r="H189" s="3">
        <v>1</v>
      </c>
      <c r="I189" s="7">
        <v>53782.21</v>
      </c>
      <c r="J189" s="9">
        <v>0.05</v>
      </c>
      <c r="K189" s="7">
        <v>51093.1</v>
      </c>
      <c r="L189" s="7">
        <v>5079.3599999999997</v>
      </c>
      <c r="M189" s="3" t="s">
        <v>58</v>
      </c>
      <c r="N189" s="3"/>
      <c r="O189" s="3"/>
      <c r="P189" s="3"/>
      <c r="Q189" s="3"/>
    </row>
    <row r="190" spans="1:17" ht="21" customHeight="1">
      <c r="A190" s="3" t="s">
        <v>480</v>
      </c>
      <c r="B190" s="5">
        <v>45359</v>
      </c>
      <c r="C190" s="3" t="s">
        <v>481</v>
      </c>
      <c r="D190" s="3" t="s">
        <v>47</v>
      </c>
      <c r="E190" s="3" t="s">
        <v>38</v>
      </c>
      <c r="F190" s="3" t="s">
        <v>94</v>
      </c>
      <c r="G190" s="3" t="s">
        <v>213</v>
      </c>
      <c r="H190" s="3">
        <v>1</v>
      </c>
      <c r="I190" s="7">
        <v>55215.81</v>
      </c>
      <c r="J190" s="9">
        <v>0.05</v>
      </c>
      <c r="K190" s="7">
        <v>52455.02</v>
      </c>
      <c r="L190" s="7">
        <v>6499.52</v>
      </c>
      <c r="M190" s="3" t="s">
        <v>60</v>
      </c>
      <c r="N190" s="3"/>
      <c r="O190" s="3"/>
      <c r="P190" s="3"/>
      <c r="Q190" s="3"/>
    </row>
    <row r="191" spans="1:17" ht="21" customHeight="1">
      <c r="A191" s="3" t="s">
        <v>482</v>
      </c>
      <c r="B191" s="5">
        <v>45360</v>
      </c>
      <c r="C191" s="3" t="s">
        <v>483</v>
      </c>
      <c r="D191" s="3" t="s">
        <v>45</v>
      </c>
      <c r="E191" s="3" t="s">
        <v>38</v>
      </c>
      <c r="F191" s="3" t="s">
        <v>142</v>
      </c>
      <c r="G191" s="3" t="s">
        <v>143</v>
      </c>
      <c r="H191" s="3">
        <v>3</v>
      </c>
      <c r="I191" s="7">
        <v>8878.0499999999993</v>
      </c>
      <c r="J191" s="9">
        <v>0</v>
      </c>
      <c r="K191" s="7">
        <v>26634.15</v>
      </c>
      <c r="L191" s="7">
        <v>5047.99</v>
      </c>
      <c r="M191" s="3" t="s">
        <v>56</v>
      </c>
      <c r="N191" s="3"/>
      <c r="O191" s="3"/>
      <c r="P191" s="3"/>
      <c r="Q191" s="3"/>
    </row>
    <row r="192" spans="1:17" ht="21" customHeight="1">
      <c r="A192" s="3" t="s">
        <v>484</v>
      </c>
      <c r="B192" s="5">
        <v>45360</v>
      </c>
      <c r="C192" s="3" t="s">
        <v>446</v>
      </c>
      <c r="D192" s="3" t="s">
        <v>44</v>
      </c>
      <c r="E192" s="3" t="s">
        <v>39</v>
      </c>
      <c r="F192" s="3" t="s">
        <v>109</v>
      </c>
      <c r="G192" s="3" t="s">
        <v>355</v>
      </c>
      <c r="H192" s="3">
        <v>2</v>
      </c>
      <c r="I192" s="7">
        <v>3638.17</v>
      </c>
      <c r="J192" s="9">
        <v>0.15</v>
      </c>
      <c r="K192" s="7">
        <v>6184.89</v>
      </c>
      <c r="L192" s="7">
        <v>1458.34</v>
      </c>
      <c r="M192" s="3" t="s">
        <v>57</v>
      </c>
      <c r="N192" s="3"/>
      <c r="O192" s="3"/>
      <c r="P192" s="3"/>
      <c r="Q192" s="3"/>
    </row>
    <row r="193" spans="1:17" ht="21" customHeight="1">
      <c r="A193" s="3" t="s">
        <v>485</v>
      </c>
      <c r="B193" s="5">
        <v>45360</v>
      </c>
      <c r="C193" s="3" t="s">
        <v>159</v>
      </c>
      <c r="D193" s="3" t="s">
        <v>45</v>
      </c>
      <c r="E193" s="3" t="s">
        <v>42</v>
      </c>
      <c r="F193" s="3" t="s">
        <v>126</v>
      </c>
      <c r="G193" s="3" t="s">
        <v>151</v>
      </c>
      <c r="H193" s="3">
        <v>1</v>
      </c>
      <c r="I193" s="7">
        <v>1465.55</v>
      </c>
      <c r="J193" s="9">
        <v>0.05</v>
      </c>
      <c r="K193" s="7">
        <v>1392.27</v>
      </c>
      <c r="L193" s="7">
        <v>683.04</v>
      </c>
      <c r="M193" s="3" t="s">
        <v>56</v>
      </c>
      <c r="N193" s="3"/>
      <c r="O193" s="3"/>
      <c r="P193" s="3"/>
      <c r="Q193" s="3"/>
    </row>
    <row r="194" spans="1:17" ht="21" customHeight="1">
      <c r="A194" s="3" t="s">
        <v>486</v>
      </c>
      <c r="B194" s="5">
        <v>45361</v>
      </c>
      <c r="C194" s="3" t="s">
        <v>487</v>
      </c>
      <c r="D194" s="3" t="s">
        <v>46</v>
      </c>
      <c r="E194" s="3" t="s">
        <v>42</v>
      </c>
      <c r="F194" s="3" t="s">
        <v>90</v>
      </c>
      <c r="G194" s="3" t="s">
        <v>91</v>
      </c>
      <c r="H194" s="3">
        <v>3</v>
      </c>
      <c r="I194" s="7">
        <v>1185.44</v>
      </c>
      <c r="J194" s="9">
        <v>0</v>
      </c>
      <c r="K194" s="7">
        <v>3556.32</v>
      </c>
      <c r="L194" s="7">
        <v>1919.93</v>
      </c>
      <c r="M194" s="3" t="s">
        <v>56</v>
      </c>
      <c r="N194" s="3"/>
      <c r="O194" s="3"/>
      <c r="P194" s="3"/>
      <c r="Q194" s="3"/>
    </row>
    <row r="195" spans="1:17" ht="21" customHeight="1">
      <c r="A195" s="3" t="s">
        <v>488</v>
      </c>
      <c r="B195" s="5">
        <v>45361</v>
      </c>
      <c r="C195" s="3" t="s">
        <v>489</v>
      </c>
      <c r="D195" s="3" t="s">
        <v>46</v>
      </c>
      <c r="E195" s="3" t="s">
        <v>41</v>
      </c>
      <c r="F195" s="3" t="s">
        <v>113</v>
      </c>
      <c r="G195" s="3" t="s">
        <v>123</v>
      </c>
      <c r="H195" s="3">
        <v>2</v>
      </c>
      <c r="I195" s="7">
        <v>3392.25</v>
      </c>
      <c r="J195" s="9">
        <v>0.1</v>
      </c>
      <c r="K195" s="7">
        <v>6106.05</v>
      </c>
      <c r="L195" s="7">
        <v>1538.68</v>
      </c>
      <c r="M195" s="3" t="s">
        <v>56</v>
      </c>
      <c r="N195" s="3"/>
      <c r="O195" s="3"/>
      <c r="P195" s="3"/>
      <c r="Q195" s="3"/>
    </row>
    <row r="196" spans="1:17" ht="21" customHeight="1">
      <c r="A196" s="3" t="s">
        <v>490</v>
      </c>
      <c r="B196" s="5">
        <v>45361</v>
      </c>
      <c r="C196" s="3" t="s">
        <v>491</v>
      </c>
      <c r="D196" s="3" t="s">
        <v>46</v>
      </c>
      <c r="E196" s="3" t="s">
        <v>41</v>
      </c>
      <c r="F196" s="3" t="s">
        <v>119</v>
      </c>
      <c r="G196" s="3" t="s">
        <v>168</v>
      </c>
      <c r="H196" s="3">
        <v>2</v>
      </c>
      <c r="I196" s="7">
        <v>9525.02</v>
      </c>
      <c r="J196" s="9">
        <v>0.1</v>
      </c>
      <c r="K196" s="7">
        <v>17145.04</v>
      </c>
      <c r="L196" s="7">
        <v>4567.04</v>
      </c>
      <c r="M196" s="3" t="s">
        <v>56</v>
      </c>
      <c r="N196" s="3"/>
      <c r="O196" s="3"/>
      <c r="P196" s="3"/>
      <c r="Q196" s="3"/>
    </row>
    <row r="197" spans="1:17" ht="21" customHeight="1">
      <c r="A197" s="3" t="s">
        <v>492</v>
      </c>
      <c r="B197" s="5">
        <v>45361</v>
      </c>
      <c r="C197" s="3" t="s">
        <v>493</v>
      </c>
      <c r="D197" s="3" t="s">
        <v>47</v>
      </c>
      <c r="E197" s="3" t="s">
        <v>41</v>
      </c>
      <c r="F197" s="3" t="s">
        <v>113</v>
      </c>
      <c r="G197" s="3" t="s">
        <v>123</v>
      </c>
      <c r="H197" s="3">
        <v>1</v>
      </c>
      <c r="I197" s="7">
        <v>3545.68</v>
      </c>
      <c r="J197" s="9">
        <v>0.05</v>
      </c>
      <c r="K197" s="7">
        <v>3368.4</v>
      </c>
      <c r="L197" s="7">
        <v>1097.47</v>
      </c>
      <c r="M197" s="3" t="s">
        <v>56</v>
      </c>
      <c r="N197" s="3"/>
      <c r="O197" s="3"/>
      <c r="P197" s="3"/>
      <c r="Q197" s="3"/>
    </row>
    <row r="198" spans="1:17" ht="21" customHeight="1">
      <c r="A198" s="3" t="s">
        <v>494</v>
      </c>
      <c r="B198" s="5">
        <v>45362</v>
      </c>
      <c r="C198" s="3" t="s">
        <v>495</v>
      </c>
      <c r="D198" s="3" t="s">
        <v>47</v>
      </c>
      <c r="E198" s="3" t="s">
        <v>40</v>
      </c>
      <c r="F198" s="3" t="s">
        <v>221</v>
      </c>
      <c r="G198" s="3" t="s">
        <v>279</v>
      </c>
      <c r="H198" s="3">
        <v>4</v>
      </c>
      <c r="I198" s="7">
        <v>1448.62</v>
      </c>
      <c r="J198" s="9">
        <v>0</v>
      </c>
      <c r="K198" s="7">
        <v>5794.48</v>
      </c>
      <c r="L198" s="7">
        <v>1725.64</v>
      </c>
      <c r="M198" s="3" t="s">
        <v>56</v>
      </c>
      <c r="N198" s="3"/>
      <c r="O198" s="3"/>
      <c r="P198" s="3"/>
      <c r="Q198" s="3"/>
    </row>
    <row r="199" spans="1:17" ht="21" customHeight="1">
      <c r="A199" s="3" t="s">
        <v>496</v>
      </c>
      <c r="B199" s="5">
        <v>45363</v>
      </c>
      <c r="C199" s="3" t="s">
        <v>172</v>
      </c>
      <c r="D199" s="3" t="s">
        <v>47</v>
      </c>
      <c r="E199" s="3" t="s">
        <v>38</v>
      </c>
      <c r="F199" s="3" t="s">
        <v>98</v>
      </c>
      <c r="G199" s="3" t="s">
        <v>99</v>
      </c>
      <c r="H199" s="3">
        <v>1</v>
      </c>
      <c r="I199" s="7">
        <v>25730.03</v>
      </c>
      <c r="J199" s="9">
        <v>0.05</v>
      </c>
      <c r="K199" s="7">
        <v>24443.53</v>
      </c>
      <c r="L199" s="7">
        <v>2781.04</v>
      </c>
      <c r="M199" s="3" t="s">
        <v>58</v>
      </c>
      <c r="N199" s="3"/>
      <c r="O199" s="3"/>
      <c r="P199" s="3"/>
      <c r="Q199" s="3"/>
    </row>
    <row r="200" spans="1:17" ht="21" customHeight="1">
      <c r="A200" s="3" t="s">
        <v>497</v>
      </c>
      <c r="B200" s="5">
        <v>45363</v>
      </c>
      <c r="C200" s="3" t="s">
        <v>498</v>
      </c>
      <c r="D200" s="3" t="s">
        <v>45</v>
      </c>
      <c r="E200" s="3" t="s">
        <v>40</v>
      </c>
      <c r="F200" s="3" t="s">
        <v>221</v>
      </c>
      <c r="G200" s="3" t="s">
        <v>222</v>
      </c>
      <c r="H200" s="3">
        <v>1</v>
      </c>
      <c r="I200" s="7">
        <v>1040.44</v>
      </c>
      <c r="J200" s="9">
        <v>0.05</v>
      </c>
      <c r="K200" s="7">
        <v>988.42</v>
      </c>
      <c r="L200" s="7">
        <v>264.8</v>
      </c>
      <c r="M200" s="3" t="s">
        <v>57</v>
      </c>
      <c r="N200" s="3"/>
      <c r="O200" s="3"/>
      <c r="P200" s="3"/>
      <c r="Q200" s="3"/>
    </row>
    <row r="201" spans="1:17" ht="21" customHeight="1">
      <c r="A201" s="3" t="s">
        <v>499</v>
      </c>
      <c r="B201" s="5">
        <v>45364</v>
      </c>
      <c r="C201" s="3" t="s">
        <v>500</v>
      </c>
      <c r="D201" s="3" t="s">
        <v>45</v>
      </c>
      <c r="E201" s="3" t="s">
        <v>40</v>
      </c>
      <c r="F201" s="3" t="s">
        <v>160</v>
      </c>
      <c r="G201" s="3" t="s">
        <v>173</v>
      </c>
      <c r="H201" s="3">
        <v>1</v>
      </c>
      <c r="I201" s="7">
        <v>8883.5300000000007</v>
      </c>
      <c r="J201" s="9">
        <v>0.2</v>
      </c>
      <c r="K201" s="7">
        <v>7106.82</v>
      </c>
      <c r="L201" s="7">
        <v>759.33</v>
      </c>
      <c r="M201" s="3" t="s">
        <v>56</v>
      </c>
      <c r="N201" s="3"/>
      <c r="O201" s="3"/>
      <c r="P201" s="3"/>
      <c r="Q201" s="3"/>
    </row>
    <row r="202" spans="1:17" ht="21" customHeight="1">
      <c r="A202" s="3" t="s">
        <v>501</v>
      </c>
      <c r="B202" s="5">
        <v>45364</v>
      </c>
      <c r="C202" s="3" t="s">
        <v>502</v>
      </c>
      <c r="D202" s="3" t="s">
        <v>44</v>
      </c>
      <c r="E202" s="3" t="s">
        <v>38</v>
      </c>
      <c r="F202" s="3" t="s">
        <v>142</v>
      </c>
      <c r="G202" s="3" t="s">
        <v>245</v>
      </c>
      <c r="H202" s="3">
        <v>1</v>
      </c>
      <c r="I202" s="7">
        <v>4767.99</v>
      </c>
      <c r="J202" s="9">
        <v>0.15</v>
      </c>
      <c r="K202" s="7">
        <v>4052.79</v>
      </c>
      <c r="L202" s="7">
        <v>-107.97</v>
      </c>
      <c r="M202" s="3" t="s">
        <v>56</v>
      </c>
      <c r="N202" s="3"/>
      <c r="O202" s="3"/>
      <c r="P202" s="3"/>
      <c r="Q202" s="3"/>
    </row>
    <row r="203" spans="1:17" ht="21" customHeight="1">
      <c r="A203" s="3" t="s">
        <v>503</v>
      </c>
      <c r="B203" s="5">
        <v>45364</v>
      </c>
      <c r="C203" s="3" t="s">
        <v>255</v>
      </c>
      <c r="D203" s="3" t="s">
        <v>45</v>
      </c>
      <c r="E203" s="3" t="s">
        <v>42</v>
      </c>
      <c r="F203" s="3" t="s">
        <v>126</v>
      </c>
      <c r="G203" s="3" t="s">
        <v>151</v>
      </c>
      <c r="H203" s="3">
        <v>1</v>
      </c>
      <c r="I203" s="7">
        <v>1551.98</v>
      </c>
      <c r="J203" s="9">
        <v>0.2</v>
      </c>
      <c r="K203" s="7">
        <v>1241.58</v>
      </c>
      <c r="L203" s="7">
        <v>427.26</v>
      </c>
      <c r="M203" s="3" t="s">
        <v>57</v>
      </c>
      <c r="N203" s="3"/>
      <c r="O203" s="3"/>
      <c r="P203" s="3"/>
      <c r="Q203" s="3"/>
    </row>
    <row r="204" spans="1:17" ht="21" customHeight="1">
      <c r="A204" s="3" t="s">
        <v>504</v>
      </c>
      <c r="B204" s="5">
        <v>45364</v>
      </c>
      <c r="C204" s="3" t="s">
        <v>505</v>
      </c>
      <c r="D204" s="3" t="s">
        <v>44</v>
      </c>
      <c r="E204" s="3" t="s">
        <v>41</v>
      </c>
      <c r="F204" s="3" t="s">
        <v>113</v>
      </c>
      <c r="G204" s="3" t="s">
        <v>114</v>
      </c>
      <c r="H204" s="3">
        <v>1</v>
      </c>
      <c r="I204" s="7">
        <v>11994.6</v>
      </c>
      <c r="J204" s="9">
        <v>0</v>
      </c>
      <c r="K204" s="7">
        <v>11994.6</v>
      </c>
      <c r="L204" s="7">
        <v>5009.6000000000004</v>
      </c>
      <c r="M204" s="3" t="s">
        <v>56</v>
      </c>
      <c r="N204" s="3"/>
      <c r="O204" s="3"/>
      <c r="P204" s="3"/>
      <c r="Q204" s="3"/>
    </row>
    <row r="205" spans="1:17" ht="21" customHeight="1">
      <c r="A205" s="3" t="s">
        <v>506</v>
      </c>
      <c r="B205" s="5">
        <v>45365</v>
      </c>
      <c r="C205" s="3" t="s">
        <v>507</v>
      </c>
      <c r="D205" s="3" t="s">
        <v>47</v>
      </c>
      <c r="E205" s="3" t="s">
        <v>38</v>
      </c>
      <c r="F205" s="3" t="s">
        <v>94</v>
      </c>
      <c r="G205" s="3" t="s">
        <v>95</v>
      </c>
      <c r="H205" s="3">
        <v>1</v>
      </c>
      <c r="I205" s="7">
        <v>80607.98</v>
      </c>
      <c r="J205" s="9">
        <v>0.05</v>
      </c>
      <c r="K205" s="7">
        <v>76577.58</v>
      </c>
      <c r="L205" s="7">
        <v>9382.36</v>
      </c>
      <c r="M205" s="3" t="s">
        <v>58</v>
      </c>
      <c r="N205" s="3"/>
      <c r="O205" s="3"/>
      <c r="P205" s="3"/>
      <c r="Q205" s="3"/>
    </row>
    <row r="206" spans="1:17" ht="21" customHeight="1">
      <c r="A206" s="3" t="s">
        <v>508</v>
      </c>
      <c r="B206" s="5">
        <v>45365</v>
      </c>
      <c r="C206" s="3" t="s">
        <v>509</v>
      </c>
      <c r="D206" s="3" t="s">
        <v>46</v>
      </c>
      <c r="E206" s="3" t="s">
        <v>39</v>
      </c>
      <c r="F206" s="3" t="s">
        <v>130</v>
      </c>
      <c r="G206" s="3" t="s">
        <v>193</v>
      </c>
      <c r="H206" s="3">
        <v>1</v>
      </c>
      <c r="I206" s="7">
        <v>1744.33</v>
      </c>
      <c r="J206" s="9">
        <v>0.1</v>
      </c>
      <c r="K206" s="7">
        <v>1569.9</v>
      </c>
      <c r="L206" s="7">
        <v>493.39</v>
      </c>
      <c r="M206" s="3" t="s">
        <v>56</v>
      </c>
      <c r="N206" s="3"/>
      <c r="O206" s="3"/>
      <c r="P206" s="3"/>
      <c r="Q206" s="3"/>
    </row>
    <row r="207" spans="1:17" ht="21" customHeight="1">
      <c r="A207" s="3" t="s">
        <v>510</v>
      </c>
      <c r="B207" s="5">
        <v>45365</v>
      </c>
      <c r="C207" s="3" t="s">
        <v>511</v>
      </c>
      <c r="D207" s="3" t="s">
        <v>46</v>
      </c>
      <c r="E207" s="3" t="s">
        <v>41</v>
      </c>
      <c r="F207" s="3" t="s">
        <v>113</v>
      </c>
      <c r="G207" s="3" t="s">
        <v>114</v>
      </c>
      <c r="H207" s="3">
        <v>2</v>
      </c>
      <c r="I207" s="7">
        <v>12020.97</v>
      </c>
      <c r="J207" s="9">
        <v>0</v>
      </c>
      <c r="K207" s="7">
        <v>24041.94</v>
      </c>
      <c r="L207" s="7">
        <v>8388.06</v>
      </c>
      <c r="M207" s="3" t="s">
        <v>56</v>
      </c>
      <c r="N207" s="3"/>
      <c r="O207" s="3"/>
      <c r="P207" s="3"/>
      <c r="Q207" s="3"/>
    </row>
    <row r="208" spans="1:17" ht="21" customHeight="1">
      <c r="A208" s="3" t="s">
        <v>512</v>
      </c>
      <c r="B208" s="5">
        <v>45366</v>
      </c>
      <c r="C208" s="3" t="s">
        <v>257</v>
      </c>
      <c r="D208" s="3" t="s">
        <v>45</v>
      </c>
      <c r="E208" s="3" t="s">
        <v>42</v>
      </c>
      <c r="F208" s="3" t="s">
        <v>90</v>
      </c>
      <c r="G208" s="3" t="s">
        <v>91</v>
      </c>
      <c r="H208" s="3">
        <v>4</v>
      </c>
      <c r="I208" s="7">
        <v>1242.26</v>
      </c>
      <c r="J208" s="9">
        <v>0</v>
      </c>
      <c r="K208" s="7">
        <v>4969.04</v>
      </c>
      <c r="L208" s="7">
        <v>2760.15</v>
      </c>
      <c r="M208" s="3" t="s">
        <v>57</v>
      </c>
      <c r="N208" s="3"/>
      <c r="O208" s="3"/>
      <c r="P208" s="3"/>
      <c r="Q208" s="3"/>
    </row>
    <row r="209" spans="1:17" ht="21" customHeight="1">
      <c r="A209" s="3" t="s">
        <v>513</v>
      </c>
      <c r="B209" s="5">
        <v>45366</v>
      </c>
      <c r="C209" s="3" t="s">
        <v>514</v>
      </c>
      <c r="D209" s="3" t="s">
        <v>45</v>
      </c>
      <c r="E209" s="3" t="s">
        <v>40</v>
      </c>
      <c r="F209" s="3" t="s">
        <v>160</v>
      </c>
      <c r="G209" s="3" t="s">
        <v>161</v>
      </c>
      <c r="H209" s="3">
        <v>1</v>
      </c>
      <c r="I209" s="7">
        <v>12533.18</v>
      </c>
      <c r="J209" s="9">
        <v>0.15</v>
      </c>
      <c r="K209" s="7">
        <v>10653.2</v>
      </c>
      <c r="L209" s="7">
        <v>1346.28</v>
      </c>
      <c r="M209" s="3" t="s">
        <v>56</v>
      </c>
      <c r="N209" s="3"/>
      <c r="O209" s="3"/>
      <c r="P209" s="3"/>
      <c r="Q209" s="3"/>
    </row>
    <row r="210" spans="1:17" ht="21" customHeight="1">
      <c r="A210" s="3" t="s">
        <v>515</v>
      </c>
      <c r="B210" s="5">
        <v>45366</v>
      </c>
      <c r="C210" s="3" t="s">
        <v>516</v>
      </c>
      <c r="D210" s="3" t="s">
        <v>44</v>
      </c>
      <c r="E210" s="3" t="s">
        <v>40</v>
      </c>
      <c r="F210" s="3" t="s">
        <v>221</v>
      </c>
      <c r="G210" s="3" t="s">
        <v>222</v>
      </c>
      <c r="H210" s="3">
        <v>1</v>
      </c>
      <c r="I210" s="7">
        <v>980.66</v>
      </c>
      <c r="J210" s="9">
        <v>0.05</v>
      </c>
      <c r="K210" s="7">
        <v>931.63</v>
      </c>
      <c r="L210" s="7">
        <v>245.63</v>
      </c>
      <c r="M210" s="3" t="s">
        <v>56</v>
      </c>
      <c r="N210" s="3"/>
      <c r="O210" s="3"/>
      <c r="P210" s="3"/>
      <c r="Q210" s="3"/>
    </row>
    <row r="211" spans="1:17" ht="21" customHeight="1">
      <c r="A211" s="3" t="s">
        <v>517</v>
      </c>
      <c r="B211" s="5">
        <v>45366</v>
      </c>
      <c r="C211" s="3" t="s">
        <v>518</v>
      </c>
      <c r="D211" s="3" t="s">
        <v>45</v>
      </c>
      <c r="E211" s="3" t="s">
        <v>42</v>
      </c>
      <c r="F211" s="3" t="s">
        <v>90</v>
      </c>
      <c r="G211" s="3" t="s">
        <v>106</v>
      </c>
      <c r="H211" s="3">
        <v>2</v>
      </c>
      <c r="I211" s="7">
        <v>867.95</v>
      </c>
      <c r="J211" s="9">
        <v>0.1</v>
      </c>
      <c r="K211" s="7">
        <v>1562.31</v>
      </c>
      <c r="L211" s="7">
        <v>630.27</v>
      </c>
      <c r="M211" s="3" t="s">
        <v>57</v>
      </c>
      <c r="N211" s="3"/>
      <c r="O211" s="3"/>
      <c r="P211" s="3"/>
      <c r="Q211" s="3"/>
    </row>
    <row r="212" spans="1:17" ht="21" customHeight="1">
      <c r="A212" s="3" t="s">
        <v>519</v>
      </c>
      <c r="B212" s="5">
        <v>45366</v>
      </c>
      <c r="C212" s="3" t="s">
        <v>520</v>
      </c>
      <c r="D212" s="3" t="s">
        <v>44</v>
      </c>
      <c r="E212" s="3" t="s">
        <v>39</v>
      </c>
      <c r="F212" s="3" t="s">
        <v>164</v>
      </c>
      <c r="G212" s="3" t="s">
        <v>165</v>
      </c>
      <c r="H212" s="3">
        <v>2</v>
      </c>
      <c r="I212" s="7">
        <v>2093.62</v>
      </c>
      <c r="J212" s="9">
        <v>0.05</v>
      </c>
      <c r="K212" s="7">
        <v>3977.88</v>
      </c>
      <c r="L212" s="7">
        <v>1576.39</v>
      </c>
      <c r="M212" s="3" t="s">
        <v>56</v>
      </c>
      <c r="N212" s="3"/>
      <c r="O212" s="3"/>
      <c r="P212" s="3"/>
      <c r="Q212" s="3"/>
    </row>
    <row r="213" spans="1:17" ht="21" customHeight="1">
      <c r="A213" s="3" t="s">
        <v>521</v>
      </c>
      <c r="B213" s="5">
        <v>45366</v>
      </c>
      <c r="C213" s="3" t="s">
        <v>148</v>
      </c>
      <c r="D213" s="3" t="s">
        <v>44</v>
      </c>
      <c r="E213" s="3" t="s">
        <v>38</v>
      </c>
      <c r="F213" s="3" t="s">
        <v>142</v>
      </c>
      <c r="G213" s="3" t="s">
        <v>245</v>
      </c>
      <c r="H213" s="3">
        <v>1</v>
      </c>
      <c r="I213" s="7">
        <v>5009.0200000000004</v>
      </c>
      <c r="J213" s="9">
        <v>0.1</v>
      </c>
      <c r="K213" s="7">
        <v>4508.12</v>
      </c>
      <c r="L213" s="7">
        <v>341.82</v>
      </c>
      <c r="M213" s="3" t="s">
        <v>57</v>
      </c>
      <c r="N213" s="3"/>
      <c r="O213" s="3"/>
      <c r="P213" s="3"/>
      <c r="Q213" s="3"/>
    </row>
    <row r="214" spans="1:17" ht="21" customHeight="1">
      <c r="A214" s="3" t="s">
        <v>522</v>
      </c>
      <c r="B214" s="5">
        <v>45367</v>
      </c>
      <c r="C214" s="3" t="s">
        <v>523</v>
      </c>
      <c r="D214" s="3" t="s">
        <v>44</v>
      </c>
      <c r="E214" s="3" t="s">
        <v>42</v>
      </c>
      <c r="F214" s="3" t="s">
        <v>126</v>
      </c>
      <c r="G214" s="3" t="s">
        <v>151</v>
      </c>
      <c r="H214" s="3">
        <v>1</v>
      </c>
      <c r="I214" s="7">
        <v>1481.02</v>
      </c>
      <c r="J214" s="9">
        <v>0.1</v>
      </c>
      <c r="K214" s="7">
        <v>1332.92</v>
      </c>
      <c r="L214" s="7">
        <v>608.84</v>
      </c>
      <c r="M214" s="3" t="s">
        <v>56</v>
      </c>
      <c r="N214" s="3"/>
      <c r="O214" s="3"/>
      <c r="P214" s="3"/>
      <c r="Q214" s="3"/>
    </row>
    <row r="215" spans="1:17" ht="21" customHeight="1">
      <c r="A215" s="3" t="s">
        <v>524</v>
      </c>
      <c r="B215" s="5">
        <v>45367</v>
      </c>
      <c r="C215" s="3" t="s">
        <v>525</v>
      </c>
      <c r="D215" s="3" t="s">
        <v>45</v>
      </c>
      <c r="E215" s="3" t="s">
        <v>41</v>
      </c>
      <c r="F215" s="3" t="s">
        <v>113</v>
      </c>
      <c r="G215" s="3" t="s">
        <v>114</v>
      </c>
      <c r="H215" s="3">
        <v>1</v>
      </c>
      <c r="I215" s="7">
        <v>11789.84</v>
      </c>
      <c r="J215" s="9">
        <v>0.1</v>
      </c>
      <c r="K215" s="7">
        <v>10610.86</v>
      </c>
      <c r="L215" s="7">
        <v>3048.69</v>
      </c>
      <c r="M215" s="3" t="s">
        <v>56</v>
      </c>
      <c r="N215" s="3"/>
      <c r="O215" s="3"/>
      <c r="P215" s="3"/>
      <c r="Q215" s="3"/>
    </row>
    <row r="216" spans="1:17" ht="21" customHeight="1">
      <c r="A216" s="3" t="s">
        <v>526</v>
      </c>
      <c r="B216" s="5">
        <v>45367</v>
      </c>
      <c r="C216" s="3" t="s">
        <v>527</v>
      </c>
      <c r="D216" s="3" t="s">
        <v>44</v>
      </c>
      <c r="E216" s="3" t="s">
        <v>38</v>
      </c>
      <c r="F216" s="3" t="s">
        <v>98</v>
      </c>
      <c r="G216" s="3" t="s">
        <v>99</v>
      </c>
      <c r="H216" s="3">
        <v>2</v>
      </c>
      <c r="I216" s="7">
        <v>24672.639999999999</v>
      </c>
      <c r="J216" s="9">
        <v>0</v>
      </c>
      <c r="K216" s="7">
        <v>49345.279999999999</v>
      </c>
      <c r="L216" s="7">
        <v>10554.39</v>
      </c>
      <c r="M216" s="3" t="s">
        <v>56</v>
      </c>
      <c r="N216" s="3"/>
      <c r="O216" s="3"/>
      <c r="P216" s="3"/>
      <c r="Q216" s="3"/>
    </row>
    <row r="217" spans="1:17" ht="21" customHeight="1">
      <c r="A217" s="3" t="s">
        <v>528</v>
      </c>
      <c r="B217" s="5">
        <v>45367</v>
      </c>
      <c r="C217" s="3" t="s">
        <v>529</v>
      </c>
      <c r="D217" s="3" t="s">
        <v>45</v>
      </c>
      <c r="E217" s="3" t="s">
        <v>38</v>
      </c>
      <c r="F217" s="3" t="s">
        <v>142</v>
      </c>
      <c r="G217" s="3" t="s">
        <v>245</v>
      </c>
      <c r="H217" s="3">
        <v>1</v>
      </c>
      <c r="I217" s="7">
        <v>4778.25</v>
      </c>
      <c r="J217" s="9">
        <v>0</v>
      </c>
      <c r="K217" s="7">
        <v>4778.25</v>
      </c>
      <c r="L217" s="7">
        <v>817.09</v>
      </c>
      <c r="M217" s="3" t="s">
        <v>59</v>
      </c>
      <c r="N217" s="3"/>
      <c r="O217" s="3"/>
      <c r="P217" s="3"/>
      <c r="Q217" s="3"/>
    </row>
    <row r="218" spans="1:17" ht="21" customHeight="1">
      <c r="A218" s="3" t="s">
        <v>530</v>
      </c>
      <c r="B218" s="5">
        <v>45367</v>
      </c>
      <c r="C218" s="3" t="s">
        <v>531</v>
      </c>
      <c r="D218" s="3" t="s">
        <v>47</v>
      </c>
      <c r="E218" s="3" t="s">
        <v>42</v>
      </c>
      <c r="F218" s="3" t="s">
        <v>90</v>
      </c>
      <c r="G218" s="3" t="s">
        <v>106</v>
      </c>
      <c r="H218" s="3">
        <v>1</v>
      </c>
      <c r="I218" s="7">
        <v>874.89</v>
      </c>
      <c r="J218" s="9">
        <v>0.1</v>
      </c>
      <c r="K218" s="7">
        <v>787.4</v>
      </c>
      <c r="L218" s="7">
        <v>318.99</v>
      </c>
      <c r="M218" s="3" t="s">
        <v>57</v>
      </c>
      <c r="N218" s="3"/>
      <c r="O218" s="3"/>
      <c r="P218" s="3"/>
      <c r="Q218" s="3"/>
    </row>
    <row r="219" spans="1:17" ht="21" customHeight="1">
      <c r="A219" s="3" t="s">
        <v>532</v>
      </c>
      <c r="B219" s="5">
        <v>45367</v>
      </c>
      <c r="C219" s="3" t="s">
        <v>533</v>
      </c>
      <c r="D219" s="3" t="s">
        <v>46</v>
      </c>
      <c r="E219" s="3" t="s">
        <v>41</v>
      </c>
      <c r="F219" s="3" t="s">
        <v>119</v>
      </c>
      <c r="G219" s="3" t="s">
        <v>120</v>
      </c>
      <c r="H219" s="3">
        <v>1</v>
      </c>
      <c r="I219" s="7">
        <v>1237.03</v>
      </c>
      <c r="J219" s="9">
        <v>0</v>
      </c>
      <c r="K219" s="7">
        <v>1237.03</v>
      </c>
      <c r="L219" s="7">
        <v>436.61</v>
      </c>
      <c r="M219" s="3" t="s">
        <v>56</v>
      </c>
      <c r="N219" s="3"/>
      <c r="O219" s="3"/>
      <c r="P219" s="3"/>
      <c r="Q219" s="3"/>
    </row>
    <row r="220" spans="1:17" ht="21" customHeight="1">
      <c r="A220" s="3" t="s">
        <v>534</v>
      </c>
      <c r="B220" s="5">
        <v>45367</v>
      </c>
      <c r="C220" s="3" t="s">
        <v>406</v>
      </c>
      <c r="D220" s="3" t="s">
        <v>45</v>
      </c>
      <c r="E220" s="3" t="s">
        <v>38</v>
      </c>
      <c r="F220" s="3" t="s">
        <v>142</v>
      </c>
      <c r="G220" s="3" t="s">
        <v>143</v>
      </c>
      <c r="H220" s="3">
        <v>5</v>
      </c>
      <c r="I220" s="7">
        <v>9176.18</v>
      </c>
      <c r="J220" s="9">
        <v>0</v>
      </c>
      <c r="K220" s="7">
        <v>45880.9</v>
      </c>
      <c r="L220" s="7">
        <v>10029.64</v>
      </c>
      <c r="M220" s="3" t="s">
        <v>58</v>
      </c>
      <c r="N220" s="3"/>
      <c r="O220" s="3"/>
      <c r="P220" s="3"/>
      <c r="Q220" s="3"/>
    </row>
    <row r="221" spans="1:17" ht="21" customHeight="1">
      <c r="A221" s="3" t="s">
        <v>535</v>
      </c>
      <c r="B221" s="5">
        <v>45368</v>
      </c>
      <c r="C221" s="3" t="s">
        <v>422</v>
      </c>
      <c r="D221" s="3" t="s">
        <v>47</v>
      </c>
      <c r="E221" s="3" t="s">
        <v>39</v>
      </c>
      <c r="F221" s="3" t="s">
        <v>109</v>
      </c>
      <c r="G221" s="3" t="s">
        <v>355</v>
      </c>
      <c r="H221" s="3">
        <v>2</v>
      </c>
      <c r="I221" s="7">
        <v>3535.18</v>
      </c>
      <c r="J221" s="9">
        <v>0.1</v>
      </c>
      <c r="K221" s="7">
        <v>6363.32</v>
      </c>
      <c r="L221" s="7">
        <v>2081.39</v>
      </c>
      <c r="M221" s="3" t="s">
        <v>56</v>
      </c>
      <c r="N221" s="3"/>
      <c r="O221" s="3"/>
      <c r="P221" s="3"/>
      <c r="Q221" s="3"/>
    </row>
    <row r="222" spans="1:17" ht="21" customHeight="1">
      <c r="A222" s="3" t="s">
        <v>536</v>
      </c>
      <c r="B222" s="5">
        <v>45368</v>
      </c>
      <c r="C222" s="3" t="s">
        <v>242</v>
      </c>
      <c r="D222" s="3" t="s">
        <v>44</v>
      </c>
      <c r="E222" s="3" t="s">
        <v>39</v>
      </c>
      <c r="F222" s="3" t="s">
        <v>130</v>
      </c>
      <c r="G222" s="3" t="s">
        <v>193</v>
      </c>
      <c r="H222" s="3">
        <v>4</v>
      </c>
      <c r="I222" s="7">
        <v>1747.92</v>
      </c>
      <c r="J222" s="9">
        <v>0.1</v>
      </c>
      <c r="K222" s="7">
        <v>6292.51</v>
      </c>
      <c r="L222" s="7">
        <v>1848.27</v>
      </c>
      <c r="M222" s="3" t="s">
        <v>57</v>
      </c>
      <c r="N222" s="3"/>
      <c r="O222" s="3"/>
      <c r="P222" s="3"/>
      <c r="Q222" s="3"/>
    </row>
    <row r="223" spans="1:17" ht="21" customHeight="1">
      <c r="A223" s="3" t="s">
        <v>537</v>
      </c>
      <c r="B223" s="5">
        <v>45368</v>
      </c>
      <c r="C223" s="3" t="s">
        <v>129</v>
      </c>
      <c r="D223" s="3" t="s">
        <v>46</v>
      </c>
      <c r="E223" s="3" t="s">
        <v>40</v>
      </c>
      <c r="F223" s="3" t="s">
        <v>160</v>
      </c>
      <c r="G223" s="3" t="s">
        <v>161</v>
      </c>
      <c r="H223" s="3">
        <v>3</v>
      </c>
      <c r="I223" s="7">
        <v>13311.91</v>
      </c>
      <c r="J223" s="9">
        <v>0.1</v>
      </c>
      <c r="K223" s="7">
        <v>35942.160000000003</v>
      </c>
      <c r="L223" s="7">
        <v>7432.82</v>
      </c>
      <c r="M223" s="3" t="s">
        <v>59</v>
      </c>
      <c r="N223" s="3"/>
      <c r="O223" s="3"/>
      <c r="P223" s="3"/>
      <c r="Q223" s="3"/>
    </row>
    <row r="224" spans="1:17" ht="21" customHeight="1">
      <c r="A224" s="3" t="s">
        <v>538</v>
      </c>
      <c r="B224" s="5">
        <v>45368</v>
      </c>
      <c r="C224" s="3" t="s">
        <v>539</v>
      </c>
      <c r="D224" s="3" t="s">
        <v>47</v>
      </c>
      <c r="E224" s="3" t="s">
        <v>40</v>
      </c>
      <c r="F224" s="3" t="s">
        <v>102</v>
      </c>
      <c r="G224" s="3" t="s">
        <v>146</v>
      </c>
      <c r="H224" s="3">
        <v>1</v>
      </c>
      <c r="I224" s="7">
        <v>7821.46</v>
      </c>
      <c r="J224" s="9">
        <v>0</v>
      </c>
      <c r="K224" s="7">
        <v>7821.46</v>
      </c>
      <c r="L224" s="7">
        <v>2648.6</v>
      </c>
      <c r="M224" s="3" t="s">
        <v>59</v>
      </c>
      <c r="N224" s="3"/>
      <c r="O224" s="3"/>
      <c r="P224" s="3"/>
      <c r="Q224" s="3"/>
    </row>
    <row r="225" spans="1:17" ht="21" customHeight="1">
      <c r="A225" s="3" t="s">
        <v>540</v>
      </c>
      <c r="B225" s="5">
        <v>45368</v>
      </c>
      <c r="C225" s="3" t="s">
        <v>541</v>
      </c>
      <c r="D225" s="3" t="s">
        <v>44</v>
      </c>
      <c r="E225" s="3" t="s">
        <v>38</v>
      </c>
      <c r="F225" s="3" t="s">
        <v>94</v>
      </c>
      <c r="G225" s="3" t="s">
        <v>95</v>
      </c>
      <c r="H225" s="3">
        <v>1</v>
      </c>
      <c r="I225" s="7">
        <v>80349.600000000006</v>
      </c>
      <c r="J225" s="9">
        <v>0.15</v>
      </c>
      <c r="K225" s="7">
        <v>68297.16</v>
      </c>
      <c r="L225" s="7">
        <v>-1465.82</v>
      </c>
      <c r="M225" s="3" t="s">
        <v>57</v>
      </c>
      <c r="N225" s="3"/>
      <c r="O225" s="3"/>
      <c r="P225" s="3"/>
      <c r="Q225" s="3"/>
    </row>
    <row r="226" spans="1:17" ht="21" customHeight="1">
      <c r="A226" s="3" t="s">
        <v>542</v>
      </c>
      <c r="B226" s="5">
        <v>45368</v>
      </c>
      <c r="C226" s="3" t="s">
        <v>543</v>
      </c>
      <c r="D226" s="3" t="s">
        <v>46</v>
      </c>
      <c r="E226" s="3" t="s">
        <v>42</v>
      </c>
      <c r="F226" s="3" t="s">
        <v>126</v>
      </c>
      <c r="G226" s="3" t="s">
        <v>127</v>
      </c>
      <c r="H226" s="3">
        <v>1</v>
      </c>
      <c r="I226" s="7">
        <v>992.41</v>
      </c>
      <c r="J226" s="9">
        <v>0</v>
      </c>
      <c r="K226" s="7">
        <v>992.41</v>
      </c>
      <c r="L226" s="7">
        <v>530.32000000000005</v>
      </c>
      <c r="M226" s="3" t="s">
        <v>56</v>
      </c>
      <c r="N226" s="3"/>
      <c r="O226" s="3"/>
      <c r="P226" s="3"/>
      <c r="Q226" s="3"/>
    </row>
    <row r="227" spans="1:17" ht="21" customHeight="1">
      <c r="A227" s="3" t="s">
        <v>544</v>
      </c>
      <c r="B227" s="5">
        <v>45368</v>
      </c>
      <c r="C227" s="3" t="s">
        <v>545</v>
      </c>
      <c r="D227" s="3" t="s">
        <v>47</v>
      </c>
      <c r="E227" s="3" t="s">
        <v>40</v>
      </c>
      <c r="F227" s="3" t="s">
        <v>221</v>
      </c>
      <c r="G227" s="3" t="s">
        <v>279</v>
      </c>
      <c r="H227" s="3">
        <v>5</v>
      </c>
      <c r="I227" s="7">
        <v>1453.16</v>
      </c>
      <c r="J227" s="9">
        <v>0.05</v>
      </c>
      <c r="K227" s="7">
        <v>6902.51</v>
      </c>
      <c r="L227" s="7">
        <v>1641.69</v>
      </c>
      <c r="M227" s="3" t="s">
        <v>57</v>
      </c>
      <c r="N227" s="3"/>
      <c r="O227" s="3"/>
      <c r="P227" s="3"/>
      <c r="Q227" s="3"/>
    </row>
    <row r="228" spans="1:17" ht="21" customHeight="1">
      <c r="A228" s="3" t="s">
        <v>546</v>
      </c>
      <c r="B228" s="5">
        <v>45368</v>
      </c>
      <c r="C228" s="3" t="s">
        <v>208</v>
      </c>
      <c r="D228" s="3" t="s">
        <v>44</v>
      </c>
      <c r="E228" s="3" t="s">
        <v>41</v>
      </c>
      <c r="F228" s="3" t="s">
        <v>113</v>
      </c>
      <c r="G228" s="3" t="s">
        <v>123</v>
      </c>
      <c r="H228" s="3">
        <v>1</v>
      </c>
      <c r="I228" s="7">
        <v>3412.67</v>
      </c>
      <c r="J228" s="9">
        <v>0.05</v>
      </c>
      <c r="K228" s="7">
        <v>3242.04</v>
      </c>
      <c r="L228" s="7">
        <v>1005.2</v>
      </c>
      <c r="M228" s="3" t="s">
        <v>56</v>
      </c>
      <c r="N228" s="3"/>
      <c r="O228" s="3"/>
      <c r="P228" s="3"/>
      <c r="Q228" s="3"/>
    </row>
    <row r="229" spans="1:17" ht="21" customHeight="1">
      <c r="A229" s="3" t="s">
        <v>547</v>
      </c>
      <c r="B229" s="5">
        <v>45369</v>
      </c>
      <c r="C229" s="3" t="s">
        <v>548</v>
      </c>
      <c r="D229" s="3" t="s">
        <v>45</v>
      </c>
      <c r="E229" s="3" t="s">
        <v>39</v>
      </c>
      <c r="F229" s="3" t="s">
        <v>109</v>
      </c>
      <c r="G229" s="3" t="s">
        <v>355</v>
      </c>
      <c r="H229" s="3">
        <v>4</v>
      </c>
      <c r="I229" s="7">
        <v>3520.16</v>
      </c>
      <c r="J229" s="9">
        <v>0.15</v>
      </c>
      <c r="K229" s="7">
        <v>11968.54</v>
      </c>
      <c r="L229" s="7">
        <v>3208.07</v>
      </c>
      <c r="M229" s="3" t="s">
        <v>56</v>
      </c>
      <c r="N229" s="3"/>
      <c r="O229" s="3"/>
      <c r="P229" s="3"/>
      <c r="Q229" s="3"/>
    </row>
    <row r="230" spans="1:17" ht="21" customHeight="1">
      <c r="A230" s="3" t="s">
        <v>549</v>
      </c>
      <c r="B230" s="5">
        <v>45369</v>
      </c>
      <c r="C230" s="3" t="s">
        <v>550</v>
      </c>
      <c r="D230" s="3" t="s">
        <v>44</v>
      </c>
      <c r="E230" s="3" t="s">
        <v>38</v>
      </c>
      <c r="F230" s="3" t="s">
        <v>98</v>
      </c>
      <c r="G230" s="3" t="s">
        <v>99</v>
      </c>
      <c r="H230" s="3">
        <v>1</v>
      </c>
      <c r="I230" s="7">
        <v>23911.439999999999</v>
      </c>
      <c r="J230" s="9">
        <v>0</v>
      </c>
      <c r="K230" s="7">
        <v>23911.439999999999</v>
      </c>
      <c r="L230" s="7">
        <v>4441.6099999999997</v>
      </c>
      <c r="M230" s="3" t="s">
        <v>56</v>
      </c>
      <c r="N230" s="3"/>
      <c r="O230" s="3"/>
      <c r="P230" s="3"/>
      <c r="Q230" s="3"/>
    </row>
    <row r="231" spans="1:17" ht="21" customHeight="1">
      <c r="A231" s="3" t="s">
        <v>551</v>
      </c>
      <c r="B231" s="5">
        <v>45369</v>
      </c>
      <c r="C231" s="3" t="s">
        <v>552</v>
      </c>
      <c r="D231" s="3" t="s">
        <v>44</v>
      </c>
      <c r="E231" s="3" t="s">
        <v>38</v>
      </c>
      <c r="F231" s="3" t="s">
        <v>98</v>
      </c>
      <c r="G231" s="3" t="s">
        <v>99</v>
      </c>
      <c r="H231" s="3">
        <v>5</v>
      </c>
      <c r="I231" s="7">
        <v>25944.400000000001</v>
      </c>
      <c r="J231" s="9">
        <v>0</v>
      </c>
      <c r="K231" s="7">
        <v>129722</v>
      </c>
      <c r="L231" s="7">
        <v>24132.799999999999</v>
      </c>
      <c r="M231" s="3" t="s">
        <v>56</v>
      </c>
      <c r="N231" s="3"/>
      <c r="O231" s="3"/>
      <c r="P231" s="3"/>
      <c r="Q231" s="3"/>
    </row>
    <row r="232" spans="1:17" ht="21" customHeight="1">
      <c r="A232" s="3" t="s">
        <v>553</v>
      </c>
      <c r="B232" s="5">
        <v>45370</v>
      </c>
      <c r="C232" s="3" t="s">
        <v>473</v>
      </c>
      <c r="D232" s="3" t="s">
        <v>46</v>
      </c>
      <c r="E232" s="3" t="s">
        <v>42</v>
      </c>
      <c r="F232" s="3" t="s">
        <v>126</v>
      </c>
      <c r="G232" s="3" t="s">
        <v>151</v>
      </c>
      <c r="H232" s="3">
        <v>1</v>
      </c>
      <c r="I232" s="7">
        <v>1432.73</v>
      </c>
      <c r="J232" s="9">
        <v>0.05</v>
      </c>
      <c r="K232" s="7">
        <v>1361.09</v>
      </c>
      <c r="L232" s="7">
        <v>641.16</v>
      </c>
      <c r="M232" s="3" t="s">
        <v>56</v>
      </c>
      <c r="N232" s="3"/>
      <c r="O232" s="3"/>
      <c r="P232" s="3"/>
      <c r="Q232" s="3"/>
    </row>
    <row r="233" spans="1:17" ht="21" customHeight="1">
      <c r="A233" s="3" t="s">
        <v>554</v>
      </c>
      <c r="B233" s="5">
        <v>45370</v>
      </c>
      <c r="C233" s="3" t="s">
        <v>555</v>
      </c>
      <c r="D233" s="3" t="s">
        <v>44</v>
      </c>
      <c r="E233" s="3" t="s">
        <v>38</v>
      </c>
      <c r="F233" s="3" t="s">
        <v>98</v>
      </c>
      <c r="G233" s="3" t="s">
        <v>362</v>
      </c>
      <c r="H233" s="3">
        <v>1</v>
      </c>
      <c r="I233" s="7">
        <v>33897.93</v>
      </c>
      <c r="J233" s="9">
        <v>0</v>
      </c>
      <c r="K233" s="7">
        <v>33897.93</v>
      </c>
      <c r="L233" s="7">
        <v>5416.37</v>
      </c>
      <c r="M233" s="3" t="s">
        <v>56</v>
      </c>
      <c r="N233" s="3"/>
      <c r="O233" s="3"/>
      <c r="P233" s="3"/>
      <c r="Q233" s="3"/>
    </row>
    <row r="234" spans="1:17" ht="21" customHeight="1">
      <c r="A234" s="3" t="s">
        <v>556</v>
      </c>
      <c r="B234" s="5">
        <v>45370</v>
      </c>
      <c r="C234" s="3" t="s">
        <v>418</v>
      </c>
      <c r="D234" s="3" t="s">
        <v>45</v>
      </c>
      <c r="E234" s="3" t="s">
        <v>42</v>
      </c>
      <c r="F234" s="3" t="s">
        <v>126</v>
      </c>
      <c r="G234" s="3" t="s">
        <v>127</v>
      </c>
      <c r="H234" s="3">
        <v>2</v>
      </c>
      <c r="I234" s="7">
        <v>1046.77</v>
      </c>
      <c r="J234" s="9">
        <v>0</v>
      </c>
      <c r="K234" s="7">
        <v>2093.54</v>
      </c>
      <c r="L234" s="7">
        <v>1145.8599999999999</v>
      </c>
      <c r="M234" s="3" t="s">
        <v>59</v>
      </c>
      <c r="N234" s="3"/>
      <c r="O234" s="3"/>
      <c r="P234" s="3"/>
      <c r="Q234" s="3"/>
    </row>
    <row r="235" spans="1:17" ht="21" customHeight="1">
      <c r="A235" s="3" t="s">
        <v>557</v>
      </c>
      <c r="B235" s="5">
        <v>45371</v>
      </c>
      <c r="C235" s="3" t="s">
        <v>558</v>
      </c>
      <c r="D235" s="3" t="s">
        <v>45</v>
      </c>
      <c r="E235" s="3" t="s">
        <v>40</v>
      </c>
      <c r="F235" s="3" t="s">
        <v>160</v>
      </c>
      <c r="G235" s="3" t="s">
        <v>173</v>
      </c>
      <c r="H235" s="3">
        <v>1</v>
      </c>
      <c r="I235" s="7">
        <v>8760.25</v>
      </c>
      <c r="J235" s="9">
        <v>0</v>
      </c>
      <c r="K235" s="7">
        <v>8760.25</v>
      </c>
      <c r="L235" s="7">
        <v>2616.98</v>
      </c>
      <c r="M235" s="3" t="s">
        <v>56</v>
      </c>
      <c r="N235" s="3"/>
      <c r="O235" s="3"/>
      <c r="P235" s="3"/>
      <c r="Q235" s="3"/>
    </row>
    <row r="236" spans="1:17" ht="21" customHeight="1">
      <c r="A236" s="3" t="s">
        <v>559</v>
      </c>
      <c r="B236" s="5">
        <v>45371</v>
      </c>
      <c r="C236" s="3" t="s">
        <v>550</v>
      </c>
      <c r="D236" s="3" t="s">
        <v>44</v>
      </c>
      <c r="E236" s="3" t="s">
        <v>39</v>
      </c>
      <c r="F236" s="3" t="s">
        <v>130</v>
      </c>
      <c r="G236" s="3" t="s">
        <v>131</v>
      </c>
      <c r="H236" s="3">
        <v>2</v>
      </c>
      <c r="I236" s="7">
        <v>2277.87</v>
      </c>
      <c r="J236" s="9">
        <v>0.05</v>
      </c>
      <c r="K236" s="7">
        <v>4327.95</v>
      </c>
      <c r="L236" s="7">
        <v>1739.49</v>
      </c>
      <c r="M236" s="3" t="s">
        <v>56</v>
      </c>
      <c r="N236" s="3"/>
      <c r="O236" s="3"/>
      <c r="P236" s="3"/>
      <c r="Q236" s="3"/>
    </row>
    <row r="237" spans="1:17" ht="21" customHeight="1">
      <c r="A237" s="3" t="s">
        <v>560</v>
      </c>
      <c r="B237" s="5">
        <v>45371</v>
      </c>
      <c r="C237" s="3" t="s">
        <v>561</v>
      </c>
      <c r="D237" s="3" t="s">
        <v>46</v>
      </c>
      <c r="E237" s="3" t="s">
        <v>38</v>
      </c>
      <c r="F237" s="3" t="s">
        <v>142</v>
      </c>
      <c r="G237" s="3" t="s">
        <v>245</v>
      </c>
      <c r="H237" s="3">
        <v>5</v>
      </c>
      <c r="I237" s="7">
        <v>5034.3599999999997</v>
      </c>
      <c r="J237" s="9">
        <v>0.1</v>
      </c>
      <c r="K237" s="7">
        <v>22654.62</v>
      </c>
      <c r="L237" s="7">
        <v>1444.29</v>
      </c>
      <c r="M237" s="3" t="s">
        <v>57</v>
      </c>
      <c r="N237" s="3"/>
      <c r="O237" s="3"/>
      <c r="P237" s="3"/>
      <c r="Q237" s="3"/>
    </row>
    <row r="238" spans="1:17" ht="21" customHeight="1">
      <c r="A238" s="3" t="s">
        <v>562</v>
      </c>
      <c r="B238" s="5">
        <v>45372</v>
      </c>
      <c r="C238" s="3" t="s">
        <v>563</v>
      </c>
      <c r="D238" s="3" t="s">
        <v>44</v>
      </c>
      <c r="E238" s="3" t="s">
        <v>38</v>
      </c>
      <c r="F238" s="3" t="s">
        <v>142</v>
      </c>
      <c r="G238" s="3" t="s">
        <v>245</v>
      </c>
      <c r="H238" s="3">
        <v>1</v>
      </c>
      <c r="I238" s="7">
        <v>4820.22</v>
      </c>
      <c r="J238" s="9">
        <v>0.2</v>
      </c>
      <c r="K238" s="7">
        <v>3856.18</v>
      </c>
      <c r="L238" s="7">
        <v>-277.16000000000003</v>
      </c>
      <c r="M238" s="3" t="s">
        <v>56</v>
      </c>
      <c r="N238" s="3"/>
      <c r="O238" s="3"/>
      <c r="P238" s="3"/>
      <c r="Q238" s="3"/>
    </row>
    <row r="239" spans="1:17" ht="21" customHeight="1">
      <c r="A239" s="3" t="s">
        <v>564</v>
      </c>
      <c r="B239" s="5">
        <v>45372</v>
      </c>
      <c r="C239" s="3" t="s">
        <v>226</v>
      </c>
      <c r="D239" s="3" t="s">
        <v>44</v>
      </c>
      <c r="E239" s="3" t="s">
        <v>38</v>
      </c>
      <c r="F239" s="3" t="s">
        <v>94</v>
      </c>
      <c r="G239" s="3" t="s">
        <v>95</v>
      </c>
      <c r="H239" s="3">
        <v>1</v>
      </c>
      <c r="I239" s="7">
        <v>80767.08</v>
      </c>
      <c r="J239" s="9">
        <v>0.1</v>
      </c>
      <c r="K239" s="7">
        <v>72690.37</v>
      </c>
      <c r="L239" s="7">
        <v>6542</v>
      </c>
      <c r="M239" s="3" t="s">
        <v>57</v>
      </c>
      <c r="N239" s="3"/>
      <c r="O239" s="3"/>
      <c r="P239" s="3"/>
      <c r="Q239" s="3"/>
    </row>
    <row r="240" spans="1:17" ht="21" customHeight="1">
      <c r="A240" s="3" t="s">
        <v>565</v>
      </c>
      <c r="B240" s="5">
        <v>45372</v>
      </c>
      <c r="C240" s="3" t="s">
        <v>566</v>
      </c>
      <c r="D240" s="3" t="s">
        <v>46</v>
      </c>
      <c r="E240" s="3" t="s">
        <v>40</v>
      </c>
      <c r="F240" s="3" t="s">
        <v>160</v>
      </c>
      <c r="G240" s="3" t="s">
        <v>161</v>
      </c>
      <c r="H240" s="3">
        <v>5</v>
      </c>
      <c r="I240" s="7">
        <v>12762.82</v>
      </c>
      <c r="J240" s="9">
        <v>0.15</v>
      </c>
      <c r="K240" s="7">
        <v>54241.99</v>
      </c>
      <c r="L240" s="7">
        <v>6910.33</v>
      </c>
      <c r="M240" s="3" t="s">
        <v>57</v>
      </c>
      <c r="N240" s="3"/>
      <c r="O240" s="3"/>
      <c r="P240" s="3"/>
      <c r="Q240" s="3"/>
    </row>
    <row r="241" spans="1:17" ht="21" customHeight="1">
      <c r="A241" s="3" t="s">
        <v>567</v>
      </c>
      <c r="B241" s="5">
        <v>45372</v>
      </c>
      <c r="C241" s="3" t="s">
        <v>568</v>
      </c>
      <c r="D241" s="3" t="s">
        <v>46</v>
      </c>
      <c r="E241" s="3" t="s">
        <v>40</v>
      </c>
      <c r="F241" s="3" t="s">
        <v>160</v>
      </c>
      <c r="G241" s="3" t="s">
        <v>173</v>
      </c>
      <c r="H241" s="3">
        <v>1</v>
      </c>
      <c r="I241" s="7">
        <v>8857.94</v>
      </c>
      <c r="J241" s="9">
        <v>0</v>
      </c>
      <c r="K241" s="7">
        <v>8857.94</v>
      </c>
      <c r="L241" s="7">
        <v>3062.83</v>
      </c>
      <c r="M241" s="3" t="s">
        <v>57</v>
      </c>
      <c r="N241" s="3"/>
      <c r="O241" s="3"/>
      <c r="P241" s="3"/>
      <c r="Q241" s="3"/>
    </row>
    <row r="242" spans="1:17" ht="21" customHeight="1">
      <c r="A242" s="3" t="s">
        <v>569</v>
      </c>
      <c r="B242" s="5">
        <v>45372</v>
      </c>
      <c r="C242" s="3" t="s">
        <v>150</v>
      </c>
      <c r="D242" s="3" t="s">
        <v>44</v>
      </c>
      <c r="E242" s="3" t="s">
        <v>41</v>
      </c>
      <c r="F242" s="3" t="s">
        <v>119</v>
      </c>
      <c r="G242" s="3" t="s">
        <v>120</v>
      </c>
      <c r="H242" s="3">
        <v>1</v>
      </c>
      <c r="I242" s="7">
        <v>1249.31</v>
      </c>
      <c r="J242" s="9">
        <v>0.1</v>
      </c>
      <c r="K242" s="7">
        <v>1124.3800000000001</v>
      </c>
      <c r="L242" s="7">
        <v>315.89</v>
      </c>
      <c r="M242" s="3" t="s">
        <v>58</v>
      </c>
      <c r="N242" s="3"/>
      <c r="O242" s="3"/>
      <c r="P242" s="3"/>
      <c r="Q242" s="3"/>
    </row>
    <row r="243" spans="1:17" ht="21" customHeight="1">
      <c r="A243" s="3" t="s">
        <v>570</v>
      </c>
      <c r="B243" s="5">
        <v>45373</v>
      </c>
      <c r="C243" s="3" t="s">
        <v>571</v>
      </c>
      <c r="D243" s="3" t="s">
        <v>45</v>
      </c>
      <c r="E243" s="3" t="s">
        <v>38</v>
      </c>
      <c r="F243" s="3" t="s">
        <v>94</v>
      </c>
      <c r="G243" s="3" t="s">
        <v>213</v>
      </c>
      <c r="H243" s="3">
        <v>2</v>
      </c>
      <c r="I243" s="7">
        <v>57365.120000000003</v>
      </c>
      <c r="J243" s="9">
        <v>0</v>
      </c>
      <c r="K243" s="7">
        <v>114730.24000000001</v>
      </c>
      <c r="L243" s="7">
        <v>17978.12</v>
      </c>
      <c r="M243" s="3" t="s">
        <v>59</v>
      </c>
      <c r="N243" s="3"/>
      <c r="O243" s="3"/>
      <c r="P243" s="3"/>
      <c r="Q243" s="3"/>
    </row>
    <row r="244" spans="1:17" ht="21" customHeight="1">
      <c r="A244" s="3" t="s">
        <v>572</v>
      </c>
      <c r="B244" s="5">
        <v>45373</v>
      </c>
      <c r="C244" s="3" t="s">
        <v>573</v>
      </c>
      <c r="D244" s="3" t="s">
        <v>44</v>
      </c>
      <c r="E244" s="3" t="s">
        <v>42</v>
      </c>
      <c r="F244" s="3" t="s">
        <v>126</v>
      </c>
      <c r="G244" s="3" t="s">
        <v>151</v>
      </c>
      <c r="H244" s="3">
        <v>2</v>
      </c>
      <c r="I244" s="7">
        <v>1569.72</v>
      </c>
      <c r="J244" s="9">
        <v>0.2</v>
      </c>
      <c r="K244" s="7">
        <v>2511.5500000000002</v>
      </c>
      <c r="L244" s="7">
        <v>725.67</v>
      </c>
      <c r="M244" s="3" t="s">
        <v>57</v>
      </c>
      <c r="N244" s="3"/>
      <c r="O244" s="3"/>
      <c r="P244" s="3"/>
      <c r="Q244" s="3"/>
    </row>
    <row r="245" spans="1:17" ht="21" customHeight="1">
      <c r="A245" s="3" t="s">
        <v>574</v>
      </c>
      <c r="B245" s="5">
        <v>45373</v>
      </c>
      <c r="C245" s="3" t="s">
        <v>575</v>
      </c>
      <c r="D245" s="3" t="s">
        <v>46</v>
      </c>
      <c r="E245" s="3" t="s">
        <v>39</v>
      </c>
      <c r="F245" s="3" t="s">
        <v>164</v>
      </c>
      <c r="G245" s="3" t="s">
        <v>165</v>
      </c>
      <c r="H245" s="3">
        <v>1</v>
      </c>
      <c r="I245" s="7">
        <v>1917.36</v>
      </c>
      <c r="J245" s="9">
        <v>0.15</v>
      </c>
      <c r="K245" s="7">
        <v>1629.76</v>
      </c>
      <c r="L245" s="7">
        <v>394.63</v>
      </c>
      <c r="M245" s="3" t="s">
        <v>56</v>
      </c>
      <c r="N245" s="3"/>
      <c r="O245" s="3"/>
      <c r="P245" s="3"/>
      <c r="Q245" s="3"/>
    </row>
    <row r="246" spans="1:17" ht="21" customHeight="1">
      <c r="A246" s="3" t="s">
        <v>576</v>
      </c>
      <c r="B246" s="5">
        <v>45374</v>
      </c>
      <c r="C246" s="3" t="s">
        <v>577</v>
      </c>
      <c r="D246" s="3" t="s">
        <v>46</v>
      </c>
      <c r="E246" s="3" t="s">
        <v>39</v>
      </c>
      <c r="F246" s="3" t="s">
        <v>130</v>
      </c>
      <c r="G246" s="3" t="s">
        <v>193</v>
      </c>
      <c r="H246" s="3">
        <v>4</v>
      </c>
      <c r="I246" s="7">
        <v>1727.03</v>
      </c>
      <c r="J246" s="9">
        <v>0</v>
      </c>
      <c r="K246" s="7">
        <v>6908.12</v>
      </c>
      <c r="L246" s="7">
        <v>3093.38</v>
      </c>
      <c r="M246" s="3" t="s">
        <v>58</v>
      </c>
      <c r="N246" s="3"/>
      <c r="O246" s="3"/>
      <c r="P246" s="3"/>
      <c r="Q246" s="3"/>
    </row>
    <row r="247" spans="1:17" ht="21" customHeight="1">
      <c r="A247" s="3" t="s">
        <v>578</v>
      </c>
      <c r="B247" s="5">
        <v>45374</v>
      </c>
      <c r="C247" s="3" t="s">
        <v>579</v>
      </c>
      <c r="D247" s="3" t="s">
        <v>46</v>
      </c>
      <c r="E247" s="3" t="s">
        <v>41</v>
      </c>
      <c r="F247" s="3" t="s">
        <v>119</v>
      </c>
      <c r="G247" s="3" t="s">
        <v>120</v>
      </c>
      <c r="H247" s="3">
        <v>1</v>
      </c>
      <c r="I247" s="7">
        <v>1303.02</v>
      </c>
      <c r="J247" s="9">
        <v>0.1</v>
      </c>
      <c r="K247" s="7">
        <v>1172.72</v>
      </c>
      <c r="L247" s="7">
        <v>291.69</v>
      </c>
      <c r="M247" s="3" t="s">
        <v>57</v>
      </c>
      <c r="N247" s="3"/>
      <c r="O247" s="3"/>
      <c r="P247" s="3"/>
      <c r="Q247" s="3"/>
    </row>
    <row r="248" spans="1:17" ht="21" customHeight="1">
      <c r="A248" s="3" t="s">
        <v>580</v>
      </c>
      <c r="B248" s="5">
        <v>45374</v>
      </c>
      <c r="C248" s="3" t="s">
        <v>581</v>
      </c>
      <c r="D248" s="3" t="s">
        <v>47</v>
      </c>
      <c r="E248" s="3" t="s">
        <v>42</v>
      </c>
      <c r="F248" s="3" t="s">
        <v>90</v>
      </c>
      <c r="G248" s="3" t="s">
        <v>106</v>
      </c>
      <c r="H248" s="3">
        <v>5</v>
      </c>
      <c r="I248" s="7">
        <v>878.9</v>
      </c>
      <c r="J248" s="9">
        <v>0.1</v>
      </c>
      <c r="K248" s="7">
        <v>3955.05</v>
      </c>
      <c r="L248" s="7">
        <v>1651.8</v>
      </c>
      <c r="M248" s="3" t="s">
        <v>58</v>
      </c>
      <c r="N248" s="3"/>
      <c r="O248" s="3"/>
      <c r="P248" s="3"/>
      <c r="Q248" s="3"/>
    </row>
    <row r="249" spans="1:17" ht="21" customHeight="1">
      <c r="A249" s="3" t="s">
        <v>582</v>
      </c>
      <c r="B249" s="5">
        <v>45374</v>
      </c>
      <c r="C249" s="3" t="s">
        <v>491</v>
      </c>
      <c r="D249" s="3" t="s">
        <v>47</v>
      </c>
      <c r="E249" s="3" t="s">
        <v>39</v>
      </c>
      <c r="F249" s="3" t="s">
        <v>109</v>
      </c>
      <c r="G249" s="3" t="s">
        <v>355</v>
      </c>
      <c r="H249" s="3">
        <v>1</v>
      </c>
      <c r="I249" s="7">
        <v>3345.24</v>
      </c>
      <c r="J249" s="9">
        <v>0.2</v>
      </c>
      <c r="K249" s="7">
        <v>2676.19</v>
      </c>
      <c r="L249" s="7">
        <v>518.4</v>
      </c>
      <c r="M249" s="3" t="s">
        <v>57</v>
      </c>
      <c r="N249" s="3"/>
      <c r="O249" s="3"/>
      <c r="P249" s="3"/>
      <c r="Q249" s="3"/>
    </row>
    <row r="250" spans="1:17" ht="21" customHeight="1">
      <c r="A250" s="3" t="s">
        <v>583</v>
      </c>
      <c r="B250" s="5">
        <v>45374</v>
      </c>
      <c r="C250" s="3" t="s">
        <v>172</v>
      </c>
      <c r="D250" s="3" t="s">
        <v>46</v>
      </c>
      <c r="E250" s="3" t="s">
        <v>40</v>
      </c>
      <c r="F250" s="3" t="s">
        <v>160</v>
      </c>
      <c r="G250" s="3" t="s">
        <v>173</v>
      </c>
      <c r="H250" s="3">
        <v>1</v>
      </c>
      <c r="I250" s="7">
        <v>8811.84</v>
      </c>
      <c r="J250" s="9">
        <v>0.05</v>
      </c>
      <c r="K250" s="7">
        <v>8371.25</v>
      </c>
      <c r="L250" s="7">
        <v>2515.86</v>
      </c>
      <c r="M250" s="3" t="s">
        <v>58</v>
      </c>
      <c r="N250" s="3"/>
      <c r="O250" s="3"/>
      <c r="P250" s="3"/>
      <c r="Q250" s="3"/>
    </row>
    <row r="251" spans="1:17" ht="21" customHeight="1">
      <c r="A251" s="3" t="s">
        <v>584</v>
      </c>
      <c r="B251" s="5">
        <v>45375</v>
      </c>
      <c r="C251" s="3" t="s">
        <v>585</v>
      </c>
      <c r="D251" s="3" t="s">
        <v>47</v>
      </c>
      <c r="E251" s="3" t="s">
        <v>40</v>
      </c>
      <c r="F251" s="3" t="s">
        <v>160</v>
      </c>
      <c r="G251" s="3" t="s">
        <v>173</v>
      </c>
      <c r="H251" s="3">
        <v>1</v>
      </c>
      <c r="I251" s="7">
        <v>8890.23</v>
      </c>
      <c r="J251" s="9">
        <v>0.15</v>
      </c>
      <c r="K251" s="7">
        <v>7556.7</v>
      </c>
      <c r="L251" s="7">
        <v>1342.53</v>
      </c>
      <c r="M251" s="3" t="s">
        <v>56</v>
      </c>
      <c r="N251" s="3"/>
      <c r="O251" s="3"/>
      <c r="P251" s="3"/>
      <c r="Q251" s="3"/>
    </row>
    <row r="252" spans="1:17" ht="21" customHeight="1">
      <c r="A252" s="3" t="s">
        <v>586</v>
      </c>
      <c r="B252" s="5">
        <v>45375</v>
      </c>
      <c r="C252" s="3" t="s">
        <v>587</v>
      </c>
      <c r="D252" s="3" t="s">
        <v>46</v>
      </c>
      <c r="E252" s="3" t="s">
        <v>40</v>
      </c>
      <c r="F252" s="3" t="s">
        <v>102</v>
      </c>
      <c r="G252" s="3" t="s">
        <v>146</v>
      </c>
      <c r="H252" s="3">
        <v>1</v>
      </c>
      <c r="I252" s="7">
        <v>7721.58</v>
      </c>
      <c r="J252" s="9">
        <v>0</v>
      </c>
      <c r="K252" s="7">
        <v>7721.58</v>
      </c>
      <c r="L252" s="7">
        <v>2701.15</v>
      </c>
      <c r="M252" s="3" t="s">
        <v>56</v>
      </c>
      <c r="N252" s="3"/>
      <c r="O252" s="3"/>
      <c r="P252" s="3"/>
      <c r="Q252" s="3"/>
    </row>
    <row r="253" spans="1:17" ht="21" customHeight="1">
      <c r="A253" s="3" t="s">
        <v>588</v>
      </c>
      <c r="B253" s="5">
        <v>45375</v>
      </c>
      <c r="C253" s="3" t="s">
        <v>215</v>
      </c>
      <c r="D253" s="3" t="s">
        <v>46</v>
      </c>
      <c r="E253" s="3" t="s">
        <v>38</v>
      </c>
      <c r="F253" s="3" t="s">
        <v>98</v>
      </c>
      <c r="G253" s="3" t="s">
        <v>99</v>
      </c>
      <c r="H253" s="3">
        <v>3</v>
      </c>
      <c r="I253" s="7">
        <v>25476.19</v>
      </c>
      <c r="J253" s="9">
        <v>0.15</v>
      </c>
      <c r="K253" s="7">
        <v>64964.28</v>
      </c>
      <c r="L253" s="7">
        <v>2373.1999999999998</v>
      </c>
      <c r="M253" s="3" t="s">
        <v>56</v>
      </c>
      <c r="N253" s="3"/>
      <c r="O253" s="3"/>
      <c r="P253" s="3"/>
      <c r="Q253" s="3"/>
    </row>
    <row r="254" spans="1:17" ht="21" customHeight="1">
      <c r="A254" s="3" t="s">
        <v>589</v>
      </c>
      <c r="B254" s="5">
        <v>45375</v>
      </c>
      <c r="C254" s="3" t="s">
        <v>251</v>
      </c>
      <c r="D254" s="3" t="s">
        <v>44</v>
      </c>
      <c r="E254" s="3" t="s">
        <v>40</v>
      </c>
      <c r="F254" s="3" t="s">
        <v>221</v>
      </c>
      <c r="G254" s="3" t="s">
        <v>279</v>
      </c>
      <c r="H254" s="3">
        <v>1</v>
      </c>
      <c r="I254" s="7">
        <v>1518.52</v>
      </c>
      <c r="J254" s="9">
        <v>0.1</v>
      </c>
      <c r="K254" s="7">
        <v>1366.67</v>
      </c>
      <c r="L254" s="7">
        <v>259.27</v>
      </c>
      <c r="M254" s="3" t="s">
        <v>60</v>
      </c>
      <c r="N254" s="3"/>
      <c r="O254" s="3"/>
      <c r="P254" s="3"/>
      <c r="Q254" s="3"/>
    </row>
    <row r="255" spans="1:17" ht="21" customHeight="1">
      <c r="A255" s="3" t="s">
        <v>590</v>
      </c>
      <c r="B255" s="5">
        <v>45375</v>
      </c>
      <c r="C255" s="3" t="s">
        <v>591</v>
      </c>
      <c r="D255" s="3" t="s">
        <v>46</v>
      </c>
      <c r="E255" s="3" t="s">
        <v>42</v>
      </c>
      <c r="F255" s="3" t="s">
        <v>90</v>
      </c>
      <c r="G255" s="3" t="s">
        <v>106</v>
      </c>
      <c r="H255" s="3">
        <v>1</v>
      </c>
      <c r="I255" s="7">
        <v>905.09</v>
      </c>
      <c r="J255" s="9">
        <v>0.15</v>
      </c>
      <c r="K255" s="7">
        <v>769.33</v>
      </c>
      <c r="L255" s="7">
        <v>276.39999999999998</v>
      </c>
      <c r="M255" s="3" t="s">
        <v>58</v>
      </c>
      <c r="N255" s="3"/>
      <c r="O255" s="3"/>
      <c r="P255" s="3"/>
      <c r="Q255" s="3"/>
    </row>
    <row r="256" spans="1:17" ht="21" customHeight="1">
      <c r="A256" s="3" t="s">
        <v>592</v>
      </c>
      <c r="B256" s="5">
        <v>45376</v>
      </c>
      <c r="C256" s="3" t="s">
        <v>593</v>
      </c>
      <c r="D256" s="3" t="s">
        <v>47</v>
      </c>
      <c r="E256" s="3" t="s">
        <v>42</v>
      </c>
      <c r="F256" s="3" t="s">
        <v>90</v>
      </c>
      <c r="G256" s="3" t="s">
        <v>91</v>
      </c>
      <c r="H256" s="3">
        <v>2</v>
      </c>
      <c r="I256" s="7">
        <v>1162.8900000000001</v>
      </c>
      <c r="J256" s="9">
        <v>0</v>
      </c>
      <c r="K256" s="7">
        <v>2325.7800000000002</v>
      </c>
      <c r="L256" s="7">
        <v>1237.72</v>
      </c>
      <c r="M256" s="3" t="s">
        <v>57</v>
      </c>
      <c r="N256" s="3"/>
      <c r="O256" s="3"/>
      <c r="P256" s="3"/>
      <c r="Q256" s="3"/>
    </row>
    <row r="257" spans="1:17" ht="21" customHeight="1">
      <c r="A257" s="3" t="s">
        <v>594</v>
      </c>
      <c r="B257" s="5">
        <v>45377</v>
      </c>
      <c r="C257" s="3" t="s">
        <v>595</v>
      </c>
      <c r="D257" s="3" t="s">
        <v>44</v>
      </c>
      <c r="E257" s="3" t="s">
        <v>38</v>
      </c>
      <c r="F257" s="3" t="s">
        <v>94</v>
      </c>
      <c r="G257" s="3" t="s">
        <v>213</v>
      </c>
      <c r="H257" s="3">
        <v>1</v>
      </c>
      <c r="I257" s="7">
        <v>52848.26</v>
      </c>
      <c r="J257" s="9">
        <v>0.05</v>
      </c>
      <c r="K257" s="7">
        <v>50205.85</v>
      </c>
      <c r="L257" s="7">
        <v>5389.54</v>
      </c>
      <c r="M257" s="3" t="s">
        <v>57</v>
      </c>
      <c r="N257" s="3"/>
      <c r="O257" s="3"/>
      <c r="P257" s="3"/>
      <c r="Q257" s="3"/>
    </row>
    <row r="258" spans="1:17" ht="21" customHeight="1">
      <c r="A258" s="3" t="s">
        <v>596</v>
      </c>
      <c r="B258" s="5">
        <v>45377</v>
      </c>
      <c r="C258" s="3" t="s">
        <v>597</v>
      </c>
      <c r="D258" s="3" t="s">
        <v>47</v>
      </c>
      <c r="E258" s="3" t="s">
        <v>42</v>
      </c>
      <c r="F258" s="3" t="s">
        <v>90</v>
      </c>
      <c r="G258" s="3" t="s">
        <v>106</v>
      </c>
      <c r="H258" s="3">
        <v>1</v>
      </c>
      <c r="I258" s="7">
        <v>940.06</v>
      </c>
      <c r="J258" s="9">
        <v>0.15</v>
      </c>
      <c r="K258" s="7">
        <v>799.05</v>
      </c>
      <c r="L258" s="7">
        <v>273.91000000000003</v>
      </c>
      <c r="M258" s="3" t="s">
        <v>56</v>
      </c>
      <c r="N258" s="3"/>
      <c r="O258" s="3"/>
      <c r="P258" s="3"/>
      <c r="Q258" s="3"/>
    </row>
    <row r="259" spans="1:17" ht="21" customHeight="1">
      <c r="A259" s="3" t="s">
        <v>598</v>
      </c>
      <c r="B259" s="5">
        <v>45378</v>
      </c>
      <c r="C259" s="3" t="s">
        <v>387</v>
      </c>
      <c r="D259" s="3" t="s">
        <v>46</v>
      </c>
      <c r="E259" s="3" t="s">
        <v>39</v>
      </c>
      <c r="F259" s="3" t="s">
        <v>164</v>
      </c>
      <c r="G259" s="3" t="s">
        <v>200</v>
      </c>
      <c r="H259" s="3">
        <v>1</v>
      </c>
      <c r="I259" s="7">
        <v>1308.54</v>
      </c>
      <c r="J259" s="9">
        <v>0</v>
      </c>
      <c r="K259" s="7">
        <v>1308.54</v>
      </c>
      <c r="L259" s="7">
        <v>595.70000000000005</v>
      </c>
      <c r="M259" s="3" t="s">
        <v>56</v>
      </c>
      <c r="N259" s="3"/>
      <c r="O259" s="3"/>
      <c r="P259" s="3"/>
      <c r="Q259" s="3"/>
    </row>
    <row r="260" spans="1:17" ht="21" customHeight="1">
      <c r="A260" s="3" t="s">
        <v>599</v>
      </c>
      <c r="B260" s="5">
        <v>45379</v>
      </c>
      <c r="C260" s="3" t="s">
        <v>396</v>
      </c>
      <c r="D260" s="3" t="s">
        <v>44</v>
      </c>
      <c r="E260" s="3" t="s">
        <v>42</v>
      </c>
      <c r="F260" s="3" t="s">
        <v>126</v>
      </c>
      <c r="G260" s="3" t="s">
        <v>127</v>
      </c>
      <c r="H260" s="3">
        <v>1</v>
      </c>
      <c r="I260" s="7">
        <v>972.38</v>
      </c>
      <c r="J260" s="9">
        <v>0.25</v>
      </c>
      <c r="K260" s="7">
        <v>729.28</v>
      </c>
      <c r="L260" s="7">
        <v>202.25</v>
      </c>
      <c r="M260" s="3" t="s">
        <v>58</v>
      </c>
      <c r="N260" s="3"/>
      <c r="O260" s="3"/>
      <c r="P260" s="3"/>
      <c r="Q260" s="3"/>
    </row>
    <row r="261" spans="1:17" ht="21" customHeight="1">
      <c r="A261" s="3" t="s">
        <v>600</v>
      </c>
      <c r="B261" s="5">
        <v>45379</v>
      </c>
      <c r="C261" s="3" t="s">
        <v>601</v>
      </c>
      <c r="D261" s="3" t="s">
        <v>46</v>
      </c>
      <c r="E261" s="3" t="s">
        <v>39</v>
      </c>
      <c r="F261" s="3" t="s">
        <v>109</v>
      </c>
      <c r="G261" s="3" t="s">
        <v>110</v>
      </c>
      <c r="H261" s="3">
        <v>1</v>
      </c>
      <c r="I261" s="7">
        <v>3026.13</v>
      </c>
      <c r="J261" s="9">
        <v>0.05</v>
      </c>
      <c r="K261" s="7">
        <v>2874.82</v>
      </c>
      <c r="L261" s="7">
        <v>1099.27</v>
      </c>
      <c r="M261" s="3" t="s">
        <v>56</v>
      </c>
      <c r="N261" s="3"/>
      <c r="O261" s="3"/>
      <c r="P261" s="3"/>
      <c r="Q261" s="3"/>
    </row>
    <row r="262" spans="1:17" ht="21" customHeight="1">
      <c r="A262" s="3" t="s">
        <v>602</v>
      </c>
      <c r="B262" s="5">
        <v>45380</v>
      </c>
      <c r="C262" s="3" t="s">
        <v>295</v>
      </c>
      <c r="D262" s="3" t="s">
        <v>45</v>
      </c>
      <c r="E262" s="3" t="s">
        <v>41</v>
      </c>
      <c r="F262" s="3" t="s">
        <v>113</v>
      </c>
      <c r="G262" s="3" t="s">
        <v>114</v>
      </c>
      <c r="H262" s="3">
        <v>1</v>
      </c>
      <c r="I262" s="7">
        <v>12476.23</v>
      </c>
      <c r="J262" s="9">
        <v>0.15</v>
      </c>
      <c r="K262" s="7">
        <v>10604.8</v>
      </c>
      <c r="L262" s="7">
        <v>2394.44</v>
      </c>
      <c r="M262" s="3" t="s">
        <v>58</v>
      </c>
      <c r="N262" s="3"/>
      <c r="O262" s="3"/>
      <c r="P262" s="3"/>
      <c r="Q262" s="3"/>
    </row>
    <row r="263" spans="1:17" ht="21" customHeight="1">
      <c r="A263" s="3" t="s">
        <v>603</v>
      </c>
      <c r="B263" s="5">
        <v>45380</v>
      </c>
      <c r="C263" s="3" t="s">
        <v>186</v>
      </c>
      <c r="D263" s="3" t="s">
        <v>45</v>
      </c>
      <c r="E263" s="3" t="s">
        <v>42</v>
      </c>
      <c r="F263" s="3" t="s">
        <v>90</v>
      </c>
      <c r="G263" s="3" t="s">
        <v>106</v>
      </c>
      <c r="H263" s="3">
        <v>1</v>
      </c>
      <c r="I263" s="7">
        <v>854.14</v>
      </c>
      <c r="J263" s="9">
        <v>0.05</v>
      </c>
      <c r="K263" s="7">
        <v>811.43</v>
      </c>
      <c r="L263" s="7">
        <v>378.73</v>
      </c>
      <c r="M263" s="3" t="s">
        <v>58</v>
      </c>
      <c r="N263" s="3"/>
      <c r="O263" s="3"/>
      <c r="P263" s="3"/>
      <c r="Q263" s="3"/>
    </row>
    <row r="264" spans="1:17" ht="21" customHeight="1">
      <c r="A264" s="3" t="s">
        <v>604</v>
      </c>
      <c r="B264" s="5">
        <v>45380</v>
      </c>
      <c r="C264" s="3" t="s">
        <v>220</v>
      </c>
      <c r="D264" s="3" t="s">
        <v>45</v>
      </c>
      <c r="E264" s="3" t="s">
        <v>39</v>
      </c>
      <c r="F264" s="3" t="s">
        <v>164</v>
      </c>
      <c r="G264" s="3" t="s">
        <v>200</v>
      </c>
      <c r="H264" s="3">
        <v>1</v>
      </c>
      <c r="I264" s="7">
        <v>1344.03</v>
      </c>
      <c r="J264" s="9">
        <v>0.05</v>
      </c>
      <c r="K264" s="7">
        <v>1276.83</v>
      </c>
      <c r="L264" s="7">
        <v>431.68</v>
      </c>
      <c r="M264" s="3" t="s">
        <v>57</v>
      </c>
      <c r="N264" s="3"/>
      <c r="O264" s="3"/>
      <c r="P264" s="3"/>
      <c r="Q264" s="3"/>
    </row>
    <row r="265" spans="1:17" ht="21" customHeight="1">
      <c r="A265" s="3" t="s">
        <v>605</v>
      </c>
      <c r="B265" s="5">
        <v>45381</v>
      </c>
      <c r="C265" s="3" t="s">
        <v>108</v>
      </c>
      <c r="D265" s="3" t="s">
        <v>47</v>
      </c>
      <c r="E265" s="3" t="s">
        <v>39</v>
      </c>
      <c r="F265" s="3" t="s">
        <v>109</v>
      </c>
      <c r="G265" s="3" t="s">
        <v>110</v>
      </c>
      <c r="H265" s="3">
        <v>1</v>
      </c>
      <c r="I265" s="7">
        <v>3005.7</v>
      </c>
      <c r="J265" s="9">
        <v>0.15</v>
      </c>
      <c r="K265" s="7">
        <v>2554.84</v>
      </c>
      <c r="L265" s="7">
        <v>530.97</v>
      </c>
      <c r="M265" s="3" t="s">
        <v>57</v>
      </c>
      <c r="N265" s="3"/>
      <c r="O265" s="3"/>
      <c r="P265" s="3"/>
      <c r="Q265" s="3"/>
    </row>
    <row r="266" spans="1:17" ht="21" customHeight="1">
      <c r="A266" s="3" t="s">
        <v>606</v>
      </c>
      <c r="B266" s="5">
        <v>45381</v>
      </c>
      <c r="C266" s="3" t="s">
        <v>607</v>
      </c>
      <c r="D266" s="3" t="s">
        <v>44</v>
      </c>
      <c r="E266" s="3" t="s">
        <v>42</v>
      </c>
      <c r="F266" s="3" t="s">
        <v>90</v>
      </c>
      <c r="G266" s="3" t="s">
        <v>91</v>
      </c>
      <c r="H266" s="3">
        <v>1</v>
      </c>
      <c r="I266" s="7">
        <v>1190.32</v>
      </c>
      <c r="J266" s="9">
        <v>0.15</v>
      </c>
      <c r="K266" s="7">
        <v>1011.77</v>
      </c>
      <c r="L266" s="7">
        <v>372.72</v>
      </c>
      <c r="M266" s="3" t="s">
        <v>56</v>
      </c>
      <c r="N266" s="3"/>
      <c r="O266" s="3"/>
      <c r="P266" s="3"/>
      <c r="Q266" s="3"/>
    </row>
    <row r="267" spans="1:17" ht="21" customHeight="1">
      <c r="A267" s="3" t="s">
        <v>608</v>
      </c>
      <c r="B267" s="5">
        <v>45381</v>
      </c>
      <c r="C267" s="3" t="s">
        <v>609</v>
      </c>
      <c r="D267" s="3" t="s">
        <v>47</v>
      </c>
      <c r="E267" s="3" t="s">
        <v>39</v>
      </c>
      <c r="F267" s="3" t="s">
        <v>109</v>
      </c>
      <c r="G267" s="3" t="s">
        <v>355</v>
      </c>
      <c r="H267" s="3">
        <v>1</v>
      </c>
      <c r="I267" s="7">
        <v>3592.18</v>
      </c>
      <c r="J267" s="9">
        <v>0</v>
      </c>
      <c r="K267" s="7">
        <v>3592.18</v>
      </c>
      <c r="L267" s="7">
        <v>1453.98</v>
      </c>
      <c r="M267" s="3" t="s">
        <v>58</v>
      </c>
      <c r="N267" s="3"/>
      <c r="O267" s="3"/>
      <c r="P267" s="3"/>
      <c r="Q267" s="3"/>
    </row>
    <row r="268" spans="1:17" ht="21" customHeight="1">
      <c r="A268" s="3" t="s">
        <v>610</v>
      </c>
      <c r="B268" s="5">
        <v>45381</v>
      </c>
      <c r="C268" s="3" t="s">
        <v>611</v>
      </c>
      <c r="D268" s="3" t="s">
        <v>47</v>
      </c>
      <c r="E268" s="3" t="s">
        <v>41</v>
      </c>
      <c r="F268" s="3" t="s">
        <v>113</v>
      </c>
      <c r="G268" s="3" t="s">
        <v>123</v>
      </c>
      <c r="H268" s="3">
        <v>1</v>
      </c>
      <c r="I268" s="7">
        <v>3657.41</v>
      </c>
      <c r="J268" s="9">
        <v>0.1</v>
      </c>
      <c r="K268" s="7">
        <v>3291.67</v>
      </c>
      <c r="L268" s="7">
        <v>780.04</v>
      </c>
      <c r="M268" s="3" t="s">
        <v>58</v>
      </c>
      <c r="N268" s="3"/>
      <c r="O268" s="3"/>
      <c r="P268" s="3"/>
      <c r="Q268" s="3"/>
    </row>
    <row r="269" spans="1:17" ht="21" customHeight="1">
      <c r="A269" s="3" t="s">
        <v>612</v>
      </c>
      <c r="B269" s="5">
        <v>45381</v>
      </c>
      <c r="C269" s="3" t="s">
        <v>613</v>
      </c>
      <c r="D269" s="3" t="s">
        <v>46</v>
      </c>
      <c r="E269" s="3" t="s">
        <v>41</v>
      </c>
      <c r="F269" s="3" t="s">
        <v>119</v>
      </c>
      <c r="G269" s="3" t="s">
        <v>168</v>
      </c>
      <c r="H269" s="3">
        <v>2</v>
      </c>
      <c r="I269" s="7">
        <v>10423.57</v>
      </c>
      <c r="J269" s="9">
        <v>0.05</v>
      </c>
      <c r="K269" s="7">
        <v>19804.78</v>
      </c>
      <c r="L269" s="7">
        <v>7022.9</v>
      </c>
      <c r="M269" s="3" t="s">
        <v>56</v>
      </c>
      <c r="N269" s="3"/>
      <c r="O269" s="3"/>
      <c r="P269" s="3"/>
      <c r="Q269" s="3"/>
    </row>
    <row r="270" spans="1:17" ht="21" customHeight="1">
      <c r="A270" s="3" t="s">
        <v>614</v>
      </c>
      <c r="B270" s="5">
        <v>45382</v>
      </c>
      <c r="C270" s="3" t="s">
        <v>262</v>
      </c>
      <c r="D270" s="3" t="s">
        <v>47</v>
      </c>
      <c r="E270" s="3" t="s">
        <v>41</v>
      </c>
      <c r="F270" s="3" t="s">
        <v>113</v>
      </c>
      <c r="G270" s="3" t="s">
        <v>123</v>
      </c>
      <c r="H270" s="3">
        <v>1</v>
      </c>
      <c r="I270" s="7">
        <v>3594.17</v>
      </c>
      <c r="J270" s="9">
        <v>0.05</v>
      </c>
      <c r="K270" s="7">
        <v>3414.46</v>
      </c>
      <c r="L270" s="7">
        <v>1229.7</v>
      </c>
      <c r="M270" s="3" t="s">
        <v>57</v>
      </c>
      <c r="N270" s="3"/>
      <c r="O270" s="3"/>
      <c r="P270" s="3"/>
      <c r="Q270" s="3"/>
    </row>
    <row r="271" spans="1:17" ht="21" customHeight="1">
      <c r="A271" s="3" t="s">
        <v>615</v>
      </c>
      <c r="B271" s="5">
        <v>45382</v>
      </c>
      <c r="C271" s="3" t="s">
        <v>616</v>
      </c>
      <c r="D271" s="3" t="s">
        <v>46</v>
      </c>
      <c r="E271" s="3" t="s">
        <v>42</v>
      </c>
      <c r="F271" s="3" t="s">
        <v>126</v>
      </c>
      <c r="G271" s="3" t="s">
        <v>127</v>
      </c>
      <c r="H271" s="3">
        <v>1</v>
      </c>
      <c r="I271" s="7">
        <v>1027.6099999999999</v>
      </c>
      <c r="J271" s="9">
        <v>0.25</v>
      </c>
      <c r="K271" s="7">
        <v>770.71</v>
      </c>
      <c r="L271" s="7">
        <v>208.64</v>
      </c>
      <c r="M271" s="3" t="s">
        <v>56</v>
      </c>
      <c r="N271" s="3"/>
      <c r="O271" s="3"/>
      <c r="P271" s="3"/>
      <c r="Q271" s="3"/>
    </row>
    <row r="272" spans="1:17" ht="21" customHeight="1">
      <c r="A272" s="3" t="s">
        <v>617</v>
      </c>
      <c r="B272" s="5">
        <v>45384</v>
      </c>
      <c r="C272" s="3" t="s">
        <v>489</v>
      </c>
      <c r="D272" s="3" t="s">
        <v>47</v>
      </c>
      <c r="E272" s="3" t="s">
        <v>41</v>
      </c>
      <c r="F272" s="3" t="s">
        <v>113</v>
      </c>
      <c r="G272" s="3" t="s">
        <v>114</v>
      </c>
      <c r="H272" s="3">
        <v>3</v>
      </c>
      <c r="I272" s="7">
        <v>11481.15</v>
      </c>
      <c r="J272" s="9">
        <v>0</v>
      </c>
      <c r="K272" s="7">
        <v>34443.449999999997</v>
      </c>
      <c r="L272" s="7">
        <v>13449.92</v>
      </c>
      <c r="M272" s="3" t="s">
        <v>60</v>
      </c>
      <c r="N272" s="3"/>
      <c r="O272" s="3"/>
      <c r="P272" s="3"/>
      <c r="Q272" s="3"/>
    </row>
    <row r="273" spans="1:17" ht="21" customHeight="1">
      <c r="A273" s="3" t="s">
        <v>618</v>
      </c>
      <c r="B273" s="5">
        <v>45384</v>
      </c>
      <c r="C273" s="3" t="s">
        <v>454</v>
      </c>
      <c r="D273" s="3" t="s">
        <v>46</v>
      </c>
      <c r="E273" s="3" t="s">
        <v>42</v>
      </c>
      <c r="F273" s="3" t="s">
        <v>90</v>
      </c>
      <c r="G273" s="3" t="s">
        <v>91</v>
      </c>
      <c r="H273" s="3">
        <v>1</v>
      </c>
      <c r="I273" s="7">
        <v>1183.26</v>
      </c>
      <c r="J273" s="9">
        <v>0</v>
      </c>
      <c r="K273" s="7">
        <v>1183.26</v>
      </c>
      <c r="L273" s="7">
        <v>630.64</v>
      </c>
      <c r="M273" s="3" t="s">
        <v>60</v>
      </c>
      <c r="N273" s="3"/>
      <c r="O273" s="3"/>
      <c r="P273" s="3"/>
      <c r="Q273" s="3"/>
    </row>
    <row r="274" spans="1:17" ht="21" customHeight="1">
      <c r="A274" s="3" t="s">
        <v>619</v>
      </c>
      <c r="B274" s="5">
        <v>45384</v>
      </c>
      <c r="C274" s="3" t="s">
        <v>620</v>
      </c>
      <c r="D274" s="3" t="s">
        <v>45</v>
      </c>
      <c r="E274" s="3" t="s">
        <v>41</v>
      </c>
      <c r="F274" s="3" t="s">
        <v>113</v>
      </c>
      <c r="G274" s="3" t="s">
        <v>114</v>
      </c>
      <c r="H274" s="3">
        <v>1</v>
      </c>
      <c r="I274" s="7">
        <v>12323.38</v>
      </c>
      <c r="J274" s="9">
        <v>0.05</v>
      </c>
      <c r="K274" s="7">
        <v>11707.21</v>
      </c>
      <c r="L274" s="7">
        <v>3730.54</v>
      </c>
      <c r="M274" s="3" t="s">
        <v>59</v>
      </c>
      <c r="N274" s="3"/>
      <c r="O274" s="3"/>
      <c r="P274" s="3"/>
      <c r="Q274" s="3"/>
    </row>
    <row r="275" spans="1:17" ht="21" customHeight="1">
      <c r="A275" s="3" t="s">
        <v>621</v>
      </c>
      <c r="B275" s="5">
        <v>45384</v>
      </c>
      <c r="C275" s="3" t="s">
        <v>516</v>
      </c>
      <c r="D275" s="3" t="s">
        <v>44</v>
      </c>
      <c r="E275" s="3" t="s">
        <v>41</v>
      </c>
      <c r="F275" s="3" t="s">
        <v>119</v>
      </c>
      <c r="G275" s="3" t="s">
        <v>168</v>
      </c>
      <c r="H275" s="3">
        <v>1</v>
      </c>
      <c r="I275" s="7">
        <v>10088.59</v>
      </c>
      <c r="J275" s="9">
        <v>0.2</v>
      </c>
      <c r="K275" s="7">
        <v>8070.87</v>
      </c>
      <c r="L275" s="7">
        <v>1441.24</v>
      </c>
      <c r="M275" s="3" t="s">
        <v>57</v>
      </c>
      <c r="N275" s="3"/>
      <c r="O275" s="3"/>
      <c r="P275" s="3"/>
      <c r="Q275" s="3"/>
    </row>
    <row r="276" spans="1:17" ht="21" customHeight="1">
      <c r="A276" s="3" t="s">
        <v>622</v>
      </c>
      <c r="B276" s="5">
        <v>45384</v>
      </c>
      <c r="C276" s="3" t="s">
        <v>623</v>
      </c>
      <c r="D276" s="3" t="s">
        <v>45</v>
      </c>
      <c r="E276" s="3" t="s">
        <v>38</v>
      </c>
      <c r="F276" s="3" t="s">
        <v>98</v>
      </c>
      <c r="G276" s="3" t="s">
        <v>182</v>
      </c>
      <c r="H276" s="3">
        <v>4</v>
      </c>
      <c r="I276" s="7">
        <v>67446.179999999993</v>
      </c>
      <c r="J276" s="9">
        <v>0.1</v>
      </c>
      <c r="K276" s="7">
        <v>242806.25</v>
      </c>
      <c r="L276" s="7">
        <v>14103.34</v>
      </c>
      <c r="M276" s="3" t="s">
        <v>56</v>
      </c>
      <c r="N276" s="3"/>
      <c r="O276" s="3"/>
      <c r="P276" s="3"/>
      <c r="Q276" s="3"/>
    </row>
    <row r="277" spans="1:17" ht="21" customHeight="1">
      <c r="A277" s="3" t="s">
        <v>624</v>
      </c>
      <c r="B277" s="5">
        <v>45384</v>
      </c>
      <c r="C277" s="3" t="s">
        <v>381</v>
      </c>
      <c r="D277" s="3" t="s">
        <v>44</v>
      </c>
      <c r="E277" s="3" t="s">
        <v>42</v>
      </c>
      <c r="F277" s="3" t="s">
        <v>90</v>
      </c>
      <c r="G277" s="3" t="s">
        <v>106</v>
      </c>
      <c r="H277" s="3">
        <v>5</v>
      </c>
      <c r="I277" s="7">
        <v>855.84</v>
      </c>
      <c r="J277" s="9">
        <v>0.05</v>
      </c>
      <c r="K277" s="7">
        <v>4065.24</v>
      </c>
      <c r="L277" s="7">
        <v>2119.0700000000002</v>
      </c>
      <c r="M277" s="3" t="s">
        <v>57</v>
      </c>
      <c r="N277" s="3"/>
      <c r="O277" s="3"/>
      <c r="P277" s="3"/>
      <c r="Q277" s="3"/>
    </row>
    <row r="278" spans="1:17" ht="21" customHeight="1">
      <c r="A278" s="3" t="s">
        <v>625</v>
      </c>
      <c r="B278" s="5">
        <v>45384</v>
      </c>
      <c r="C278" s="3" t="s">
        <v>626</v>
      </c>
      <c r="D278" s="3" t="s">
        <v>44</v>
      </c>
      <c r="E278" s="3" t="s">
        <v>39</v>
      </c>
      <c r="F278" s="3" t="s">
        <v>130</v>
      </c>
      <c r="G278" s="3" t="s">
        <v>193</v>
      </c>
      <c r="H278" s="3">
        <v>1</v>
      </c>
      <c r="I278" s="7">
        <v>1842.15</v>
      </c>
      <c r="J278" s="9">
        <v>0.1</v>
      </c>
      <c r="K278" s="7">
        <v>1657.94</v>
      </c>
      <c r="L278" s="7">
        <v>550.27</v>
      </c>
      <c r="M278" s="3" t="s">
        <v>58</v>
      </c>
      <c r="N278" s="3"/>
      <c r="O278" s="3"/>
      <c r="P278" s="3"/>
      <c r="Q278" s="3"/>
    </row>
    <row r="279" spans="1:17" ht="21" customHeight="1">
      <c r="A279" s="3" t="s">
        <v>627</v>
      </c>
      <c r="B279" s="5">
        <v>45384</v>
      </c>
      <c r="C279" s="3" t="s">
        <v>628</v>
      </c>
      <c r="D279" s="3" t="s">
        <v>45</v>
      </c>
      <c r="E279" s="3" t="s">
        <v>40</v>
      </c>
      <c r="F279" s="3" t="s">
        <v>102</v>
      </c>
      <c r="G279" s="3" t="s">
        <v>103</v>
      </c>
      <c r="H279" s="3">
        <v>1</v>
      </c>
      <c r="I279" s="7">
        <v>6303.41</v>
      </c>
      <c r="J279" s="9">
        <v>0.05</v>
      </c>
      <c r="K279" s="7">
        <v>5988.24</v>
      </c>
      <c r="L279" s="7">
        <v>1394.36</v>
      </c>
      <c r="M279" s="3" t="s">
        <v>57</v>
      </c>
      <c r="N279" s="3"/>
      <c r="O279" s="3"/>
      <c r="P279" s="3"/>
      <c r="Q279" s="3"/>
    </row>
    <row r="280" spans="1:17" ht="21" customHeight="1">
      <c r="A280" s="3" t="s">
        <v>629</v>
      </c>
      <c r="B280" s="5">
        <v>45384</v>
      </c>
      <c r="C280" s="3" t="s">
        <v>307</v>
      </c>
      <c r="D280" s="3" t="s">
        <v>44</v>
      </c>
      <c r="E280" s="3" t="s">
        <v>38</v>
      </c>
      <c r="F280" s="3" t="s">
        <v>98</v>
      </c>
      <c r="G280" s="3" t="s">
        <v>182</v>
      </c>
      <c r="H280" s="3">
        <v>5</v>
      </c>
      <c r="I280" s="7">
        <v>71519.570000000007</v>
      </c>
      <c r="J280" s="9">
        <v>0</v>
      </c>
      <c r="K280" s="7">
        <v>357597.85</v>
      </c>
      <c r="L280" s="7">
        <v>57243.54</v>
      </c>
      <c r="M280" s="3" t="s">
        <v>59</v>
      </c>
      <c r="N280" s="3"/>
      <c r="O280" s="3"/>
      <c r="P280" s="3"/>
      <c r="Q280" s="3"/>
    </row>
    <row r="281" spans="1:17" ht="21" customHeight="1">
      <c r="A281" s="3" t="s">
        <v>630</v>
      </c>
      <c r="B281" s="5">
        <v>45384</v>
      </c>
      <c r="C281" s="3" t="s">
        <v>631</v>
      </c>
      <c r="D281" s="3" t="s">
        <v>44</v>
      </c>
      <c r="E281" s="3" t="s">
        <v>38</v>
      </c>
      <c r="F281" s="3" t="s">
        <v>94</v>
      </c>
      <c r="G281" s="3" t="s">
        <v>213</v>
      </c>
      <c r="H281" s="3">
        <v>1</v>
      </c>
      <c r="I281" s="7">
        <v>53786.46</v>
      </c>
      <c r="J281" s="9">
        <v>0</v>
      </c>
      <c r="K281" s="7">
        <v>53786.46</v>
      </c>
      <c r="L281" s="7">
        <v>11452.85</v>
      </c>
      <c r="M281" s="3" t="s">
        <v>57</v>
      </c>
      <c r="N281" s="3"/>
      <c r="O281" s="3"/>
      <c r="P281" s="3"/>
      <c r="Q281" s="3"/>
    </row>
    <row r="282" spans="1:17" ht="21" customHeight="1">
      <c r="A282" s="3" t="s">
        <v>632</v>
      </c>
      <c r="B282" s="5">
        <v>45385</v>
      </c>
      <c r="C282" s="3" t="s">
        <v>312</v>
      </c>
      <c r="D282" s="3" t="s">
        <v>44</v>
      </c>
      <c r="E282" s="3" t="s">
        <v>40</v>
      </c>
      <c r="F282" s="3" t="s">
        <v>160</v>
      </c>
      <c r="G282" s="3" t="s">
        <v>161</v>
      </c>
      <c r="H282" s="3">
        <v>2</v>
      </c>
      <c r="I282" s="7">
        <v>12793.9</v>
      </c>
      <c r="J282" s="9">
        <v>0.25</v>
      </c>
      <c r="K282" s="7">
        <v>19190.849999999999</v>
      </c>
      <c r="L282" s="7">
        <v>705.48</v>
      </c>
      <c r="M282" s="3" t="s">
        <v>60</v>
      </c>
      <c r="N282" s="3"/>
      <c r="O282" s="3"/>
      <c r="P282" s="3"/>
      <c r="Q282" s="3"/>
    </row>
    <row r="283" spans="1:17" ht="21" customHeight="1">
      <c r="A283" s="3" t="s">
        <v>633</v>
      </c>
      <c r="B283" s="5">
        <v>45385</v>
      </c>
      <c r="C283" s="3" t="s">
        <v>509</v>
      </c>
      <c r="D283" s="3" t="s">
        <v>44</v>
      </c>
      <c r="E283" s="3" t="s">
        <v>40</v>
      </c>
      <c r="F283" s="3" t="s">
        <v>102</v>
      </c>
      <c r="G283" s="3" t="s">
        <v>103</v>
      </c>
      <c r="H283" s="3">
        <v>1</v>
      </c>
      <c r="I283" s="7">
        <v>6242.79</v>
      </c>
      <c r="J283" s="9">
        <v>0</v>
      </c>
      <c r="K283" s="7">
        <v>6242.79</v>
      </c>
      <c r="L283" s="7">
        <v>2097.56</v>
      </c>
      <c r="M283" s="3" t="s">
        <v>60</v>
      </c>
      <c r="N283" s="3"/>
      <c r="O283" s="3"/>
      <c r="P283" s="3"/>
      <c r="Q283" s="3"/>
    </row>
    <row r="284" spans="1:17" ht="21" customHeight="1">
      <c r="A284" s="3" t="s">
        <v>634</v>
      </c>
      <c r="B284" s="5">
        <v>45385</v>
      </c>
      <c r="C284" s="3" t="s">
        <v>361</v>
      </c>
      <c r="D284" s="3" t="s">
        <v>44</v>
      </c>
      <c r="E284" s="3" t="s">
        <v>42</v>
      </c>
      <c r="F284" s="3" t="s">
        <v>126</v>
      </c>
      <c r="G284" s="3" t="s">
        <v>127</v>
      </c>
      <c r="H284" s="3">
        <v>2</v>
      </c>
      <c r="I284" s="7">
        <v>1035.46</v>
      </c>
      <c r="J284" s="9">
        <v>0.3</v>
      </c>
      <c r="K284" s="7">
        <v>1449.64</v>
      </c>
      <c r="L284" s="7">
        <v>296.44</v>
      </c>
      <c r="M284" s="3" t="s">
        <v>56</v>
      </c>
      <c r="N284" s="3"/>
      <c r="O284" s="3"/>
      <c r="P284" s="3"/>
      <c r="Q284" s="3"/>
    </row>
    <row r="285" spans="1:17" ht="21" customHeight="1">
      <c r="A285" s="3" t="s">
        <v>635</v>
      </c>
      <c r="B285" s="5">
        <v>45386</v>
      </c>
      <c r="C285" s="3" t="s">
        <v>636</v>
      </c>
      <c r="D285" s="3" t="s">
        <v>44</v>
      </c>
      <c r="E285" s="3" t="s">
        <v>39</v>
      </c>
      <c r="F285" s="3" t="s">
        <v>109</v>
      </c>
      <c r="G285" s="3" t="s">
        <v>110</v>
      </c>
      <c r="H285" s="3">
        <v>3</v>
      </c>
      <c r="I285" s="7">
        <v>2958.39</v>
      </c>
      <c r="J285" s="9">
        <v>0.3</v>
      </c>
      <c r="K285" s="7">
        <v>6212.62</v>
      </c>
      <c r="L285" s="7">
        <v>595.52</v>
      </c>
      <c r="M285" s="3" t="s">
        <v>59</v>
      </c>
      <c r="N285" s="3"/>
      <c r="O285" s="3"/>
      <c r="P285" s="3"/>
      <c r="Q285" s="3"/>
    </row>
    <row r="286" spans="1:17" ht="21" customHeight="1">
      <c r="A286" s="3" t="s">
        <v>637</v>
      </c>
      <c r="B286" s="5">
        <v>45386</v>
      </c>
      <c r="C286" s="3" t="s">
        <v>638</v>
      </c>
      <c r="D286" s="3" t="s">
        <v>47</v>
      </c>
      <c r="E286" s="3" t="s">
        <v>42</v>
      </c>
      <c r="F286" s="3" t="s">
        <v>90</v>
      </c>
      <c r="G286" s="3" t="s">
        <v>106</v>
      </c>
      <c r="H286" s="3">
        <v>2</v>
      </c>
      <c r="I286" s="7">
        <v>863.57</v>
      </c>
      <c r="J286" s="9">
        <v>0.15</v>
      </c>
      <c r="K286" s="7">
        <v>1468.07</v>
      </c>
      <c r="L286" s="7">
        <v>511.18</v>
      </c>
      <c r="M286" s="3" t="s">
        <v>56</v>
      </c>
      <c r="N286" s="3"/>
      <c r="O286" s="3"/>
      <c r="P286" s="3"/>
      <c r="Q286" s="3"/>
    </row>
    <row r="287" spans="1:17" ht="21" customHeight="1">
      <c r="A287" s="3" t="s">
        <v>639</v>
      </c>
      <c r="B287" s="5">
        <v>45386</v>
      </c>
      <c r="C287" s="3" t="s">
        <v>609</v>
      </c>
      <c r="D287" s="3" t="s">
        <v>44</v>
      </c>
      <c r="E287" s="3" t="s">
        <v>42</v>
      </c>
      <c r="F287" s="3" t="s">
        <v>90</v>
      </c>
      <c r="G287" s="3" t="s">
        <v>91</v>
      </c>
      <c r="H287" s="3">
        <v>1</v>
      </c>
      <c r="I287" s="7">
        <v>1145.31</v>
      </c>
      <c r="J287" s="9">
        <v>0.05</v>
      </c>
      <c r="K287" s="7">
        <v>1088.04</v>
      </c>
      <c r="L287" s="7">
        <v>566.47</v>
      </c>
      <c r="M287" s="3" t="s">
        <v>56</v>
      </c>
      <c r="N287" s="3"/>
      <c r="O287" s="3"/>
      <c r="P287" s="3"/>
      <c r="Q287" s="3"/>
    </row>
    <row r="288" spans="1:17" ht="21" customHeight="1">
      <c r="A288" s="3" t="s">
        <v>640</v>
      </c>
      <c r="B288" s="5">
        <v>45387</v>
      </c>
      <c r="C288" s="3" t="s">
        <v>347</v>
      </c>
      <c r="D288" s="3" t="s">
        <v>45</v>
      </c>
      <c r="E288" s="3" t="s">
        <v>39</v>
      </c>
      <c r="F288" s="3" t="s">
        <v>109</v>
      </c>
      <c r="G288" s="3" t="s">
        <v>355</v>
      </c>
      <c r="H288" s="3">
        <v>1</v>
      </c>
      <c r="I288" s="7">
        <v>3418.07</v>
      </c>
      <c r="J288" s="9">
        <v>0.1</v>
      </c>
      <c r="K288" s="7">
        <v>3076.26</v>
      </c>
      <c r="L288" s="7">
        <v>917.15</v>
      </c>
      <c r="M288" s="3" t="s">
        <v>57</v>
      </c>
      <c r="N288" s="3"/>
      <c r="O288" s="3"/>
      <c r="P288" s="3"/>
      <c r="Q288" s="3"/>
    </row>
    <row r="289" spans="1:17" ht="21" customHeight="1">
      <c r="A289" s="3" t="s">
        <v>641</v>
      </c>
      <c r="B289" s="5">
        <v>45387</v>
      </c>
      <c r="C289" s="3" t="s">
        <v>642</v>
      </c>
      <c r="D289" s="3" t="s">
        <v>46</v>
      </c>
      <c r="E289" s="3" t="s">
        <v>41</v>
      </c>
      <c r="F289" s="3" t="s">
        <v>119</v>
      </c>
      <c r="G289" s="3" t="s">
        <v>120</v>
      </c>
      <c r="H289" s="3">
        <v>3</v>
      </c>
      <c r="I289" s="7">
        <v>1235.31</v>
      </c>
      <c r="J289" s="9">
        <v>0.2</v>
      </c>
      <c r="K289" s="7">
        <v>2964.74</v>
      </c>
      <c r="L289" s="7">
        <v>358.95</v>
      </c>
      <c r="M289" s="3" t="s">
        <v>56</v>
      </c>
      <c r="N289" s="3"/>
      <c r="O289" s="3"/>
      <c r="P289" s="3"/>
      <c r="Q289" s="3"/>
    </row>
    <row r="290" spans="1:17" ht="21" customHeight="1">
      <c r="A290" s="3" t="s">
        <v>643</v>
      </c>
      <c r="B290" s="5">
        <v>45387</v>
      </c>
      <c r="C290" s="3" t="s">
        <v>210</v>
      </c>
      <c r="D290" s="3" t="s">
        <v>45</v>
      </c>
      <c r="E290" s="3" t="s">
        <v>40</v>
      </c>
      <c r="F290" s="3" t="s">
        <v>102</v>
      </c>
      <c r="G290" s="3" t="s">
        <v>146</v>
      </c>
      <c r="H290" s="3">
        <v>1</v>
      </c>
      <c r="I290" s="7">
        <v>7980.15</v>
      </c>
      <c r="J290" s="9">
        <v>0.2</v>
      </c>
      <c r="K290" s="7">
        <v>6384.12</v>
      </c>
      <c r="L290" s="7">
        <v>670.62</v>
      </c>
      <c r="M290" s="3" t="s">
        <v>58</v>
      </c>
      <c r="N290" s="3"/>
      <c r="O290" s="3"/>
      <c r="P290" s="3"/>
      <c r="Q290" s="3"/>
    </row>
    <row r="291" spans="1:17" ht="21" customHeight="1">
      <c r="A291" s="3" t="s">
        <v>644</v>
      </c>
      <c r="B291" s="5">
        <v>45387</v>
      </c>
      <c r="C291" s="3" t="s">
        <v>645</v>
      </c>
      <c r="D291" s="3" t="s">
        <v>47</v>
      </c>
      <c r="E291" s="3" t="s">
        <v>41</v>
      </c>
      <c r="F291" s="3" t="s">
        <v>119</v>
      </c>
      <c r="G291" s="3" t="s">
        <v>168</v>
      </c>
      <c r="H291" s="3">
        <v>2</v>
      </c>
      <c r="I291" s="7">
        <v>9804.68</v>
      </c>
      <c r="J291" s="9">
        <v>0</v>
      </c>
      <c r="K291" s="7">
        <v>19609.36</v>
      </c>
      <c r="L291" s="7">
        <v>7876.03</v>
      </c>
      <c r="M291" s="3" t="s">
        <v>57</v>
      </c>
      <c r="N291" s="3"/>
      <c r="O291" s="3"/>
      <c r="P291" s="3"/>
      <c r="Q291" s="3"/>
    </row>
    <row r="292" spans="1:17" ht="21" customHeight="1">
      <c r="A292" s="3" t="s">
        <v>646</v>
      </c>
      <c r="B292" s="5">
        <v>45387</v>
      </c>
      <c r="C292" s="3" t="s">
        <v>647</v>
      </c>
      <c r="D292" s="3" t="s">
        <v>45</v>
      </c>
      <c r="E292" s="3" t="s">
        <v>42</v>
      </c>
      <c r="F292" s="3" t="s">
        <v>90</v>
      </c>
      <c r="G292" s="3" t="s">
        <v>91</v>
      </c>
      <c r="H292" s="3">
        <v>1</v>
      </c>
      <c r="I292" s="7">
        <v>1170.74</v>
      </c>
      <c r="J292" s="9">
        <v>0</v>
      </c>
      <c r="K292" s="7">
        <v>1170.74</v>
      </c>
      <c r="L292" s="7">
        <v>658.52</v>
      </c>
      <c r="M292" s="3" t="s">
        <v>56</v>
      </c>
      <c r="N292" s="3"/>
      <c r="O292" s="3"/>
      <c r="P292" s="3"/>
      <c r="Q292" s="3"/>
    </row>
    <row r="293" spans="1:17" ht="21" customHeight="1">
      <c r="A293" s="3" t="s">
        <v>648</v>
      </c>
      <c r="B293" s="5">
        <v>45387</v>
      </c>
      <c r="C293" s="3" t="s">
        <v>649</v>
      </c>
      <c r="D293" s="3" t="s">
        <v>44</v>
      </c>
      <c r="E293" s="3" t="s">
        <v>40</v>
      </c>
      <c r="F293" s="3" t="s">
        <v>160</v>
      </c>
      <c r="G293" s="3" t="s">
        <v>173</v>
      </c>
      <c r="H293" s="3">
        <v>2</v>
      </c>
      <c r="I293" s="7">
        <v>9318.6299999999992</v>
      </c>
      <c r="J293" s="9">
        <v>0.15</v>
      </c>
      <c r="K293" s="7">
        <v>15841.67</v>
      </c>
      <c r="L293" s="7">
        <v>2588.66</v>
      </c>
      <c r="M293" s="3" t="s">
        <v>56</v>
      </c>
      <c r="N293" s="3"/>
      <c r="O293" s="3"/>
      <c r="P293" s="3"/>
      <c r="Q293" s="3"/>
    </row>
    <row r="294" spans="1:17" ht="21" customHeight="1">
      <c r="A294" s="3" t="s">
        <v>650</v>
      </c>
      <c r="B294" s="5">
        <v>45388</v>
      </c>
      <c r="C294" s="3" t="s">
        <v>197</v>
      </c>
      <c r="D294" s="3" t="s">
        <v>44</v>
      </c>
      <c r="E294" s="3" t="s">
        <v>40</v>
      </c>
      <c r="F294" s="3" t="s">
        <v>160</v>
      </c>
      <c r="G294" s="3" t="s">
        <v>173</v>
      </c>
      <c r="H294" s="3">
        <v>1</v>
      </c>
      <c r="I294" s="7">
        <v>8617.92</v>
      </c>
      <c r="J294" s="9">
        <v>0</v>
      </c>
      <c r="K294" s="7">
        <v>8617.92</v>
      </c>
      <c r="L294" s="7">
        <v>2530.29</v>
      </c>
      <c r="M294" s="3" t="s">
        <v>57</v>
      </c>
      <c r="N294" s="3"/>
      <c r="O294" s="3"/>
      <c r="P294" s="3"/>
      <c r="Q294" s="3"/>
    </row>
    <row r="295" spans="1:17" ht="21" customHeight="1">
      <c r="A295" s="3" t="s">
        <v>651</v>
      </c>
      <c r="B295" s="5">
        <v>45388</v>
      </c>
      <c r="C295" s="3" t="s">
        <v>150</v>
      </c>
      <c r="D295" s="3" t="s">
        <v>44</v>
      </c>
      <c r="E295" s="3" t="s">
        <v>40</v>
      </c>
      <c r="F295" s="3" t="s">
        <v>102</v>
      </c>
      <c r="G295" s="3" t="s">
        <v>146</v>
      </c>
      <c r="H295" s="3">
        <v>2</v>
      </c>
      <c r="I295" s="7">
        <v>7628.34</v>
      </c>
      <c r="J295" s="9">
        <v>0.05</v>
      </c>
      <c r="K295" s="7">
        <v>14493.85</v>
      </c>
      <c r="L295" s="7">
        <v>4226.33</v>
      </c>
      <c r="M295" s="3" t="s">
        <v>56</v>
      </c>
      <c r="N295" s="3"/>
      <c r="O295" s="3"/>
      <c r="P295" s="3"/>
      <c r="Q295" s="3"/>
    </row>
    <row r="296" spans="1:17" ht="21" customHeight="1">
      <c r="A296" s="3" t="s">
        <v>652</v>
      </c>
      <c r="B296" s="5">
        <v>45388</v>
      </c>
      <c r="C296" s="3" t="s">
        <v>573</v>
      </c>
      <c r="D296" s="3" t="s">
        <v>44</v>
      </c>
      <c r="E296" s="3" t="s">
        <v>38</v>
      </c>
      <c r="F296" s="3" t="s">
        <v>94</v>
      </c>
      <c r="G296" s="3" t="s">
        <v>213</v>
      </c>
      <c r="H296" s="3">
        <v>5</v>
      </c>
      <c r="I296" s="7">
        <v>52726.6</v>
      </c>
      <c r="J296" s="9">
        <v>0.15</v>
      </c>
      <c r="K296" s="7">
        <v>224088.05</v>
      </c>
      <c r="L296" s="7">
        <v>-2762.44</v>
      </c>
      <c r="M296" s="3" t="s">
        <v>56</v>
      </c>
      <c r="N296" s="3"/>
      <c r="O296" s="3"/>
      <c r="P296" s="3"/>
      <c r="Q296" s="3"/>
    </row>
    <row r="297" spans="1:17" ht="21" customHeight="1">
      <c r="A297" s="3" t="s">
        <v>653</v>
      </c>
      <c r="B297" s="5">
        <v>45388</v>
      </c>
      <c r="C297" s="3" t="s">
        <v>654</v>
      </c>
      <c r="D297" s="3" t="s">
        <v>47</v>
      </c>
      <c r="E297" s="3" t="s">
        <v>41</v>
      </c>
      <c r="F297" s="3" t="s">
        <v>113</v>
      </c>
      <c r="G297" s="3" t="s">
        <v>123</v>
      </c>
      <c r="H297" s="3">
        <v>1</v>
      </c>
      <c r="I297" s="7">
        <v>3416.5</v>
      </c>
      <c r="J297" s="9">
        <v>0</v>
      </c>
      <c r="K297" s="7">
        <v>3416.5</v>
      </c>
      <c r="L297" s="7">
        <v>1264.68</v>
      </c>
      <c r="M297" s="3" t="s">
        <v>56</v>
      </c>
      <c r="N297" s="3"/>
      <c r="O297" s="3"/>
      <c r="P297" s="3"/>
      <c r="Q297" s="3"/>
    </row>
    <row r="298" spans="1:17" ht="21" customHeight="1">
      <c r="A298" s="3" t="s">
        <v>655</v>
      </c>
      <c r="B298" s="5">
        <v>45389</v>
      </c>
      <c r="C298" s="3" t="s">
        <v>381</v>
      </c>
      <c r="D298" s="3" t="s">
        <v>45</v>
      </c>
      <c r="E298" s="3" t="s">
        <v>40</v>
      </c>
      <c r="F298" s="3" t="s">
        <v>221</v>
      </c>
      <c r="G298" s="3" t="s">
        <v>279</v>
      </c>
      <c r="H298" s="3">
        <v>1</v>
      </c>
      <c r="I298" s="7">
        <v>1558.52</v>
      </c>
      <c r="J298" s="9">
        <v>0.2</v>
      </c>
      <c r="K298" s="7">
        <v>1246.82</v>
      </c>
      <c r="L298" s="7">
        <v>157.30000000000001</v>
      </c>
      <c r="M298" s="3" t="s">
        <v>56</v>
      </c>
      <c r="N298" s="3"/>
      <c r="O298" s="3"/>
      <c r="P298" s="3"/>
      <c r="Q298" s="3"/>
    </row>
    <row r="299" spans="1:17" ht="21" customHeight="1">
      <c r="A299" s="3" t="s">
        <v>656</v>
      </c>
      <c r="B299" s="5">
        <v>45389</v>
      </c>
      <c r="C299" s="3" t="s">
        <v>657</v>
      </c>
      <c r="D299" s="3" t="s">
        <v>46</v>
      </c>
      <c r="E299" s="3" t="s">
        <v>42</v>
      </c>
      <c r="F299" s="3" t="s">
        <v>90</v>
      </c>
      <c r="G299" s="3" t="s">
        <v>106</v>
      </c>
      <c r="H299" s="3">
        <v>2</v>
      </c>
      <c r="I299" s="7">
        <v>869.59</v>
      </c>
      <c r="J299" s="9">
        <v>0.15</v>
      </c>
      <c r="K299" s="7">
        <v>1478.3</v>
      </c>
      <c r="L299" s="7">
        <v>596.58000000000004</v>
      </c>
      <c r="M299" s="3" t="s">
        <v>57</v>
      </c>
      <c r="N299" s="3"/>
      <c r="O299" s="3"/>
      <c r="P299" s="3"/>
      <c r="Q299" s="3"/>
    </row>
    <row r="300" spans="1:17" ht="21" customHeight="1">
      <c r="A300" s="3" t="s">
        <v>658</v>
      </c>
      <c r="B300" s="5">
        <v>45389</v>
      </c>
      <c r="C300" s="3" t="s">
        <v>402</v>
      </c>
      <c r="D300" s="3" t="s">
        <v>44</v>
      </c>
      <c r="E300" s="3" t="s">
        <v>41</v>
      </c>
      <c r="F300" s="3" t="s">
        <v>119</v>
      </c>
      <c r="G300" s="3" t="s">
        <v>120</v>
      </c>
      <c r="H300" s="3">
        <v>1</v>
      </c>
      <c r="I300" s="7">
        <v>1244.6500000000001</v>
      </c>
      <c r="J300" s="9">
        <v>0.1</v>
      </c>
      <c r="K300" s="7">
        <v>1120.19</v>
      </c>
      <c r="L300" s="7">
        <v>292.52</v>
      </c>
      <c r="M300" s="3" t="s">
        <v>56</v>
      </c>
      <c r="N300" s="3"/>
      <c r="O300" s="3"/>
      <c r="P300" s="3"/>
      <c r="Q300" s="3"/>
    </row>
    <row r="301" spans="1:17" ht="21" customHeight="1">
      <c r="A301" s="3" t="s">
        <v>659</v>
      </c>
      <c r="B301" s="5">
        <v>45389</v>
      </c>
      <c r="C301" s="3" t="s">
        <v>654</v>
      </c>
      <c r="D301" s="3" t="s">
        <v>44</v>
      </c>
      <c r="E301" s="3" t="s">
        <v>41</v>
      </c>
      <c r="F301" s="3" t="s">
        <v>119</v>
      </c>
      <c r="G301" s="3" t="s">
        <v>168</v>
      </c>
      <c r="H301" s="3">
        <v>1</v>
      </c>
      <c r="I301" s="7">
        <v>10057.34</v>
      </c>
      <c r="J301" s="9">
        <v>0.15</v>
      </c>
      <c r="K301" s="7">
        <v>8548.74</v>
      </c>
      <c r="L301" s="7">
        <v>1674.03</v>
      </c>
      <c r="M301" s="3" t="s">
        <v>56</v>
      </c>
      <c r="N301" s="3"/>
      <c r="O301" s="3"/>
      <c r="P301" s="3"/>
      <c r="Q301" s="3"/>
    </row>
    <row r="302" spans="1:17" ht="21" customHeight="1">
      <c r="A302" s="3" t="s">
        <v>660</v>
      </c>
      <c r="B302" s="5">
        <v>45390</v>
      </c>
      <c r="C302" s="3" t="s">
        <v>381</v>
      </c>
      <c r="D302" s="3" t="s">
        <v>44</v>
      </c>
      <c r="E302" s="3" t="s">
        <v>39</v>
      </c>
      <c r="F302" s="3" t="s">
        <v>164</v>
      </c>
      <c r="G302" s="3" t="s">
        <v>165</v>
      </c>
      <c r="H302" s="3">
        <v>1</v>
      </c>
      <c r="I302" s="7">
        <v>2056.9699999999998</v>
      </c>
      <c r="J302" s="9">
        <v>0.1</v>
      </c>
      <c r="K302" s="7">
        <v>1851.27</v>
      </c>
      <c r="L302" s="7">
        <v>503.33</v>
      </c>
      <c r="M302" s="3" t="s">
        <v>60</v>
      </c>
      <c r="N302" s="3"/>
      <c r="O302" s="3"/>
      <c r="P302" s="3"/>
      <c r="Q302" s="3"/>
    </row>
    <row r="303" spans="1:17" ht="21" customHeight="1">
      <c r="A303" s="3" t="s">
        <v>661</v>
      </c>
      <c r="B303" s="5">
        <v>45390</v>
      </c>
      <c r="C303" s="3" t="s">
        <v>322</v>
      </c>
      <c r="D303" s="3" t="s">
        <v>45</v>
      </c>
      <c r="E303" s="3" t="s">
        <v>40</v>
      </c>
      <c r="F303" s="3" t="s">
        <v>160</v>
      </c>
      <c r="G303" s="3" t="s">
        <v>173</v>
      </c>
      <c r="H303" s="3">
        <v>1</v>
      </c>
      <c r="I303" s="7">
        <v>8740.27</v>
      </c>
      <c r="J303" s="9">
        <v>0.05</v>
      </c>
      <c r="K303" s="7">
        <v>8303.26</v>
      </c>
      <c r="L303" s="7">
        <v>2244.2399999999998</v>
      </c>
      <c r="M303" s="3" t="s">
        <v>57</v>
      </c>
      <c r="N303" s="3"/>
      <c r="O303" s="3"/>
      <c r="P303" s="3"/>
      <c r="Q303" s="3"/>
    </row>
    <row r="304" spans="1:17" ht="21" customHeight="1">
      <c r="A304" s="3" t="s">
        <v>662</v>
      </c>
      <c r="B304" s="5">
        <v>45390</v>
      </c>
      <c r="C304" s="3" t="s">
        <v>663</v>
      </c>
      <c r="D304" s="3" t="s">
        <v>47</v>
      </c>
      <c r="E304" s="3" t="s">
        <v>40</v>
      </c>
      <c r="F304" s="3" t="s">
        <v>221</v>
      </c>
      <c r="G304" s="3" t="s">
        <v>222</v>
      </c>
      <c r="H304" s="3">
        <v>4</v>
      </c>
      <c r="I304" s="7">
        <v>981.31</v>
      </c>
      <c r="J304" s="9">
        <v>0</v>
      </c>
      <c r="K304" s="7">
        <v>3925.24</v>
      </c>
      <c r="L304" s="7">
        <v>1307.8900000000001</v>
      </c>
      <c r="M304" s="3" t="s">
        <v>57</v>
      </c>
      <c r="N304" s="3"/>
      <c r="O304" s="3"/>
      <c r="P304" s="3"/>
      <c r="Q304" s="3"/>
    </row>
    <row r="305" spans="1:17" ht="21" customHeight="1">
      <c r="A305" s="3" t="s">
        <v>664</v>
      </c>
      <c r="B305" s="5">
        <v>45390</v>
      </c>
      <c r="C305" s="3" t="s">
        <v>324</v>
      </c>
      <c r="D305" s="3" t="s">
        <v>47</v>
      </c>
      <c r="E305" s="3" t="s">
        <v>40</v>
      </c>
      <c r="F305" s="3" t="s">
        <v>102</v>
      </c>
      <c r="G305" s="3" t="s">
        <v>146</v>
      </c>
      <c r="H305" s="3">
        <v>1</v>
      </c>
      <c r="I305" s="7">
        <v>7676.47</v>
      </c>
      <c r="J305" s="9">
        <v>0</v>
      </c>
      <c r="K305" s="7">
        <v>7676.47</v>
      </c>
      <c r="L305" s="7">
        <v>2738.98</v>
      </c>
      <c r="M305" s="3" t="s">
        <v>56</v>
      </c>
      <c r="N305" s="3"/>
      <c r="O305" s="3"/>
      <c r="P305" s="3"/>
      <c r="Q305" s="3"/>
    </row>
    <row r="306" spans="1:17" ht="21" customHeight="1">
      <c r="A306" s="3" t="s">
        <v>665</v>
      </c>
      <c r="B306" s="5">
        <v>45390</v>
      </c>
      <c r="C306" s="3" t="s">
        <v>666</v>
      </c>
      <c r="D306" s="3" t="s">
        <v>45</v>
      </c>
      <c r="E306" s="3" t="s">
        <v>40</v>
      </c>
      <c r="F306" s="3" t="s">
        <v>102</v>
      </c>
      <c r="G306" s="3" t="s">
        <v>103</v>
      </c>
      <c r="H306" s="3">
        <v>1</v>
      </c>
      <c r="I306" s="7">
        <v>6275.39</v>
      </c>
      <c r="J306" s="9">
        <v>0</v>
      </c>
      <c r="K306" s="7">
        <v>6275.39</v>
      </c>
      <c r="L306" s="7">
        <v>1849.94</v>
      </c>
      <c r="M306" s="3" t="s">
        <v>56</v>
      </c>
      <c r="N306" s="3"/>
      <c r="O306" s="3"/>
      <c r="P306" s="3"/>
      <c r="Q306" s="3"/>
    </row>
    <row r="307" spans="1:17" ht="21" customHeight="1">
      <c r="A307" s="3" t="s">
        <v>667</v>
      </c>
      <c r="B307" s="5">
        <v>45391</v>
      </c>
      <c r="C307" s="3" t="s">
        <v>668</v>
      </c>
      <c r="D307" s="3" t="s">
        <v>45</v>
      </c>
      <c r="E307" s="3" t="s">
        <v>38</v>
      </c>
      <c r="F307" s="3" t="s">
        <v>98</v>
      </c>
      <c r="G307" s="3" t="s">
        <v>182</v>
      </c>
      <c r="H307" s="3">
        <v>2</v>
      </c>
      <c r="I307" s="7">
        <v>67396.460000000006</v>
      </c>
      <c r="J307" s="9">
        <v>0.1</v>
      </c>
      <c r="K307" s="7">
        <v>121313.63</v>
      </c>
      <c r="L307" s="7">
        <v>9773.61</v>
      </c>
      <c r="M307" s="3" t="s">
        <v>56</v>
      </c>
      <c r="N307" s="3"/>
      <c r="O307" s="3"/>
      <c r="P307" s="3"/>
      <c r="Q307" s="3"/>
    </row>
    <row r="308" spans="1:17" ht="21" customHeight="1">
      <c r="A308" s="3" t="s">
        <v>669</v>
      </c>
      <c r="B308" s="5">
        <v>45391</v>
      </c>
      <c r="C308" s="3" t="s">
        <v>268</v>
      </c>
      <c r="D308" s="3" t="s">
        <v>45</v>
      </c>
      <c r="E308" s="3" t="s">
        <v>41</v>
      </c>
      <c r="F308" s="3" t="s">
        <v>113</v>
      </c>
      <c r="G308" s="3" t="s">
        <v>123</v>
      </c>
      <c r="H308" s="3">
        <v>4</v>
      </c>
      <c r="I308" s="7">
        <v>3658.61</v>
      </c>
      <c r="J308" s="9">
        <v>0.05</v>
      </c>
      <c r="K308" s="7">
        <v>13902.72</v>
      </c>
      <c r="L308" s="7">
        <v>4762.21</v>
      </c>
      <c r="M308" s="3" t="s">
        <v>56</v>
      </c>
      <c r="N308" s="3"/>
      <c r="O308" s="3"/>
      <c r="P308" s="3"/>
      <c r="Q308" s="3"/>
    </row>
    <row r="309" spans="1:17" ht="21" customHeight="1">
      <c r="A309" s="3" t="s">
        <v>670</v>
      </c>
      <c r="B309" s="5">
        <v>45392</v>
      </c>
      <c r="C309" s="3" t="s">
        <v>671</v>
      </c>
      <c r="D309" s="3" t="s">
        <v>47</v>
      </c>
      <c r="E309" s="3" t="s">
        <v>39</v>
      </c>
      <c r="F309" s="3" t="s">
        <v>164</v>
      </c>
      <c r="G309" s="3" t="s">
        <v>165</v>
      </c>
      <c r="H309" s="3">
        <v>1</v>
      </c>
      <c r="I309" s="7">
        <v>1935.73</v>
      </c>
      <c r="J309" s="9">
        <v>0</v>
      </c>
      <c r="K309" s="7">
        <v>1935.73</v>
      </c>
      <c r="L309" s="7">
        <v>807.22</v>
      </c>
      <c r="M309" s="3" t="s">
        <v>56</v>
      </c>
      <c r="N309" s="3"/>
      <c r="O309" s="3"/>
      <c r="P309" s="3"/>
      <c r="Q309" s="3"/>
    </row>
    <row r="310" spans="1:17" ht="21" customHeight="1">
      <c r="A310" s="3" t="s">
        <v>672</v>
      </c>
      <c r="B310" s="5">
        <v>45392</v>
      </c>
      <c r="C310" s="3" t="s">
        <v>673</v>
      </c>
      <c r="D310" s="3" t="s">
        <v>46</v>
      </c>
      <c r="E310" s="3" t="s">
        <v>38</v>
      </c>
      <c r="F310" s="3" t="s">
        <v>142</v>
      </c>
      <c r="G310" s="3" t="s">
        <v>143</v>
      </c>
      <c r="H310" s="3">
        <v>1</v>
      </c>
      <c r="I310" s="7">
        <v>9259.57</v>
      </c>
      <c r="J310" s="9">
        <v>0.15</v>
      </c>
      <c r="K310" s="7">
        <v>7870.63</v>
      </c>
      <c r="L310" s="7">
        <v>-15.75</v>
      </c>
      <c r="M310" s="3" t="s">
        <v>58</v>
      </c>
      <c r="N310" s="3"/>
      <c r="O310" s="3"/>
      <c r="P310" s="3"/>
      <c r="Q310" s="3"/>
    </row>
    <row r="311" spans="1:17" ht="21" customHeight="1">
      <c r="A311" s="3" t="s">
        <v>674</v>
      </c>
      <c r="B311" s="5">
        <v>45392</v>
      </c>
      <c r="C311" s="3" t="s">
        <v>452</v>
      </c>
      <c r="D311" s="3" t="s">
        <v>45</v>
      </c>
      <c r="E311" s="3" t="s">
        <v>38</v>
      </c>
      <c r="F311" s="3" t="s">
        <v>142</v>
      </c>
      <c r="G311" s="3" t="s">
        <v>143</v>
      </c>
      <c r="H311" s="3">
        <v>4</v>
      </c>
      <c r="I311" s="7">
        <v>9375.2000000000007</v>
      </c>
      <c r="J311" s="9">
        <v>0.05</v>
      </c>
      <c r="K311" s="7">
        <v>35625.760000000002</v>
      </c>
      <c r="L311" s="7">
        <v>5385.49</v>
      </c>
      <c r="M311" s="3" t="s">
        <v>56</v>
      </c>
      <c r="N311" s="3"/>
      <c r="O311" s="3"/>
      <c r="P311" s="3"/>
      <c r="Q311" s="3"/>
    </row>
    <row r="312" spans="1:17" ht="21" customHeight="1">
      <c r="A312" s="3" t="s">
        <v>675</v>
      </c>
      <c r="B312" s="5">
        <v>45392</v>
      </c>
      <c r="C312" s="3" t="s">
        <v>676</v>
      </c>
      <c r="D312" s="3" t="s">
        <v>47</v>
      </c>
      <c r="E312" s="3" t="s">
        <v>42</v>
      </c>
      <c r="F312" s="3" t="s">
        <v>90</v>
      </c>
      <c r="G312" s="3" t="s">
        <v>91</v>
      </c>
      <c r="H312" s="3">
        <v>1</v>
      </c>
      <c r="I312" s="7">
        <v>1178.3599999999999</v>
      </c>
      <c r="J312" s="9">
        <v>0</v>
      </c>
      <c r="K312" s="7">
        <v>1178.3599999999999</v>
      </c>
      <c r="L312" s="7">
        <v>655.86</v>
      </c>
      <c r="M312" s="3" t="s">
        <v>56</v>
      </c>
      <c r="N312" s="3"/>
      <c r="O312" s="3"/>
      <c r="P312" s="3"/>
      <c r="Q312" s="3"/>
    </row>
    <row r="313" spans="1:17" ht="21" customHeight="1">
      <c r="A313" s="3" t="s">
        <v>677</v>
      </c>
      <c r="B313" s="5">
        <v>45393</v>
      </c>
      <c r="C313" s="3" t="s">
        <v>525</v>
      </c>
      <c r="D313" s="3" t="s">
        <v>45</v>
      </c>
      <c r="E313" s="3" t="s">
        <v>41</v>
      </c>
      <c r="F313" s="3" t="s">
        <v>113</v>
      </c>
      <c r="G313" s="3" t="s">
        <v>123</v>
      </c>
      <c r="H313" s="3">
        <v>3</v>
      </c>
      <c r="I313" s="7">
        <v>3518.78</v>
      </c>
      <c r="J313" s="9">
        <v>0.05</v>
      </c>
      <c r="K313" s="7">
        <v>10028.52</v>
      </c>
      <c r="L313" s="7">
        <v>3067.82</v>
      </c>
      <c r="M313" s="3" t="s">
        <v>56</v>
      </c>
      <c r="N313" s="3"/>
      <c r="O313" s="3"/>
      <c r="P313" s="3"/>
      <c r="Q313" s="3"/>
    </row>
    <row r="314" spans="1:17" ht="21" customHeight="1">
      <c r="A314" s="3" t="s">
        <v>678</v>
      </c>
      <c r="B314" s="5">
        <v>45393</v>
      </c>
      <c r="C314" s="3" t="s">
        <v>657</v>
      </c>
      <c r="D314" s="3" t="s">
        <v>45</v>
      </c>
      <c r="E314" s="3" t="s">
        <v>41</v>
      </c>
      <c r="F314" s="3" t="s">
        <v>119</v>
      </c>
      <c r="G314" s="3" t="s">
        <v>168</v>
      </c>
      <c r="H314" s="3">
        <v>1</v>
      </c>
      <c r="I314" s="7">
        <v>9660.6</v>
      </c>
      <c r="J314" s="9">
        <v>0</v>
      </c>
      <c r="K314" s="7">
        <v>9660.6</v>
      </c>
      <c r="L314" s="7">
        <v>3412.58</v>
      </c>
      <c r="M314" s="3" t="s">
        <v>56</v>
      </c>
      <c r="N314" s="3"/>
      <c r="O314" s="3"/>
      <c r="P314" s="3"/>
      <c r="Q314" s="3"/>
    </row>
    <row r="315" spans="1:17" ht="21" customHeight="1">
      <c r="A315" s="3" t="s">
        <v>679</v>
      </c>
      <c r="B315" s="5">
        <v>45394</v>
      </c>
      <c r="C315" s="3" t="s">
        <v>680</v>
      </c>
      <c r="D315" s="3" t="s">
        <v>47</v>
      </c>
      <c r="E315" s="3" t="s">
        <v>39</v>
      </c>
      <c r="F315" s="3" t="s">
        <v>164</v>
      </c>
      <c r="G315" s="3" t="s">
        <v>200</v>
      </c>
      <c r="H315" s="3">
        <v>2</v>
      </c>
      <c r="I315" s="7">
        <v>1339.36</v>
      </c>
      <c r="J315" s="9">
        <v>0</v>
      </c>
      <c r="K315" s="7">
        <v>2678.72</v>
      </c>
      <c r="L315" s="7">
        <v>1078.1199999999999</v>
      </c>
      <c r="M315" s="3" t="s">
        <v>57</v>
      </c>
      <c r="N315" s="3"/>
      <c r="O315" s="3"/>
      <c r="P315" s="3"/>
      <c r="Q315" s="3"/>
    </row>
    <row r="316" spans="1:17" ht="21" customHeight="1">
      <c r="A316" s="3" t="s">
        <v>681</v>
      </c>
      <c r="B316" s="5">
        <v>45394</v>
      </c>
      <c r="C316" s="3" t="s">
        <v>682</v>
      </c>
      <c r="D316" s="3" t="s">
        <v>46</v>
      </c>
      <c r="E316" s="3" t="s">
        <v>41</v>
      </c>
      <c r="F316" s="3" t="s">
        <v>119</v>
      </c>
      <c r="G316" s="3" t="s">
        <v>168</v>
      </c>
      <c r="H316" s="3">
        <v>4</v>
      </c>
      <c r="I316" s="7">
        <v>9599.27</v>
      </c>
      <c r="J316" s="9">
        <v>0.3</v>
      </c>
      <c r="K316" s="7">
        <v>26877.96</v>
      </c>
      <c r="L316" s="7">
        <v>998.31</v>
      </c>
      <c r="M316" s="3" t="s">
        <v>58</v>
      </c>
      <c r="N316" s="3"/>
      <c r="O316" s="3"/>
      <c r="P316" s="3"/>
      <c r="Q316" s="3"/>
    </row>
    <row r="317" spans="1:17" ht="21" customHeight="1">
      <c r="A317" s="3" t="s">
        <v>683</v>
      </c>
      <c r="B317" s="5">
        <v>45394</v>
      </c>
      <c r="C317" s="3" t="s">
        <v>684</v>
      </c>
      <c r="D317" s="3" t="s">
        <v>47</v>
      </c>
      <c r="E317" s="3" t="s">
        <v>42</v>
      </c>
      <c r="F317" s="3" t="s">
        <v>126</v>
      </c>
      <c r="G317" s="3" t="s">
        <v>151</v>
      </c>
      <c r="H317" s="3">
        <v>1</v>
      </c>
      <c r="I317" s="7">
        <v>1492.55</v>
      </c>
      <c r="J317" s="9">
        <v>0</v>
      </c>
      <c r="K317" s="7">
        <v>1492.55</v>
      </c>
      <c r="L317" s="7">
        <v>762.07</v>
      </c>
      <c r="M317" s="3" t="s">
        <v>56</v>
      </c>
      <c r="N317" s="3"/>
      <c r="O317" s="3"/>
      <c r="P317" s="3"/>
      <c r="Q317" s="3"/>
    </row>
    <row r="318" spans="1:17" ht="21" customHeight="1">
      <c r="A318" s="3" t="s">
        <v>685</v>
      </c>
      <c r="B318" s="5">
        <v>45394</v>
      </c>
      <c r="C318" s="3" t="s">
        <v>686</v>
      </c>
      <c r="D318" s="3" t="s">
        <v>44</v>
      </c>
      <c r="E318" s="3" t="s">
        <v>38</v>
      </c>
      <c r="F318" s="3" t="s">
        <v>98</v>
      </c>
      <c r="G318" s="3" t="s">
        <v>182</v>
      </c>
      <c r="H318" s="3">
        <v>1</v>
      </c>
      <c r="I318" s="7">
        <v>71984.179999999993</v>
      </c>
      <c r="J318" s="9">
        <v>0</v>
      </c>
      <c r="K318" s="7">
        <v>71984.179999999993</v>
      </c>
      <c r="L318" s="7">
        <v>10784.02</v>
      </c>
      <c r="M318" s="3" t="s">
        <v>58</v>
      </c>
      <c r="N318" s="3"/>
      <c r="O318" s="3"/>
      <c r="P318" s="3"/>
      <c r="Q318" s="3"/>
    </row>
    <row r="319" spans="1:17" ht="21" customHeight="1">
      <c r="A319" s="3" t="s">
        <v>687</v>
      </c>
      <c r="B319" s="5">
        <v>45394</v>
      </c>
      <c r="C319" s="3" t="s">
        <v>454</v>
      </c>
      <c r="D319" s="3" t="s">
        <v>45</v>
      </c>
      <c r="E319" s="3" t="s">
        <v>38</v>
      </c>
      <c r="F319" s="3" t="s">
        <v>142</v>
      </c>
      <c r="G319" s="3" t="s">
        <v>245</v>
      </c>
      <c r="H319" s="3">
        <v>1</v>
      </c>
      <c r="I319" s="7">
        <v>5131.8</v>
      </c>
      <c r="J319" s="9">
        <v>0.05</v>
      </c>
      <c r="K319" s="7">
        <v>4875.21</v>
      </c>
      <c r="L319" s="7">
        <v>443.99</v>
      </c>
      <c r="M319" s="3" t="s">
        <v>57</v>
      </c>
      <c r="N319" s="3"/>
      <c r="O319" s="3"/>
      <c r="P319" s="3"/>
      <c r="Q319" s="3"/>
    </row>
    <row r="320" spans="1:17" ht="21" customHeight="1">
      <c r="A320" s="3" t="s">
        <v>688</v>
      </c>
      <c r="B320" s="5">
        <v>45394</v>
      </c>
      <c r="C320" s="3" t="s">
        <v>591</v>
      </c>
      <c r="D320" s="3" t="s">
        <v>45</v>
      </c>
      <c r="E320" s="3" t="s">
        <v>39</v>
      </c>
      <c r="F320" s="3" t="s">
        <v>130</v>
      </c>
      <c r="G320" s="3" t="s">
        <v>131</v>
      </c>
      <c r="H320" s="3">
        <v>2</v>
      </c>
      <c r="I320" s="7">
        <v>2217.9</v>
      </c>
      <c r="J320" s="9">
        <v>0.15</v>
      </c>
      <c r="K320" s="7">
        <v>3770.43</v>
      </c>
      <c r="L320" s="7">
        <v>836.9</v>
      </c>
      <c r="M320" s="3" t="s">
        <v>58</v>
      </c>
      <c r="N320" s="3"/>
      <c r="O320" s="3"/>
      <c r="P320" s="3"/>
      <c r="Q320" s="3"/>
    </row>
    <row r="321" spans="1:17" ht="21" customHeight="1">
      <c r="A321" s="3" t="s">
        <v>689</v>
      </c>
      <c r="B321" s="5">
        <v>45395</v>
      </c>
      <c r="C321" s="3" t="s">
        <v>668</v>
      </c>
      <c r="D321" s="3" t="s">
        <v>44</v>
      </c>
      <c r="E321" s="3" t="s">
        <v>42</v>
      </c>
      <c r="F321" s="3" t="s">
        <v>126</v>
      </c>
      <c r="G321" s="3" t="s">
        <v>127</v>
      </c>
      <c r="H321" s="3">
        <v>2</v>
      </c>
      <c r="I321" s="7">
        <v>971.82</v>
      </c>
      <c r="J321" s="9">
        <v>0</v>
      </c>
      <c r="K321" s="7">
        <v>1943.64</v>
      </c>
      <c r="L321" s="7">
        <v>1036.25</v>
      </c>
      <c r="M321" s="3" t="s">
        <v>56</v>
      </c>
      <c r="N321" s="3"/>
      <c r="O321" s="3"/>
      <c r="P321" s="3"/>
      <c r="Q321" s="3"/>
    </row>
    <row r="322" spans="1:17" ht="21" customHeight="1">
      <c r="A322" s="3" t="s">
        <v>690</v>
      </c>
      <c r="B322" s="5">
        <v>45395</v>
      </c>
      <c r="C322" s="3" t="s">
        <v>412</v>
      </c>
      <c r="D322" s="3" t="s">
        <v>45</v>
      </c>
      <c r="E322" s="3" t="s">
        <v>40</v>
      </c>
      <c r="F322" s="3" t="s">
        <v>160</v>
      </c>
      <c r="G322" s="3" t="s">
        <v>161</v>
      </c>
      <c r="H322" s="3">
        <v>1</v>
      </c>
      <c r="I322" s="7">
        <v>13317.16</v>
      </c>
      <c r="J322" s="9">
        <v>0</v>
      </c>
      <c r="K322" s="7">
        <v>13317.16</v>
      </c>
      <c r="L322" s="7">
        <v>4087.81</v>
      </c>
      <c r="M322" s="3" t="s">
        <v>59</v>
      </c>
      <c r="N322" s="3"/>
      <c r="O322" s="3"/>
      <c r="P322" s="3"/>
      <c r="Q322" s="3"/>
    </row>
    <row r="323" spans="1:17" ht="21" customHeight="1">
      <c r="A323" s="3" t="s">
        <v>691</v>
      </c>
      <c r="B323" s="5">
        <v>45396</v>
      </c>
      <c r="C323" s="3" t="s">
        <v>525</v>
      </c>
      <c r="D323" s="3" t="s">
        <v>44</v>
      </c>
      <c r="E323" s="3" t="s">
        <v>40</v>
      </c>
      <c r="F323" s="3" t="s">
        <v>221</v>
      </c>
      <c r="G323" s="3" t="s">
        <v>222</v>
      </c>
      <c r="H323" s="3">
        <v>1</v>
      </c>
      <c r="I323" s="7">
        <v>1042.96</v>
      </c>
      <c r="J323" s="9">
        <v>0.15</v>
      </c>
      <c r="K323" s="7">
        <v>886.52</v>
      </c>
      <c r="L323" s="7">
        <v>106.72</v>
      </c>
      <c r="M323" s="3" t="s">
        <v>60</v>
      </c>
      <c r="N323" s="3"/>
      <c r="O323" s="3"/>
      <c r="P323" s="3"/>
      <c r="Q323" s="3"/>
    </row>
    <row r="324" spans="1:17" ht="21" customHeight="1">
      <c r="A324" s="3" t="s">
        <v>692</v>
      </c>
      <c r="B324" s="5">
        <v>45396</v>
      </c>
      <c r="C324" s="3" t="s">
        <v>693</v>
      </c>
      <c r="D324" s="3" t="s">
        <v>46</v>
      </c>
      <c r="E324" s="3" t="s">
        <v>39</v>
      </c>
      <c r="F324" s="3" t="s">
        <v>164</v>
      </c>
      <c r="G324" s="3" t="s">
        <v>165</v>
      </c>
      <c r="H324" s="3">
        <v>3</v>
      </c>
      <c r="I324" s="7">
        <v>2074.6</v>
      </c>
      <c r="J324" s="9">
        <v>0.1</v>
      </c>
      <c r="K324" s="7">
        <v>5601.42</v>
      </c>
      <c r="L324" s="7">
        <v>1885.11</v>
      </c>
      <c r="M324" s="3" t="s">
        <v>58</v>
      </c>
      <c r="N324" s="3"/>
      <c r="O324" s="3"/>
      <c r="P324" s="3"/>
      <c r="Q324" s="3"/>
    </row>
    <row r="325" spans="1:17" ht="21" customHeight="1">
      <c r="A325" s="3" t="s">
        <v>694</v>
      </c>
      <c r="B325" s="5">
        <v>45397</v>
      </c>
      <c r="C325" s="3" t="s">
        <v>695</v>
      </c>
      <c r="D325" s="3" t="s">
        <v>44</v>
      </c>
      <c r="E325" s="3" t="s">
        <v>39</v>
      </c>
      <c r="F325" s="3" t="s">
        <v>109</v>
      </c>
      <c r="G325" s="3" t="s">
        <v>355</v>
      </c>
      <c r="H325" s="3">
        <v>1</v>
      </c>
      <c r="I325" s="7">
        <v>3374.39</v>
      </c>
      <c r="J325" s="9">
        <v>0.05</v>
      </c>
      <c r="K325" s="7">
        <v>3205.67</v>
      </c>
      <c r="L325" s="7">
        <v>1230.97</v>
      </c>
      <c r="M325" s="3" t="s">
        <v>57</v>
      </c>
      <c r="N325" s="3"/>
      <c r="O325" s="3"/>
      <c r="P325" s="3"/>
      <c r="Q325" s="3"/>
    </row>
    <row r="326" spans="1:17" ht="21" customHeight="1">
      <c r="A326" s="3" t="s">
        <v>696</v>
      </c>
      <c r="B326" s="5">
        <v>45397</v>
      </c>
      <c r="C326" s="3" t="s">
        <v>697</v>
      </c>
      <c r="D326" s="3" t="s">
        <v>46</v>
      </c>
      <c r="E326" s="3" t="s">
        <v>39</v>
      </c>
      <c r="F326" s="3" t="s">
        <v>109</v>
      </c>
      <c r="G326" s="3" t="s">
        <v>110</v>
      </c>
      <c r="H326" s="3">
        <v>4</v>
      </c>
      <c r="I326" s="7">
        <v>2981.62</v>
      </c>
      <c r="J326" s="9">
        <v>0.1</v>
      </c>
      <c r="K326" s="7">
        <v>10733.83</v>
      </c>
      <c r="L326" s="7">
        <v>2885.47</v>
      </c>
      <c r="M326" s="3" t="s">
        <v>57</v>
      </c>
      <c r="N326" s="3"/>
      <c r="O326" s="3"/>
      <c r="P326" s="3"/>
      <c r="Q326" s="3"/>
    </row>
    <row r="327" spans="1:17" ht="21" customHeight="1">
      <c r="A327" s="3" t="s">
        <v>698</v>
      </c>
      <c r="B327" s="5">
        <v>45397</v>
      </c>
      <c r="C327" s="3" t="s">
        <v>387</v>
      </c>
      <c r="D327" s="3" t="s">
        <v>45</v>
      </c>
      <c r="E327" s="3" t="s">
        <v>38</v>
      </c>
      <c r="F327" s="3" t="s">
        <v>142</v>
      </c>
      <c r="G327" s="3" t="s">
        <v>143</v>
      </c>
      <c r="H327" s="3">
        <v>1</v>
      </c>
      <c r="I327" s="7">
        <v>8817.6200000000008</v>
      </c>
      <c r="J327" s="9">
        <v>0</v>
      </c>
      <c r="K327" s="7">
        <v>8817.6200000000008</v>
      </c>
      <c r="L327" s="7">
        <v>1928.57</v>
      </c>
      <c r="M327" s="3" t="s">
        <v>57</v>
      </c>
      <c r="N327" s="3"/>
      <c r="O327" s="3"/>
      <c r="P327" s="3"/>
      <c r="Q327" s="3"/>
    </row>
    <row r="328" spans="1:17" ht="21" customHeight="1">
      <c r="A328" s="3" t="s">
        <v>699</v>
      </c>
      <c r="B328" s="5">
        <v>45397</v>
      </c>
      <c r="C328" s="3" t="s">
        <v>700</v>
      </c>
      <c r="D328" s="3" t="s">
        <v>45</v>
      </c>
      <c r="E328" s="3" t="s">
        <v>42</v>
      </c>
      <c r="F328" s="3" t="s">
        <v>90</v>
      </c>
      <c r="G328" s="3" t="s">
        <v>106</v>
      </c>
      <c r="H328" s="3">
        <v>1</v>
      </c>
      <c r="I328" s="7">
        <v>886.13</v>
      </c>
      <c r="J328" s="9">
        <v>0.2</v>
      </c>
      <c r="K328" s="7">
        <v>708.9</v>
      </c>
      <c r="L328" s="7">
        <v>241.53</v>
      </c>
      <c r="M328" s="3" t="s">
        <v>57</v>
      </c>
      <c r="N328" s="3"/>
      <c r="O328" s="3"/>
      <c r="P328" s="3"/>
      <c r="Q328" s="3"/>
    </row>
    <row r="329" spans="1:17" ht="21" customHeight="1">
      <c r="A329" s="3" t="s">
        <v>701</v>
      </c>
      <c r="B329" s="5">
        <v>45397</v>
      </c>
      <c r="C329" s="3" t="s">
        <v>702</v>
      </c>
      <c r="D329" s="3" t="s">
        <v>44</v>
      </c>
      <c r="E329" s="3" t="s">
        <v>41</v>
      </c>
      <c r="F329" s="3" t="s">
        <v>113</v>
      </c>
      <c r="G329" s="3" t="s">
        <v>114</v>
      </c>
      <c r="H329" s="3">
        <v>2</v>
      </c>
      <c r="I329" s="7">
        <v>11425.09</v>
      </c>
      <c r="J329" s="9">
        <v>0.2</v>
      </c>
      <c r="K329" s="7">
        <v>18280.14</v>
      </c>
      <c r="L329" s="7">
        <v>2076.0300000000002</v>
      </c>
      <c r="M329" s="3" t="s">
        <v>58</v>
      </c>
      <c r="N329" s="3"/>
      <c r="O329" s="3"/>
      <c r="P329" s="3"/>
      <c r="Q329" s="3"/>
    </row>
    <row r="330" spans="1:17" ht="21" customHeight="1">
      <c r="A330" s="3" t="s">
        <v>703</v>
      </c>
      <c r="B330" s="5">
        <v>45397</v>
      </c>
      <c r="C330" s="3" t="s">
        <v>297</v>
      </c>
      <c r="D330" s="3" t="s">
        <v>45</v>
      </c>
      <c r="E330" s="3" t="s">
        <v>41</v>
      </c>
      <c r="F330" s="3" t="s">
        <v>113</v>
      </c>
      <c r="G330" s="3" t="s">
        <v>114</v>
      </c>
      <c r="H330" s="3">
        <v>1</v>
      </c>
      <c r="I330" s="7">
        <v>12128.83</v>
      </c>
      <c r="J330" s="9">
        <v>0.3</v>
      </c>
      <c r="K330" s="7">
        <v>8490.18</v>
      </c>
      <c r="L330" s="7">
        <v>62.67</v>
      </c>
      <c r="M330" s="3" t="s">
        <v>59</v>
      </c>
      <c r="N330" s="3"/>
      <c r="O330" s="3"/>
      <c r="P330" s="3"/>
      <c r="Q330" s="3"/>
    </row>
    <row r="331" spans="1:17" ht="21" customHeight="1">
      <c r="A331" s="3" t="s">
        <v>704</v>
      </c>
      <c r="B331" s="5">
        <v>45398</v>
      </c>
      <c r="C331" s="3" t="s">
        <v>238</v>
      </c>
      <c r="D331" s="3" t="s">
        <v>44</v>
      </c>
      <c r="E331" s="3" t="s">
        <v>38</v>
      </c>
      <c r="F331" s="3" t="s">
        <v>98</v>
      </c>
      <c r="G331" s="3" t="s">
        <v>182</v>
      </c>
      <c r="H331" s="3">
        <v>1</v>
      </c>
      <c r="I331" s="7">
        <v>67974.5</v>
      </c>
      <c r="J331" s="9">
        <v>0.1</v>
      </c>
      <c r="K331" s="7">
        <v>61177.05</v>
      </c>
      <c r="L331" s="7">
        <v>4610.37</v>
      </c>
      <c r="M331" s="3" t="s">
        <v>57</v>
      </c>
      <c r="N331" s="3"/>
      <c r="O331" s="3"/>
      <c r="P331" s="3"/>
      <c r="Q331" s="3"/>
    </row>
    <row r="332" spans="1:17" ht="21" customHeight="1">
      <c r="A332" s="3" t="s">
        <v>705</v>
      </c>
      <c r="B332" s="5">
        <v>45398</v>
      </c>
      <c r="C332" s="3" t="s">
        <v>593</v>
      </c>
      <c r="D332" s="3" t="s">
        <v>47</v>
      </c>
      <c r="E332" s="3" t="s">
        <v>40</v>
      </c>
      <c r="F332" s="3" t="s">
        <v>102</v>
      </c>
      <c r="G332" s="3" t="s">
        <v>146</v>
      </c>
      <c r="H332" s="3">
        <v>2</v>
      </c>
      <c r="I332" s="7">
        <v>8132.8</v>
      </c>
      <c r="J332" s="9">
        <v>0</v>
      </c>
      <c r="K332" s="7">
        <v>16265.6</v>
      </c>
      <c r="L332" s="7">
        <v>5109.43</v>
      </c>
      <c r="M332" s="3" t="s">
        <v>56</v>
      </c>
      <c r="N332" s="3"/>
      <c r="O332" s="3"/>
      <c r="P332" s="3"/>
      <c r="Q332" s="3"/>
    </row>
    <row r="333" spans="1:17" ht="21" customHeight="1">
      <c r="A333" s="3" t="s">
        <v>706</v>
      </c>
      <c r="B333" s="5">
        <v>45398</v>
      </c>
      <c r="C333" s="3" t="s">
        <v>707</v>
      </c>
      <c r="D333" s="3" t="s">
        <v>44</v>
      </c>
      <c r="E333" s="3" t="s">
        <v>42</v>
      </c>
      <c r="F333" s="3" t="s">
        <v>126</v>
      </c>
      <c r="G333" s="3" t="s">
        <v>127</v>
      </c>
      <c r="H333" s="3">
        <v>4</v>
      </c>
      <c r="I333" s="7">
        <v>986.32</v>
      </c>
      <c r="J333" s="9">
        <v>0.05</v>
      </c>
      <c r="K333" s="7">
        <v>3748.02</v>
      </c>
      <c r="L333" s="7">
        <v>1861.72</v>
      </c>
      <c r="M333" s="3" t="s">
        <v>57</v>
      </c>
      <c r="N333" s="3"/>
      <c r="O333" s="3"/>
      <c r="P333" s="3"/>
      <c r="Q333" s="3"/>
    </row>
    <row r="334" spans="1:17" ht="21" customHeight="1">
      <c r="A334" s="3" t="s">
        <v>708</v>
      </c>
      <c r="B334" s="5">
        <v>45398</v>
      </c>
      <c r="C334" s="3" t="s">
        <v>709</v>
      </c>
      <c r="D334" s="3" t="s">
        <v>47</v>
      </c>
      <c r="E334" s="3" t="s">
        <v>42</v>
      </c>
      <c r="F334" s="3" t="s">
        <v>90</v>
      </c>
      <c r="G334" s="3" t="s">
        <v>91</v>
      </c>
      <c r="H334" s="3">
        <v>5</v>
      </c>
      <c r="I334" s="7">
        <v>1197.8399999999999</v>
      </c>
      <c r="J334" s="9">
        <v>0.1</v>
      </c>
      <c r="K334" s="7">
        <v>5390.28</v>
      </c>
      <c r="L334" s="7">
        <v>2333.3200000000002</v>
      </c>
      <c r="M334" s="3" t="s">
        <v>58</v>
      </c>
      <c r="N334" s="3"/>
      <c r="O334" s="3"/>
      <c r="P334" s="3"/>
      <c r="Q334" s="3"/>
    </row>
    <row r="335" spans="1:17" ht="21" customHeight="1">
      <c r="A335" s="3" t="s">
        <v>710</v>
      </c>
      <c r="B335" s="5">
        <v>45398</v>
      </c>
      <c r="C335" s="3" t="s">
        <v>711</v>
      </c>
      <c r="D335" s="3" t="s">
        <v>44</v>
      </c>
      <c r="E335" s="3" t="s">
        <v>39</v>
      </c>
      <c r="F335" s="3" t="s">
        <v>109</v>
      </c>
      <c r="G335" s="3" t="s">
        <v>110</v>
      </c>
      <c r="H335" s="3">
        <v>5</v>
      </c>
      <c r="I335" s="7">
        <v>2963.31</v>
      </c>
      <c r="J335" s="9">
        <v>0</v>
      </c>
      <c r="K335" s="7">
        <v>14816.55</v>
      </c>
      <c r="L335" s="7">
        <v>5785.28</v>
      </c>
      <c r="M335" s="3" t="s">
        <v>57</v>
      </c>
      <c r="N335" s="3"/>
      <c r="O335" s="3"/>
      <c r="P335" s="3"/>
      <c r="Q335" s="3"/>
    </row>
    <row r="336" spans="1:17" ht="21" customHeight="1">
      <c r="A336" s="3" t="s">
        <v>712</v>
      </c>
      <c r="B336" s="5">
        <v>45399</v>
      </c>
      <c r="C336" s="3" t="s">
        <v>713</v>
      </c>
      <c r="D336" s="3" t="s">
        <v>46</v>
      </c>
      <c r="E336" s="3" t="s">
        <v>39</v>
      </c>
      <c r="F336" s="3" t="s">
        <v>164</v>
      </c>
      <c r="G336" s="3" t="s">
        <v>165</v>
      </c>
      <c r="H336" s="3">
        <v>1</v>
      </c>
      <c r="I336" s="7">
        <v>1927.55</v>
      </c>
      <c r="J336" s="9">
        <v>0.15</v>
      </c>
      <c r="K336" s="7">
        <v>1638.42</v>
      </c>
      <c r="L336" s="7">
        <v>426.38</v>
      </c>
      <c r="M336" s="3" t="s">
        <v>58</v>
      </c>
      <c r="N336" s="3"/>
      <c r="O336" s="3"/>
      <c r="P336" s="3"/>
      <c r="Q336" s="3"/>
    </row>
    <row r="337" spans="1:17" ht="21" customHeight="1">
      <c r="A337" s="3" t="s">
        <v>714</v>
      </c>
      <c r="B337" s="5">
        <v>45400</v>
      </c>
      <c r="C337" s="3" t="s">
        <v>715</v>
      </c>
      <c r="D337" s="3" t="s">
        <v>47</v>
      </c>
      <c r="E337" s="3" t="s">
        <v>38</v>
      </c>
      <c r="F337" s="3" t="s">
        <v>98</v>
      </c>
      <c r="G337" s="3" t="s">
        <v>182</v>
      </c>
      <c r="H337" s="3">
        <v>4</v>
      </c>
      <c r="I337" s="7">
        <v>71889.8</v>
      </c>
      <c r="J337" s="9">
        <v>0</v>
      </c>
      <c r="K337" s="7">
        <v>287559.2</v>
      </c>
      <c r="L337" s="7">
        <v>46415.65</v>
      </c>
      <c r="M337" s="3" t="s">
        <v>57</v>
      </c>
      <c r="N337" s="3"/>
      <c r="O337" s="3"/>
      <c r="P337" s="3"/>
      <c r="Q337" s="3"/>
    </row>
    <row r="338" spans="1:17" ht="21" customHeight="1">
      <c r="A338" s="3" t="s">
        <v>716</v>
      </c>
      <c r="B338" s="5">
        <v>45400</v>
      </c>
      <c r="C338" s="3" t="s">
        <v>230</v>
      </c>
      <c r="D338" s="3" t="s">
        <v>47</v>
      </c>
      <c r="E338" s="3" t="s">
        <v>40</v>
      </c>
      <c r="F338" s="3" t="s">
        <v>102</v>
      </c>
      <c r="G338" s="3" t="s">
        <v>146</v>
      </c>
      <c r="H338" s="3">
        <v>1</v>
      </c>
      <c r="I338" s="7">
        <v>8296.0400000000009</v>
      </c>
      <c r="J338" s="9">
        <v>0.1</v>
      </c>
      <c r="K338" s="7">
        <v>7466.44</v>
      </c>
      <c r="L338" s="7">
        <v>1581.85</v>
      </c>
      <c r="M338" s="3" t="s">
        <v>58</v>
      </c>
      <c r="N338" s="3"/>
      <c r="O338" s="3"/>
      <c r="P338" s="3"/>
      <c r="Q338" s="3"/>
    </row>
    <row r="339" spans="1:17" ht="21" customHeight="1">
      <c r="A339" s="3" t="s">
        <v>717</v>
      </c>
      <c r="B339" s="5">
        <v>45401</v>
      </c>
      <c r="C339" s="3" t="s">
        <v>718</v>
      </c>
      <c r="D339" s="3" t="s">
        <v>46</v>
      </c>
      <c r="E339" s="3" t="s">
        <v>39</v>
      </c>
      <c r="F339" s="3" t="s">
        <v>109</v>
      </c>
      <c r="G339" s="3" t="s">
        <v>110</v>
      </c>
      <c r="H339" s="3">
        <v>3</v>
      </c>
      <c r="I339" s="7">
        <v>2909.86</v>
      </c>
      <c r="J339" s="9">
        <v>0</v>
      </c>
      <c r="K339" s="7">
        <v>8729.58</v>
      </c>
      <c r="L339" s="7">
        <v>3491.62</v>
      </c>
      <c r="M339" s="3" t="s">
        <v>56</v>
      </c>
      <c r="N339" s="3"/>
      <c r="O339" s="3"/>
      <c r="P339" s="3"/>
      <c r="Q339" s="3"/>
    </row>
    <row r="340" spans="1:17" ht="21" customHeight="1">
      <c r="A340" s="3" t="s">
        <v>719</v>
      </c>
      <c r="B340" s="5">
        <v>45401</v>
      </c>
      <c r="C340" s="3" t="s">
        <v>135</v>
      </c>
      <c r="D340" s="3" t="s">
        <v>46</v>
      </c>
      <c r="E340" s="3" t="s">
        <v>38</v>
      </c>
      <c r="F340" s="3" t="s">
        <v>94</v>
      </c>
      <c r="G340" s="3" t="s">
        <v>95</v>
      </c>
      <c r="H340" s="3">
        <v>5</v>
      </c>
      <c r="I340" s="7">
        <v>80939.289999999994</v>
      </c>
      <c r="J340" s="9">
        <v>0.05</v>
      </c>
      <c r="K340" s="7">
        <v>384461.63</v>
      </c>
      <c r="L340" s="7">
        <v>56991.01</v>
      </c>
      <c r="M340" s="3" t="s">
        <v>58</v>
      </c>
      <c r="N340" s="3"/>
      <c r="O340" s="3"/>
      <c r="P340" s="3"/>
      <c r="Q340" s="3"/>
    </row>
    <row r="341" spans="1:17" ht="21" customHeight="1">
      <c r="A341" s="3" t="s">
        <v>720</v>
      </c>
      <c r="B341" s="5">
        <v>45401</v>
      </c>
      <c r="C341" s="3" t="s">
        <v>695</v>
      </c>
      <c r="D341" s="3" t="s">
        <v>46</v>
      </c>
      <c r="E341" s="3" t="s">
        <v>41</v>
      </c>
      <c r="F341" s="3" t="s">
        <v>119</v>
      </c>
      <c r="G341" s="3" t="s">
        <v>168</v>
      </c>
      <c r="H341" s="3">
        <v>1</v>
      </c>
      <c r="I341" s="7">
        <v>9781.2800000000007</v>
      </c>
      <c r="J341" s="9">
        <v>0.2</v>
      </c>
      <c r="K341" s="7">
        <v>7825.02</v>
      </c>
      <c r="L341" s="7">
        <v>1078.99</v>
      </c>
      <c r="M341" s="3" t="s">
        <v>57</v>
      </c>
      <c r="N341" s="3"/>
      <c r="O341" s="3"/>
      <c r="P341" s="3"/>
      <c r="Q341" s="3"/>
    </row>
    <row r="342" spans="1:17" ht="21" customHeight="1">
      <c r="A342" s="3" t="s">
        <v>721</v>
      </c>
      <c r="B342" s="5">
        <v>45401</v>
      </c>
      <c r="C342" s="3" t="s">
        <v>722</v>
      </c>
      <c r="D342" s="3" t="s">
        <v>44</v>
      </c>
      <c r="E342" s="3" t="s">
        <v>42</v>
      </c>
      <c r="F342" s="3" t="s">
        <v>126</v>
      </c>
      <c r="G342" s="3" t="s">
        <v>127</v>
      </c>
      <c r="H342" s="3">
        <v>1</v>
      </c>
      <c r="I342" s="7">
        <v>1028.92</v>
      </c>
      <c r="J342" s="9">
        <v>0.1</v>
      </c>
      <c r="K342" s="7">
        <v>926.03</v>
      </c>
      <c r="L342" s="7">
        <v>421.08</v>
      </c>
      <c r="M342" s="3" t="s">
        <v>57</v>
      </c>
      <c r="N342" s="3"/>
      <c r="O342" s="3"/>
      <c r="P342" s="3"/>
      <c r="Q342" s="3"/>
    </row>
    <row r="343" spans="1:17" ht="21" customHeight="1">
      <c r="A343" s="3" t="s">
        <v>723</v>
      </c>
      <c r="B343" s="5">
        <v>45401</v>
      </c>
      <c r="C343" s="3" t="s">
        <v>724</v>
      </c>
      <c r="D343" s="3" t="s">
        <v>46</v>
      </c>
      <c r="E343" s="3" t="s">
        <v>38</v>
      </c>
      <c r="F343" s="3" t="s">
        <v>94</v>
      </c>
      <c r="G343" s="3" t="s">
        <v>213</v>
      </c>
      <c r="H343" s="3">
        <v>1</v>
      </c>
      <c r="I343" s="7">
        <v>52321.26</v>
      </c>
      <c r="J343" s="9">
        <v>0</v>
      </c>
      <c r="K343" s="7">
        <v>52321.26</v>
      </c>
      <c r="L343" s="7">
        <v>7732.78</v>
      </c>
      <c r="M343" s="3" t="s">
        <v>56</v>
      </c>
      <c r="N343" s="3"/>
      <c r="O343" s="3"/>
      <c r="P343" s="3"/>
      <c r="Q343" s="3"/>
    </row>
    <row r="344" spans="1:17" ht="21" customHeight="1">
      <c r="A344" s="3" t="s">
        <v>725</v>
      </c>
      <c r="B344" s="5">
        <v>45402</v>
      </c>
      <c r="C344" s="3" t="s">
        <v>726</v>
      </c>
      <c r="D344" s="3" t="s">
        <v>46</v>
      </c>
      <c r="E344" s="3" t="s">
        <v>42</v>
      </c>
      <c r="F344" s="3" t="s">
        <v>90</v>
      </c>
      <c r="G344" s="3" t="s">
        <v>91</v>
      </c>
      <c r="H344" s="3">
        <v>2</v>
      </c>
      <c r="I344" s="7">
        <v>1159.17</v>
      </c>
      <c r="J344" s="9">
        <v>0.15</v>
      </c>
      <c r="K344" s="7">
        <v>1970.59</v>
      </c>
      <c r="L344" s="7">
        <v>760.8</v>
      </c>
      <c r="M344" s="3" t="s">
        <v>56</v>
      </c>
      <c r="N344" s="3"/>
      <c r="O344" s="3"/>
      <c r="P344" s="3"/>
      <c r="Q344" s="3"/>
    </row>
    <row r="345" spans="1:17" ht="21" customHeight="1">
      <c r="A345" s="3" t="s">
        <v>727</v>
      </c>
      <c r="B345" s="5">
        <v>45402</v>
      </c>
      <c r="C345" s="3" t="s">
        <v>728</v>
      </c>
      <c r="D345" s="3" t="s">
        <v>47</v>
      </c>
      <c r="E345" s="3" t="s">
        <v>42</v>
      </c>
      <c r="F345" s="3" t="s">
        <v>126</v>
      </c>
      <c r="G345" s="3" t="s">
        <v>151</v>
      </c>
      <c r="H345" s="3">
        <v>1</v>
      </c>
      <c r="I345" s="7">
        <v>1499.99</v>
      </c>
      <c r="J345" s="9">
        <v>0.15</v>
      </c>
      <c r="K345" s="7">
        <v>1274.99</v>
      </c>
      <c r="L345" s="7">
        <v>469.31</v>
      </c>
      <c r="M345" s="3" t="s">
        <v>58</v>
      </c>
      <c r="N345" s="3"/>
      <c r="O345" s="3"/>
      <c r="P345" s="3"/>
      <c r="Q345" s="3"/>
    </row>
    <row r="346" spans="1:17" ht="21" customHeight="1">
      <c r="A346" s="3" t="s">
        <v>729</v>
      </c>
      <c r="B346" s="5">
        <v>45402</v>
      </c>
      <c r="C346" s="3" t="s">
        <v>730</v>
      </c>
      <c r="D346" s="3" t="s">
        <v>47</v>
      </c>
      <c r="E346" s="3" t="s">
        <v>38</v>
      </c>
      <c r="F346" s="3" t="s">
        <v>142</v>
      </c>
      <c r="G346" s="3" t="s">
        <v>245</v>
      </c>
      <c r="H346" s="3">
        <v>4</v>
      </c>
      <c r="I346" s="7">
        <v>5145.79</v>
      </c>
      <c r="J346" s="9">
        <v>0.2</v>
      </c>
      <c r="K346" s="7">
        <v>16466.53</v>
      </c>
      <c r="L346" s="7">
        <v>-1323.54</v>
      </c>
      <c r="M346" s="3" t="s">
        <v>60</v>
      </c>
      <c r="N346" s="3"/>
      <c r="O346" s="3"/>
      <c r="P346" s="3"/>
      <c r="Q346" s="3"/>
    </row>
    <row r="347" spans="1:17" ht="21" customHeight="1">
      <c r="A347" s="3" t="s">
        <v>731</v>
      </c>
      <c r="B347" s="5">
        <v>45402</v>
      </c>
      <c r="C347" s="3" t="s">
        <v>591</v>
      </c>
      <c r="D347" s="3" t="s">
        <v>44</v>
      </c>
      <c r="E347" s="3" t="s">
        <v>39</v>
      </c>
      <c r="F347" s="3" t="s">
        <v>109</v>
      </c>
      <c r="G347" s="3" t="s">
        <v>110</v>
      </c>
      <c r="H347" s="3">
        <v>1</v>
      </c>
      <c r="I347" s="7">
        <v>2942.03</v>
      </c>
      <c r="J347" s="9">
        <v>0</v>
      </c>
      <c r="K347" s="7">
        <v>2942.03</v>
      </c>
      <c r="L347" s="7">
        <v>1186.8699999999999</v>
      </c>
      <c r="M347" s="3" t="s">
        <v>56</v>
      </c>
      <c r="N347" s="3"/>
      <c r="O347" s="3"/>
      <c r="P347" s="3"/>
      <c r="Q347" s="3"/>
    </row>
    <row r="348" spans="1:17" ht="21" customHeight="1">
      <c r="A348" s="3" t="s">
        <v>732</v>
      </c>
      <c r="B348" s="5">
        <v>45402</v>
      </c>
      <c r="C348" s="3" t="s">
        <v>733</v>
      </c>
      <c r="D348" s="3" t="s">
        <v>44</v>
      </c>
      <c r="E348" s="3" t="s">
        <v>40</v>
      </c>
      <c r="F348" s="3" t="s">
        <v>160</v>
      </c>
      <c r="G348" s="3" t="s">
        <v>161</v>
      </c>
      <c r="H348" s="3">
        <v>1</v>
      </c>
      <c r="I348" s="7">
        <v>13506.06</v>
      </c>
      <c r="J348" s="9">
        <v>0</v>
      </c>
      <c r="K348" s="7">
        <v>13506.06</v>
      </c>
      <c r="L348" s="7">
        <v>4614.41</v>
      </c>
      <c r="M348" s="3" t="s">
        <v>56</v>
      </c>
      <c r="N348" s="3"/>
      <c r="O348" s="3"/>
      <c r="P348" s="3"/>
      <c r="Q348" s="3"/>
    </row>
    <row r="349" spans="1:17" ht="21" customHeight="1">
      <c r="A349" s="3" t="s">
        <v>734</v>
      </c>
      <c r="B349" s="5">
        <v>45402</v>
      </c>
      <c r="C349" s="3" t="s">
        <v>715</v>
      </c>
      <c r="D349" s="3" t="s">
        <v>47</v>
      </c>
      <c r="E349" s="3" t="s">
        <v>40</v>
      </c>
      <c r="F349" s="3" t="s">
        <v>160</v>
      </c>
      <c r="G349" s="3" t="s">
        <v>173</v>
      </c>
      <c r="H349" s="3">
        <v>2</v>
      </c>
      <c r="I349" s="7">
        <v>9197.11</v>
      </c>
      <c r="J349" s="9">
        <v>0.05</v>
      </c>
      <c r="K349" s="7">
        <v>17474.509999999998</v>
      </c>
      <c r="L349" s="7">
        <v>4540.9399999999996</v>
      </c>
      <c r="M349" s="3" t="s">
        <v>56</v>
      </c>
      <c r="N349" s="3"/>
      <c r="O349" s="3"/>
      <c r="P349" s="3"/>
      <c r="Q349" s="3"/>
    </row>
    <row r="350" spans="1:17" ht="21" customHeight="1">
      <c r="A350" s="3" t="s">
        <v>735</v>
      </c>
      <c r="B350" s="5">
        <v>45405</v>
      </c>
      <c r="C350" s="3" t="s">
        <v>224</v>
      </c>
      <c r="D350" s="3" t="s">
        <v>45</v>
      </c>
      <c r="E350" s="3" t="s">
        <v>42</v>
      </c>
      <c r="F350" s="3" t="s">
        <v>126</v>
      </c>
      <c r="G350" s="3" t="s">
        <v>127</v>
      </c>
      <c r="H350" s="3">
        <v>1</v>
      </c>
      <c r="I350" s="7">
        <v>1004.14</v>
      </c>
      <c r="J350" s="9">
        <v>0.05</v>
      </c>
      <c r="K350" s="7">
        <v>953.93</v>
      </c>
      <c r="L350" s="7">
        <v>478.44</v>
      </c>
      <c r="M350" s="3" t="s">
        <v>57</v>
      </c>
      <c r="N350" s="3"/>
      <c r="O350" s="3"/>
      <c r="P350" s="3"/>
      <c r="Q350" s="3"/>
    </row>
    <row r="351" spans="1:17" ht="21" customHeight="1">
      <c r="A351" s="3" t="s">
        <v>736</v>
      </c>
      <c r="B351" s="5">
        <v>45405</v>
      </c>
      <c r="C351" s="3" t="s">
        <v>737</v>
      </c>
      <c r="D351" s="3" t="s">
        <v>44</v>
      </c>
      <c r="E351" s="3" t="s">
        <v>39</v>
      </c>
      <c r="F351" s="3" t="s">
        <v>164</v>
      </c>
      <c r="G351" s="3" t="s">
        <v>165</v>
      </c>
      <c r="H351" s="3">
        <v>1</v>
      </c>
      <c r="I351" s="7">
        <v>1919.28</v>
      </c>
      <c r="J351" s="9">
        <v>0</v>
      </c>
      <c r="K351" s="7">
        <v>1919.28</v>
      </c>
      <c r="L351" s="7">
        <v>856.99</v>
      </c>
      <c r="M351" s="3" t="s">
        <v>57</v>
      </c>
      <c r="N351" s="3"/>
      <c r="O351" s="3"/>
      <c r="P351" s="3"/>
      <c r="Q351" s="3"/>
    </row>
    <row r="352" spans="1:17" ht="21" customHeight="1">
      <c r="A352" s="3" t="s">
        <v>738</v>
      </c>
      <c r="B352" s="5">
        <v>45406</v>
      </c>
      <c r="C352" s="3" t="s">
        <v>739</v>
      </c>
      <c r="D352" s="3" t="s">
        <v>47</v>
      </c>
      <c r="E352" s="3" t="s">
        <v>39</v>
      </c>
      <c r="F352" s="3" t="s">
        <v>109</v>
      </c>
      <c r="G352" s="3" t="s">
        <v>110</v>
      </c>
      <c r="H352" s="3">
        <v>3</v>
      </c>
      <c r="I352" s="7">
        <v>2888.8</v>
      </c>
      <c r="J352" s="9">
        <v>0</v>
      </c>
      <c r="K352" s="7">
        <v>8666.4</v>
      </c>
      <c r="L352" s="7">
        <v>3488.03</v>
      </c>
      <c r="M352" s="3" t="s">
        <v>56</v>
      </c>
      <c r="N352" s="3"/>
      <c r="O352" s="3"/>
      <c r="P352" s="3"/>
      <c r="Q352" s="3"/>
    </row>
    <row r="353" spans="1:17" ht="21" customHeight="1">
      <c r="A353" s="3" t="s">
        <v>740</v>
      </c>
      <c r="B353" s="5">
        <v>45406</v>
      </c>
      <c r="C353" s="3" t="s">
        <v>741</v>
      </c>
      <c r="D353" s="3" t="s">
        <v>47</v>
      </c>
      <c r="E353" s="3" t="s">
        <v>38</v>
      </c>
      <c r="F353" s="3" t="s">
        <v>98</v>
      </c>
      <c r="G353" s="3" t="s">
        <v>362</v>
      </c>
      <c r="H353" s="3">
        <v>2</v>
      </c>
      <c r="I353" s="7">
        <v>33235.15</v>
      </c>
      <c r="J353" s="9">
        <v>0.15</v>
      </c>
      <c r="K353" s="7">
        <v>56499.75</v>
      </c>
      <c r="L353" s="7">
        <v>855.29</v>
      </c>
      <c r="M353" s="3" t="s">
        <v>58</v>
      </c>
      <c r="N353" s="3"/>
      <c r="O353" s="3"/>
      <c r="P353" s="3"/>
      <c r="Q353" s="3"/>
    </row>
    <row r="354" spans="1:17" ht="21" customHeight="1">
      <c r="A354" s="3" t="s">
        <v>742</v>
      </c>
      <c r="B354" s="5">
        <v>45406</v>
      </c>
      <c r="C354" s="3" t="s">
        <v>743</v>
      </c>
      <c r="D354" s="3" t="s">
        <v>45</v>
      </c>
      <c r="E354" s="3" t="s">
        <v>38</v>
      </c>
      <c r="F354" s="3" t="s">
        <v>94</v>
      </c>
      <c r="G354" s="3" t="s">
        <v>213</v>
      </c>
      <c r="H354" s="3">
        <v>1</v>
      </c>
      <c r="I354" s="7">
        <v>56224.32</v>
      </c>
      <c r="J354" s="9">
        <v>0.25</v>
      </c>
      <c r="K354" s="7">
        <v>42168.24</v>
      </c>
      <c r="L354" s="7">
        <v>-3904.29</v>
      </c>
      <c r="M354" s="3" t="s">
        <v>57</v>
      </c>
      <c r="N354" s="3"/>
      <c r="O354" s="3"/>
      <c r="P354" s="3"/>
      <c r="Q354" s="3"/>
    </row>
    <row r="355" spans="1:17" ht="21" customHeight="1">
      <c r="A355" s="3" t="s">
        <v>744</v>
      </c>
      <c r="B355" s="5">
        <v>45407</v>
      </c>
      <c r="C355" s="3" t="s">
        <v>695</v>
      </c>
      <c r="D355" s="3" t="s">
        <v>47</v>
      </c>
      <c r="E355" s="3" t="s">
        <v>40</v>
      </c>
      <c r="F355" s="3" t="s">
        <v>160</v>
      </c>
      <c r="G355" s="3" t="s">
        <v>161</v>
      </c>
      <c r="H355" s="3">
        <v>2</v>
      </c>
      <c r="I355" s="7">
        <v>12419.98</v>
      </c>
      <c r="J355" s="9">
        <v>0</v>
      </c>
      <c r="K355" s="7">
        <v>24839.96</v>
      </c>
      <c r="L355" s="7">
        <v>8987.92</v>
      </c>
      <c r="M355" s="3" t="s">
        <v>57</v>
      </c>
      <c r="N355" s="3"/>
      <c r="O355" s="3"/>
      <c r="P355" s="3"/>
      <c r="Q355" s="3"/>
    </row>
    <row r="356" spans="1:17" ht="21" customHeight="1">
      <c r="A356" s="3" t="s">
        <v>745</v>
      </c>
      <c r="B356" s="5">
        <v>45407</v>
      </c>
      <c r="C356" s="3" t="s">
        <v>746</v>
      </c>
      <c r="D356" s="3" t="s">
        <v>44</v>
      </c>
      <c r="E356" s="3" t="s">
        <v>38</v>
      </c>
      <c r="F356" s="3" t="s">
        <v>94</v>
      </c>
      <c r="G356" s="3" t="s">
        <v>95</v>
      </c>
      <c r="H356" s="3">
        <v>2</v>
      </c>
      <c r="I356" s="7">
        <v>79154.53</v>
      </c>
      <c r="J356" s="9">
        <v>0.2</v>
      </c>
      <c r="K356" s="7">
        <v>126647.25</v>
      </c>
      <c r="L356" s="7">
        <v>-2105.77</v>
      </c>
      <c r="M356" s="3" t="s">
        <v>58</v>
      </c>
      <c r="N356" s="3"/>
      <c r="O356" s="3"/>
      <c r="P356" s="3"/>
      <c r="Q356" s="3"/>
    </row>
    <row r="357" spans="1:17" ht="21" customHeight="1">
      <c r="A357" s="3" t="s">
        <v>747</v>
      </c>
      <c r="B357" s="5">
        <v>45407</v>
      </c>
      <c r="C357" s="3" t="s">
        <v>748</v>
      </c>
      <c r="D357" s="3" t="s">
        <v>47</v>
      </c>
      <c r="E357" s="3" t="s">
        <v>41</v>
      </c>
      <c r="F357" s="3" t="s">
        <v>119</v>
      </c>
      <c r="G357" s="3" t="s">
        <v>168</v>
      </c>
      <c r="H357" s="3">
        <v>2</v>
      </c>
      <c r="I357" s="7">
        <v>10377.950000000001</v>
      </c>
      <c r="J357" s="9">
        <v>0</v>
      </c>
      <c r="K357" s="7">
        <v>20755.900000000001</v>
      </c>
      <c r="L357" s="7">
        <v>7695.86</v>
      </c>
      <c r="M357" s="3" t="s">
        <v>58</v>
      </c>
      <c r="N357" s="3"/>
      <c r="O357" s="3"/>
      <c r="P357" s="3"/>
      <c r="Q357" s="3"/>
    </row>
    <row r="358" spans="1:17" ht="21" customHeight="1">
      <c r="A358" s="3" t="s">
        <v>749</v>
      </c>
      <c r="B358" s="5">
        <v>45407</v>
      </c>
      <c r="C358" s="3" t="s">
        <v>750</v>
      </c>
      <c r="D358" s="3" t="s">
        <v>44</v>
      </c>
      <c r="E358" s="3" t="s">
        <v>40</v>
      </c>
      <c r="F358" s="3" t="s">
        <v>221</v>
      </c>
      <c r="G358" s="3" t="s">
        <v>279</v>
      </c>
      <c r="H358" s="3">
        <v>3</v>
      </c>
      <c r="I358" s="7">
        <v>1570.66</v>
      </c>
      <c r="J358" s="9">
        <v>0.2</v>
      </c>
      <c r="K358" s="7">
        <v>3769.58</v>
      </c>
      <c r="L358" s="7">
        <v>460.73</v>
      </c>
      <c r="M358" s="3" t="s">
        <v>56</v>
      </c>
      <c r="N358" s="3"/>
      <c r="O358" s="3"/>
      <c r="P358" s="3"/>
      <c r="Q358" s="3"/>
    </row>
    <row r="359" spans="1:17" ht="21" customHeight="1">
      <c r="A359" s="3" t="s">
        <v>751</v>
      </c>
      <c r="B359" s="5">
        <v>45407</v>
      </c>
      <c r="C359" s="3" t="s">
        <v>752</v>
      </c>
      <c r="D359" s="3" t="s">
        <v>46</v>
      </c>
      <c r="E359" s="3" t="s">
        <v>38</v>
      </c>
      <c r="F359" s="3" t="s">
        <v>142</v>
      </c>
      <c r="G359" s="3" t="s">
        <v>143</v>
      </c>
      <c r="H359" s="3">
        <v>3</v>
      </c>
      <c r="I359" s="7">
        <v>9066.33</v>
      </c>
      <c r="J359" s="9">
        <v>0.05</v>
      </c>
      <c r="K359" s="7">
        <v>25839.040000000001</v>
      </c>
      <c r="L359" s="7">
        <v>3443.05</v>
      </c>
      <c r="M359" s="3" t="s">
        <v>57</v>
      </c>
      <c r="N359" s="3"/>
      <c r="O359" s="3"/>
      <c r="P359" s="3"/>
      <c r="Q359" s="3"/>
    </row>
    <row r="360" spans="1:17" ht="21" customHeight="1">
      <c r="A360" s="3" t="s">
        <v>753</v>
      </c>
      <c r="B360" s="5">
        <v>45407</v>
      </c>
      <c r="C360" s="3" t="s">
        <v>754</v>
      </c>
      <c r="D360" s="3" t="s">
        <v>46</v>
      </c>
      <c r="E360" s="3" t="s">
        <v>38</v>
      </c>
      <c r="F360" s="3" t="s">
        <v>142</v>
      </c>
      <c r="G360" s="3" t="s">
        <v>143</v>
      </c>
      <c r="H360" s="3">
        <v>1</v>
      </c>
      <c r="I360" s="7">
        <v>9419.91</v>
      </c>
      <c r="J360" s="9">
        <v>0.05</v>
      </c>
      <c r="K360" s="7">
        <v>8948.91</v>
      </c>
      <c r="L360" s="7">
        <v>1219.27</v>
      </c>
      <c r="M360" s="3" t="s">
        <v>56</v>
      </c>
      <c r="N360" s="3"/>
      <c r="O360" s="3"/>
      <c r="P360" s="3"/>
      <c r="Q360" s="3"/>
    </row>
    <row r="361" spans="1:17" ht="21" customHeight="1">
      <c r="A361" s="3" t="s">
        <v>755</v>
      </c>
      <c r="B361" s="5">
        <v>45407</v>
      </c>
      <c r="C361" s="3" t="s">
        <v>756</v>
      </c>
      <c r="D361" s="3" t="s">
        <v>44</v>
      </c>
      <c r="E361" s="3" t="s">
        <v>41</v>
      </c>
      <c r="F361" s="3" t="s">
        <v>113</v>
      </c>
      <c r="G361" s="3" t="s">
        <v>123</v>
      </c>
      <c r="H361" s="3">
        <v>3</v>
      </c>
      <c r="I361" s="7">
        <v>3567.06</v>
      </c>
      <c r="J361" s="9">
        <v>0</v>
      </c>
      <c r="K361" s="7">
        <v>10701.18</v>
      </c>
      <c r="L361" s="7">
        <v>4409.6000000000004</v>
      </c>
      <c r="M361" s="3" t="s">
        <v>58</v>
      </c>
      <c r="N361" s="3"/>
      <c r="O361" s="3"/>
      <c r="P361" s="3"/>
      <c r="Q361" s="3"/>
    </row>
    <row r="362" spans="1:17" ht="21" customHeight="1">
      <c r="A362" s="3" t="s">
        <v>757</v>
      </c>
      <c r="B362" s="5">
        <v>45407</v>
      </c>
      <c r="C362" s="3" t="s">
        <v>663</v>
      </c>
      <c r="D362" s="3" t="s">
        <v>45</v>
      </c>
      <c r="E362" s="3" t="s">
        <v>42</v>
      </c>
      <c r="F362" s="3" t="s">
        <v>90</v>
      </c>
      <c r="G362" s="3" t="s">
        <v>91</v>
      </c>
      <c r="H362" s="3">
        <v>2</v>
      </c>
      <c r="I362" s="7">
        <v>1151.8399999999999</v>
      </c>
      <c r="J362" s="9">
        <v>0.05</v>
      </c>
      <c r="K362" s="7">
        <v>2188.5</v>
      </c>
      <c r="L362" s="7">
        <v>1080.6300000000001</v>
      </c>
      <c r="M362" s="3" t="s">
        <v>60</v>
      </c>
      <c r="N362" s="3"/>
      <c r="O362" s="3"/>
      <c r="P362" s="3"/>
      <c r="Q362" s="3"/>
    </row>
    <row r="363" spans="1:17" ht="21" customHeight="1">
      <c r="A363" s="3" t="s">
        <v>758</v>
      </c>
      <c r="B363" s="5">
        <v>45408</v>
      </c>
      <c r="C363" s="3" t="s">
        <v>759</v>
      </c>
      <c r="D363" s="3" t="s">
        <v>45</v>
      </c>
      <c r="E363" s="3" t="s">
        <v>39</v>
      </c>
      <c r="F363" s="3" t="s">
        <v>164</v>
      </c>
      <c r="G363" s="3" t="s">
        <v>200</v>
      </c>
      <c r="H363" s="3">
        <v>2</v>
      </c>
      <c r="I363" s="7">
        <v>1238.71</v>
      </c>
      <c r="J363" s="9">
        <v>0.15</v>
      </c>
      <c r="K363" s="7">
        <v>2105.81</v>
      </c>
      <c r="L363" s="7">
        <v>476.56</v>
      </c>
      <c r="M363" s="3" t="s">
        <v>58</v>
      </c>
      <c r="N363" s="3"/>
      <c r="O363" s="3"/>
      <c r="P363" s="3"/>
      <c r="Q363" s="3"/>
    </row>
    <row r="364" spans="1:17" ht="21" customHeight="1">
      <c r="A364" s="3" t="s">
        <v>760</v>
      </c>
      <c r="B364" s="5">
        <v>45408</v>
      </c>
      <c r="C364" s="3" t="s">
        <v>389</v>
      </c>
      <c r="D364" s="3" t="s">
        <v>44</v>
      </c>
      <c r="E364" s="3" t="s">
        <v>39</v>
      </c>
      <c r="F364" s="3" t="s">
        <v>164</v>
      </c>
      <c r="G364" s="3" t="s">
        <v>200</v>
      </c>
      <c r="H364" s="3">
        <v>2</v>
      </c>
      <c r="I364" s="7">
        <v>1262.51</v>
      </c>
      <c r="J364" s="9">
        <v>0.15</v>
      </c>
      <c r="K364" s="7">
        <v>2146.27</v>
      </c>
      <c r="L364" s="7">
        <v>602.48</v>
      </c>
      <c r="M364" s="3" t="s">
        <v>57</v>
      </c>
      <c r="N364" s="3"/>
      <c r="O364" s="3"/>
      <c r="P364" s="3"/>
      <c r="Q364" s="3"/>
    </row>
    <row r="365" spans="1:17" ht="21" customHeight="1">
      <c r="A365" s="3" t="s">
        <v>761</v>
      </c>
      <c r="B365" s="5">
        <v>45409</v>
      </c>
      <c r="C365" s="3" t="s">
        <v>762</v>
      </c>
      <c r="D365" s="3" t="s">
        <v>46</v>
      </c>
      <c r="E365" s="3" t="s">
        <v>41</v>
      </c>
      <c r="F365" s="3" t="s">
        <v>119</v>
      </c>
      <c r="G365" s="3" t="s">
        <v>168</v>
      </c>
      <c r="H365" s="3">
        <v>4</v>
      </c>
      <c r="I365" s="7">
        <v>10074.75</v>
      </c>
      <c r="J365" s="9">
        <v>0.2</v>
      </c>
      <c r="K365" s="7">
        <v>32239.200000000001</v>
      </c>
      <c r="L365" s="7">
        <v>5025.1899999999996</v>
      </c>
      <c r="M365" s="3" t="s">
        <v>56</v>
      </c>
      <c r="N365" s="3"/>
      <c r="O365" s="3"/>
      <c r="P365" s="3"/>
      <c r="Q365" s="3"/>
    </row>
    <row r="366" spans="1:17" ht="21" customHeight="1">
      <c r="A366" s="3" t="s">
        <v>763</v>
      </c>
      <c r="B366" s="5">
        <v>45409</v>
      </c>
      <c r="C366" s="3" t="s">
        <v>459</v>
      </c>
      <c r="D366" s="3" t="s">
        <v>44</v>
      </c>
      <c r="E366" s="3" t="s">
        <v>39</v>
      </c>
      <c r="F366" s="3" t="s">
        <v>109</v>
      </c>
      <c r="G366" s="3" t="s">
        <v>355</v>
      </c>
      <c r="H366" s="3">
        <v>1</v>
      </c>
      <c r="I366" s="7">
        <v>3576.68</v>
      </c>
      <c r="J366" s="9">
        <v>0</v>
      </c>
      <c r="K366" s="7">
        <v>3576.68</v>
      </c>
      <c r="L366" s="7">
        <v>1488.6</v>
      </c>
      <c r="M366" s="3" t="s">
        <v>56</v>
      </c>
      <c r="N366" s="3"/>
      <c r="O366" s="3"/>
      <c r="P366" s="3"/>
      <c r="Q366" s="3"/>
    </row>
    <row r="367" spans="1:17" ht="21" customHeight="1">
      <c r="A367" s="3" t="s">
        <v>764</v>
      </c>
      <c r="B367" s="5">
        <v>45409</v>
      </c>
      <c r="C367" s="3" t="s">
        <v>765</v>
      </c>
      <c r="D367" s="3" t="s">
        <v>46</v>
      </c>
      <c r="E367" s="3" t="s">
        <v>40</v>
      </c>
      <c r="F367" s="3" t="s">
        <v>221</v>
      </c>
      <c r="G367" s="3" t="s">
        <v>222</v>
      </c>
      <c r="H367" s="3">
        <v>1</v>
      </c>
      <c r="I367" s="7">
        <v>973.79</v>
      </c>
      <c r="J367" s="9">
        <v>0.1</v>
      </c>
      <c r="K367" s="7">
        <v>876.41</v>
      </c>
      <c r="L367" s="7">
        <v>198.81</v>
      </c>
      <c r="M367" s="3" t="s">
        <v>59</v>
      </c>
      <c r="N367" s="3"/>
      <c r="O367" s="3"/>
      <c r="P367" s="3"/>
      <c r="Q367" s="3"/>
    </row>
    <row r="368" spans="1:17" ht="21" customHeight="1">
      <c r="A368" s="3" t="s">
        <v>766</v>
      </c>
      <c r="B368" s="5">
        <v>45409</v>
      </c>
      <c r="C368" s="3" t="s">
        <v>293</v>
      </c>
      <c r="D368" s="3" t="s">
        <v>44</v>
      </c>
      <c r="E368" s="3" t="s">
        <v>41</v>
      </c>
      <c r="F368" s="3" t="s">
        <v>113</v>
      </c>
      <c r="G368" s="3" t="s">
        <v>114</v>
      </c>
      <c r="H368" s="3">
        <v>1</v>
      </c>
      <c r="I368" s="7">
        <v>12586.8</v>
      </c>
      <c r="J368" s="9">
        <v>0</v>
      </c>
      <c r="K368" s="7">
        <v>12586.8</v>
      </c>
      <c r="L368" s="7">
        <v>4644.8500000000004</v>
      </c>
      <c r="M368" s="3" t="s">
        <v>56</v>
      </c>
      <c r="N368" s="3"/>
      <c r="O368" s="3"/>
      <c r="P368" s="3"/>
      <c r="Q368" s="3"/>
    </row>
    <row r="369" spans="1:17" ht="21" customHeight="1">
      <c r="A369" s="3" t="s">
        <v>767</v>
      </c>
      <c r="B369" s="5">
        <v>45410</v>
      </c>
      <c r="C369" s="3" t="s">
        <v>768</v>
      </c>
      <c r="D369" s="3" t="s">
        <v>45</v>
      </c>
      <c r="E369" s="3" t="s">
        <v>40</v>
      </c>
      <c r="F369" s="3" t="s">
        <v>160</v>
      </c>
      <c r="G369" s="3" t="s">
        <v>173</v>
      </c>
      <c r="H369" s="3">
        <v>1</v>
      </c>
      <c r="I369" s="7">
        <v>8860.1299999999992</v>
      </c>
      <c r="J369" s="9">
        <v>0.1</v>
      </c>
      <c r="K369" s="7">
        <v>7974.12</v>
      </c>
      <c r="L369" s="7">
        <v>1897.16</v>
      </c>
      <c r="M369" s="3" t="s">
        <v>60</v>
      </c>
      <c r="N369" s="3"/>
      <c r="O369" s="3"/>
      <c r="P369" s="3"/>
      <c r="Q369" s="3"/>
    </row>
    <row r="370" spans="1:17" ht="21" customHeight="1">
      <c r="A370" s="3" t="s">
        <v>769</v>
      </c>
      <c r="B370" s="5">
        <v>45410</v>
      </c>
      <c r="C370" s="3" t="s">
        <v>264</v>
      </c>
      <c r="D370" s="3" t="s">
        <v>46</v>
      </c>
      <c r="E370" s="3" t="s">
        <v>40</v>
      </c>
      <c r="F370" s="3" t="s">
        <v>102</v>
      </c>
      <c r="G370" s="3" t="s">
        <v>146</v>
      </c>
      <c r="H370" s="3">
        <v>2</v>
      </c>
      <c r="I370" s="7">
        <v>7970.42</v>
      </c>
      <c r="J370" s="9">
        <v>0.1</v>
      </c>
      <c r="K370" s="7">
        <v>14346.76</v>
      </c>
      <c r="L370" s="7">
        <v>3315.34</v>
      </c>
      <c r="M370" s="3" t="s">
        <v>56</v>
      </c>
      <c r="N370" s="3"/>
      <c r="O370" s="3"/>
      <c r="P370" s="3"/>
      <c r="Q370" s="3"/>
    </row>
    <row r="371" spans="1:17" ht="21" customHeight="1">
      <c r="A371" s="3" t="s">
        <v>770</v>
      </c>
      <c r="B371" s="5">
        <v>45410</v>
      </c>
      <c r="C371" s="3" t="s">
        <v>771</v>
      </c>
      <c r="D371" s="3" t="s">
        <v>46</v>
      </c>
      <c r="E371" s="3" t="s">
        <v>40</v>
      </c>
      <c r="F371" s="3" t="s">
        <v>221</v>
      </c>
      <c r="G371" s="3" t="s">
        <v>222</v>
      </c>
      <c r="H371" s="3">
        <v>1</v>
      </c>
      <c r="I371" s="7">
        <v>1041.44</v>
      </c>
      <c r="J371" s="9">
        <v>0.15</v>
      </c>
      <c r="K371" s="7">
        <v>885.22</v>
      </c>
      <c r="L371" s="7">
        <v>116.47</v>
      </c>
      <c r="M371" s="3" t="s">
        <v>57</v>
      </c>
      <c r="N371" s="3"/>
      <c r="O371" s="3"/>
      <c r="P371" s="3"/>
      <c r="Q371" s="3"/>
    </row>
    <row r="372" spans="1:17" ht="21" customHeight="1">
      <c r="A372" s="3" t="s">
        <v>772</v>
      </c>
      <c r="B372" s="5">
        <v>45410</v>
      </c>
      <c r="C372" s="3" t="s">
        <v>773</v>
      </c>
      <c r="D372" s="3" t="s">
        <v>44</v>
      </c>
      <c r="E372" s="3" t="s">
        <v>42</v>
      </c>
      <c r="F372" s="3" t="s">
        <v>126</v>
      </c>
      <c r="G372" s="3" t="s">
        <v>151</v>
      </c>
      <c r="H372" s="3">
        <v>1</v>
      </c>
      <c r="I372" s="7">
        <v>1524.51</v>
      </c>
      <c r="J372" s="9">
        <v>0.1</v>
      </c>
      <c r="K372" s="7">
        <v>1372.06</v>
      </c>
      <c r="L372" s="7">
        <v>588.33000000000004</v>
      </c>
      <c r="M372" s="3" t="s">
        <v>57</v>
      </c>
      <c r="N372" s="3"/>
      <c r="O372" s="3"/>
      <c r="P372" s="3"/>
      <c r="Q372" s="3"/>
    </row>
    <row r="373" spans="1:17" ht="21" customHeight="1">
      <c r="A373" s="3" t="s">
        <v>774</v>
      </c>
      <c r="B373" s="5">
        <v>45410</v>
      </c>
      <c r="C373" s="3" t="s">
        <v>775</v>
      </c>
      <c r="D373" s="3" t="s">
        <v>47</v>
      </c>
      <c r="E373" s="3" t="s">
        <v>39</v>
      </c>
      <c r="F373" s="3" t="s">
        <v>109</v>
      </c>
      <c r="G373" s="3" t="s">
        <v>355</v>
      </c>
      <c r="H373" s="3">
        <v>1</v>
      </c>
      <c r="I373" s="7">
        <v>3492.2</v>
      </c>
      <c r="J373" s="9">
        <v>0.05</v>
      </c>
      <c r="K373" s="7">
        <v>3317.59</v>
      </c>
      <c r="L373" s="7">
        <v>1296.9000000000001</v>
      </c>
      <c r="M373" s="3" t="s">
        <v>58</v>
      </c>
      <c r="N373" s="3"/>
      <c r="O373" s="3"/>
      <c r="P373" s="3"/>
      <c r="Q373" s="3"/>
    </row>
    <row r="374" spans="1:17" ht="21" customHeight="1">
      <c r="A374" s="3" t="s">
        <v>776</v>
      </c>
      <c r="B374" s="5">
        <v>45411</v>
      </c>
      <c r="C374" s="3" t="s">
        <v>272</v>
      </c>
      <c r="D374" s="3" t="s">
        <v>46</v>
      </c>
      <c r="E374" s="3" t="s">
        <v>42</v>
      </c>
      <c r="F374" s="3" t="s">
        <v>126</v>
      </c>
      <c r="G374" s="3" t="s">
        <v>127</v>
      </c>
      <c r="H374" s="3">
        <v>2</v>
      </c>
      <c r="I374" s="7">
        <v>994.89</v>
      </c>
      <c r="J374" s="9">
        <v>0.3</v>
      </c>
      <c r="K374" s="7">
        <v>1392.85</v>
      </c>
      <c r="L374" s="7">
        <v>281.16000000000003</v>
      </c>
      <c r="M374" s="3" t="s">
        <v>56</v>
      </c>
      <c r="N374" s="3"/>
      <c r="O374" s="3"/>
      <c r="P374" s="3"/>
      <c r="Q374" s="3"/>
    </row>
    <row r="375" spans="1:17" ht="21" customHeight="1">
      <c r="A375" s="3" t="s">
        <v>777</v>
      </c>
      <c r="B375" s="5">
        <v>45411</v>
      </c>
      <c r="C375" s="3" t="s">
        <v>778</v>
      </c>
      <c r="D375" s="3" t="s">
        <v>44</v>
      </c>
      <c r="E375" s="3" t="s">
        <v>41</v>
      </c>
      <c r="F375" s="3" t="s">
        <v>113</v>
      </c>
      <c r="G375" s="3" t="s">
        <v>123</v>
      </c>
      <c r="H375" s="3">
        <v>2</v>
      </c>
      <c r="I375" s="7">
        <v>3471.71</v>
      </c>
      <c r="J375" s="9">
        <v>0.1</v>
      </c>
      <c r="K375" s="7">
        <v>6249.08</v>
      </c>
      <c r="L375" s="7">
        <v>1563.94</v>
      </c>
      <c r="M375" s="3" t="s">
        <v>59</v>
      </c>
      <c r="N375" s="3"/>
      <c r="O375" s="3"/>
      <c r="P375" s="3"/>
      <c r="Q375" s="3"/>
    </row>
    <row r="376" spans="1:17" ht="21" customHeight="1">
      <c r="A376" s="3" t="s">
        <v>779</v>
      </c>
      <c r="B376" s="5">
        <v>45411</v>
      </c>
      <c r="C376" s="3" t="s">
        <v>529</v>
      </c>
      <c r="D376" s="3" t="s">
        <v>46</v>
      </c>
      <c r="E376" s="3" t="s">
        <v>39</v>
      </c>
      <c r="F376" s="3" t="s">
        <v>164</v>
      </c>
      <c r="G376" s="3" t="s">
        <v>200</v>
      </c>
      <c r="H376" s="3">
        <v>1</v>
      </c>
      <c r="I376" s="7">
        <v>1335.56</v>
      </c>
      <c r="J376" s="9">
        <v>0.1</v>
      </c>
      <c r="K376" s="7">
        <v>1202</v>
      </c>
      <c r="L376" s="7">
        <v>349.19</v>
      </c>
      <c r="M376" s="3" t="s">
        <v>56</v>
      </c>
      <c r="N376" s="3"/>
      <c r="O376" s="3"/>
      <c r="P376" s="3"/>
      <c r="Q376" s="3"/>
    </row>
    <row r="377" spans="1:17" ht="21" customHeight="1">
      <c r="A377" s="3" t="s">
        <v>780</v>
      </c>
      <c r="B377" s="5">
        <v>45411</v>
      </c>
      <c r="C377" s="3" t="s">
        <v>781</v>
      </c>
      <c r="D377" s="3" t="s">
        <v>47</v>
      </c>
      <c r="E377" s="3" t="s">
        <v>42</v>
      </c>
      <c r="F377" s="3" t="s">
        <v>90</v>
      </c>
      <c r="G377" s="3" t="s">
        <v>106</v>
      </c>
      <c r="H377" s="3">
        <v>1</v>
      </c>
      <c r="I377" s="7">
        <v>938.41</v>
      </c>
      <c r="J377" s="9">
        <v>0</v>
      </c>
      <c r="K377" s="7">
        <v>938.41</v>
      </c>
      <c r="L377" s="7">
        <v>494.34</v>
      </c>
      <c r="M377" s="3" t="s">
        <v>57</v>
      </c>
      <c r="N377" s="3"/>
      <c r="O377" s="3"/>
      <c r="P377" s="3"/>
      <c r="Q377" s="3"/>
    </row>
    <row r="378" spans="1:17" ht="21" customHeight="1">
      <c r="A378" s="3" t="s">
        <v>782</v>
      </c>
      <c r="B378" s="5">
        <v>45412</v>
      </c>
      <c r="C378" s="3" t="s">
        <v>251</v>
      </c>
      <c r="D378" s="3" t="s">
        <v>47</v>
      </c>
      <c r="E378" s="3" t="s">
        <v>39</v>
      </c>
      <c r="F378" s="3" t="s">
        <v>164</v>
      </c>
      <c r="G378" s="3" t="s">
        <v>165</v>
      </c>
      <c r="H378" s="3">
        <v>1</v>
      </c>
      <c r="I378" s="7">
        <v>2036.2</v>
      </c>
      <c r="J378" s="9">
        <v>0</v>
      </c>
      <c r="K378" s="7">
        <v>2036.2</v>
      </c>
      <c r="L378" s="7">
        <v>924.13</v>
      </c>
      <c r="M378" s="3" t="s">
        <v>58</v>
      </c>
      <c r="N378" s="3"/>
      <c r="O378" s="3"/>
      <c r="P378" s="3"/>
      <c r="Q378" s="3"/>
    </row>
    <row r="379" spans="1:17" ht="21" customHeight="1">
      <c r="A379" s="3" t="s">
        <v>783</v>
      </c>
      <c r="B379" s="5">
        <v>45412</v>
      </c>
      <c r="C379" s="3" t="s">
        <v>730</v>
      </c>
      <c r="D379" s="3" t="s">
        <v>44</v>
      </c>
      <c r="E379" s="3" t="s">
        <v>41</v>
      </c>
      <c r="F379" s="3" t="s">
        <v>113</v>
      </c>
      <c r="G379" s="3" t="s">
        <v>123</v>
      </c>
      <c r="H379" s="3">
        <v>1</v>
      </c>
      <c r="I379" s="7">
        <v>3573.79</v>
      </c>
      <c r="J379" s="9">
        <v>0.1</v>
      </c>
      <c r="K379" s="7">
        <v>3216.41</v>
      </c>
      <c r="L379" s="7">
        <v>926.99</v>
      </c>
      <c r="M379" s="3" t="s">
        <v>58</v>
      </c>
      <c r="N379" s="3"/>
      <c r="O379" s="3"/>
      <c r="P379" s="3"/>
      <c r="Q379" s="3"/>
    </row>
    <row r="380" spans="1:17" ht="21" customHeight="1">
      <c r="A380" s="3" t="s">
        <v>784</v>
      </c>
      <c r="B380" s="5">
        <v>45412</v>
      </c>
      <c r="C380" s="3" t="s">
        <v>785</v>
      </c>
      <c r="D380" s="3" t="s">
        <v>47</v>
      </c>
      <c r="E380" s="3" t="s">
        <v>41</v>
      </c>
      <c r="F380" s="3" t="s">
        <v>113</v>
      </c>
      <c r="G380" s="3" t="s">
        <v>114</v>
      </c>
      <c r="H380" s="3">
        <v>1</v>
      </c>
      <c r="I380" s="7">
        <v>11804.57</v>
      </c>
      <c r="J380" s="9">
        <v>0.3</v>
      </c>
      <c r="K380" s="7">
        <v>8263.2000000000007</v>
      </c>
      <c r="L380" s="7">
        <v>407.58</v>
      </c>
      <c r="M380" s="3" t="s">
        <v>59</v>
      </c>
      <c r="N380" s="3"/>
      <c r="O380" s="3"/>
      <c r="P380" s="3"/>
      <c r="Q380" s="3"/>
    </row>
    <row r="381" spans="1:17" ht="21" customHeight="1">
      <c r="A381" s="3" t="s">
        <v>786</v>
      </c>
      <c r="B381" s="5">
        <v>45412</v>
      </c>
      <c r="C381" s="3" t="s">
        <v>781</v>
      </c>
      <c r="D381" s="3" t="s">
        <v>45</v>
      </c>
      <c r="E381" s="3" t="s">
        <v>40</v>
      </c>
      <c r="F381" s="3" t="s">
        <v>160</v>
      </c>
      <c r="G381" s="3" t="s">
        <v>161</v>
      </c>
      <c r="H381" s="3">
        <v>3</v>
      </c>
      <c r="I381" s="7">
        <v>13363.07</v>
      </c>
      <c r="J381" s="9">
        <v>0</v>
      </c>
      <c r="K381" s="7">
        <v>40089.21</v>
      </c>
      <c r="L381" s="7">
        <v>14035.58</v>
      </c>
      <c r="M381" s="3" t="s">
        <v>59</v>
      </c>
      <c r="N381" s="3"/>
      <c r="O381" s="3"/>
      <c r="P381" s="3"/>
      <c r="Q381" s="3"/>
    </row>
    <row r="382" spans="1:17" ht="21" customHeight="1">
      <c r="A382" s="3" t="s">
        <v>787</v>
      </c>
      <c r="B382" s="5">
        <v>45413</v>
      </c>
      <c r="C382" s="3" t="s">
        <v>788</v>
      </c>
      <c r="D382" s="3" t="s">
        <v>44</v>
      </c>
      <c r="E382" s="3" t="s">
        <v>38</v>
      </c>
      <c r="F382" s="3" t="s">
        <v>142</v>
      </c>
      <c r="G382" s="3" t="s">
        <v>143</v>
      </c>
      <c r="H382" s="3">
        <v>3</v>
      </c>
      <c r="I382" s="7">
        <v>9144.8700000000008</v>
      </c>
      <c r="J382" s="9">
        <v>0</v>
      </c>
      <c r="K382" s="7">
        <v>27434.61</v>
      </c>
      <c r="L382" s="7">
        <v>4916.83</v>
      </c>
      <c r="M382" s="3" t="s">
        <v>56</v>
      </c>
      <c r="N382" s="3"/>
      <c r="O382" s="3"/>
      <c r="P382" s="3"/>
      <c r="Q382" s="3"/>
    </row>
    <row r="383" spans="1:17" ht="21" customHeight="1">
      <c r="A383" s="3" t="s">
        <v>789</v>
      </c>
      <c r="B383" s="5">
        <v>45413</v>
      </c>
      <c r="C383" s="3" t="s">
        <v>283</v>
      </c>
      <c r="D383" s="3" t="s">
        <v>44</v>
      </c>
      <c r="E383" s="3" t="s">
        <v>39</v>
      </c>
      <c r="F383" s="3" t="s">
        <v>164</v>
      </c>
      <c r="G383" s="3" t="s">
        <v>165</v>
      </c>
      <c r="H383" s="3">
        <v>1</v>
      </c>
      <c r="I383" s="7">
        <v>1936.17</v>
      </c>
      <c r="J383" s="9">
        <v>0</v>
      </c>
      <c r="K383" s="7">
        <v>1936.17</v>
      </c>
      <c r="L383" s="7">
        <v>855.95</v>
      </c>
      <c r="M383" s="3" t="s">
        <v>56</v>
      </c>
      <c r="N383" s="3"/>
      <c r="O383" s="3"/>
      <c r="P383" s="3"/>
      <c r="Q383" s="3"/>
    </row>
    <row r="384" spans="1:17" ht="21" customHeight="1">
      <c r="A384" s="3" t="s">
        <v>790</v>
      </c>
      <c r="B384" s="5">
        <v>45414</v>
      </c>
      <c r="C384" s="3" t="s">
        <v>368</v>
      </c>
      <c r="D384" s="3" t="s">
        <v>46</v>
      </c>
      <c r="E384" s="3" t="s">
        <v>42</v>
      </c>
      <c r="F384" s="3" t="s">
        <v>90</v>
      </c>
      <c r="G384" s="3" t="s">
        <v>91</v>
      </c>
      <c r="H384" s="3">
        <v>1</v>
      </c>
      <c r="I384" s="7">
        <v>1169.25</v>
      </c>
      <c r="J384" s="9">
        <v>0.15</v>
      </c>
      <c r="K384" s="7">
        <v>993.86</v>
      </c>
      <c r="L384" s="7">
        <v>338.13</v>
      </c>
      <c r="M384" s="3" t="s">
        <v>56</v>
      </c>
      <c r="N384" s="3"/>
      <c r="O384" s="3"/>
      <c r="P384" s="3"/>
      <c r="Q384" s="3"/>
    </row>
    <row r="385" spans="1:17" ht="21" customHeight="1">
      <c r="A385" s="3" t="s">
        <v>791</v>
      </c>
      <c r="B385" s="5">
        <v>45414</v>
      </c>
      <c r="C385" s="3" t="s">
        <v>792</v>
      </c>
      <c r="D385" s="3" t="s">
        <v>45</v>
      </c>
      <c r="E385" s="3" t="s">
        <v>39</v>
      </c>
      <c r="F385" s="3" t="s">
        <v>164</v>
      </c>
      <c r="G385" s="3" t="s">
        <v>165</v>
      </c>
      <c r="H385" s="3">
        <v>2</v>
      </c>
      <c r="I385" s="7">
        <v>2093.08</v>
      </c>
      <c r="J385" s="9">
        <v>0.05</v>
      </c>
      <c r="K385" s="7">
        <v>3976.85</v>
      </c>
      <c r="L385" s="7">
        <v>1473.07</v>
      </c>
      <c r="M385" s="3" t="s">
        <v>57</v>
      </c>
      <c r="N385" s="3"/>
      <c r="O385" s="3"/>
      <c r="P385" s="3"/>
      <c r="Q385" s="3"/>
    </row>
    <row r="386" spans="1:17" ht="21" customHeight="1">
      <c r="A386" s="3" t="s">
        <v>793</v>
      </c>
      <c r="B386" s="5">
        <v>45415</v>
      </c>
      <c r="C386" s="3" t="s">
        <v>153</v>
      </c>
      <c r="D386" s="3" t="s">
        <v>46</v>
      </c>
      <c r="E386" s="3" t="s">
        <v>41</v>
      </c>
      <c r="F386" s="3" t="s">
        <v>113</v>
      </c>
      <c r="G386" s="3" t="s">
        <v>123</v>
      </c>
      <c r="H386" s="3">
        <v>2</v>
      </c>
      <c r="I386" s="7">
        <v>3453.28</v>
      </c>
      <c r="J386" s="9">
        <v>0.25</v>
      </c>
      <c r="K386" s="7">
        <v>5179.92</v>
      </c>
      <c r="L386" s="7">
        <v>666.37</v>
      </c>
      <c r="M386" s="3" t="s">
        <v>56</v>
      </c>
      <c r="N386" s="3"/>
      <c r="O386" s="3"/>
      <c r="P386" s="3"/>
      <c r="Q386" s="3"/>
    </row>
    <row r="387" spans="1:17" ht="21" customHeight="1">
      <c r="A387" s="3" t="s">
        <v>794</v>
      </c>
      <c r="B387" s="5">
        <v>45415</v>
      </c>
      <c r="C387" s="3" t="s">
        <v>795</v>
      </c>
      <c r="D387" s="3" t="s">
        <v>44</v>
      </c>
      <c r="E387" s="3" t="s">
        <v>39</v>
      </c>
      <c r="F387" s="3" t="s">
        <v>164</v>
      </c>
      <c r="G387" s="3" t="s">
        <v>165</v>
      </c>
      <c r="H387" s="3">
        <v>1</v>
      </c>
      <c r="I387" s="7">
        <v>1927.53</v>
      </c>
      <c r="J387" s="9">
        <v>0</v>
      </c>
      <c r="K387" s="7">
        <v>1927.53</v>
      </c>
      <c r="L387" s="7">
        <v>870.17</v>
      </c>
      <c r="M387" s="3" t="s">
        <v>60</v>
      </c>
      <c r="N387" s="3"/>
      <c r="O387" s="3"/>
      <c r="P387" s="3"/>
      <c r="Q387" s="3"/>
    </row>
    <row r="388" spans="1:17" ht="21" customHeight="1">
      <c r="A388" s="3" t="s">
        <v>796</v>
      </c>
      <c r="B388" s="5">
        <v>45415</v>
      </c>
      <c r="C388" s="3" t="s">
        <v>571</v>
      </c>
      <c r="D388" s="3" t="s">
        <v>47</v>
      </c>
      <c r="E388" s="3" t="s">
        <v>40</v>
      </c>
      <c r="F388" s="3" t="s">
        <v>221</v>
      </c>
      <c r="G388" s="3" t="s">
        <v>222</v>
      </c>
      <c r="H388" s="3">
        <v>2</v>
      </c>
      <c r="I388" s="7">
        <v>1031.3800000000001</v>
      </c>
      <c r="J388" s="9">
        <v>0.1</v>
      </c>
      <c r="K388" s="7">
        <v>1856.48</v>
      </c>
      <c r="L388" s="7">
        <v>420.8</v>
      </c>
      <c r="M388" s="3" t="s">
        <v>57</v>
      </c>
      <c r="N388" s="3"/>
      <c r="O388" s="3"/>
      <c r="P388" s="3"/>
      <c r="Q388" s="3"/>
    </row>
    <row r="389" spans="1:17" ht="21" customHeight="1">
      <c r="A389" s="3" t="s">
        <v>797</v>
      </c>
      <c r="B389" s="5">
        <v>45415</v>
      </c>
      <c r="C389" s="3" t="s">
        <v>525</v>
      </c>
      <c r="D389" s="3" t="s">
        <v>44</v>
      </c>
      <c r="E389" s="3" t="s">
        <v>39</v>
      </c>
      <c r="F389" s="3" t="s">
        <v>164</v>
      </c>
      <c r="G389" s="3" t="s">
        <v>165</v>
      </c>
      <c r="H389" s="3">
        <v>2</v>
      </c>
      <c r="I389" s="7">
        <v>2016.61</v>
      </c>
      <c r="J389" s="9">
        <v>0.2</v>
      </c>
      <c r="K389" s="7">
        <v>3226.58</v>
      </c>
      <c r="L389" s="7">
        <v>738.98</v>
      </c>
      <c r="M389" s="3" t="s">
        <v>57</v>
      </c>
      <c r="N389" s="3"/>
      <c r="O389" s="3"/>
      <c r="P389" s="3"/>
      <c r="Q389" s="3"/>
    </row>
    <row r="390" spans="1:17" ht="21" customHeight="1">
      <c r="A390" s="3" t="s">
        <v>798</v>
      </c>
      <c r="B390" s="5">
        <v>45415</v>
      </c>
      <c r="C390" s="3" t="s">
        <v>775</v>
      </c>
      <c r="D390" s="3" t="s">
        <v>47</v>
      </c>
      <c r="E390" s="3" t="s">
        <v>42</v>
      </c>
      <c r="F390" s="3" t="s">
        <v>90</v>
      </c>
      <c r="G390" s="3" t="s">
        <v>106</v>
      </c>
      <c r="H390" s="3">
        <v>1</v>
      </c>
      <c r="I390" s="7">
        <v>893.61</v>
      </c>
      <c r="J390" s="9">
        <v>0.05</v>
      </c>
      <c r="K390" s="7">
        <v>848.93</v>
      </c>
      <c r="L390" s="7">
        <v>398.47</v>
      </c>
      <c r="M390" s="3" t="s">
        <v>57</v>
      </c>
      <c r="N390" s="3"/>
      <c r="O390" s="3"/>
      <c r="P390" s="3"/>
      <c r="Q390" s="3"/>
    </row>
    <row r="391" spans="1:17" ht="21" customHeight="1">
      <c r="A391" s="3" t="s">
        <v>799</v>
      </c>
      <c r="B391" s="5">
        <v>45415</v>
      </c>
      <c r="C391" s="3" t="s">
        <v>800</v>
      </c>
      <c r="D391" s="3" t="s">
        <v>46</v>
      </c>
      <c r="E391" s="3" t="s">
        <v>41</v>
      </c>
      <c r="F391" s="3" t="s">
        <v>119</v>
      </c>
      <c r="G391" s="3" t="s">
        <v>168</v>
      </c>
      <c r="H391" s="3">
        <v>1</v>
      </c>
      <c r="I391" s="7">
        <v>10386.06</v>
      </c>
      <c r="J391" s="9">
        <v>0.15</v>
      </c>
      <c r="K391" s="7">
        <v>8828.15</v>
      </c>
      <c r="L391" s="7">
        <v>1540.67</v>
      </c>
      <c r="M391" s="3" t="s">
        <v>56</v>
      </c>
      <c r="N391" s="3"/>
      <c r="O391" s="3"/>
      <c r="P391" s="3"/>
      <c r="Q391" s="3"/>
    </row>
    <row r="392" spans="1:17" ht="21" customHeight="1">
      <c r="A392" s="3" t="s">
        <v>801</v>
      </c>
      <c r="B392" s="5">
        <v>45416</v>
      </c>
      <c r="C392" s="3" t="s">
        <v>680</v>
      </c>
      <c r="D392" s="3" t="s">
        <v>44</v>
      </c>
      <c r="E392" s="3" t="s">
        <v>38</v>
      </c>
      <c r="F392" s="3" t="s">
        <v>142</v>
      </c>
      <c r="G392" s="3" t="s">
        <v>143</v>
      </c>
      <c r="H392" s="3">
        <v>5</v>
      </c>
      <c r="I392" s="7">
        <v>9301.49</v>
      </c>
      <c r="J392" s="9">
        <v>0</v>
      </c>
      <c r="K392" s="7">
        <v>46507.45</v>
      </c>
      <c r="L392" s="7">
        <v>7695.74</v>
      </c>
      <c r="M392" s="3" t="s">
        <v>56</v>
      </c>
      <c r="N392" s="3"/>
      <c r="O392" s="3"/>
      <c r="P392" s="3"/>
      <c r="Q392" s="3"/>
    </row>
    <row r="393" spans="1:17" ht="21" customHeight="1">
      <c r="A393" s="3" t="s">
        <v>802</v>
      </c>
      <c r="B393" s="5">
        <v>45416</v>
      </c>
      <c r="C393" s="3" t="s">
        <v>803</v>
      </c>
      <c r="D393" s="3" t="s">
        <v>44</v>
      </c>
      <c r="E393" s="3" t="s">
        <v>40</v>
      </c>
      <c r="F393" s="3" t="s">
        <v>102</v>
      </c>
      <c r="G393" s="3" t="s">
        <v>103</v>
      </c>
      <c r="H393" s="3">
        <v>1</v>
      </c>
      <c r="I393" s="7">
        <v>6312.67</v>
      </c>
      <c r="J393" s="9">
        <v>0.15</v>
      </c>
      <c r="K393" s="7">
        <v>5365.77</v>
      </c>
      <c r="L393" s="7">
        <v>800.15</v>
      </c>
      <c r="M393" s="3" t="s">
        <v>60</v>
      </c>
      <c r="N393" s="3"/>
      <c r="O393" s="3"/>
      <c r="P393" s="3"/>
      <c r="Q393" s="3"/>
    </row>
    <row r="394" spans="1:17" ht="21" customHeight="1">
      <c r="A394" s="3" t="s">
        <v>804</v>
      </c>
      <c r="B394" s="5">
        <v>45417</v>
      </c>
      <c r="C394" s="3" t="s">
        <v>805</v>
      </c>
      <c r="D394" s="3" t="s">
        <v>47</v>
      </c>
      <c r="E394" s="3" t="s">
        <v>38</v>
      </c>
      <c r="F394" s="3" t="s">
        <v>94</v>
      </c>
      <c r="G394" s="3" t="s">
        <v>213</v>
      </c>
      <c r="H394" s="3">
        <v>2</v>
      </c>
      <c r="I394" s="7">
        <v>52964.67</v>
      </c>
      <c r="J394" s="9">
        <v>0.05</v>
      </c>
      <c r="K394" s="7">
        <v>100632.87</v>
      </c>
      <c r="L394" s="7">
        <v>8785.1</v>
      </c>
      <c r="M394" s="3" t="s">
        <v>57</v>
      </c>
      <c r="N394" s="3"/>
      <c r="O394" s="3"/>
      <c r="P394" s="3"/>
      <c r="Q394" s="3"/>
    </row>
    <row r="395" spans="1:17" ht="21" customHeight="1">
      <c r="A395" s="3" t="s">
        <v>806</v>
      </c>
      <c r="B395" s="5">
        <v>45417</v>
      </c>
      <c r="C395" s="3" t="s">
        <v>609</v>
      </c>
      <c r="D395" s="3" t="s">
        <v>46</v>
      </c>
      <c r="E395" s="3" t="s">
        <v>40</v>
      </c>
      <c r="F395" s="3" t="s">
        <v>221</v>
      </c>
      <c r="G395" s="3" t="s">
        <v>222</v>
      </c>
      <c r="H395" s="3">
        <v>4</v>
      </c>
      <c r="I395" s="7">
        <v>968.09</v>
      </c>
      <c r="J395" s="9">
        <v>0</v>
      </c>
      <c r="K395" s="7">
        <v>3872.36</v>
      </c>
      <c r="L395" s="7">
        <v>1302.51</v>
      </c>
      <c r="M395" s="3" t="s">
        <v>58</v>
      </c>
      <c r="N395" s="3"/>
      <c r="O395" s="3"/>
      <c r="P395" s="3"/>
      <c r="Q395" s="3"/>
    </row>
    <row r="396" spans="1:17" ht="21" customHeight="1">
      <c r="A396" s="3" t="s">
        <v>807</v>
      </c>
      <c r="B396" s="5">
        <v>45417</v>
      </c>
      <c r="C396" s="3" t="s">
        <v>808</v>
      </c>
      <c r="D396" s="3" t="s">
        <v>44</v>
      </c>
      <c r="E396" s="3" t="s">
        <v>39</v>
      </c>
      <c r="F396" s="3" t="s">
        <v>130</v>
      </c>
      <c r="G396" s="3" t="s">
        <v>193</v>
      </c>
      <c r="H396" s="3">
        <v>1</v>
      </c>
      <c r="I396" s="7">
        <v>1869.24</v>
      </c>
      <c r="J396" s="9">
        <v>0.1</v>
      </c>
      <c r="K396" s="7">
        <v>1682.32</v>
      </c>
      <c r="L396" s="7">
        <v>580.14</v>
      </c>
      <c r="M396" s="3" t="s">
        <v>56</v>
      </c>
      <c r="N396" s="3"/>
      <c r="O396" s="3"/>
      <c r="P396" s="3"/>
      <c r="Q396" s="3"/>
    </row>
    <row r="397" spans="1:17" ht="21" customHeight="1">
      <c r="A397" s="3" t="s">
        <v>809</v>
      </c>
      <c r="B397" s="5">
        <v>45417</v>
      </c>
      <c r="C397" s="3" t="s">
        <v>810</v>
      </c>
      <c r="D397" s="3" t="s">
        <v>45</v>
      </c>
      <c r="E397" s="3" t="s">
        <v>42</v>
      </c>
      <c r="F397" s="3" t="s">
        <v>126</v>
      </c>
      <c r="G397" s="3" t="s">
        <v>127</v>
      </c>
      <c r="H397" s="3">
        <v>1</v>
      </c>
      <c r="I397" s="7">
        <v>983.7</v>
      </c>
      <c r="J397" s="9">
        <v>0.1</v>
      </c>
      <c r="K397" s="7">
        <v>885.33</v>
      </c>
      <c r="L397" s="7">
        <v>402.59</v>
      </c>
      <c r="M397" s="3" t="s">
        <v>57</v>
      </c>
      <c r="N397" s="3"/>
      <c r="O397" s="3"/>
      <c r="P397" s="3"/>
      <c r="Q397" s="3"/>
    </row>
    <row r="398" spans="1:17" ht="21" customHeight="1">
      <c r="A398" s="3" t="s">
        <v>811</v>
      </c>
      <c r="B398" s="5">
        <v>45418</v>
      </c>
      <c r="C398" s="3" t="s">
        <v>167</v>
      </c>
      <c r="D398" s="3" t="s">
        <v>47</v>
      </c>
      <c r="E398" s="3" t="s">
        <v>40</v>
      </c>
      <c r="F398" s="3" t="s">
        <v>221</v>
      </c>
      <c r="G398" s="3" t="s">
        <v>222</v>
      </c>
      <c r="H398" s="3">
        <v>1</v>
      </c>
      <c r="I398" s="7">
        <v>976.39</v>
      </c>
      <c r="J398" s="9">
        <v>0.15</v>
      </c>
      <c r="K398" s="7">
        <v>829.93</v>
      </c>
      <c r="L398" s="7">
        <v>104.02</v>
      </c>
      <c r="M398" s="3" t="s">
        <v>56</v>
      </c>
      <c r="N398" s="3"/>
      <c r="O398" s="3"/>
      <c r="P398" s="3"/>
      <c r="Q398" s="3"/>
    </row>
    <row r="399" spans="1:17" ht="21" customHeight="1">
      <c r="A399" s="3" t="s">
        <v>812</v>
      </c>
      <c r="B399" s="5">
        <v>45418</v>
      </c>
      <c r="C399" s="3" t="s">
        <v>813</v>
      </c>
      <c r="D399" s="3" t="s">
        <v>44</v>
      </c>
      <c r="E399" s="3" t="s">
        <v>41</v>
      </c>
      <c r="F399" s="3" t="s">
        <v>113</v>
      </c>
      <c r="G399" s="3" t="s">
        <v>123</v>
      </c>
      <c r="H399" s="3">
        <v>4</v>
      </c>
      <c r="I399" s="7">
        <v>3493.3</v>
      </c>
      <c r="J399" s="9">
        <v>0</v>
      </c>
      <c r="K399" s="7">
        <v>13973.2</v>
      </c>
      <c r="L399" s="7">
        <v>4956.62</v>
      </c>
      <c r="M399" s="3" t="s">
        <v>58</v>
      </c>
      <c r="N399" s="3"/>
      <c r="O399" s="3"/>
      <c r="P399" s="3"/>
      <c r="Q399" s="3"/>
    </row>
    <row r="400" spans="1:17" ht="21" customHeight="1">
      <c r="A400" s="3" t="s">
        <v>814</v>
      </c>
      <c r="B400" s="5">
        <v>45419</v>
      </c>
      <c r="C400" s="3" t="s">
        <v>642</v>
      </c>
      <c r="D400" s="3" t="s">
        <v>44</v>
      </c>
      <c r="E400" s="3" t="s">
        <v>39</v>
      </c>
      <c r="F400" s="3" t="s">
        <v>130</v>
      </c>
      <c r="G400" s="3" t="s">
        <v>131</v>
      </c>
      <c r="H400" s="3">
        <v>1</v>
      </c>
      <c r="I400" s="7">
        <v>2113.06</v>
      </c>
      <c r="J400" s="9">
        <v>0.25</v>
      </c>
      <c r="K400" s="7">
        <v>1584.8</v>
      </c>
      <c r="L400" s="7">
        <v>227.28</v>
      </c>
      <c r="M400" s="3" t="s">
        <v>56</v>
      </c>
      <c r="N400" s="3"/>
      <c r="O400" s="3"/>
      <c r="P400" s="3"/>
      <c r="Q400" s="3"/>
    </row>
    <row r="401" spans="1:17" ht="21" customHeight="1">
      <c r="A401" s="3" t="s">
        <v>815</v>
      </c>
      <c r="B401" s="5">
        <v>45419</v>
      </c>
      <c r="C401" s="3" t="s">
        <v>816</v>
      </c>
      <c r="D401" s="3" t="s">
        <v>45</v>
      </c>
      <c r="E401" s="3" t="s">
        <v>38</v>
      </c>
      <c r="F401" s="3" t="s">
        <v>94</v>
      </c>
      <c r="G401" s="3" t="s">
        <v>213</v>
      </c>
      <c r="H401" s="3">
        <v>1</v>
      </c>
      <c r="I401" s="7">
        <v>56318.5</v>
      </c>
      <c r="J401" s="9">
        <v>0.15</v>
      </c>
      <c r="K401" s="7">
        <v>47870.720000000001</v>
      </c>
      <c r="L401" s="7">
        <v>-98.93</v>
      </c>
      <c r="M401" s="3" t="s">
        <v>56</v>
      </c>
      <c r="N401" s="3"/>
      <c r="O401" s="3"/>
      <c r="P401" s="3"/>
      <c r="Q401" s="3"/>
    </row>
    <row r="402" spans="1:17" ht="21" customHeight="1">
      <c r="A402" s="3" t="s">
        <v>817</v>
      </c>
      <c r="B402" s="5">
        <v>45419</v>
      </c>
      <c r="C402" s="3" t="s">
        <v>259</v>
      </c>
      <c r="D402" s="3" t="s">
        <v>46</v>
      </c>
      <c r="E402" s="3" t="s">
        <v>41</v>
      </c>
      <c r="F402" s="3" t="s">
        <v>113</v>
      </c>
      <c r="G402" s="3" t="s">
        <v>114</v>
      </c>
      <c r="H402" s="3">
        <v>1</v>
      </c>
      <c r="I402" s="7">
        <v>12205.52</v>
      </c>
      <c r="J402" s="9">
        <v>0.3</v>
      </c>
      <c r="K402" s="7">
        <v>8543.86</v>
      </c>
      <c r="L402" s="7">
        <v>494.27</v>
      </c>
      <c r="M402" s="3" t="s">
        <v>56</v>
      </c>
      <c r="N402" s="3"/>
      <c r="O402" s="3"/>
      <c r="P402" s="3"/>
      <c r="Q402" s="3"/>
    </row>
    <row r="403" spans="1:17" ht="21" customHeight="1">
      <c r="A403" s="3" t="s">
        <v>818</v>
      </c>
      <c r="B403" s="5">
        <v>45420</v>
      </c>
      <c r="C403" s="3" t="s">
        <v>819</v>
      </c>
      <c r="D403" s="3" t="s">
        <v>44</v>
      </c>
      <c r="E403" s="3" t="s">
        <v>42</v>
      </c>
      <c r="F403" s="3" t="s">
        <v>126</v>
      </c>
      <c r="G403" s="3" t="s">
        <v>127</v>
      </c>
      <c r="H403" s="3">
        <v>1</v>
      </c>
      <c r="I403" s="7">
        <v>1035.95</v>
      </c>
      <c r="J403" s="9">
        <v>0</v>
      </c>
      <c r="K403" s="7">
        <v>1035.95</v>
      </c>
      <c r="L403" s="7">
        <v>534.13</v>
      </c>
      <c r="M403" s="3" t="s">
        <v>57</v>
      </c>
      <c r="N403" s="3"/>
      <c r="O403" s="3"/>
      <c r="P403" s="3"/>
      <c r="Q403" s="3"/>
    </row>
    <row r="404" spans="1:17" ht="21" customHeight="1">
      <c r="A404" s="3" t="s">
        <v>820</v>
      </c>
      <c r="B404" s="5">
        <v>45420</v>
      </c>
      <c r="C404" s="3" t="s">
        <v>202</v>
      </c>
      <c r="D404" s="3" t="s">
        <v>44</v>
      </c>
      <c r="E404" s="3" t="s">
        <v>39</v>
      </c>
      <c r="F404" s="3" t="s">
        <v>130</v>
      </c>
      <c r="G404" s="3" t="s">
        <v>131</v>
      </c>
      <c r="H404" s="3">
        <v>1</v>
      </c>
      <c r="I404" s="7">
        <v>2178.41</v>
      </c>
      <c r="J404" s="9">
        <v>0.3</v>
      </c>
      <c r="K404" s="7">
        <v>1524.89</v>
      </c>
      <c r="L404" s="7">
        <v>116.89</v>
      </c>
      <c r="M404" s="3" t="s">
        <v>57</v>
      </c>
      <c r="N404" s="3"/>
      <c r="O404" s="3"/>
      <c r="P404" s="3"/>
      <c r="Q404" s="3"/>
    </row>
    <row r="405" spans="1:17" ht="21" customHeight="1">
      <c r="A405" s="3" t="s">
        <v>821</v>
      </c>
      <c r="B405" s="5">
        <v>45420</v>
      </c>
      <c r="C405" s="3" t="s">
        <v>361</v>
      </c>
      <c r="D405" s="3" t="s">
        <v>47</v>
      </c>
      <c r="E405" s="3" t="s">
        <v>42</v>
      </c>
      <c r="F405" s="3" t="s">
        <v>126</v>
      </c>
      <c r="G405" s="3" t="s">
        <v>127</v>
      </c>
      <c r="H405" s="3">
        <v>1</v>
      </c>
      <c r="I405" s="7">
        <v>990.29</v>
      </c>
      <c r="J405" s="9">
        <v>0.15</v>
      </c>
      <c r="K405" s="7">
        <v>841.75</v>
      </c>
      <c r="L405" s="7">
        <v>306.76</v>
      </c>
      <c r="M405" s="3" t="s">
        <v>56</v>
      </c>
      <c r="N405" s="3"/>
      <c r="O405" s="3"/>
      <c r="P405" s="3"/>
      <c r="Q405" s="3"/>
    </row>
    <row r="406" spans="1:17" ht="21" customHeight="1">
      <c r="A406" s="3" t="s">
        <v>822</v>
      </c>
      <c r="B406" s="5">
        <v>45421</v>
      </c>
      <c r="C406" s="3" t="s">
        <v>396</v>
      </c>
      <c r="D406" s="3" t="s">
        <v>45</v>
      </c>
      <c r="E406" s="3" t="s">
        <v>40</v>
      </c>
      <c r="F406" s="3" t="s">
        <v>102</v>
      </c>
      <c r="G406" s="3" t="s">
        <v>103</v>
      </c>
      <c r="H406" s="3">
        <v>5</v>
      </c>
      <c r="I406" s="7">
        <v>6366.58</v>
      </c>
      <c r="J406" s="9">
        <v>0.2</v>
      </c>
      <c r="K406" s="7">
        <v>25466.32</v>
      </c>
      <c r="L406" s="7">
        <v>2263.1999999999998</v>
      </c>
      <c r="M406" s="3" t="s">
        <v>58</v>
      </c>
      <c r="N406" s="3"/>
      <c r="O406" s="3"/>
      <c r="P406" s="3"/>
      <c r="Q406" s="3"/>
    </row>
    <row r="407" spans="1:17" ht="21" customHeight="1">
      <c r="A407" s="3" t="s">
        <v>823</v>
      </c>
      <c r="B407" s="5">
        <v>45421</v>
      </c>
      <c r="C407" s="3" t="s">
        <v>597</v>
      </c>
      <c r="D407" s="3" t="s">
        <v>44</v>
      </c>
      <c r="E407" s="3" t="s">
        <v>38</v>
      </c>
      <c r="F407" s="3" t="s">
        <v>142</v>
      </c>
      <c r="G407" s="3" t="s">
        <v>245</v>
      </c>
      <c r="H407" s="3">
        <v>1</v>
      </c>
      <c r="I407" s="7">
        <v>5198.25</v>
      </c>
      <c r="J407" s="9">
        <v>0.05</v>
      </c>
      <c r="K407" s="7">
        <v>4938.34</v>
      </c>
      <c r="L407" s="7">
        <v>419.07</v>
      </c>
      <c r="M407" s="3" t="s">
        <v>56</v>
      </c>
      <c r="N407" s="3"/>
      <c r="O407" s="3"/>
      <c r="P407" s="3"/>
      <c r="Q407" s="3"/>
    </row>
    <row r="408" spans="1:17" ht="21" customHeight="1">
      <c r="A408" s="3" t="s">
        <v>824</v>
      </c>
      <c r="B408" s="5">
        <v>45421</v>
      </c>
      <c r="C408" s="3" t="s">
        <v>825</v>
      </c>
      <c r="D408" s="3" t="s">
        <v>45</v>
      </c>
      <c r="E408" s="3" t="s">
        <v>42</v>
      </c>
      <c r="F408" s="3" t="s">
        <v>126</v>
      </c>
      <c r="G408" s="3" t="s">
        <v>127</v>
      </c>
      <c r="H408" s="3">
        <v>2</v>
      </c>
      <c r="I408" s="7">
        <v>1000.91</v>
      </c>
      <c r="J408" s="9">
        <v>0.05</v>
      </c>
      <c r="K408" s="7">
        <v>1901.73</v>
      </c>
      <c r="L408" s="7">
        <v>870.14</v>
      </c>
      <c r="M408" s="3" t="s">
        <v>57</v>
      </c>
      <c r="N408" s="3"/>
      <c r="O408" s="3"/>
      <c r="P408" s="3"/>
      <c r="Q408" s="3"/>
    </row>
    <row r="409" spans="1:17" ht="21" customHeight="1">
      <c r="A409" s="3" t="s">
        <v>826</v>
      </c>
      <c r="B409" s="5">
        <v>45421</v>
      </c>
      <c r="C409" s="3" t="s">
        <v>827</v>
      </c>
      <c r="D409" s="3" t="s">
        <v>44</v>
      </c>
      <c r="E409" s="3" t="s">
        <v>42</v>
      </c>
      <c r="F409" s="3" t="s">
        <v>126</v>
      </c>
      <c r="G409" s="3" t="s">
        <v>127</v>
      </c>
      <c r="H409" s="3">
        <v>1</v>
      </c>
      <c r="I409" s="7">
        <v>1005.93</v>
      </c>
      <c r="J409" s="9">
        <v>0.2</v>
      </c>
      <c r="K409" s="7">
        <v>804.74</v>
      </c>
      <c r="L409" s="7">
        <v>283.06</v>
      </c>
      <c r="M409" s="3" t="s">
        <v>57</v>
      </c>
      <c r="N409" s="3"/>
      <c r="O409" s="3"/>
      <c r="P409" s="3"/>
      <c r="Q409" s="3"/>
    </row>
    <row r="410" spans="1:17" ht="21" customHeight="1">
      <c r="A410" s="3" t="s">
        <v>828</v>
      </c>
      <c r="B410" s="5">
        <v>45421</v>
      </c>
      <c r="C410" s="3" t="s">
        <v>741</v>
      </c>
      <c r="D410" s="3" t="s">
        <v>47</v>
      </c>
      <c r="E410" s="3" t="s">
        <v>38</v>
      </c>
      <c r="F410" s="3" t="s">
        <v>142</v>
      </c>
      <c r="G410" s="3" t="s">
        <v>245</v>
      </c>
      <c r="H410" s="3">
        <v>1</v>
      </c>
      <c r="I410" s="7">
        <v>4842.3</v>
      </c>
      <c r="J410" s="9">
        <v>0.05</v>
      </c>
      <c r="K410" s="7">
        <v>4600.1899999999996</v>
      </c>
      <c r="L410" s="7">
        <v>473.67</v>
      </c>
      <c r="M410" s="3" t="s">
        <v>59</v>
      </c>
      <c r="N410" s="3"/>
      <c r="O410" s="3"/>
      <c r="P410" s="3"/>
      <c r="Q410" s="3"/>
    </row>
    <row r="411" spans="1:17" ht="21" customHeight="1">
      <c r="A411" s="3" t="s">
        <v>829</v>
      </c>
      <c r="B411" s="5">
        <v>45422</v>
      </c>
      <c r="C411" s="3" t="s">
        <v>830</v>
      </c>
      <c r="D411" s="3" t="s">
        <v>45</v>
      </c>
      <c r="E411" s="3" t="s">
        <v>42</v>
      </c>
      <c r="F411" s="3" t="s">
        <v>126</v>
      </c>
      <c r="G411" s="3" t="s">
        <v>127</v>
      </c>
      <c r="H411" s="3">
        <v>2</v>
      </c>
      <c r="I411" s="7">
        <v>1005.56</v>
      </c>
      <c r="J411" s="9">
        <v>0.1</v>
      </c>
      <c r="K411" s="7">
        <v>1810.01</v>
      </c>
      <c r="L411" s="7">
        <v>813.76</v>
      </c>
      <c r="M411" s="3" t="s">
        <v>56</v>
      </c>
      <c r="N411" s="3"/>
      <c r="O411" s="3"/>
      <c r="P411" s="3"/>
      <c r="Q411" s="3"/>
    </row>
    <row r="412" spans="1:17" ht="21" customHeight="1">
      <c r="A412" s="3" t="s">
        <v>831</v>
      </c>
      <c r="B412" s="5">
        <v>45422</v>
      </c>
      <c r="C412" s="3" t="s">
        <v>428</v>
      </c>
      <c r="D412" s="3" t="s">
        <v>44</v>
      </c>
      <c r="E412" s="3" t="s">
        <v>42</v>
      </c>
      <c r="F412" s="3" t="s">
        <v>90</v>
      </c>
      <c r="G412" s="3" t="s">
        <v>91</v>
      </c>
      <c r="H412" s="3">
        <v>1</v>
      </c>
      <c r="I412" s="7">
        <v>1213.49</v>
      </c>
      <c r="J412" s="9">
        <v>0.05</v>
      </c>
      <c r="K412" s="7">
        <v>1152.82</v>
      </c>
      <c r="L412" s="7">
        <v>538.79999999999995</v>
      </c>
      <c r="M412" s="3" t="s">
        <v>56</v>
      </c>
      <c r="N412" s="3"/>
      <c r="O412" s="3"/>
      <c r="P412" s="3"/>
      <c r="Q412" s="3"/>
    </row>
    <row r="413" spans="1:17" ht="21" customHeight="1">
      <c r="A413" s="3" t="s">
        <v>832</v>
      </c>
      <c r="B413" s="5">
        <v>45422</v>
      </c>
      <c r="C413" s="3" t="s">
        <v>833</v>
      </c>
      <c r="D413" s="3" t="s">
        <v>45</v>
      </c>
      <c r="E413" s="3" t="s">
        <v>38</v>
      </c>
      <c r="F413" s="3" t="s">
        <v>98</v>
      </c>
      <c r="G413" s="3" t="s">
        <v>182</v>
      </c>
      <c r="H413" s="3">
        <v>2</v>
      </c>
      <c r="I413" s="7">
        <v>69818.39</v>
      </c>
      <c r="J413" s="9">
        <v>0.05</v>
      </c>
      <c r="K413" s="7">
        <v>132654.94</v>
      </c>
      <c r="L413" s="7">
        <v>19019.939999999999</v>
      </c>
      <c r="M413" s="3" t="s">
        <v>56</v>
      </c>
      <c r="N413" s="3"/>
      <c r="O413" s="3"/>
      <c r="P413" s="3"/>
      <c r="Q413" s="3"/>
    </row>
    <row r="414" spans="1:17" ht="21" customHeight="1">
      <c r="A414" s="3" t="s">
        <v>834</v>
      </c>
      <c r="B414" s="5">
        <v>45422</v>
      </c>
      <c r="C414" s="3" t="s">
        <v>129</v>
      </c>
      <c r="D414" s="3" t="s">
        <v>47</v>
      </c>
      <c r="E414" s="3" t="s">
        <v>41</v>
      </c>
      <c r="F414" s="3" t="s">
        <v>119</v>
      </c>
      <c r="G414" s="3" t="s">
        <v>120</v>
      </c>
      <c r="H414" s="3">
        <v>2</v>
      </c>
      <c r="I414" s="7">
        <v>1284.81</v>
      </c>
      <c r="J414" s="9">
        <v>0.25</v>
      </c>
      <c r="K414" s="7">
        <v>1927.21</v>
      </c>
      <c r="L414" s="7">
        <v>194.68</v>
      </c>
      <c r="M414" s="3" t="s">
        <v>58</v>
      </c>
      <c r="N414" s="3"/>
      <c r="O414" s="3"/>
      <c r="P414" s="3"/>
      <c r="Q414" s="3"/>
    </row>
    <row r="415" spans="1:17" ht="21" customHeight="1">
      <c r="A415" s="3" t="s">
        <v>835</v>
      </c>
      <c r="B415" s="5">
        <v>45422</v>
      </c>
      <c r="C415" s="3" t="s">
        <v>836</v>
      </c>
      <c r="D415" s="3" t="s">
        <v>45</v>
      </c>
      <c r="E415" s="3" t="s">
        <v>41</v>
      </c>
      <c r="F415" s="3" t="s">
        <v>119</v>
      </c>
      <c r="G415" s="3" t="s">
        <v>120</v>
      </c>
      <c r="H415" s="3">
        <v>2</v>
      </c>
      <c r="I415" s="7">
        <v>1236</v>
      </c>
      <c r="J415" s="9">
        <v>0.3</v>
      </c>
      <c r="K415" s="7">
        <v>1730.4</v>
      </c>
      <c r="L415" s="7">
        <v>57.05</v>
      </c>
      <c r="M415" s="3" t="s">
        <v>56</v>
      </c>
      <c r="N415" s="3"/>
      <c r="O415" s="3"/>
      <c r="P415" s="3"/>
      <c r="Q415" s="3"/>
    </row>
    <row r="416" spans="1:17" ht="21" customHeight="1">
      <c r="A416" s="3" t="s">
        <v>837</v>
      </c>
      <c r="B416" s="5">
        <v>45423</v>
      </c>
      <c r="C416" s="3" t="s">
        <v>552</v>
      </c>
      <c r="D416" s="3" t="s">
        <v>46</v>
      </c>
      <c r="E416" s="3" t="s">
        <v>38</v>
      </c>
      <c r="F416" s="3" t="s">
        <v>142</v>
      </c>
      <c r="G416" s="3" t="s">
        <v>245</v>
      </c>
      <c r="H416" s="3">
        <v>2</v>
      </c>
      <c r="I416" s="7">
        <v>5041.55</v>
      </c>
      <c r="J416" s="9">
        <v>0.05</v>
      </c>
      <c r="K416" s="7">
        <v>9578.94</v>
      </c>
      <c r="L416" s="7">
        <v>1498.62</v>
      </c>
      <c r="M416" s="3" t="s">
        <v>59</v>
      </c>
      <c r="N416" s="3"/>
      <c r="O416" s="3"/>
      <c r="P416" s="3"/>
      <c r="Q416" s="3"/>
    </row>
    <row r="417" spans="1:17" ht="21" customHeight="1">
      <c r="A417" s="3" t="s">
        <v>838</v>
      </c>
      <c r="B417" s="5">
        <v>45423</v>
      </c>
      <c r="C417" s="3" t="s">
        <v>839</v>
      </c>
      <c r="D417" s="3" t="s">
        <v>45</v>
      </c>
      <c r="E417" s="3" t="s">
        <v>40</v>
      </c>
      <c r="F417" s="3" t="s">
        <v>160</v>
      </c>
      <c r="G417" s="3" t="s">
        <v>173</v>
      </c>
      <c r="H417" s="3">
        <v>3</v>
      </c>
      <c r="I417" s="7">
        <v>8737.66</v>
      </c>
      <c r="J417" s="9">
        <v>0.1</v>
      </c>
      <c r="K417" s="7">
        <v>23591.68</v>
      </c>
      <c r="L417" s="7">
        <v>4977.79</v>
      </c>
      <c r="M417" s="3" t="s">
        <v>56</v>
      </c>
      <c r="N417" s="3"/>
      <c r="O417" s="3"/>
      <c r="P417" s="3"/>
      <c r="Q417" s="3"/>
    </row>
    <row r="418" spans="1:17" ht="21" customHeight="1">
      <c r="A418" s="3" t="s">
        <v>840</v>
      </c>
      <c r="B418" s="5">
        <v>45423</v>
      </c>
      <c r="C418" s="3" t="s">
        <v>841</v>
      </c>
      <c r="D418" s="3" t="s">
        <v>45</v>
      </c>
      <c r="E418" s="3" t="s">
        <v>40</v>
      </c>
      <c r="F418" s="3" t="s">
        <v>102</v>
      </c>
      <c r="G418" s="3" t="s">
        <v>103</v>
      </c>
      <c r="H418" s="3">
        <v>2</v>
      </c>
      <c r="I418" s="7">
        <v>6518.26</v>
      </c>
      <c r="J418" s="9">
        <v>0.1</v>
      </c>
      <c r="K418" s="7">
        <v>11732.87</v>
      </c>
      <c r="L418" s="7">
        <v>2373.42</v>
      </c>
      <c r="M418" s="3" t="s">
        <v>57</v>
      </c>
      <c r="N418" s="3"/>
      <c r="O418" s="3"/>
      <c r="P418" s="3"/>
      <c r="Q418" s="3"/>
    </row>
    <row r="419" spans="1:17" ht="21" customHeight="1">
      <c r="A419" s="3" t="s">
        <v>842</v>
      </c>
      <c r="B419" s="5">
        <v>45423</v>
      </c>
      <c r="C419" s="3" t="s">
        <v>444</v>
      </c>
      <c r="D419" s="3" t="s">
        <v>47</v>
      </c>
      <c r="E419" s="3" t="s">
        <v>38</v>
      </c>
      <c r="F419" s="3" t="s">
        <v>98</v>
      </c>
      <c r="G419" s="3" t="s">
        <v>362</v>
      </c>
      <c r="H419" s="3">
        <v>2</v>
      </c>
      <c r="I419" s="7">
        <v>32266.04</v>
      </c>
      <c r="J419" s="9">
        <v>0.25</v>
      </c>
      <c r="K419" s="7">
        <v>48399.06</v>
      </c>
      <c r="L419" s="7">
        <v>-3997.54</v>
      </c>
      <c r="M419" s="3" t="s">
        <v>56</v>
      </c>
      <c r="N419" s="3"/>
      <c r="O419" s="3"/>
      <c r="P419" s="3"/>
      <c r="Q419" s="3"/>
    </row>
    <row r="420" spans="1:17" ht="21" customHeight="1">
      <c r="A420" s="3" t="s">
        <v>843</v>
      </c>
      <c r="B420" s="5">
        <v>45423</v>
      </c>
      <c r="C420" s="3" t="s">
        <v>844</v>
      </c>
      <c r="D420" s="3" t="s">
        <v>44</v>
      </c>
      <c r="E420" s="3" t="s">
        <v>42</v>
      </c>
      <c r="F420" s="3" t="s">
        <v>90</v>
      </c>
      <c r="G420" s="3" t="s">
        <v>91</v>
      </c>
      <c r="H420" s="3">
        <v>1</v>
      </c>
      <c r="I420" s="7">
        <v>1241.96</v>
      </c>
      <c r="J420" s="9">
        <v>0.05</v>
      </c>
      <c r="K420" s="7">
        <v>1179.8599999999999</v>
      </c>
      <c r="L420" s="7">
        <v>589.79</v>
      </c>
      <c r="M420" s="3" t="s">
        <v>58</v>
      </c>
      <c r="N420" s="3"/>
      <c r="O420" s="3"/>
      <c r="P420" s="3"/>
      <c r="Q420" s="3"/>
    </row>
    <row r="421" spans="1:17" ht="21" customHeight="1">
      <c r="A421" s="3" t="s">
        <v>845</v>
      </c>
      <c r="B421" s="5">
        <v>45424</v>
      </c>
      <c r="C421" s="3" t="s">
        <v>846</v>
      </c>
      <c r="D421" s="3" t="s">
        <v>45</v>
      </c>
      <c r="E421" s="3" t="s">
        <v>42</v>
      </c>
      <c r="F421" s="3" t="s">
        <v>90</v>
      </c>
      <c r="G421" s="3" t="s">
        <v>106</v>
      </c>
      <c r="H421" s="3">
        <v>5</v>
      </c>
      <c r="I421" s="7">
        <v>894.5</v>
      </c>
      <c r="J421" s="9">
        <v>0.1</v>
      </c>
      <c r="K421" s="7">
        <v>4025.25</v>
      </c>
      <c r="L421" s="7">
        <v>1808.98</v>
      </c>
      <c r="M421" s="3" t="s">
        <v>59</v>
      </c>
      <c r="N421" s="3"/>
      <c r="O421" s="3"/>
      <c r="P421" s="3"/>
      <c r="Q421" s="3"/>
    </row>
    <row r="422" spans="1:17" ht="21" customHeight="1">
      <c r="A422" s="3" t="s">
        <v>847</v>
      </c>
      <c r="B422" s="5">
        <v>45425</v>
      </c>
      <c r="C422" s="3" t="s">
        <v>693</v>
      </c>
      <c r="D422" s="3" t="s">
        <v>44</v>
      </c>
      <c r="E422" s="3" t="s">
        <v>41</v>
      </c>
      <c r="F422" s="3" t="s">
        <v>119</v>
      </c>
      <c r="G422" s="3" t="s">
        <v>120</v>
      </c>
      <c r="H422" s="3">
        <v>1</v>
      </c>
      <c r="I422" s="7">
        <v>1285.28</v>
      </c>
      <c r="J422" s="9">
        <v>0.1</v>
      </c>
      <c r="K422" s="7">
        <v>1156.75</v>
      </c>
      <c r="L422" s="7">
        <v>315.04000000000002</v>
      </c>
      <c r="M422" s="3" t="s">
        <v>57</v>
      </c>
      <c r="N422" s="3"/>
      <c r="O422" s="3"/>
      <c r="P422" s="3"/>
      <c r="Q422" s="3"/>
    </row>
    <row r="423" spans="1:17" ht="21" customHeight="1">
      <c r="A423" s="3" t="s">
        <v>848</v>
      </c>
      <c r="B423" s="5">
        <v>45425</v>
      </c>
      <c r="C423" s="3" t="s">
        <v>849</v>
      </c>
      <c r="D423" s="3" t="s">
        <v>45</v>
      </c>
      <c r="E423" s="3" t="s">
        <v>41</v>
      </c>
      <c r="F423" s="3" t="s">
        <v>119</v>
      </c>
      <c r="G423" s="3" t="s">
        <v>120</v>
      </c>
      <c r="H423" s="3">
        <v>1</v>
      </c>
      <c r="I423" s="7">
        <v>1236.6400000000001</v>
      </c>
      <c r="J423" s="9">
        <v>0.1</v>
      </c>
      <c r="K423" s="7">
        <v>1112.98</v>
      </c>
      <c r="L423" s="7">
        <v>292.98</v>
      </c>
      <c r="M423" s="3" t="s">
        <v>57</v>
      </c>
      <c r="N423" s="3"/>
      <c r="O423" s="3"/>
      <c r="P423" s="3"/>
      <c r="Q423" s="3"/>
    </row>
    <row r="424" spans="1:17" ht="21" customHeight="1">
      <c r="A424" s="3" t="s">
        <v>850</v>
      </c>
      <c r="B424" s="5">
        <v>45425</v>
      </c>
      <c r="C424" s="3" t="s">
        <v>851</v>
      </c>
      <c r="D424" s="3" t="s">
        <v>46</v>
      </c>
      <c r="E424" s="3" t="s">
        <v>39</v>
      </c>
      <c r="F424" s="3" t="s">
        <v>164</v>
      </c>
      <c r="G424" s="3" t="s">
        <v>200</v>
      </c>
      <c r="H424" s="3">
        <v>4</v>
      </c>
      <c r="I424" s="7">
        <v>1307.96</v>
      </c>
      <c r="J424" s="9">
        <v>0.05</v>
      </c>
      <c r="K424" s="7">
        <v>4970.25</v>
      </c>
      <c r="L424" s="7">
        <v>1777.13</v>
      </c>
      <c r="M424" s="3" t="s">
        <v>58</v>
      </c>
      <c r="N424" s="3"/>
      <c r="O424" s="3"/>
      <c r="P424" s="3"/>
      <c r="Q424" s="3"/>
    </row>
    <row r="425" spans="1:17" ht="21" customHeight="1">
      <c r="A425" s="3" t="s">
        <v>852</v>
      </c>
      <c r="B425" s="5">
        <v>45425</v>
      </c>
      <c r="C425" s="3" t="s">
        <v>853</v>
      </c>
      <c r="D425" s="3" t="s">
        <v>45</v>
      </c>
      <c r="E425" s="3" t="s">
        <v>38</v>
      </c>
      <c r="F425" s="3" t="s">
        <v>98</v>
      </c>
      <c r="G425" s="3" t="s">
        <v>362</v>
      </c>
      <c r="H425" s="3">
        <v>1</v>
      </c>
      <c r="I425" s="7">
        <v>33162.99</v>
      </c>
      <c r="J425" s="9">
        <v>0.25</v>
      </c>
      <c r="K425" s="7">
        <v>24872.240000000002</v>
      </c>
      <c r="L425" s="7">
        <v>-2594.89</v>
      </c>
      <c r="M425" s="3" t="s">
        <v>58</v>
      </c>
      <c r="N425" s="3"/>
      <c r="O425" s="3"/>
      <c r="P425" s="3"/>
      <c r="Q425" s="3"/>
    </row>
    <row r="426" spans="1:17" ht="21" customHeight="1">
      <c r="A426" s="3" t="s">
        <v>854</v>
      </c>
      <c r="B426" s="5">
        <v>45425</v>
      </c>
      <c r="C426" s="3" t="s">
        <v>855</v>
      </c>
      <c r="D426" s="3" t="s">
        <v>44</v>
      </c>
      <c r="E426" s="3" t="s">
        <v>39</v>
      </c>
      <c r="F426" s="3" t="s">
        <v>109</v>
      </c>
      <c r="G426" s="3" t="s">
        <v>355</v>
      </c>
      <c r="H426" s="3">
        <v>1</v>
      </c>
      <c r="I426" s="7">
        <v>3368.55</v>
      </c>
      <c r="J426" s="9">
        <v>0.2</v>
      </c>
      <c r="K426" s="7">
        <v>2694.84</v>
      </c>
      <c r="L426" s="7">
        <v>593.04</v>
      </c>
      <c r="M426" s="3" t="s">
        <v>58</v>
      </c>
      <c r="N426" s="3"/>
      <c r="O426" s="3"/>
      <c r="P426" s="3"/>
      <c r="Q426" s="3"/>
    </row>
    <row r="427" spans="1:17" ht="21" customHeight="1">
      <c r="A427" s="3" t="s">
        <v>856</v>
      </c>
      <c r="B427" s="5">
        <v>45425</v>
      </c>
      <c r="C427" s="3" t="s">
        <v>808</v>
      </c>
      <c r="D427" s="3" t="s">
        <v>45</v>
      </c>
      <c r="E427" s="3" t="s">
        <v>42</v>
      </c>
      <c r="F427" s="3" t="s">
        <v>126</v>
      </c>
      <c r="G427" s="3" t="s">
        <v>151</v>
      </c>
      <c r="H427" s="3">
        <v>2</v>
      </c>
      <c r="I427" s="7">
        <v>1476.68</v>
      </c>
      <c r="J427" s="9">
        <v>0.05</v>
      </c>
      <c r="K427" s="7">
        <v>2805.69</v>
      </c>
      <c r="L427" s="7">
        <v>1426.42</v>
      </c>
      <c r="M427" s="3" t="s">
        <v>56</v>
      </c>
      <c r="N427" s="3"/>
      <c r="O427" s="3"/>
      <c r="P427" s="3"/>
      <c r="Q427" s="3"/>
    </row>
    <row r="428" spans="1:17" ht="21" customHeight="1">
      <c r="A428" s="3" t="s">
        <v>857</v>
      </c>
      <c r="B428" s="5">
        <v>45425</v>
      </c>
      <c r="C428" s="3" t="s">
        <v>858</v>
      </c>
      <c r="D428" s="3" t="s">
        <v>45</v>
      </c>
      <c r="E428" s="3" t="s">
        <v>39</v>
      </c>
      <c r="F428" s="3" t="s">
        <v>109</v>
      </c>
      <c r="G428" s="3" t="s">
        <v>110</v>
      </c>
      <c r="H428" s="3">
        <v>1</v>
      </c>
      <c r="I428" s="7">
        <v>2932.38</v>
      </c>
      <c r="J428" s="9">
        <v>0.2</v>
      </c>
      <c r="K428" s="7">
        <v>2345.9</v>
      </c>
      <c r="L428" s="7">
        <v>357.8</v>
      </c>
      <c r="M428" s="3" t="s">
        <v>59</v>
      </c>
      <c r="N428" s="3"/>
      <c r="O428" s="3"/>
      <c r="P428" s="3"/>
      <c r="Q428" s="3"/>
    </row>
    <row r="429" spans="1:17" ht="21" customHeight="1">
      <c r="A429" s="3" t="s">
        <v>859</v>
      </c>
      <c r="B429" s="5">
        <v>45426</v>
      </c>
      <c r="C429" s="3" t="s">
        <v>251</v>
      </c>
      <c r="D429" s="3" t="s">
        <v>45</v>
      </c>
      <c r="E429" s="3" t="s">
        <v>42</v>
      </c>
      <c r="F429" s="3" t="s">
        <v>126</v>
      </c>
      <c r="G429" s="3" t="s">
        <v>127</v>
      </c>
      <c r="H429" s="3">
        <v>2</v>
      </c>
      <c r="I429" s="7">
        <v>1013.62</v>
      </c>
      <c r="J429" s="9">
        <v>0.25</v>
      </c>
      <c r="K429" s="7">
        <v>1520.43</v>
      </c>
      <c r="L429" s="7">
        <v>375.87</v>
      </c>
      <c r="M429" s="3" t="s">
        <v>57</v>
      </c>
      <c r="N429" s="3"/>
      <c r="O429" s="3"/>
      <c r="P429" s="3"/>
      <c r="Q429" s="3"/>
    </row>
    <row r="430" spans="1:17" ht="21" customHeight="1">
      <c r="A430" s="3" t="s">
        <v>860</v>
      </c>
      <c r="B430" s="5">
        <v>45426</v>
      </c>
      <c r="C430" s="3" t="s">
        <v>377</v>
      </c>
      <c r="D430" s="3" t="s">
        <v>45</v>
      </c>
      <c r="E430" s="3" t="s">
        <v>40</v>
      </c>
      <c r="F430" s="3" t="s">
        <v>102</v>
      </c>
      <c r="G430" s="3" t="s">
        <v>146</v>
      </c>
      <c r="H430" s="3">
        <v>1</v>
      </c>
      <c r="I430" s="7">
        <v>7944.89</v>
      </c>
      <c r="J430" s="9">
        <v>0.05</v>
      </c>
      <c r="K430" s="7">
        <v>7547.65</v>
      </c>
      <c r="L430" s="7">
        <v>2241.71</v>
      </c>
      <c r="M430" s="3" t="s">
        <v>57</v>
      </c>
      <c r="N430" s="3"/>
      <c r="O430" s="3"/>
      <c r="P430" s="3"/>
      <c r="Q430" s="3"/>
    </row>
    <row r="431" spans="1:17" ht="21" customHeight="1">
      <c r="A431" s="3" t="s">
        <v>861</v>
      </c>
      <c r="B431" s="5">
        <v>45426</v>
      </c>
      <c r="C431" s="3" t="s">
        <v>520</v>
      </c>
      <c r="D431" s="3" t="s">
        <v>46</v>
      </c>
      <c r="E431" s="3" t="s">
        <v>39</v>
      </c>
      <c r="F431" s="3" t="s">
        <v>109</v>
      </c>
      <c r="G431" s="3" t="s">
        <v>355</v>
      </c>
      <c r="H431" s="3">
        <v>1</v>
      </c>
      <c r="I431" s="7">
        <v>3557.91</v>
      </c>
      <c r="J431" s="9">
        <v>0.3</v>
      </c>
      <c r="K431" s="7">
        <v>2490.54</v>
      </c>
      <c r="L431" s="7">
        <v>190.76</v>
      </c>
      <c r="M431" s="3" t="s">
        <v>59</v>
      </c>
      <c r="N431" s="3"/>
      <c r="O431" s="3"/>
      <c r="P431" s="3"/>
      <c r="Q431" s="3"/>
    </row>
    <row r="432" spans="1:17" ht="21" customHeight="1">
      <c r="A432" s="3" t="s">
        <v>862</v>
      </c>
      <c r="B432" s="5">
        <v>45426</v>
      </c>
      <c r="C432" s="3" t="s">
        <v>247</v>
      </c>
      <c r="D432" s="3" t="s">
        <v>44</v>
      </c>
      <c r="E432" s="3" t="s">
        <v>38</v>
      </c>
      <c r="F432" s="3" t="s">
        <v>98</v>
      </c>
      <c r="G432" s="3" t="s">
        <v>99</v>
      </c>
      <c r="H432" s="3">
        <v>3</v>
      </c>
      <c r="I432" s="7">
        <v>24322.959999999999</v>
      </c>
      <c r="J432" s="9">
        <v>0.05</v>
      </c>
      <c r="K432" s="7">
        <v>69320.44</v>
      </c>
      <c r="L432" s="7">
        <v>9308.85</v>
      </c>
      <c r="M432" s="3" t="s">
        <v>60</v>
      </c>
      <c r="N432" s="3"/>
      <c r="O432" s="3"/>
      <c r="P432" s="3"/>
      <c r="Q432" s="3"/>
    </row>
    <row r="433" spans="1:17" ht="21" customHeight="1">
      <c r="A433" s="3" t="s">
        <v>863</v>
      </c>
      <c r="B433" s="5">
        <v>45426</v>
      </c>
      <c r="C433" s="3" t="s">
        <v>366</v>
      </c>
      <c r="D433" s="3" t="s">
        <v>44</v>
      </c>
      <c r="E433" s="3" t="s">
        <v>40</v>
      </c>
      <c r="F433" s="3" t="s">
        <v>102</v>
      </c>
      <c r="G433" s="3" t="s">
        <v>146</v>
      </c>
      <c r="H433" s="3">
        <v>2</v>
      </c>
      <c r="I433" s="7">
        <v>7771.44</v>
      </c>
      <c r="J433" s="9">
        <v>0.1</v>
      </c>
      <c r="K433" s="7">
        <v>13988.59</v>
      </c>
      <c r="L433" s="7">
        <v>3214.37</v>
      </c>
      <c r="M433" s="3" t="s">
        <v>56</v>
      </c>
      <c r="N433" s="3"/>
      <c r="O433" s="3"/>
      <c r="P433" s="3"/>
      <c r="Q433" s="3"/>
    </row>
    <row r="434" spans="1:17" ht="21" customHeight="1">
      <c r="A434" s="3" t="s">
        <v>864</v>
      </c>
      <c r="B434" s="5">
        <v>45427</v>
      </c>
      <c r="C434" s="3" t="s">
        <v>865</v>
      </c>
      <c r="D434" s="3" t="s">
        <v>45</v>
      </c>
      <c r="E434" s="3" t="s">
        <v>41</v>
      </c>
      <c r="F434" s="3" t="s">
        <v>119</v>
      </c>
      <c r="G434" s="3" t="s">
        <v>168</v>
      </c>
      <c r="H434" s="3">
        <v>1</v>
      </c>
      <c r="I434" s="7">
        <v>9504.24</v>
      </c>
      <c r="J434" s="9">
        <v>0</v>
      </c>
      <c r="K434" s="7">
        <v>9504.24</v>
      </c>
      <c r="L434" s="7">
        <v>3465.83</v>
      </c>
      <c r="M434" s="3" t="s">
        <v>56</v>
      </c>
      <c r="N434" s="3"/>
      <c r="O434" s="3"/>
      <c r="P434" s="3"/>
      <c r="Q434" s="3"/>
    </row>
    <row r="435" spans="1:17" ht="21" customHeight="1">
      <c r="A435" s="3" t="s">
        <v>866</v>
      </c>
      <c r="B435" s="5">
        <v>45427</v>
      </c>
      <c r="C435" s="3" t="s">
        <v>552</v>
      </c>
      <c r="D435" s="3" t="s">
        <v>44</v>
      </c>
      <c r="E435" s="3" t="s">
        <v>40</v>
      </c>
      <c r="F435" s="3" t="s">
        <v>102</v>
      </c>
      <c r="G435" s="3" t="s">
        <v>103</v>
      </c>
      <c r="H435" s="3">
        <v>4</v>
      </c>
      <c r="I435" s="7">
        <v>6759.06</v>
      </c>
      <c r="J435" s="9">
        <v>0.05</v>
      </c>
      <c r="K435" s="7">
        <v>25684.43</v>
      </c>
      <c r="L435" s="7">
        <v>7646.63</v>
      </c>
      <c r="M435" s="3" t="s">
        <v>58</v>
      </c>
      <c r="N435" s="3"/>
      <c r="O435" s="3"/>
      <c r="P435" s="3"/>
      <c r="Q435" s="3"/>
    </row>
    <row r="436" spans="1:17" ht="21" customHeight="1">
      <c r="A436" s="3" t="s">
        <v>867</v>
      </c>
      <c r="B436" s="5">
        <v>45427</v>
      </c>
      <c r="C436" s="3" t="s">
        <v>357</v>
      </c>
      <c r="D436" s="3" t="s">
        <v>46</v>
      </c>
      <c r="E436" s="3" t="s">
        <v>41</v>
      </c>
      <c r="F436" s="3" t="s">
        <v>113</v>
      </c>
      <c r="G436" s="3" t="s">
        <v>123</v>
      </c>
      <c r="H436" s="3">
        <v>1</v>
      </c>
      <c r="I436" s="7">
        <v>3519.46</v>
      </c>
      <c r="J436" s="9">
        <v>0</v>
      </c>
      <c r="K436" s="7">
        <v>3519.46</v>
      </c>
      <c r="L436" s="7">
        <v>1200.1099999999999</v>
      </c>
      <c r="M436" s="3" t="s">
        <v>60</v>
      </c>
      <c r="N436" s="3"/>
      <c r="O436" s="3"/>
      <c r="P436" s="3"/>
      <c r="Q436" s="3"/>
    </row>
    <row r="437" spans="1:17" ht="21" customHeight="1">
      <c r="A437" s="3" t="s">
        <v>868</v>
      </c>
      <c r="B437" s="5">
        <v>45427</v>
      </c>
      <c r="C437" s="3" t="s">
        <v>724</v>
      </c>
      <c r="D437" s="3" t="s">
        <v>46</v>
      </c>
      <c r="E437" s="3" t="s">
        <v>42</v>
      </c>
      <c r="F437" s="3" t="s">
        <v>90</v>
      </c>
      <c r="G437" s="3" t="s">
        <v>106</v>
      </c>
      <c r="H437" s="3">
        <v>1</v>
      </c>
      <c r="I437" s="7">
        <v>875.56</v>
      </c>
      <c r="J437" s="9">
        <v>0.15</v>
      </c>
      <c r="K437" s="7">
        <v>744.23</v>
      </c>
      <c r="L437" s="7">
        <v>279.29000000000002</v>
      </c>
      <c r="M437" s="3" t="s">
        <v>56</v>
      </c>
      <c r="N437" s="3"/>
      <c r="O437" s="3"/>
      <c r="P437" s="3"/>
      <c r="Q437" s="3"/>
    </row>
    <row r="438" spans="1:17" ht="21" customHeight="1">
      <c r="A438" s="3" t="s">
        <v>869</v>
      </c>
      <c r="B438" s="5">
        <v>45427</v>
      </c>
      <c r="C438" s="3" t="s">
        <v>215</v>
      </c>
      <c r="D438" s="3" t="s">
        <v>44</v>
      </c>
      <c r="E438" s="3" t="s">
        <v>38</v>
      </c>
      <c r="F438" s="3" t="s">
        <v>94</v>
      </c>
      <c r="G438" s="3" t="s">
        <v>95</v>
      </c>
      <c r="H438" s="3">
        <v>2</v>
      </c>
      <c r="I438" s="7">
        <v>76681.539999999994</v>
      </c>
      <c r="J438" s="9">
        <v>0.15</v>
      </c>
      <c r="K438" s="7">
        <v>130358.62</v>
      </c>
      <c r="L438" s="7">
        <v>-2112.08</v>
      </c>
      <c r="M438" s="3" t="s">
        <v>58</v>
      </c>
      <c r="N438" s="3"/>
      <c r="O438" s="3"/>
      <c r="P438" s="3"/>
      <c r="Q438" s="3"/>
    </row>
    <row r="439" spans="1:17" ht="21" customHeight="1">
      <c r="A439" s="3" t="s">
        <v>870</v>
      </c>
      <c r="B439" s="5">
        <v>45427</v>
      </c>
      <c r="C439" s="3" t="s">
        <v>871</v>
      </c>
      <c r="D439" s="3" t="s">
        <v>45</v>
      </c>
      <c r="E439" s="3" t="s">
        <v>38</v>
      </c>
      <c r="F439" s="3" t="s">
        <v>98</v>
      </c>
      <c r="G439" s="3" t="s">
        <v>182</v>
      </c>
      <c r="H439" s="3">
        <v>4</v>
      </c>
      <c r="I439" s="7">
        <v>67462.990000000005</v>
      </c>
      <c r="J439" s="9">
        <v>0</v>
      </c>
      <c r="K439" s="7">
        <v>269851.96000000002</v>
      </c>
      <c r="L439" s="7">
        <v>49849.1</v>
      </c>
      <c r="M439" s="3" t="s">
        <v>56</v>
      </c>
      <c r="N439" s="3"/>
      <c r="O439" s="3"/>
      <c r="P439" s="3"/>
      <c r="Q439" s="3"/>
    </row>
    <row r="440" spans="1:17" ht="21" customHeight="1">
      <c r="A440" s="3" t="s">
        <v>872</v>
      </c>
      <c r="B440" s="5">
        <v>45428</v>
      </c>
      <c r="C440" s="3" t="s">
        <v>873</v>
      </c>
      <c r="D440" s="3" t="s">
        <v>45</v>
      </c>
      <c r="E440" s="3" t="s">
        <v>39</v>
      </c>
      <c r="F440" s="3" t="s">
        <v>164</v>
      </c>
      <c r="G440" s="3" t="s">
        <v>200</v>
      </c>
      <c r="H440" s="3">
        <v>1</v>
      </c>
      <c r="I440" s="7">
        <v>1292.31</v>
      </c>
      <c r="J440" s="9">
        <v>0.2</v>
      </c>
      <c r="K440" s="7">
        <v>1033.8499999999999</v>
      </c>
      <c r="L440" s="7">
        <v>230.93</v>
      </c>
      <c r="M440" s="3" t="s">
        <v>56</v>
      </c>
      <c r="N440" s="3"/>
      <c r="O440" s="3"/>
      <c r="P440" s="3"/>
      <c r="Q440" s="3"/>
    </row>
    <row r="441" spans="1:17" ht="21" customHeight="1">
      <c r="A441" s="3" t="s">
        <v>874</v>
      </c>
      <c r="B441" s="5">
        <v>45428</v>
      </c>
      <c r="C441" s="3" t="s">
        <v>322</v>
      </c>
      <c r="D441" s="3" t="s">
        <v>45</v>
      </c>
      <c r="E441" s="3" t="s">
        <v>38</v>
      </c>
      <c r="F441" s="3" t="s">
        <v>142</v>
      </c>
      <c r="G441" s="3" t="s">
        <v>245</v>
      </c>
      <c r="H441" s="3">
        <v>1</v>
      </c>
      <c r="I441" s="7">
        <v>4911.1899999999996</v>
      </c>
      <c r="J441" s="9">
        <v>0</v>
      </c>
      <c r="K441" s="7">
        <v>4911.1899999999996</v>
      </c>
      <c r="L441" s="7">
        <v>935.43</v>
      </c>
      <c r="M441" s="3" t="s">
        <v>59</v>
      </c>
      <c r="N441" s="3"/>
      <c r="O441" s="3"/>
      <c r="P441" s="3"/>
      <c r="Q441" s="3"/>
    </row>
    <row r="442" spans="1:17" ht="21" customHeight="1">
      <c r="A442" s="3" t="s">
        <v>875</v>
      </c>
      <c r="B442" s="5">
        <v>45428</v>
      </c>
      <c r="C442" s="3" t="s">
        <v>733</v>
      </c>
      <c r="D442" s="3" t="s">
        <v>44</v>
      </c>
      <c r="E442" s="3" t="s">
        <v>42</v>
      </c>
      <c r="F442" s="3" t="s">
        <v>90</v>
      </c>
      <c r="G442" s="3" t="s">
        <v>91</v>
      </c>
      <c r="H442" s="3">
        <v>5</v>
      </c>
      <c r="I442" s="7">
        <v>1244.79</v>
      </c>
      <c r="J442" s="9">
        <v>0.1</v>
      </c>
      <c r="K442" s="7">
        <v>5601.56</v>
      </c>
      <c r="L442" s="7">
        <v>2447.2199999999998</v>
      </c>
      <c r="M442" s="3" t="s">
        <v>56</v>
      </c>
      <c r="N442" s="3"/>
      <c r="O442" s="3"/>
      <c r="P442" s="3"/>
      <c r="Q442" s="3"/>
    </row>
    <row r="443" spans="1:17" ht="21" customHeight="1">
      <c r="A443" s="3" t="s">
        <v>876</v>
      </c>
      <c r="B443" s="5">
        <v>45428</v>
      </c>
      <c r="C443" s="3" t="s">
        <v>792</v>
      </c>
      <c r="D443" s="3" t="s">
        <v>46</v>
      </c>
      <c r="E443" s="3" t="s">
        <v>41</v>
      </c>
      <c r="F443" s="3" t="s">
        <v>113</v>
      </c>
      <c r="G443" s="3" t="s">
        <v>114</v>
      </c>
      <c r="H443" s="3">
        <v>1</v>
      </c>
      <c r="I443" s="7">
        <v>12377.24</v>
      </c>
      <c r="J443" s="9">
        <v>0.05</v>
      </c>
      <c r="K443" s="7">
        <v>11758.38</v>
      </c>
      <c r="L443" s="7">
        <v>3598.45</v>
      </c>
      <c r="M443" s="3" t="s">
        <v>57</v>
      </c>
      <c r="N443" s="3"/>
      <c r="O443" s="3"/>
      <c r="P443" s="3"/>
      <c r="Q443" s="3"/>
    </row>
    <row r="444" spans="1:17" ht="21" customHeight="1">
      <c r="A444" s="3" t="s">
        <v>877</v>
      </c>
      <c r="B444" s="5">
        <v>45429</v>
      </c>
      <c r="C444" s="3" t="s">
        <v>878</v>
      </c>
      <c r="D444" s="3" t="s">
        <v>47</v>
      </c>
      <c r="E444" s="3" t="s">
        <v>39</v>
      </c>
      <c r="F444" s="3" t="s">
        <v>109</v>
      </c>
      <c r="G444" s="3" t="s">
        <v>110</v>
      </c>
      <c r="H444" s="3">
        <v>1</v>
      </c>
      <c r="I444" s="7">
        <v>2999.29</v>
      </c>
      <c r="J444" s="9">
        <v>0.1</v>
      </c>
      <c r="K444" s="7">
        <v>2699.36</v>
      </c>
      <c r="L444" s="7">
        <v>753.87</v>
      </c>
      <c r="M444" s="3" t="s">
        <v>56</v>
      </c>
      <c r="N444" s="3"/>
      <c r="O444" s="3"/>
      <c r="P444" s="3"/>
      <c r="Q444" s="3"/>
    </row>
    <row r="445" spans="1:17" ht="21" customHeight="1">
      <c r="A445" s="3" t="s">
        <v>879</v>
      </c>
      <c r="B445" s="5">
        <v>45429</v>
      </c>
      <c r="C445" s="3" t="s">
        <v>139</v>
      </c>
      <c r="D445" s="3" t="s">
        <v>46</v>
      </c>
      <c r="E445" s="3" t="s">
        <v>40</v>
      </c>
      <c r="F445" s="3" t="s">
        <v>221</v>
      </c>
      <c r="G445" s="3" t="s">
        <v>279</v>
      </c>
      <c r="H445" s="3">
        <v>1</v>
      </c>
      <c r="I445" s="7">
        <v>1485.36</v>
      </c>
      <c r="J445" s="9">
        <v>0</v>
      </c>
      <c r="K445" s="7">
        <v>1485.36</v>
      </c>
      <c r="L445" s="7">
        <v>508.18</v>
      </c>
      <c r="M445" s="3" t="s">
        <v>56</v>
      </c>
      <c r="N445" s="3"/>
      <c r="O445" s="3"/>
      <c r="P445" s="3"/>
      <c r="Q445" s="3"/>
    </row>
    <row r="446" spans="1:17" ht="21" customHeight="1">
      <c r="A446" s="3" t="s">
        <v>880</v>
      </c>
      <c r="B446" s="5">
        <v>45429</v>
      </c>
      <c r="C446" s="3" t="s">
        <v>881</v>
      </c>
      <c r="D446" s="3" t="s">
        <v>47</v>
      </c>
      <c r="E446" s="3" t="s">
        <v>42</v>
      </c>
      <c r="F446" s="3" t="s">
        <v>90</v>
      </c>
      <c r="G446" s="3" t="s">
        <v>106</v>
      </c>
      <c r="H446" s="3">
        <v>3</v>
      </c>
      <c r="I446" s="7">
        <v>912.95</v>
      </c>
      <c r="J446" s="9">
        <v>0.1</v>
      </c>
      <c r="K446" s="7">
        <v>2464.9699999999998</v>
      </c>
      <c r="L446" s="7">
        <v>1051.44</v>
      </c>
      <c r="M446" s="3" t="s">
        <v>57</v>
      </c>
      <c r="N446" s="3"/>
      <c r="O446" s="3"/>
      <c r="P446" s="3"/>
      <c r="Q446" s="3"/>
    </row>
    <row r="447" spans="1:17" ht="21" customHeight="1">
      <c r="A447" s="3" t="s">
        <v>882</v>
      </c>
      <c r="B447" s="5">
        <v>45430</v>
      </c>
      <c r="C447" s="3" t="s">
        <v>495</v>
      </c>
      <c r="D447" s="3" t="s">
        <v>47</v>
      </c>
      <c r="E447" s="3" t="s">
        <v>39</v>
      </c>
      <c r="F447" s="3" t="s">
        <v>164</v>
      </c>
      <c r="G447" s="3" t="s">
        <v>165</v>
      </c>
      <c r="H447" s="3">
        <v>1</v>
      </c>
      <c r="I447" s="7">
        <v>1957.93</v>
      </c>
      <c r="J447" s="9">
        <v>0</v>
      </c>
      <c r="K447" s="7">
        <v>1957.93</v>
      </c>
      <c r="L447" s="7">
        <v>763.98</v>
      </c>
      <c r="M447" s="3" t="s">
        <v>60</v>
      </c>
      <c r="N447" s="3"/>
      <c r="O447" s="3"/>
      <c r="P447" s="3"/>
      <c r="Q447" s="3"/>
    </row>
    <row r="448" spans="1:17" ht="21" customHeight="1">
      <c r="A448" s="3" t="s">
        <v>883</v>
      </c>
      <c r="B448" s="5">
        <v>45431</v>
      </c>
      <c r="C448" s="3" t="s">
        <v>347</v>
      </c>
      <c r="D448" s="3" t="s">
        <v>44</v>
      </c>
      <c r="E448" s="3" t="s">
        <v>38</v>
      </c>
      <c r="F448" s="3" t="s">
        <v>98</v>
      </c>
      <c r="G448" s="3" t="s">
        <v>362</v>
      </c>
      <c r="H448" s="3">
        <v>1</v>
      </c>
      <c r="I448" s="7">
        <v>32788.239999999998</v>
      </c>
      <c r="J448" s="9">
        <v>0.1</v>
      </c>
      <c r="K448" s="7">
        <v>29509.42</v>
      </c>
      <c r="L448" s="7">
        <v>2264.96</v>
      </c>
      <c r="M448" s="3" t="s">
        <v>56</v>
      </c>
      <c r="N448" s="3"/>
      <c r="O448" s="3"/>
      <c r="P448" s="3"/>
      <c r="Q448" s="3"/>
    </row>
    <row r="449" spans="1:17" ht="21" customHeight="1">
      <c r="A449" s="3" t="s">
        <v>884</v>
      </c>
      <c r="B449" s="5">
        <v>45431</v>
      </c>
      <c r="C449" s="3" t="s">
        <v>404</v>
      </c>
      <c r="D449" s="3" t="s">
        <v>45</v>
      </c>
      <c r="E449" s="3" t="s">
        <v>38</v>
      </c>
      <c r="F449" s="3" t="s">
        <v>142</v>
      </c>
      <c r="G449" s="3" t="s">
        <v>143</v>
      </c>
      <c r="H449" s="3">
        <v>2</v>
      </c>
      <c r="I449" s="7">
        <v>9335.8799999999992</v>
      </c>
      <c r="J449" s="9">
        <v>0.05</v>
      </c>
      <c r="K449" s="7">
        <v>17738.169999999998</v>
      </c>
      <c r="L449" s="7">
        <v>2828.76</v>
      </c>
      <c r="M449" s="3" t="s">
        <v>57</v>
      </c>
      <c r="N449" s="3"/>
      <c r="O449" s="3"/>
      <c r="P449" s="3"/>
      <c r="Q449" s="3"/>
    </row>
    <row r="450" spans="1:17" ht="21" customHeight="1">
      <c r="A450" s="3" t="s">
        <v>885</v>
      </c>
      <c r="B450" s="5">
        <v>45431</v>
      </c>
      <c r="C450" s="3" t="s">
        <v>289</v>
      </c>
      <c r="D450" s="3" t="s">
        <v>45</v>
      </c>
      <c r="E450" s="3" t="s">
        <v>42</v>
      </c>
      <c r="F450" s="3" t="s">
        <v>126</v>
      </c>
      <c r="G450" s="3" t="s">
        <v>151</v>
      </c>
      <c r="H450" s="3">
        <v>1</v>
      </c>
      <c r="I450" s="7">
        <v>1559.39</v>
      </c>
      <c r="J450" s="9">
        <v>0</v>
      </c>
      <c r="K450" s="7">
        <v>1559.39</v>
      </c>
      <c r="L450" s="7">
        <v>806.32</v>
      </c>
      <c r="M450" s="3" t="s">
        <v>56</v>
      </c>
      <c r="N450" s="3"/>
      <c r="O450" s="3"/>
      <c r="P450" s="3"/>
      <c r="Q450" s="3"/>
    </row>
    <row r="451" spans="1:17" ht="21" customHeight="1">
      <c r="A451" s="3" t="s">
        <v>886</v>
      </c>
      <c r="B451" s="5">
        <v>45431</v>
      </c>
      <c r="C451" s="3" t="s">
        <v>792</v>
      </c>
      <c r="D451" s="3" t="s">
        <v>44</v>
      </c>
      <c r="E451" s="3" t="s">
        <v>41</v>
      </c>
      <c r="F451" s="3" t="s">
        <v>113</v>
      </c>
      <c r="G451" s="3" t="s">
        <v>123</v>
      </c>
      <c r="H451" s="3">
        <v>2</v>
      </c>
      <c r="I451" s="7">
        <v>3650.21</v>
      </c>
      <c r="J451" s="9">
        <v>0.05</v>
      </c>
      <c r="K451" s="7">
        <v>6935.4</v>
      </c>
      <c r="L451" s="7">
        <v>2506.83</v>
      </c>
      <c r="M451" s="3" t="s">
        <v>58</v>
      </c>
      <c r="N451" s="3"/>
      <c r="O451" s="3"/>
      <c r="P451" s="3"/>
      <c r="Q451" s="3"/>
    </row>
    <row r="452" spans="1:17" ht="21" customHeight="1">
      <c r="A452" s="3" t="s">
        <v>887</v>
      </c>
      <c r="B452" s="5">
        <v>45431</v>
      </c>
      <c r="C452" s="3" t="s">
        <v>888</v>
      </c>
      <c r="D452" s="3" t="s">
        <v>44</v>
      </c>
      <c r="E452" s="3" t="s">
        <v>38</v>
      </c>
      <c r="F452" s="3" t="s">
        <v>98</v>
      </c>
      <c r="G452" s="3" t="s">
        <v>362</v>
      </c>
      <c r="H452" s="3">
        <v>1</v>
      </c>
      <c r="I452" s="7">
        <v>33001.629999999997</v>
      </c>
      <c r="J452" s="9">
        <v>0.1</v>
      </c>
      <c r="K452" s="7">
        <v>29701.47</v>
      </c>
      <c r="L452" s="7">
        <v>908.93</v>
      </c>
      <c r="M452" s="3" t="s">
        <v>56</v>
      </c>
      <c r="N452" s="3"/>
      <c r="O452" s="3"/>
      <c r="P452" s="3"/>
      <c r="Q452" s="3"/>
    </row>
    <row r="453" spans="1:17" ht="21" customHeight="1">
      <c r="A453" s="3" t="s">
        <v>889</v>
      </c>
      <c r="B453" s="5">
        <v>45432</v>
      </c>
      <c r="C453" s="3" t="s">
        <v>244</v>
      </c>
      <c r="D453" s="3" t="s">
        <v>45</v>
      </c>
      <c r="E453" s="3" t="s">
        <v>39</v>
      </c>
      <c r="F453" s="3" t="s">
        <v>109</v>
      </c>
      <c r="G453" s="3" t="s">
        <v>355</v>
      </c>
      <c r="H453" s="3">
        <v>1</v>
      </c>
      <c r="I453" s="7">
        <v>3335.38</v>
      </c>
      <c r="J453" s="9">
        <v>0.25</v>
      </c>
      <c r="K453" s="7">
        <v>2501.5300000000002</v>
      </c>
      <c r="L453" s="7">
        <v>262.10000000000002</v>
      </c>
      <c r="M453" s="3" t="s">
        <v>56</v>
      </c>
      <c r="N453" s="3"/>
      <c r="O453" s="3"/>
      <c r="P453" s="3"/>
      <c r="Q453" s="3"/>
    </row>
    <row r="454" spans="1:17" ht="21" customHeight="1">
      <c r="A454" s="3" t="s">
        <v>890</v>
      </c>
      <c r="B454" s="5">
        <v>45432</v>
      </c>
      <c r="C454" s="3" t="s">
        <v>891</v>
      </c>
      <c r="D454" s="3" t="s">
        <v>44</v>
      </c>
      <c r="E454" s="3" t="s">
        <v>39</v>
      </c>
      <c r="F454" s="3" t="s">
        <v>164</v>
      </c>
      <c r="G454" s="3" t="s">
        <v>165</v>
      </c>
      <c r="H454" s="3">
        <v>2</v>
      </c>
      <c r="I454" s="7">
        <v>1909.54</v>
      </c>
      <c r="J454" s="9">
        <v>0.1</v>
      </c>
      <c r="K454" s="7">
        <v>3437.17</v>
      </c>
      <c r="L454" s="7">
        <v>1142.6199999999999</v>
      </c>
      <c r="M454" s="3" t="s">
        <v>56</v>
      </c>
      <c r="N454" s="3"/>
      <c r="O454" s="3"/>
      <c r="P454" s="3"/>
      <c r="Q454" s="3"/>
    </row>
    <row r="455" spans="1:17" ht="21" customHeight="1">
      <c r="A455" s="3" t="s">
        <v>892</v>
      </c>
      <c r="B455" s="5">
        <v>45432</v>
      </c>
      <c r="C455" s="3" t="s">
        <v>893</v>
      </c>
      <c r="D455" s="3" t="s">
        <v>47</v>
      </c>
      <c r="E455" s="3" t="s">
        <v>40</v>
      </c>
      <c r="F455" s="3" t="s">
        <v>221</v>
      </c>
      <c r="G455" s="3" t="s">
        <v>222</v>
      </c>
      <c r="H455" s="3">
        <v>1</v>
      </c>
      <c r="I455" s="7">
        <v>981.73</v>
      </c>
      <c r="J455" s="9">
        <v>0.1</v>
      </c>
      <c r="K455" s="7">
        <v>883.56</v>
      </c>
      <c r="L455" s="7">
        <v>176.4</v>
      </c>
      <c r="M455" s="3" t="s">
        <v>57</v>
      </c>
      <c r="N455" s="3"/>
      <c r="O455" s="3"/>
      <c r="P455" s="3"/>
      <c r="Q455" s="3"/>
    </row>
    <row r="456" spans="1:17" ht="21" customHeight="1">
      <c r="A456" s="3" t="s">
        <v>894</v>
      </c>
      <c r="B456" s="5">
        <v>45432</v>
      </c>
      <c r="C456" s="3" t="s">
        <v>190</v>
      </c>
      <c r="D456" s="3" t="s">
        <v>46</v>
      </c>
      <c r="E456" s="3" t="s">
        <v>41</v>
      </c>
      <c r="F456" s="3" t="s">
        <v>113</v>
      </c>
      <c r="G456" s="3" t="s">
        <v>114</v>
      </c>
      <c r="H456" s="3">
        <v>1</v>
      </c>
      <c r="I456" s="7">
        <v>12530.47</v>
      </c>
      <c r="J456" s="9">
        <v>0</v>
      </c>
      <c r="K456" s="7">
        <v>12530.47</v>
      </c>
      <c r="L456" s="7">
        <v>5147.95</v>
      </c>
      <c r="M456" s="3" t="s">
        <v>58</v>
      </c>
      <c r="N456" s="3"/>
      <c r="O456" s="3"/>
      <c r="P456" s="3"/>
      <c r="Q456" s="3"/>
    </row>
    <row r="457" spans="1:17" ht="21" customHeight="1">
      <c r="A457" s="3" t="s">
        <v>895</v>
      </c>
      <c r="B457" s="5">
        <v>45432</v>
      </c>
      <c r="C457" s="3" t="s">
        <v>896</v>
      </c>
      <c r="D457" s="3" t="s">
        <v>47</v>
      </c>
      <c r="E457" s="3" t="s">
        <v>41</v>
      </c>
      <c r="F457" s="3" t="s">
        <v>119</v>
      </c>
      <c r="G457" s="3" t="s">
        <v>120</v>
      </c>
      <c r="H457" s="3">
        <v>3</v>
      </c>
      <c r="I457" s="7">
        <v>1353.2</v>
      </c>
      <c r="J457" s="9">
        <v>0.05</v>
      </c>
      <c r="K457" s="7">
        <v>3856.62</v>
      </c>
      <c r="L457" s="7">
        <v>1381.83</v>
      </c>
      <c r="M457" s="3" t="s">
        <v>57</v>
      </c>
      <c r="N457" s="3"/>
      <c r="O457" s="3"/>
      <c r="P457" s="3"/>
      <c r="Q457" s="3"/>
    </row>
    <row r="458" spans="1:17" ht="21" customHeight="1">
      <c r="A458" s="3" t="s">
        <v>897</v>
      </c>
      <c r="B458" s="5">
        <v>45433</v>
      </c>
      <c r="C458" s="3" t="s">
        <v>195</v>
      </c>
      <c r="D458" s="3" t="s">
        <v>47</v>
      </c>
      <c r="E458" s="3" t="s">
        <v>42</v>
      </c>
      <c r="F458" s="3" t="s">
        <v>126</v>
      </c>
      <c r="G458" s="3" t="s">
        <v>151</v>
      </c>
      <c r="H458" s="3">
        <v>5</v>
      </c>
      <c r="I458" s="7">
        <v>1538.33</v>
      </c>
      <c r="J458" s="9">
        <v>0.25</v>
      </c>
      <c r="K458" s="7">
        <v>5768.74</v>
      </c>
      <c r="L458" s="7">
        <v>1409.81</v>
      </c>
      <c r="M458" s="3" t="s">
        <v>60</v>
      </c>
      <c r="N458" s="3"/>
      <c r="O458" s="3"/>
      <c r="P458" s="3"/>
      <c r="Q458" s="3"/>
    </row>
    <row r="459" spans="1:17" ht="21" customHeight="1">
      <c r="A459" s="3" t="s">
        <v>898</v>
      </c>
      <c r="B459" s="5">
        <v>45433</v>
      </c>
      <c r="C459" s="3" t="s">
        <v>899</v>
      </c>
      <c r="D459" s="3" t="s">
        <v>44</v>
      </c>
      <c r="E459" s="3" t="s">
        <v>38</v>
      </c>
      <c r="F459" s="3" t="s">
        <v>98</v>
      </c>
      <c r="G459" s="3" t="s">
        <v>362</v>
      </c>
      <c r="H459" s="3">
        <v>1</v>
      </c>
      <c r="I459" s="7">
        <v>33371.07</v>
      </c>
      <c r="J459" s="9">
        <v>0.05</v>
      </c>
      <c r="K459" s="7">
        <v>31702.52</v>
      </c>
      <c r="L459" s="7">
        <v>4676.08</v>
      </c>
      <c r="M459" s="3" t="s">
        <v>56</v>
      </c>
      <c r="N459" s="3"/>
      <c r="O459" s="3"/>
      <c r="P459" s="3"/>
      <c r="Q459" s="3"/>
    </row>
    <row r="460" spans="1:17" ht="21" customHeight="1">
      <c r="A460" s="3" t="s">
        <v>900</v>
      </c>
      <c r="B460" s="5">
        <v>45433</v>
      </c>
      <c r="C460" s="3" t="s">
        <v>341</v>
      </c>
      <c r="D460" s="3" t="s">
        <v>45</v>
      </c>
      <c r="E460" s="3" t="s">
        <v>42</v>
      </c>
      <c r="F460" s="3" t="s">
        <v>126</v>
      </c>
      <c r="G460" s="3" t="s">
        <v>127</v>
      </c>
      <c r="H460" s="3">
        <v>2</v>
      </c>
      <c r="I460" s="7">
        <v>1025.54</v>
      </c>
      <c r="J460" s="9">
        <v>0</v>
      </c>
      <c r="K460" s="7">
        <v>2051.08</v>
      </c>
      <c r="L460" s="7">
        <v>1160.1600000000001</v>
      </c>
      <c r="M460" s="3" t="s">
        <v>57</v>
      </c>
      <c r="N460" s="3"/>
      <c r="O460" s="3"/>
      <c r="P460" s="3"/>
      <c r="Q460" s="3"/>
    </row>
    <row r="461" spans="1:17" ht="21" customHeight="1">
      <c r="A461" s="3" t="s">
        <v>901</v>
      </c>
      <c r="B461" s="5">
        <v>45433</v>
      </c>
      <c r="C461" s="3" t="s">
        <v>902</v>
      </c>
      <c r="D461" s="3" t="s">
        <v>46</v>
      </c>
      <c r="E461" s="3" t="s">
        <v>39</v>
      </c>
      <c r="F461" s="3" t="s">
        <v>109</v>
      </c>
      <c r="G461" s="3" t="s">
        <v>110</v>
      </c>
      <c r="H461" s="3">
        <v>2</v>
      </c>
      <c r="I461" s="7">
        <v>2950.97</v>
      </c>
      <c r="J461" s="9">
        <v>0.05</v>
      </c>
      <c r="K461" s="7">
        <v>5606.84</v>
      </c>
      <c r="L461" s="7">
        <v>2177.4699999999998</v>
      </c>
      <c r="M461" s="3" t="s">
        <v>58</v>
      </c>
      <c r="N461" s="3"/>
      <c r="O461" s="3"/>
      <c r="P461" s="3"/>
      <c r="Q461" s="3"/>
    </row>
    <row r="462" spans="1:17" ht="21" customHeight="1">
      <c r="A462" s="3" t="s">
        <v>903</v>
      </c>
      <c r="B462" s="5">
        <v>45433</v>
      </c>
      <c r="C462" s="3" t="s">
        <v>904</v>
      </c>
      <c r="D462" s="3" t="s">
        <v>46</v>
      </c>
      <c r="E462" s="3" t="s">
        <v>41</v>
      </c>
      <c r="F462" s="3" t="s">
        <v>119</v>
      </c>
      <c r="G462" s="3" t="s">
        <v>120</v>
      </c>
      <c r="H462" s="3">
        <v>1</v>
      </c>
      <c r="I462" s="7">
        <v>1360.6</v>
      </c>
      <c r="J462" s="9">
        <v>0.1</v>
      </c>
      <c r="K462" s="7">
        <v>1224.54</v>
      </c>
      <c r="L462" s="7">
        <v>315.72000000000003</v>
      </c>
      <c r="M462" s="3" t="s">
        <v>57</v>
      </c>
      <c r="N462" s="3"/>
      <c r="O462" s="3"/>
      <c r="P462" s="3"/>
      <c r="Q462" s="3"/>
    </row>
    <row r="463" spans="1:17" ht="21" customHeight="1">
      <c r="A463" s="3" t="s">
        <v>905</v>
      </c>
      <c r="B463" s="5">
        <v>45433</v>
      </c>
      <c r="C463" s="3" t="s">
        <v>906</v>
      </c>
      <c r="D463" s="3" t="s">
        <v>46</v>
      </c>
      <c r="E463" s="3" t="s">
        <v>40</v>
      </c>
      <c r="F463" s="3" t="s">
        <v>160</v>
      </c>
      <c r="G463" s="3" t="s">
        <v>173</v>
      </c>
      <c r="H463" s="3">
        <v>2</v>
      </c>
      <c r="I463" s="7">
        <v>9195.8700000000008</v>
      </c>
      <c r="J463" s="9">
        <v>0.25</v>
      </c>
      <c r="K463" s="7">
        <v>13793.81</v>
      </c>
      <c r="L463" s="7">
        <v>270.89999999999998</v>
      </c>
      <c r="M463" s="3" t="s">
        <v>58</v>
      </c>
      <c r="N463" s="3"/>
      <c r="O463" s="3"/>
      <c r="P463" s="3"/>
      <c r="Q463" s="3"/>
    </row>
    <row r="464" spans="1:17" ht="21" customHeight="1">
      <c r="A464" s="3" t="s">
        <v>907</v>
      </c>
      <c r="B464" s="5">
        <v>45433</v>
      </c>
      <c r="C464" s="3" t="s">
        <v>116</v>
      </c>
      <c r="D464" s="3" t="s">
        <v>45</v>
      </c>
      <c r="E464" s="3" t="s">
        <v>42</v>
      </c>
      <c r="F464" s="3" t="s">
        <v>90</v>
      </c>
      <c r="G464" s="3" t="s">
        <v>91</v>
      </c>
      <c r="H464" s="3">
        <v>4</v>
      </c>
      <c r="I464" s="7">
        <v>1172.1600000000001</v>
      </c>
      <c r="J464" s="9">
        <v>0.15</v>
      </c>
      <c r="K464" s="7">
        <v>3985.34</v>
      </c>
      <c r="L464" s="7">
        <v>1651.59</v>
      </c>
      <c r="M464" s="3" t="s">
        <v>56</v>
      </c>
      <c r="N464" s="3"/>
      <c r="O464" s="3"/>
      <c r="P464" s="3"/>
      <c r="Q464" s="3"/>
    </row>
    <row r="465" spans="1:17" ht="21" customHeight="1">
      <c r="A465" s="3" t="s">
        <v>908</v>
      </c>
      <c r="B465" s="5">
        <v>45433</v>
      </c>
      <c r="C465" s="3" t="s">
        <v>613</v>
      </c>
      <c r="D465" s="3" t="s">
        <v>45</v>
      </c>
      <c r="E465" s="3" t="s">
        <v>41</v>
      </c>
      <c r="F465" s="3" t="s">
        <v>119</v>
      </c>
      <c r="G465" s="3" t="s">
        <v>168</v>
      </c>
      <c r="H465" s="3">
        <v>1</v>
      </c>
      <c r="I465" s="7">
        <v>10182.94</v>
      </c>
      <c r="J465" s="9">
        <v>0</v>
      </c>
      <c r="K465" s="7">
        <v>10182.94</v>
      </c>
      <c r="L465" s="7">
        <v>3562.48</v>
      </c>
      <c r="M465" s="3" t="s">
        <v>56</v>
      </c>
      <c r="N465" s="3"/>
      <c r="O465" s="3"/>
      <c r="P465" s="3"/>
      <c r="Q465" s="3"/>
    </row>
    <row r="466" spans="1:17" ht="21" customHeight="1">
      <c r="A466" s="3" t="s">
        <v>909</v>
      </c>
      <c r="B466" s="5">
        <v>45434</v>
      </c>
      <c r="C466" s="3" t="s">
        <v>910</v>
      </c>
      <c r="D466" s="3" t="s">
        <v>46</v>
      </c>
      <c r="E466" s="3" t="s">
        <v>42</v>
      </c>
      <c r="F466" s="3" t="s">
        <v>126</v>
      </c>
      <c r="G466" s="3" t="s">
        <v>151</v>
      </c>
      <c r="H466" s="3">
        <v>3</v>
      </c>
      <c r="I466" s="7">
        <v>1563.06</v>
      </c>
      <c r="J466" s="9">
        <v>0.15</v>
      </c>
      <c r="K466" s="7">
        <v>3985.8</v>
      </c>
      <c r="L466" s="7">
        <v>1548.55</v>
      </c>
      <c r="M466" s="3" t="s">
        <v>57</v>
      </c>
      <c r="N466" s="3"/>
      <c r="O466" s="3"/>
      <c r="P466" s="3"/>
      <c r="Q466" s="3"/>
    </row>
    <row r="467" spans="1:17" ht="21" customHeight="1">
      <c r="A467" s="3" t="s">
        <v>911</v>
      </c>
      <c r="B467" s="5">
        <v>45434</v>
      </c>
      <c r="C467" s="3" t="s">
        <v>912</v>
      </c>
      <c r="D467" s="3" t="s">
        <v>46</v>
      </c>
      <c r="E467" s="3" t="s">
        <v>39</v>
      </c>
      <c r="F467" s="3" t="s">
        <v>109</v>
      </c>
      <c r="G467" s="3" t="s">
        <v>110</v>
      </c>
      <c r="H467" s="3">
        <v>2</v>
      </c>
      <c r="I467" s="7">
        <v>3134.86</v>
      </c>
      <c r="J467" s="9">
        <v>0.1</v>
      </c>
      <c r="K467" s="7">
        <v>5642.75</v>
      </c>
      <c r="L467" s="7">
        <v>1703.71</v>
      </c>
      <c r="M467" s="3" t="s">
        <v>57</v>
      </c>
      <c r="N467" s="3"/>
      <c r="O467" s="3"/>
      <c r="P467" s="3"/>
      <c r="Q467" s="3"/>
    </row>
    <row r="468" spans="1:17" ht="21" customHeight="1">
      <c r="A468" s="3" t="s">
        <v>913</v>
      </c>
      <c r="B468" s="5">
        <v>45434</v>
      </c>
      <c r="C468" s="3" t="s">
        <v>914</v>
      </c>
      <c r="D468" s="3" t="s">
        <v>47</v>
      </c>
      <c r="E468" s="3" t="s">
        <v>41</v>
      </c>
      <c r="F468" s="3" t="s">
        <v>113</v>
      </c>
      <c r="G468" s="3" t="s">
        <v>123</v>
      </c>
      <c r="H468" s="3">
        <v>5</v>
      </c>
      <c r="I468" s="7">
        <v>3606.16</v>
      </c>
      <c r="J468" s="9">
        <v>0.2</v>
      </c>
      <c r="K468" s="7">
        <v>14424.64</v>
      </c>
      <c r="L468" s="7">
        <v>1590.27</v>
      </c>
      <c r="M468" s="3" t="s">
        <v>56</v>
      </c>
      <c r="N468" s="3"/>
      <c r="O468" s="3"/>
      <c r="P468" s="3"/>
      <c r="Q468" s="3"/>
    </row>
    <row r="469" spans="1:17" ht="21" customHeight="1">
      <c r="A469" s="3" t="s">
        <v>915</v>
      </c>
      <c r="B469" s="5">
        <v>45434</v>
      </c>
      <c r="C469" s="3" t="s">
        <v>916</v>
      </c>
      <c r="D469" s="3" t="s">
        <v>47</v>
      </c>
      <c r="E469" s="3" t="s">
        <v>38</v>
      </c>
      <c r="F469" s="3" t="s">
        <v>98</v>
      </c>
      <c r="G469" s="3" t="s">
        <v>362</v>
      </c>
      <c r="H469" s="3">
        <v>1</v>
      </c>
      <c r="I469" s="7">
        <v>31405.66</v>
      </c>
      <c r="J469" s="9">
        <v>0.4</v>
      </c>
      <c r="K469" s="7">
        <v>18843.400000000001</v>
      </c>
      <c r="L469" s="7">
        <v>-5188.1499999999996</v>
      </c>
      <c r="M469" s="3" t="s">
        <v>59</v>
      </c>
      <c r="N469" s="3"/>
      <c r="O469" s="3"/>
      <c r="P469" s="3"/>
      <c r="Q469" s="3"/>
    </row>
    <row r="470" spans="1:17" ht="21" customHeight="1">
      <c r="A470" s="3" t="s">
        <v>917</v>
      </c>
      <c r="B470" s="5">
        <v>45434</v>
      </c>
      <c r="C470" s="3" t="s">
        <v>244</v>
      </c>
      <c r="D470" s="3" t="s">
        <v>46</v>
      </c>
      <c r="E470" s="3" t="s">
        <v>42</v>
      </c>
      <c r="F470" s="3" t="s">
        <v>126</v>
      </c>
      <c r="G470" s="3" t="s">
        <v>127</v>
      </c>
      <c r="H470" s="3">
        <v>2</v>
      </c>
      <c r="I470" s="7">
        <v>964.07</v>
      </c>
      <c r="J470" s="9">
        <v>0.05</v>
      </c>
      <c r="K470" s="7">
        <v>1831.73</v>
      </c>
      <c r="L470" s="7">
        <v>839.53</v>
      </c>
      <c r="M470" s="3" t="s">
        <v>60</v>
      </c>
      <c r="N470" s="3"/>
      <c r="O470" s="3"/>
      <c r="P470" s="3"/>
      <c r="Q470" s="3"/>
    </row>
    <row r="471" spans="1:17" ht="21" customHeight="1">
      <c r="A471" s="3" t="s">
        <v>918</v>
      </c>
      <c r="B471" s="5">
        <v>45434</v>
      </c>
      <c r="C471" s="3" t="s">
        <v>919</v>
      </c>
      <c r="D471" s="3" t="s">
        <v>47</v>
      </c>
      <c r="E471" s="3" t="s">
        <v>42</v>
      </c>
      <c r="F471" s="3" t="s">
        <v>90</v>
      </c>
      <c r="G471" s="3" t="s">
        <v>91</v>
      </c>
      <c r="H471" s="3">
        <v>3</v>
      </c>
      <c r="I471" s="7">
        <v>1237.67</v>
      </c>
      <c r="J471" s="9">
        <v>0</v>
      </c>
      <c r="K471" s="7">
        <v>3713.01</v>
      </c>
      <c r="L471" s="7">
        <v>1972.09</v>
      </c>
      <c r="M471" s="3" t="s">
        <v>58</v>
      </c>
      <c r="N471" s="3"/>
      <c r="O471" s="3"/>
      <c r="P471" s="3"/>
      <c r="Q471" s="3"/>
    </row>
    <row r="472" spans="1:17" ht="21" customHeight="1">
      <c r="A472" s="3" t="s">
        <v>920</v>
      </c>
      <c r="B472" s="5">
        <v>45434</v>
      </c>
      <c r="C472" s="3" t="s">
        <v>337</v>
      </c>
      <c r="D472" s="3" t="s">
        <v>44</v>
      </c>
      <c r="E472" s="3" t="s">
        <v>39</v>
      </c>
      <c r="F472" s="3" t="s">
        <v>130</v>
      </c>
      <c r="G472" s="3" t="s">
        <v>131</v>
      </c>
      <c r="H472" s="3">
        <v>1</v>
      </c>
      <c r="I472" s="7">
        <v>2164.79</v>
      </c>
      <c r="J472" s="9">
        <v>0.25</v>
      </c>
      <c r="K472" s="7">
        <v>1623.59</v>
      </c>
      <c r="L472" s="7">
        <v>209.21</v>
      </c>
      <c r="M472" s="3" t="s">
        <v>56</v>
      </c>
      <c r="N472" s="3"/>
      <c r="O472" s="3"/>
      <c r="P472" s="3"/>
      <c r="Q472" s="3"/>
    </row>
    <row r="473" spans="1:17" ht="21" customHeight="1">
      <c r="A473" s="3" t="s">
        <v>921</v>
      </c>
      <c r="B473" s="5">
        <v>45434</v>
      </c>
      <c r="C473" s="3" t="s">
        <v>805</v>
      </c>
      <c r="D473" s="3" t="s">
        <v>45</v>
      </c>
      <c r="E473" s="3" t="s">
        <v>42</v>
      </c>
      <c r="F473" s="3" t="s">
        <v>126</v>
      </c>
      <c r="G473" s="3" t="s">
        <v>127</v>
      </c>
      <c r="H473" s="3">
        <v>1</v>
      </c>
      <c r="I473" s="7">
        <v>950.26</v>
      </c>
      <c r="J473" s="9">
        <v>0.05</v>
      </c>
      <c r="K473" s="7">
        <v>902.75</v>
      </c>
      <c r="L473" s="7">
        <v>478.51</v>
      </c>
      <c r="M473" s="3" t="s">
        <v>58</v>
      </c>
      <c r="N473" s="3"/>
      <c r="O473" s="3"/>
      <c r="P473" s="3"/>
      <c r="Q473" s="3"/>
    </row>
    <row r="474" spans="1:17" ht="21" customHeight="1">
      <c r="A474" s="3" t="s">
        <v>922</v>
      </c>
      <c r="B474" s="5">
        <v>45435</v>
      </c>
      <c r="C474" s="3" t="s">
        <v>923</v>
      </c>
      <c r="D474" s="3" t="s">
        <v>46</v>
      </c>
      <c r="E474" s="3" t="s">
        <v>42</v>
      </c>
      <c r="F474" s="3" t="s">
        <v>90</v>
      </c>
      <c r="G474" s="3" t="s">
        <v>91</v>
      </c>
      <c r="H474" s="3">
        <v>2</v>
      </c>
      <c r="I474" s="7">
        <v>1185.82</v>
      </c>
      <c r="J474" s="9">
        <v>0</v>
      </c>
      <c r="K474" s="7">
        <v>2371.64</v>
      </c>
      <c r="L474" s="7">
        <v>1229.79</v>
      </c>
      <c r="M474" s="3" t="s">
        <v>57</v>
      </c>
      <c r="N474" s="3"/>
      <c r="O474" s="3"/>
      <c r="P474" s="3"/>
      <c r="Q474" s="3"/>
    </row>
    <row r="475" spans="1:17" ht="21" customHeight="1">
      <c r="A475" s="3" t="s">
        <v>924</v>
      </c>
      <c r="B475" s="5">
        <v>45435</v>
      </c>
      <c r="C475" s="3" t="s">
        <v>925</v>
      </c>
      <c r="D475" s="3" t="s">
        <v>45</v>
      </c>
      <c r="E475" s="3" t="s">
        <v>39</v>
      </c>
      <c r="F475" s="3" t="s">
        <v>130</v>
      </c>
      <c r="G475" s="3" t="s">
        <v>193</v>
      </c>
      <c r="H475" s="3">
        <v>5</v>
      </c>
      <c r="I475" s="7">
        <v>1797.12</v>
      </c>
      <c r="J475" s="9">
        <v>0.1</v>
      </c>
      <c r="K475" s="7">
        <v>8087.04</v>
      </c>
      <c r="L475" s="7">
        <v>2212.9899999999998</v>
      </c>
      <c r="M475" s="3" t="s">
        <v>56</v>
      </c>
      <c r="N475" s="3"/>
      <c r="O475" s="3"/>
      <c r="P475" s="3"/>
      <c r="Q475" s="3"/>
    </row>
    <row r="476" spans="1:17" ht="21" customHeight="1">
      <c r="A476" s="3" t="s">
        <v>926</v>
      </c>
      <c r="B476" s="5">
        <v>45435</v>
      </c>
      <c r="C476" s="3" t="s">
        <v>226</v>
      </c>
      <c r="D476" s="3" t="s">
        <v>46</v>
      </c>
      <c r="E476" s="3" t="s">
        <v>40</v>
      </c>
      <c r="F476" s="3" t="s">
        <v>160</v>
      </c>
      <c r="G476" s="3" t="s">
        <v>173</v>
      </c>
      <c r="H476" s="3">
        <v>1</v>
      </c>
      <c r="I476" s="7">
        <v>8743.0400000000009</v>
      </c>
      <c r="J476" s="9">
        <v>0.15</v>
      </c>
      <c r="K476" s="7">
        <v>7431.58</v>
      </c>
      <c r="L476" s="7">
        <v>1334.01</v>
      </c>
      <c r="M476" s="3" t="s">
        <v>57</v>
      </c>
      <c r="N476" s="3"/>
      <c r="O476" s="3"/>
      <c r="P476" s="3"/>
      <c r="Q476" s="3"/>
    </row>
    <row r="477" spans="1:17" ht="21" customHeight="1">
      <c r="A477" s="3" t="s">
        <v>927</v>
      </c>
      <c r="B477" s="5">
        <v>45435</v>
      </c>
      <c r="C477" s="3" t="s">
        <v>122</v>
      </c>
      <c r="D477" s="3" t="s">
        <v>45</v>
      </c>
      <c r="E477" s="3" t="s">
        <v>38</v>
      </c>
      <c r="F477" s="3" t="s">
        <v>142</v>
      </c>
      <c r="G477" s="3" t="s">
        <v>245</v>
      </c>
      <c r="H477" s="3">
        <v>1</v>
      </c>
      <c r="I477" s="7">
        <v>4773.7299999999996</v>
      </c>
      <c r="J477" s="9">
        <v>0.1</v>
      </c>
      <c r="K477" s="7">
        <v>4296.3599999999997</v>
      </c>
      <c r="L477" s="7">
        <v>400.03</v>
      </c>
      <c r="M477" s="3" t="s">
        <v>57</v>
      </c>
      <c r="N477" s="3"/>
      <c r="O477" s="3"/>
      <c r="P477" s="3"/>
      <c r="Q477" s="3"/>
    </row>
    <row r="478" spans="1:17" ht="21" customHeight="1">
      <c r="A478" s="3" t="s">
        <v>928</v>
      </c>
      <c r="B478" s="5">
        <v>45436</v>
      </c>
      <c r="C478" s="3" t="s">
        <v>849</v>
      </c>
      <c r="D478" s="3" t="s">
        <v>45</v>
      </c>
      <c r="E478" s="3" t="s">
        <v>38</v>
      </c>
      <c r="F478" s="3" t="s">
        <v>94</v>
      </c>
      <c r="G478" s="3" t="s">
        <v>95</v>
      </c>
      <c r="H478" s="3">
        <v>1</v>
      </c>
      <c r="I478" s="7">
        <v>81635.12</v>
      </c>
      <c r="J478" s="9">
        <v>0.15</v>
      </c>
      <c r="K478" s="7">
        <v>69389.850000000006</v>
      </c>
      <c r="L478" s="7">
        <v>1898.92</v>
      </c>
      <c r="M478" s="3" t="s">
        <v>56</v>
      </c>
      <c r="N478" s="3"/>
      <c r="O478" s="3"/>
      <c r="P478" s="3"/>
      <c r="Q478" s="3"/>
    </row>
    <row r="479" spans="1:17" ht="21" customHeight="1">
      <c r="A479" s="3" t="s">
        <v>929</v>
      </c>
      <c r="B479" s="5">
        <v>45436</v>
      </c>
      <c r="C479" s="3" t="s">
        <v>357</v>
      </c>
      <c r="D479" s="3" t="s">
        <v>46</v>
      </c>
      <c r="E479" s="3" t="s">
        <v>40</v>
      </c>
      <c r="F479" s="3" t="s">
        <v>160</v>
      </c>
      <c r="G479" s="3" t="s">
        <v>173</v>
      </c>
      <c r="H479" s="3">
        <v>1</v>
      </c>
      <c r="I479" s="7">
        <v>9388.7000000000007</v>
      </c>
      <c r="J479" s="9">
        <v>0</v>
      </c>
      <c r="K479" s="7">
        <v>9388.7000000000007</v>
      </c>
      <c r="L479" s="7">
        <v>2842.49</v>
      </c>
      <c r="M479" s="3" t="s">
        <v>59</v>
      </c>
      <c r="N479" s="3"/>
      <c r="O479" s="3"/>
      <c r="P479" s="3"/>
      <c r="Q479" s="3"/>
    </row>
    <row r="480" spans="1:17" ht="21" customHeight="1">
      <c r="A480" s="3" t="s">
        <v>930</v>
      </c>
      <c r="B480" s="5">
        <v>45438</v>
      </c>
      <c r="C480" s="3" t="s">
        <v>118</v>
      </c>
      <c r="D480" s="3" t="s">
        <v>47</v>
      </c>
      <c r="E480" s="3" t="s">
        <v>38</v>
      </c>
      <c r="F480" s="3" t="s">
        <v>142</v>
      </c>
      <c r="G480" s="3" t="s">
        <v>245</v>
      </c>
      <c r="H480" s="3">
        <v>1</v>
      </c>
      <c r="I480" s="7">
        <v>4898.6499999999996</v>
      </c>
      <c r="J480" s="9">
        <v>0.05</v>
      </c>
      <c r="K480" s="7">
        <v>4653.72</v>
      </c>
      <c r="L480" s="7">
        <v>526.41999999999996</v>
      </c>
      <c r="M480" s="3" t="s">
        <v>59</v>
      </c>
      <c r="N480" s="3"/>
      <c r="O480" s="3"/>
      <c r="P480" s="3"/>
      <c r="Q480" s="3"/>
    </row>
    <row r="481" spans="1:17" ht="21" customHeight="1">
      <c r="A481" s="3" t="s">
        <v>931</v>
      </c>
      <c r="B481" s="5">
        <v>45438</v>
      </c>
      <c r="C481" s="3" t="s">
        <v>932</v>
      </c>
      <c r="D481" s="3" t="s">
        <v>46</v>
      </c>
      <c r="E481" s="3" t="s">
        <v>42</v>
      </c>
      <c r="F481" s="3" t="s">
        <v>126</v>
      </c>
      <c r="G481" s="3" t="s">
        <v>151</v>
      </c>
      <c r="H481" s="3">
        <v>2</v>
      </c>
      <c r="I481" s="7">
        <v>1554.38</v>
      </c>
      <c r="J481" s="9">
        <v>0.25</v>
      </c>
      <c r="K481" s="7">
        <v>2331.5700000000002</v>
      </c>
      <c r="L481" s="7">
        <v>539.16</v>
      </c>
      <c r="M481" s="3" t="s">
        <v>58</v>
      </c>
      <c r="N481" s="3"/>
      <c r="O481" s="3"/>
      <c r="P481" s="3"/>
      <c r="Q481" s="3"/>
    </row>
    <row r="482" spans="1:17" ht="21" customHeight="1">
      <c r="A482" s="3" t="s">
        <v>933</v>
      </c>
      <c r="B482" s="5">
        <v>45438</v>
      </c>
      <c r="C482" s="3" t="s">
        <v>375</v>
      </c>
      <c r="D482" s="3" t="s">
        <v>47</v>
      </c>
      <c r="E482" s="3" t="s">
        <v>40</v>
      </c>
      <c r="F482" s="3" t="s">
        <v>160</v>
      </c>
      <c r="G482" s="3" t="s">
        <v>173</v>
      </c>
      <c r="H482" s="3">
        <v>1</v>
      </c>
      <c r="I482" s="7">
        <v>9063.83</v>
      </c>
      <c r="J482" s="9">
        <v>0</v>
      </c>
      <c r="K482" s="7">
        <v>9063.83</v>
      </c>
      <c r="L482" s="7">
        <v>2980.47</v>
      </c>
      <c r="M482" s="3" t="s">
        <v>57</v>
      </c>
      <c r="N482" s="3"/>
      <c r="O482" s="3"/>
      <c r="P482" s="3"/>
      <c r="Q482" s="3"/>
    </row>
    <row r="483" spans="1:17" ht="21" customHeight="1">
      <c r="A483" s="3" t="s">
        <v>934</v>
      </c>
      <c r="B483" s="5">
        <v>45439</v>
      </c>
      <c r="C483" s="3" t="s">
        <v>935</v>
      </c>
      <c r="D483" s="3" t="s">
        <v>44</v>
      </c>
      <c r="E483" s="3" t="s">
        <v>40</v>
      </c>
      <c r="F483" s="3" t="s">
        <v>160</v>
      </c>
      <c r="G483" s="3" t="s">
        <v>161</v>
      </c>
      <c r="H483" s="3">
        <v>2</v>
      </c>
      <c r="I483" s="7">
        <v>12840.55</v>
      </c>
      <c r="J483" s="9">
        <v>0.15</v>
      </c>
      <c r="K483" s="7">
        <v>21828.93</v>
      </c>
      <c r="L483" s="7">
        <v>3019.78</v>
      </c>
      <c r="M483" s="3" t="s">
        <v>56</v>
      </c>
      <c r="N483" s="3"/>
      <c r="O483" s="3"/>
      <c r="P483" s="3"/>
      <c r="Q483" s="3"/>
    </row>
    <row r="484" spans="1:17" ht="21" customHeight="1">
      <c r="A484" s="3" t="s">
        <v>936</v>
      </c>
      <c r="B484" s="5">
        <v>45439</v>
      </c>
      <c r="C484" s="3" t="s">
        <v>937</v>
      </c>
      <c r="D484" s="3" t="s">
        <v>47</v>
      </c>
      <c r="E484" s="3" t="s">
        <v>41</v>
      </c>
      <c r="F484" s="3" t="s">
        <v>113</v>
      </c>
      <c r="G484" s="3" t="s">
        <v>123</v>
      </c>
      <c r="H484" s="3">
        <v>1</v>
      </c>
      <c r="I484" s="7">
        <v>3385.06</v>
      </c>
      <c r="J484" s="9">
        <v>0.1</v>
      </c>
      <c r="K484" s="7">
        <v>3046.55</v>
      </c>
      <c r="L484" s="7">
        <v>921.25</v>
      </c>
      <c r="M484" s="3" t="s">
        <v>59</v>
      </c>
      <c r="N484" s="3"/>
      <c r="O484" s="3"/>
      <c r="P484" s="3"/>
      <c r="Q484" s="3"/>
    </row>
    <row r="485" spans="1:17" ht="21" customHeight="1">
      <c r="A485" s="3" t="s">
        <v>938</v>
      </c>
      <c r="B485" s="5">
        <v>45439</v>
      </c>
      <c r="C485" s="3" t="s">
        <v>101</v>
      </c>
      <c r="D485" s="3" t="s">
        <v>44</v>
      </c>
      <c r="E485" s="3" t="s">
        <v>39</v>
      </c>
      <c r="F485" s="3" t="s">
        <v>130</v>
      </c>
      <c r="G485" s="3" t="s">
        <v>131</v>
      </c>
      <c r="H485" s="3">
        <v>3</v>
      </c>
      <c r="I485" s="7">
        <v>2118.02</v>
      </c>
      <c r="J485" s="9">
        <v>0.25</v>
      </c>
      <c r="K485" s="7">
        <v>4765.55</v>
      </c>
      <c r="L485" s="7">
        <v>578.27</v>
      </c>
      <c r="M485" s="3" t="s">
        <v>56</v>
      </c>
      <c r="N485" s="3"/>
      <c r="O485" s="3"/>
      <c r="P485" s="3"/>
      <c r="Q485" s="3"/>
    </row>
    <row r="486" spans="1:17" ht="21" customHeight="1">
      <c r="A486" s="3" t="s">
        <v>939</v>
      </c>
      <c r="B486" s="5">
        <v>45440</v>
      </c>
      <c r="C486" s="3" t="s">
        <v>940</v>
      </c>
      <c r="D486" s="3" t="s">
        <v>45</v>
      </c>
      <c r="E486" s="3" t="s">
        <v>42</v>
      </c>
      <c r="F486" s="3" t="s">
        <v>90</v>
      </c>
      <c r="G486" s="3" t="s">
        <v>91</v>
      </c>
      <c r="H486" s="3">
        <v>1</v>
      </c>
      <c r="I486" s="7">
        <v>1152.5899999999999</v>
      </c>
      <c r="J486" s="9">
        <v>0.1</v>
      </c>
      <c r="K486" s="7">
        <v>1037.33</v>
      </c>
      <c r="L486" s="7">
        <v>455.03</v>
      </c>
      <c r="M486" s="3" t="s">
        <v>56</v>
      </c>
      <c r="N486" s="3"/>
      <c r="O486" s="3"/>
      <c r="P486" s="3"/>
      <c r="Q486" s="3"/>
    </row>
    <row r="487" spans="1:17" ht="21" customHeight="1">
      <c r="A487" s="3" t="s">
        <v>941</v>
      </c>
      <c r="B487" s="5">
        <v>45440</v>
      </c>
      <c r="C487" s="3" t="s">
        <v>148</v>
      </c>
      <c r="D487" s="3" t="s">
        <v>47</v>
      </c>
      <c r="E487" s="3" t="s">
        <v>39</v>
      </c>
      <c r="F487" s="3" t="s">
        <v>130</v>
      </c>
      <c r="G487" s="3" t="s">
        <v>193</v>
      </c>
      <c r="H487" s="3">
        <v>1</v>
      </c>
      <c r="I487" s="7">
        <v>1796.46</v>
      </c>
      <c r="J487" s="9">
        <v>0</v>
      </c>
      <c r="K487" s="7">
        <v>1796.46</v>
      </c>
      <c r="L487" s="7">
        <v>714.11</v>
      </c>
      <c r="M487" s="3" t="s">
        <v>57</v>
      </c>
      <c r="N487" s="3"/>
      <c r="O487" s="3"/>
      <c r="P487" s="3"/>
      <c r="Q487" s="3"/>
    </row>
    <row r="488" spans="1:17" ht="21" customHeight="1">
      <c r="A488" s="3" t="s">
        <v>942</v>
      </c>
      <c r="B488" s="5">
        <v>45440</v>
      </c>
      <c r="C488" s="3" t="s">
        <v>871</v>
      </c>
      <c r="D488" s="3" t="s">
        <v>44</v>
      </c>
      <c r="E488" s="3" t="s">
        <v>39</v>
      </c>
      <c r="F488" s="3" t="s">
        <v>109</v>
      </c>
      <c r="G488" s="3" t="s">
        <v>355</v>
      </c>
      <c r="H488" s="3">
        <v>2</v>
      </c>
      <c r="I488" s="7">
        <v>3654.12</v>
      </c>
      <c r="J488" s="9">
        <v>0.25</v>
      </c>
      <c r="K488" s="7">
        <v>5481.18</v>
      </c>
      <c r="L488" s="7">
        <v>546.23</v>
      </c>
      <c r="M488" s="3" t="s">
        <v>56</v>
      </c>
      <c r="N488" s="3"/>
      <c r="O488" s="3"/>
      <c r="P488" s="3"/>
      <c r="Q488" s="3"/>
    </row>
    <row r="489" spans="1:17" ht="21" customHeight="1">
      <c r="A489" s="3" t="s">
        <v>943</v>
      </c>
      <c r="B489" s="5">
        <v>45441</v>
      </c>
      <c r="C489" s="3" t="s">
        <v>944</v>
      </c>
      <c r="D489" s="3" t="s">
        <v>44</v>
      </c>
      <c r="E489" s="3" t="s">
        <v>38</v>
      </c>
      <c r="F489" s="3" t="s">
        <v>94</v>
      </c>
      <c r="G489" s="3" t="s">
        <v>213</v>
      </c>
      <c r="H489" s="3">
        <v>2</v>
      </c>
      <c r="I489" s="7">
        <v>52502</v>
      </c>
      <c r="J489" s="9">
        <v>0.25</v>
      </c>
      <c r="K489" s="7">
        <v>78753</v>
      </c>
      <c r="L489" s="7">
        <v>-6600.17</v>
      </c>
      <c r="M489" s="3" t="s">
        <v>56</v>
      </c>
      <c r="N489" s="3"/>
      <c r="O489" s="3"/>
      <c r="P489" s="3"/>
      <c r="Q489" s="3"/>
    </row>
    <row r="490" spans="1:17" ht="21" customHeight="1">
      <c r="A490" s="3" t="s">
        <v>945</v>
      </c>
      <c r="B490" s="5">
        <v>45441</v>
      </c>
      <c r="C490" s="3" t="s">
        <v>946</v>
      </c>
      <c r="D490" s="3" t="s">
        <v>47</v>
      </c>
      <c r="E490" s="3" t="s">
        <v>40</v>
      </c>
      <c r="F490" s="3" t="s">
        <v>160</v>
      </c>
      <c r="G490" s="3" t="s">
        <v>173</v>
      </c>
      <c r="H490" s="3">
        <v>5</v>
      </c>
      <c r="I490" s="7">
        <v>8574.42</v>
      </c>
      <c r="J490" s="9">
        <v>0.05</v>
      </c>
      <c r="K490" s="7">
        <v>40728.49</v>
      </c>
      <c r="L490" s="7">
        <v>12502.26</v>
      </c>
      <c r="M490" s="3" t="s">
        <v>57</v>
      </c>
      <c r="N490" s="3"/>
      <c r="O490" s="3"/>
      <c r="P490" s="3"/>
      <c r="Q490" s="3"/>
    </row>
    <row r="491" spans="1:17" ht="21" customHeight="1">
      <c r="A491" s="3" t="s">
        <v>947</v>
      </c>
      <c r="B491" s="5">
        <v>45441</v>
      </c>
      <c r="C491" s="3" t="s">
        <v>948</v>
      </c>
      <c r="D491" s="3" t="s">
        <v>46</v>
      </c>
      <c r="E491" s="3" t="s">
        <v>40</v>
      </c>
      <c r="F491" s="3" t="s">
        <v>221</v>
      </c>
      <c r="G491" s="3" t="s">
        <v>222</v>
      </c>
      <c r="H491" s="3">
        <v>2</v>
      </c>
      <c r="I491" s="7">
        <v>1021.14</v>
      </c>
      <c r="J491" s="9">
        <v>0.25</v>
      </c>
      <c r="K491" s="7">
        <v>1531.71</v>
      </c>
      <c r="L491" s="7">
        <v>39.090000000000003</v>
      </c>
      <c r="M491" s="3" t="s">
        <v>57</v>
      </c>
      <c r="N491" s="3"/>
      <c r="O491" s="3"/>
      <c r="P491" s="3"/>
      <c r="Q491" s="3"/>
    </row>
    <row r="492" spans="1:17" ht="21" customHeight="1">
      <c r="A492" s="3" t="s">
        <v>949</v>
      </c>
      <c r="B492" s="5">
        <v>45441</v>
      </c>
      <c r="C492" s="3" t="s">
        <v>950</v>
      </c>
      <c r="D492" s="3" t="s">
        <v>46</v>
      </c>
      <c r="E492" s="3" t="s">
        <v>41</v>
      </c>
      <c r="F492" s="3" t="s">
        <v>119</v>
      </c>
      <c r="G492" s="3" t="s">
        <v>168</v>
      </c>
      <c r="H492" s="3">
        <v>1</v>
      </c>
      <c r="I492" s="7">
        <v>9997.4</v>
      </c>
      <c r="J492" s="9">
        <v>0.15</v>
      </c>
      <c r="K492" s="7">
        <v>8497.7900000000009</v>
      </c>
      <c r="L492" s="7">
        <v>1675.86</v>
      </c>
      <c r="M492" s="3" t="s">
        <v>56</v>
      </c>
      <c r="N492" s="3"/>
      <c r="O492" s="3"/>
      <c r="P492" s="3"/>
      <c r="Q492" s="3"/>
    </row>
    <row r="493" spans="1:17" ht="21" customHeight="1">
      <c r="A493" s="3" t="s">
        <v>951</v>
      </c>
      <c r="B493" s="5">
        <v>45441</v>
      </c>
      <c r="C493" s="3" t="s">
        <v>952</v>
      </c>
      <c r="D493" s="3" t="s">
        <v>45</v>
      </c>
      <c r="E493" s="3" t="s">
        <v>40</v>
      </c>
      <c r="F493" s="3" t="s">
        <v>221</v>
      </c>
      <c r="G493" s="3" t="s">
        <v>222</v>
      </c>
      <c r="H493" s="3">
        <v>1</v>
      </c>
      <c r="I493" s="7">
        <v>960.47</v>
      </c>
      <c r="J493" s="9">
        <v>0.15</v>
      </c>
      <c r="K493" s="7">
        <v>816.4</v>
      </c>
      <c r="L493" s="7">
        <v>125.62</v>
      </c>
      <c r="M493" s="3" t="s">
        <v>60</v>
      </c>
      <c r="N493" s="3"/>
      <c r="O493" s="3"/>
      <c r="P493" s="3"/>
      <c r="Q493" s="3"/>
    </row>
    <row r="494" spans="1:17" ht="21" customHeight="1">
      <c r="A494" s="3" t="s">
        <v>953</v>
      </c>
      <c r="B494" s="5">
        <v>45441</v>
      </c>
      <c r="C494" s="3" t="s">
        <v>778</v>
      </c>
      <c r="D494" s="3" t="s">
        <v>45</v>
      </c>
      <c r="E494" s="3" t="s">
        <v>39</v>
      </c>
      <c r="F494" s="3" t="s">
        <v>109</v>
      </c>
      <c r="G494" s="3" t="s">
        <v>110</v>
      </c>
      <c r="H494" s="3">
        <v>1</v>
      </c>
      <c r="I494" s="7">
        <v>2959.2</v>
      </c>
      <c r="J494" s="9">
        <v>0</v>
      </c>
      <c r="K494" s="7">
        <v>2959.2</v>
      </c>
      <c r="L494" s="7">
        <v>1318.79</v>
      </c>
      <c r="M494" s="3" t="s">
        <v>56</v>
      </c>
      <c r="N494" s="3"/>
      <c r="O494" s="3"/>
      <c r="P494" s="3"/>
      <c r="Q494" s="3"/>
    </row>
    <row r="495" spans="1:17" ht="21" customHeight="1">
      <c r="A495" s="3" t="s">
        <v>954</v>
      </c>
      <c r="B495" s="5">
        <v>45441</v>
      </c>
      <c r="C495" s="3" t="s">
        <v>955</v>
      </c>
      <c r="D495" s="3" t="s">
        <v>46</v>
      </c>
      <c r="E495" s="3" t="s">
        <v>40</v>
      </c>
      <c r="F495" s="3" t="s">
        <v>160</v>
      </c>
      <c r="G495" s="3" t="s">
        <v>173</v>
      </c>
      <c r="H495" s="3">
        <v>3</v>
      </c>
      <c r="I495" s="7">
        <v>9022.24</v>
      </c>
      <c r="J495" s="9">
        <v>0</v>
      </c>
      <c r="K495" s="7">
        <v>27066.720000000001</v>
      </c>
      <c r="L495" s="7">
        <v>9313.16</v>
      </c>
      <c r="M495" s="3" t="s">
        <v>57</v>
      </c>
      <c r="N495" s="3"/>
      <c r="O495" s="3"/>
      <c r="P495" s="3"/>
      <c r="Q495" s="3"/>
    </row>
    <row r="496" spans="1:17" ht="21" customHeight="1">
      <c r="A496" s="3" t="s">
        <v>956</v>
      </c>
      <c r="B496" s="5">
        <v>45441</v>
      </c>
      <c r="C496" s="3" t="s">
        <v>957</v>
      </c>
      <c r="D496" s="3" t="s">
        <v>46</v>
      </c>
      <c r="E496" s="3" t="s">
        <v>40</v>
      </c>
      <c r="F496" s="3" t="s">
        <v>160</v>
      </c>
      <c r="G496" s="3" t="s">
        <v>161</v>
      </c>
      <c r="H496" s="3">
        <v>1</v>
      </c>
      <c r="I496" s="7">
        <v>12946.01</v>
      </c>
      <c r="J496" s="9">
        <v>0.1</v>
      </c>
      <c r="K496" s="7">
        <v>11651.41</v>
      </c>
      <c r="L496" s="7">
        <v>2363.36</v>
      </c>
      <c r="M496" s="3" t="s">
        <v>57</v>
      </c>
      <c r="N496" s="3"/>
      <c r="O496" s="3"/>
      <c r="P496" s="3"/>
      <c r="Q496" s="3"/>
    </row>
    <row r="497" spans="1:17" ht="21" customHeight="1">
      <c r="A497" s="3" t="s">
        <v>958</v>
      </c>
      <c r="B497" s="5">
        <v>45442</v>
      </c>
      <c r="C497" s="3" t="s">
        <v>959</v>
      </c>
      <c r="D497" s="3" t="s">
        <v>46</v>
      </c>
      <c r="E497" s="3" t="s">
        <v>41</v>
      </c>
      <c r="F497" s="3" t="s">
        <v>119</v>
      </c>
      <c r="G497" s="3" t="s">
        <v>168</v>
      </c>
      <c r="H497" s="3">
        <v>1</v>
      </c>
      <c r="I497" s="7">
        <v>10352.9</v>
      </c>
      <c r="J497" s="9">
        <v>0.05</v>
      </c>
      <c r="K497" s="7">
        <v>9835.25</v>
      </c>
      <c r="L497" s="7">
        <v>2805.78</v>
      </c>
      <c r="M497" s="3" t="s">
        <v>57</v>
      </c>
      <c r="N497" s="3"/>
      <c r="O497" s="3"/>
      <c r="P497" s="3"/>
      <c r="Q497" s="3"/>
    </row>
    <row r="498" spans="1:17" ht="21" customHeight="1">
      <c r="A498" s="3" t="s">
        <v>960</v>
      </c>
      <c r="B498" s="5">
        <v>45442</v>
      </c>
      <c r="C498" s="3" t="s">
        <v>212</v>
      </c>
      <c r="D498" s="3" t="s">
        <v>46</v>
      </c>
      <c r="E498" s="3" t="s">
        <v>39</v>
      </c>
      <c r="F498" s="3" t="s">
        <v>109</v>
      </c>
      <c r="G498" s="3" t="s">
        <v>355</v>
      </c>
      <c r="H498" s="3">
        <v>1</v>
      </c>
      <c r="I498" s="7">
        <v>3621.11</v>
      </c>
      <c r="J498" s="9">
        <v>0.1</v>
      </c>
      <c r="K498" s="7">
        <v>3259</v>
      </c>
      <c r="L498" s="7">
        <v>902.02</v>
      </c>
      <c r="M498" s="3" t="s">
        <v>56</v>
      </c>
      <c r="N498" s="3"/>
      <c r="O498" s="3"/>
      <c r="P498" s="3"/>
      <c r="Q498" s="3"/>
    </row>
    <row r="499" spans="1:17" ht="21" customHeight="1">
      <c r="A499" s="3" t="s">
        <v>961</v>
      </c>
      <c r="B499" s="5">
        <v>45442</v>
      </c>
      <c r="C499" s="3" t="s">
        <v>962</v>
      </c>
      <c r="D499" s="3" t="s">
        <v>46</v>
      </c>
      <c r="E499" s="3" t="s">
        <v>40</v>
      </c>
      <c r="F499" s="3" t="s">
        <v>221</v>
      </c>
      <c r="G499" s="3" t="s">
        <v>222</v>
      </c>
      <c r="H499" s="3">
        <v>1</v>
      </c>
      <c r="I499" s="7">
        <v>1015.86</v>
      </c>
      <c r="J499" s="9">
        <v>0.05</v>
      </c>
      <c r="K499" s="7">
        <v>965.07</v>
      </c>
      <c r="L499" s="7">
        <v>226.4</v>
      </c>
      <c r="M499" s="3" t="s">
        <v>56</v>
      </c>
      <c r="N499" s="3"/>
      <c r="O499" s="3"/>
      <c r="P499" s="3"/>
      <c r="Q499" s="3"/>
    </row>
    <row r="500" spans="1:17" ht="21" customHeight="1">
      <c r="A500" s="3" t="s">
        <v>963</v>
      </c>
      <c r="B500" s="5">
        <v>45443</v>
      </c>
      <c r="C500" s="3" t="s">
        <v>426</v>
      </c>
      <c r="D500" s="3" t="s">
        <v>47</v>
      </c>
      <c r="E500" s="3" t="s">
        <v>40</v>
      </c>
      <c r="F500" s="3" t="s">
        <v>160</v>
      </c>
      <c r="G500" s="3" t="s">
        <v>173</v>
      </c>
      <c r="H500" s="3">
        <v>2</v>
      </c>
      <c r="I500" s="7">
        <v>8557.75</v>
      </c>
      <c r="J500" s="9">
        <v>0.05</v>
      </c>
      <c r="K500" s="7">
        <v>16259.72</v>
      </c>
      <c r="L500" s="7">
        <v>3878.26</v>
      </c>
      <c r="M500" s="3" t="s">
        <v>59</v>
      </c>
      <c r="N500" s="3"/>
      <c r="O500" s="3"/>
      <c r="P500" s="3"/>
      <c r="Q500" s="3"/>
    </row>
    <row r="501" spans="1:17" ht="21" customHeight="1">
      <c r="A501" s="3" t="s">
        <v>964</v>
      </c>
      <c r="B501" s="5">
        <v>45443</v>
      </c>
      <c r="C501" s="3" t="s">
        <v>186</v>
      </c>
      <c r="D501" s="3" t="s">
        <v>46</v>
      </c>
      <c r="E501" s="3" t="s">
        <v>39</v>
      </c>
      <c r="F501" s="3" t="s">
        <v>130</v>
      </c>
      <c r="G501" s="3" t="s">
        <v>131</v>
      </c>
      <c r="H501" s="3">
        <v>1</v>
      </c>
      <c r="I501" s="7">
        <v>2137.02</v>
      </c>
      <c r="J501" s="9">
        <v>0</v>
      </c>
      <c r="K501" s="7">
        <v>2137.02</v>
      </c>
      <c r="L501" s="7">
        <v>940.01</v>
      </c>
      <c r="M501" s="3" t="s">
        <v>56</v>
      </c>
      <c r="N501" s="3"/>
      <c r="O501" s="3"/>
      <c r="P501" s="3"/>
      <c r="Q501" s="3"/>
    </row>
    <row r="502" spans="1:17" ht="21" customHeight="1">
      <c r="A502" s="3" t="s">
        <v>965</v>
      </c>
      <c r="B502" s="5">
        <v>45443</v>
      </c>
      <c r="C502" s="3" t="s">
        <v>611</v>
      </c>
      <c r="D502" s="3" t="s">
        <v>44</v>
      </c>
      <c r="E502" s="3" t="s">
        <v>41</v>
      </c>
      <c r="F502" s="3" t="s">
        <v>113</v>
      </c>
      <c r="G502" s="3" t="s">
        <v>123</v>
      </c>
      <c r="H502" s="3">
        <v>4</v>
      </c>
      <c r="I502" s="7">
        <v>3519.98</v>
      </c>
      <c r="J502" s="9">
        <v>0</v>
      </c>
      <c r="K502" s="7">
        <v>14079.92</v>
      </c>
      <c r="L502" s="7">
        <v>5416.82</v>
      </c>
      <c r="M502" s="3" t="s">
        <v>56</v>
      </c>
      <c r="N502" s="3"/>
      <c r="O502" s="3"/>
      <c r="P502" s="3"/>
      <c r="Q502" s="3"/>
    </row>
    <row r="503" spans="1:17" ht="21" customHeight="1">
      <c r="A503" s="3" t="s">
        <v>966</v>
      </c>
      <c r="B503" s="5">
        <v>45443</v>
      </c>
      <c r="C503" s="3" t="s">
        <v>959</v>
      </c>
      <c r="D503" s="3" t="s">
        <v>44</v>
      </c>
      <c r="E503" s="3" t="s">
        <v>40</v>
      </c>
      <c r="F503" s="3" t="s">
        <v>102</v>
      </c>
      <c r="G503" s="3" t="s">
        <v>103</v>
      </c>
      <c r="H503" s="3">
        <v>1</v>
      </c>
      <c r="I503" s="7">
        <v>6631.08</v>
      </c>
      <c r="J503" s="9">
        <v>0.05</v>
      </c>
      <c r="K503" s="7">
        <v>6299.53</v>
      </c>
      <c r="L503" s="7">
        <v>1483.19</v>
      </c>
      <c r="M503" s="3" t="s">
        <v>59</v>
      </c>
      <c r="N503" s="3"/>
      <c r="O503" s="3"/>
      <c r="P503" s="3"/>
      <c r="Q503" s="3"/>
    </row>
    <row r="504" spans="1:17" ht="21" customHeight="1">
      <c r="A504" s="3" t="s">
        <v>967</v>
      </c>
      <c r="B504" s="5">
        <v>45443</v>
      </c>
      <c r="C504" s="3" t="s">
        <v>381</v>
      </c>
      <c r="D504" s="3" t="s">
        <v>45</v>
      </c>
      <c r="E504" s="3" t="s">
        <v>41</v>
      </c>
      <c r="F504" s="3" t="s">
        <v>113</v>
      </c>
      <c r="G504" s="3" t="s">
        <v>123</v>
      </c>
      <c r="H504" s="3">
        <v>1</v>
      </c>
      <c r="I504" s="7">
        <v>3657.96</v>
      </c>
      <c r="J504" s="9">
        <v>0.15</v>
      </c>
      <c r="K504" s="7">
        <v>3109.27</v>
      </c>
      <c r="L504" s="7">
        <v>624.23</v>
      </c>
      <c r="M504" s="3" t="s">
        <v>60</v>
      </c>
      <c r="N504" s="3"/>
      <c r="O504" s="3"/>
      <c r="P504" s="3"/>
      <c r="Q504" s="3"/>
    </row>
    <row r="505" spans="1:17" ht="21" customHeight="1">
      <c r="A505" s="3" t="s">
        <v>968</v>
      </c>
      <c r="B505" s="5">
        <v>45443</v>
      </c>
      <c r="C505" s="3" t="s">
        <v>741</v>
      </c>
      <c r="D505" s="3" t="s">
        <v>45</v>
      </c>
      <c r="E505" s="3" t="s">
        <v>39</v>
      </c>
      <c r="F505" s="3" t="s">
        <v>109</v>
      </c>
      <c r="G505" s="3" t="s">
        <v>110</v>
      </c>
      <c r="H505" s="3">
        <v>3</v>
      </c>
      <c r="I505" s="7">
        <v>3051.99</v>
      </c>
      <c r="J505" s="9">
        <v>0.25</v>
      </c>
      <c r="K505" s="7">
        <v>6866.98</v>
      </c>
      <c r="L505" s="7">
        <v>1015.08</v>
      </c>
      <c r="M505" s="3" t="s">
        <v>56</v>
      </c>
      <c r="N505" s="3"/>
      <c r="O505" s="3"/>
      <c r="P505" s="3"/>
      <c r="Q505" s="3"/>
    </row>
    <row r="506" spans="1:17" ht="21" customHeight="1">
      <c r="A506" s="3" t="s">
        <v>969</v>
      </c>
      <c r="B506" s="5">
        <v>45443</v>
      </c>
      <c r="C506" s="3" t="s">
        <v>970</v>
      </c>
      <c r="D506" s="3" t="s">
        <v>44</v>
      </c>
      <c r="E506" s="3" t="s">
        <v>40</v>
      </c>
      <c r="F506" s="3" t="s">
        <v>160</v>
      </c>
      <c r="G506" s="3" t="s">
        <v>173</v>
      </c>
      <c r="H506" s="3">
        <v>1</v>
      </c>
      <c r="I506" s="7">
        <v>9032.14</v>
      </c>
      <c r="J506" s="9">
        <v>0.1</v>
      </c>
      <c r="K506" s="7">
        <v>8128.93</v>
      </c>
      <c r="L506" s="7">
        <v>2021.18</v>
      </c>
      <c r="M506" s="3" t="s">
        <v>57</v>
      </c>
      <c r="N506" s="3"/>
      <c r="O506" s="3"/>
      <c r="P506" s="3"/>
      <c r="Q506" s="3"/>
    </row>
    <row r="507" spans="1:17" ht="21" customHeight="1">
      <c r="A507" s="3" t="s">
        <v>971</v>
      </c>
      <c r="B507" s="5">
        <v>45444</v>
      </c>
      <c r="C507" s="3" t="s">
        <v>416</v>
      </c>
      <c r="D507" s="3" t="s">
        <v>47</v>
      </c>
      <c r="E507" s="3" t="s">
        <v>40</v>
      </c>
      <c r="F507" s="3" t="s">
        <v>102</v>
      </c>
      <c r="G507" s="3" t="s">
        <v>103</v>
      </c>
      <c r="H507" s="3">
        <v>3</v>
      </c>
      <c r="I507" s="7">
        <v>6368.08</v>
      </c>
      <c r="J507" s="9">
        <v>0</v>
      </c>
      <c r="K507" s="7">
        <v>19104.240000000002</v>
      </c>
      <c r="L507" s="7">
        <v>6437.27</v>
      </c>
      <c r="M507" s="3" t="s">
        <v>57</v>
      </c>
      <c r="N507" s="3"/>
      <c r="O507" s="3"/>
      <c r="P507" s="3"/>
      <c r="Q507" s="3"/>
    </row>
    <row r="508" spans="1:17" ht="21" customHeight="1">
      <c r="A508" s="3" t="s">
        <v>972</v>
      </c>
      <c r="B508" s="5">
        <v>45444</v>
      </c>
      <c r="C508" s="3" t="s">
        <v>232</v>
      </c>
      <c r="D508" s="3" t="s">
        <v>45</v>
      </c>
      <c r="E508" s="3" t="s">
        <v>40</v>
      </c>
      <c r="F508" s="3" t="s">
        <v>221</v>
      </c>
      <c r="G508" s="3" t="s">
        <v>222</v>
      </c>
      <c r="H508" s="3">
        <v>3</v>
      </c>
      <c r="I508" s="7">
        <v>964.3</v>
      </c>
      <c r="J508" s="9">
        <v>0.05</v>
      </c>
      <c r="K508" s="7">
        <v>2748.25</v>
      </c>
      <c r="L508" s="7">
        <v>801.19</v>
      </c>
      <c r="M508" s="3" t="s">
        <v>60</v>
      </c>
      <c r="N508" s="3"/>
      <c r="O508" s="3"/>
      <c r="P508" s="3"/>
      <c r="Q508" s="3"/>
    </row>
    <row r="509" spans="1:17" ht="21" customHeight="1">
      <c r="A509" s="3" t="s">
        <v>973</v>
      </c>
      <c r="B509" s="5">
        <v>45444</v>
      </c>
      <c r="C509" s="3" t="s">
        <v>974</v>
      </c>
      <c r="D509" s="3" t="s">
        <v>44</v>
      </c>
      <c r="E509" s="3" t="s">
        <v>39</v>
      </c>
      <c r="F509" s="3" t="s">
        <v>109</v>
      </c>
      <c r="G509" s="3" t="s">
        <v>355</v>
      </c>
      <c r="H509" s="3">
        <v>2</v>
      </c>
      <c r="I509" s="7">
        <v>3586.62</v>
      </c>
      <c r="J509" s="9">
        <v>0.4</v>
      </c>
      <c r="K509" s="7">
        <v>4303.9399999999996</v>
      </c>
      <c r="L509" s="7">
        <v>-257.57</v>
      </c>
      <c r="M509" s="3" t="s">
        <v>56</v>
      </c>
      <c r="N509" s="3"/>
      <c r="O509" s="3"/>
      <c r="P509" s="3"/>
      <c r="Q509" s="3"/>
    </row>
    <row r="510" spans="1:17" ht="21" customHeight="1">
      <c r="A510" s="3" t="s">
        <v>975</v>
      </c>
      <c r="B510" s="5">
        <v>45444</v>
      </c>
      <c r="C510" s="3" t="s">
        <v>976</v>
      </c>
      <c r="D510" s="3" t="s">
        <v>46</v>
      </c>
      <c r="E510" s="3" t="s">
        <v>42</v>
      </c>
      <c r="F510" s="3" t="s">
        <v>90</v>
      </c>
      <c r="G510" s="3" t="s">
        <v>106</v>
      </c>
      <c r="H510" s="3">
        <v>2</v>
      </c>
      <c r="I510" s="7">
        <v>920.11</v>
      </c>
      <c r="J510" s="9">
        <v>0.15</v>
      </c>
      <c r="K510" s="7">
        <v>1564.19</v>
      </c>
      <c r="L510" s="7">
        <v>543.88</v>
      </c>
      <c r="M510" s="3" t="s">
        <v>60</v>
      </c>
      <c r="N510" s="3"/>
      <c r="O510" s="3"/>
      <c r="P510" s="3"/>
      <c r="Q510" s="3"/>
    </row>
    <row r="511" spans="1:17" ht="21" customHeight="1">
      <c r="A511" s="3" t="s">
        <v>977</v>
      </c>
      <c r="B511" s="5">
        <v>45444</v>
      </c>
      <c r="C511" s="3" t="s">
        <v>170</v>
      </c>
      <c r="D511" s="3" t="s">
        <v>47</v>
      </c>
      <c r="E511" s="3" t="s">
        <v>40</v>
      </c>
      <c r="F511" s="3" t="s">
        <v>160</v>
      </c>
      <c r="G511" s="3" t="s">
        <v>161</v>
      </c>
      <c r="H511" s="3">
        <v>1</v>
      </c>
      <c r="I511" s="7">
        <v>13387.08</v>
      </c>
      <c r="J511" s="9">
        <v>0.15</v>
      </c>
      <c r="K511" s="7">
        <v>11379.02</v>
      </c>
      <c r="L511" s="7">
        <v>2231.91</v>
      </c>
      <c r="M511" s="3" t="s">
        <v>56</v>
      </c>
      <c r="N511" s="3"/>
      <c r="O511" s="3"/>
      <c r="P511" s="3"/>
      <c r="Q511" s="3"/>
    </row>
    <row r="512" spans="1:17" ht="21" customHeight="1">
      <c r="A512" s="3" t="s">
        <v>978</v>
      </c>
      <c r="B512" s="5">
        <v>45445</v>
      </c>
      <c r="C512" s="3" t="s">
        <v>979</v>
      </c>
      <c r="D512" s="3" t="s">
        <v>46</v>
      </c>
      <c r="E512" s="3" t="s">
        <v>42</v>
      </c>
      <c r="F512" s="3" t="s">
        <v>90</v>
      </c>
      <c r="G512" s="3" t="s">
        <v>91</v>
      </c>
      <c r="H512" s="3">
        <v>1</v>
      </c>
      <c r="I512" s="7">
        <v>1220.3900000000001</v>
      </c>
      <c r="J512" s="9">
        <v>0</v>
      </c>
      <c r="K512" s="7">
        <v>1220.3900000000001</v>
      </c>
      <c r="L512" s="7">
        <v>650.14</v>
      </c>
      <c r="M512" s="3" t="s">
        <v>57</v>
      </c>
      <c r="N512" s="3"/>
      <c r="O512" s="3"/>
      <c r="P512" s="3"/>
      <c r="Q512" s="3"/>
    </row>
    <row r="513" spans="1:17" ht="21" customHeight="1">
      <c r="A513" s="3" t="s">
        <v>980</v>
      </c>
      <c r="B513" s="5">
        <v>45445</v>
      </c>
      <c r="C513" s="3" t="s">
        <v>849</v>
      </c>
      <c r="D513" s="3" t="s">
        <v>47</v>
      </c>
      <c r="E513" s="3" t="s">
        <v>41</v>
      </c>
      <c r="F513" s="3" t="s">
        <v>119</v>
      </c>
      <c r="G513" s="3" t="s">
        <v>120</v>
      </c>
      <c r="H513" s="3">
        <v>1</v>
      </c>
      <c r="I513" s="7">
        <v>1236.2</v>
      </c>
      <c r="J513" s="9">
        <v>0</v>
      </c>
      <c r="K513" s="7">
        <v>1236.2</v>
      </c>
      <c r="L513" s="7">
        <v>472</v>
      </c>
      <c r="M513" s="3" t="s">
        <v>57</v>
      </c>
      <c r="N513" s="3"/>
      <c r="O513" s="3"/>
      <c r="P513" s="3"/>
      <c r="Q513" s="3"/>
    </row>
    <row r="514" spans="1:17" ht="21" customHeight="1">
      <c r="A514" s="3" t="s">
        <v>981</v>
      </c>
      <c r="B514" s="5">
        <v>45445</v>
      </c>
      <c r="C514" s="3" t="s">
        <v>839</v>
      </c>
      <c r="D514" s="3" t="s">
        <v>47</v>
      </c>
      <c r="E514" s="3" t="s">
        <v>39</v>
      </c>
      <c r="F514" s="3" t="s">
        <v>109</v>
      </c>
      <c r="G514" s="3" t="s">
        <v>110</v>
      </c>
      <c r="H514" s="3">
        <v>3</v>
      </c>
      <c r="I514" s="7">
        <v>3090.2</v>
      </c>
      <c r="J514" s="9">
        <v>0.15</v>
      </c>
      <c r="K514" s="7">
        <v>7880.01</v>
      </c>
      <c r="L514" s="7">
        <v>1985.19</v>
      </c>
      <c r="M514" s="3" t="s">
        <v>56</v>
      </c>
      <c r="N514" s="3"/>
      <c r="O514" s="3"/>
      <c r="P514" s="3"/>
      <c r="Q514" s="3"/>
    </row>
    <row r="515" spans="1:17" ht="21" customHeight="1">
      <c r="A515" s="3" t="s">
        <v>982</v>
      </c>
      <c r="B515" s="5">
        <v>45445</v>
      </c>
      <c r="C515" s="3" t="s">
        <v>272</v>
      </c>
      <c r="D515" s="3" t="s">
        <v>44</v>
      </c>
      <c r="E515" s="3" t="s">
        <v>41</v>
      </c>
      <c r="F515" s="3" t="s">
        <v>113</v>
      </c>
      <c r="G515" s="3" t="s">
        <v>123</v>
      </c>
      <c r="H515" s="3">
        <v>2</v>
      </c>
      <c r="I515" s="7">
        <v>3466.56</v>
      </c>
      <c r="J515" s="9">
        <v>0</v>
      </c>
      <c r="K515" s="7">
        <v>6933.12</v>
      </c>
      <c r="L515" s="7">
        <v>2768.51</v>
      </c>
      <c r="M515" s="3" t="s">
        <v>58</v>
      </c>
      <c r="N515" s="3"/>
      <c r="O515" s="3"/>
      <c r="P515" s="3"/>
      <c r="Q515" s="3"/>
    </row>
    <row r="516" spans="1:17" ht="21" customHeight="1">
      <c r="A516" s="3" t="s">
        <v>983</v>
      </c>
      <c r="B516" s="5">
        <v>45446</v>
      </c>
      <c r="C516" s="3" t="s">
        <v>307</v>
      </c>
      <c r="D516" s="3" t="s">
        <v>47</v>
      </c>
      <c r="E516" s="3" t="s">
        <v>39</v>
      </c>
      <c r="F516" s="3" t="s">
        <v>164</v>
      </c>
      <c r="G516" s="3" t="s">
        <v>200</v>
      </c>
      <c r="H516" s="3">
        <v>1</v>
      </c>
      <c r="I516" s="7">
        <v>1249.42</v>
      </c>
      <c r="J516" s="9">
        <v>0.1</v>
      </c>
      <c r="K516" s="7">
        <v>1124.48</v>
      </c>
      <c r="L516" s="7">
        <v>381.05</v>
      </c>
      <c r="M516" s="3" t="s">
        <v>59</v>
      </c>
      <c r="N516" s="3"/>
      <c r="O516" s="3"/>
      <c r="P516" s="3"/>
      <c r="Q516" s="3"/>
    </row>
    <row r="517" spans="1:17" ht="21" customHeight="1">
      <c r="A517" s="3" t="s">
        <v>984</v>
      </c>
      <c r="B517" s="5">
        <v>45446</v>
      </c>
      <c r="C517" s="3" t="s">
        <v>985</v>
      </c>
      <c r="D517" s="3" t="s">
        <v>44</v>
      </c>
      <c r="E517" s="3" t="s">
        <v>41</v>
      </c>
      <c r="F517" s="3" t="s">
        <v>113</v>
      </c>
      <c r="G517" s="3" t="s">
        <v>114</v>
      </c>
      <c r="H517" s="3">
        <v>1</v>
      </c>
      <c r="I517" s="7">
        <v>12199.54</v>
      </c>
      <c r="J517" s="9">
        <v>0.15</v>
      </c>
      <c r="K517" s="7">
        <v>10369.61</v>
      </c>
      <c r="L517" s="7">
        <v>2315.36</v>
      </c>
      <c r="M517" s="3" t="s">
        <v>56</v>
      </c>
      <c r="N517" s="3"/>
      <c r="O517" s="3"/>
      <c r="P517" s="3"/>
      <c r="Q517" s="3"/>
    </row>
    <row r="518" spans="1:17" ht="21" customHeight="1">
      <c r="A518" s="3" t="s">
        <v>986</v>
      </c>
      <c r="B518" s="5">
        <v>45446</v>
      </c>
      <c r="C518" s="3" t="s">
        <v>715</v>
      </c>
      <c r="D518" s="3" t="s">
        <v>45</v>
      </c>
      <c r="E518" s="3" t="s">
        <v>42</v>
      </c>
      <c r="F518" s="3" t="s">
        <v>126</v>
      </c>
      <c r="G518" s="3" t="s">
        <v>127</v>
      </c>
      <c r="H518" s="3">
        <v>1</v>
      </c>
      <c r="I518" s="7">
        <v>1040.04</v>
      </c>
      <c r="J518" s="9">
        <v>0</v>
      </c>
      <c r="K518" s="7">
        <v>1040.04</v>
      </c>
      <c r="L518" s="7">
        <v>593.24</v>
      </c>
      <c r="M518" s="3" t="s">
        <v>59</v>
      </c>
      <c r="N518" s="3"/>
      <c r="O518" s="3"/>
      <c r="P518" s="3"/>
      <c r="Q518" s="3"/>
    </row>
    <row r="519" spans="1:17" ht="21" customHeight="1">
      <c r="A519" s="3" t="s">
        <v>987</v>
      </c>
      <c r="B519" s="5">
        <v>45446</v>
      </c>
      <c r="C519" s="3" t="s">
        <v>855</v>
      </c>
      <c r="D519" s="3" t="s">
        <v>44</v>
      </c>
      <c r="E519" s="3" t="s">
        <v>40</v>
      </c>
      <c r="F519" s="3" t="s">
        <v>102</v>
      </c>
      <c r="G519" s="3" t="s">
        <v>146</v>
      </c>
      <c r="H519" s="3">
        <v>3</v>
      </c>
      <c r="I519" s="7">
        <v>7848.26</v>
      </c>
      <c r="J519" s="9">
        <v>0</v>
      </c>
      <c r="K519" s="7">
        <v>23544.78</v>
      </c>
      <c r="L519" s="7">
        <v>8521.25</v>
      </c>
      <c r="M519" s="3" t="s">
        <v>59</v>
      </c>
      <c r="N519" s="3"/>
      <c r="O519" s="3"/>
      <c r="P519" s="3"/>
      <c r="Q519" s="3"/>
    </row>
    <row r="520" spans="1:17" ht="21" customHeight="1">
      <c r="A520" s="3" t="s">
        <v>988</v>
      </c>
      <c r="B520" s="5">
        <v>45447</v>
      </c>
      <c r="C520" s="3" t="s">
        <v>329</v>
      </c>
      <c r="D520" s="3" t="s">
        <v>44</v>
      </c>
      <c r="E520" s="3" t="s">
        <v>42</v>
      </c>
      <c r="F520" s="3" t="s">
        <v>126</v>
      </c>
      <c r="G520" s="3" t="s">
        <v>151</v>
      </c>
      <c r="H520" s="3">
        <v>1</v>
      </c>
      <c r="I520" s="7">
        <v>1521.91</v>
      </c>
      <c r="J520" s="9">
        <v>0.05</v>
      </c>
      <c r="K520" s="7">
        <v>1445.81</v>
      </c>
      <c r="L520" s="7">
        <v>654.33000000000004</v>
      </c>
      <c r="M520" s="3" t="s">
        <v>56</v>
      </c>
      <c r="N520" s="3"/>
      <c r="O520" s="3"/>
      <c r="P520" s="3"/>
      <c r="Q520" s="3"/>
    </row>
    <row r="521" spans="1:17" ht="21" customHeight="1">
      <c r="A521" s="3" t="s">
        <v>989</v>
      </c>
      <c r="B521" s="5">
        <v>45447</v>
      </c>
      <c r="C521" s="3" t="s">
        <v>493</v>
      </c>
      <c r="D521" s="3" t="s">
        <v>45</v>
      </c>
      <c r="E521" s="3" t="s">
        <v>38</v>
      </c>
      <c r="F521" s="3" t="s">
        <v>142</v>
      </c>
      <c r="G521" s="3" t="s">
        <v>143</v>
      </c>
      <c r="H521" s="3">
        <v>2</v>
      </c>
      <c r="I521" s="7">
        <v>9225.69</v>
      </c>
      <c r="J521" s="9">
        <v>0.4</v>
      </c>
      <c r="K521" s="7">
        <v>11070.83</v>
      </c>
      <c r="L521" s="7">
        <v>-2863.26</v>
      </c>
      <c r="M521" s="3" t="s">
        <v>56</v>
      </c>
      <c r="N521" s="3"/>
      <c r="O521" s="3"/>
      <c r="P521" s="3"/>
      <c r="Q521" s="3"/>
    </row>
    <row r="522" spans="1:17" ht="21" customHeight="1">
      <c r="A522" s="3" t="s">
        <v>990</v>
      </c>
      <c r="B522" s="5">
        <v>45447</v>
      </c>
      <c r="C522" s="3" t="s">
        <v>957</v>
      </c>
      <c r="D522" s="3" t="s">
        <v>46</v>
      </c>
      <c r="E522" s="3" t="s">
        <v>40</v>
      </c>
      <c r="F522" s="3" t="s">
        <v>102</v>
      </c>
      <c r="G522" s="3" t="s">
        <v>146</v>
      </c>
      <c r="H522" s="3">
        <v>2</v>
      </c>
      <c r="I522" s="7">
        <v>7732.44</v>
      </c>
      <c r="J522" s="9">
        <v>0.4</v>
      </c>
      <c r="K522" s="7">
        <v>9278.93</v>
      </c>
      <c r="L522" s="7">
        <v>-1459.58</v>
      </c>
      <c r="M522" s="3" t="s">
        <v>57</v>
      </c>
      <c r="N522" s="3"/>
      <c r="O522" s="3"/>
      <c r="P522" s="3"/>
      <c r="Q522" s="3"/>
    </row>
    <row r="523" spans="1:17" ht="21" customHeight="1">
      <c r="A523" s="3" t="s">
        <v>991</v>
      </c>
      <c r="B523" s="5">
        <v>45447</v>
      </c>
      <c r="C523" s="3" t="s">
        <v>992</v>
      </c>
      <c r="D523" s="3" t="s">
        <v>44</v>
      </c>
      <c r="E523" s="3" t="s">
        <v>42</v>
      </c>
      <c r="F523" s="3" t="s">
        <v>90</v>
      </c>
      <c r="G523" s="3" t="s">
        <v>106</v>
      </c>
      <c r="H523" s="3">
        <v>4</v>
      </c>
      <c r="I523" s="7">
        <v>912.4</v>
      </c>
      <c r="J523" s="9">
        <v>0.05</v>
      </c>
      <c r="K523" s="7">
        <v>3467.12</v>
      </c>
      <c r="L523" s="7">
        <v>1751.46</v>
      </c>
      <c r="M523" s="3" t="s">
        <v>56</v>
      </c>
      <c r="N523" s="3"/>
      <c r="O523" s="3"/>
      <c r="P523" s="3"/>
      <c r="Q523" s="3"/>
    </row>
    <row r="524" spans="1:17" ht="21" customHeight="1">
      <c r="A524" s="3" t="s">
        <v>993</v>
      </c>
      <c r="B524" s="5">
        <v>45448</v>
      </c>
      <c r="C524" s="3" t="s">
        <v>726</v>
      </c>
      <c r="D524" s="3" t="s">
        <v>46</v>
      </c>
      <c r="E524" s="3" t="s">
        <v>41</v>
      </c>
      <c r="F524" s="3" t="s">
        <v>119</v>
      </c>
      <c r="G524" s="3" t="s">
        <v>120</v>
      </c>
      <c r="H524" s="3">
        <v>2</v>
      </c>
      <c r="I524" s="7">
        <v>1322.12</v>
      </c>
      <c r="J524" s="9">
        <v>0.1</v>
      </c>
      <c r="K524" s="7">
        <v>2379.8200000000002</v>
      </c>
      <c r="L524" s="7">
        <v>701.61</v>
      </c>
      <c r="M524" s="3" t="s">
        <v>56</v>
      </c>
      <c r="N524" s="3"/>
      <c r="O524" s="3"/>
      <c r="P524" s="3"/>
      <c r="Q524" s="3"/>
    </row>
    <row r="525" spans="1:17" ht="21" customHeight="1">
      <c r="A525" s="3" t="s">
        <v>994</v>
      </c>
      <c r="B525" s="5">
        <v>45448</v>
      </c>
      <c r="C525" s="3" t="s">
        <v>377</v>
      </c>
      <c r="D525" s="3" t="s">
        <v>45</v>
      </c>
      <c r="E525" s="3" t="s">
        <v>38</v>
      </c>
      <c r="F525" s="3" t="s">
        <v>98</v>
      </c>
      <c r="G525" s="3" t="s">
        <v>182</v>
      </c>
      <c r="H525" s="3">
        <v>1</v>
      </c>
      <c r="I525" s="7">
        <v>71245.73</v>
      </c>
      <c r="J525" s="9">
        <v>0</v>
      </c>
      <c r="K525" s="7">
        <v>71245.73</v>
      </c>
      <c r="L525" s="7">
        <v>15514.88</v>
      </c>
      <c r="M525" s="3" t="s">
        <v>57</v>
      </c>
      <c r="N525" s="3"/>
      <c r="O525" s="3"/>
      <c r="P525" s="3"/>
      <c r="Q525" s="3"/>
    </row>
    <row r="526" spans="1:17" ht="21" customHeight="1">
      <c r="A526" s="3" t="s">
        <v>995</v>
      </c>
      <c r="B526" s="5">
        <v>45448</v>
      </c>
      <c r="C526" s="3" t="s">
        <v>244</v>
      </c>
      <c r="D526" s="3" t="s">
        <v>44</v>
      </c>
      <c r="E526" s="3" t="s">
        <v>38</v>
      </c>
      <c r="F526" s="3" t="s">
        <v>142</v>
      </c>
      <c r="G526" s="3" t="s">
        <v>245</v>
      </c>
      <c r="H526" s="3">
        <v>1</v>
      </c>
      <c r="I526" s="7">
        <v>5096.4399999999996</v>
      </c>
      <c r="J526" s="9">
        <v>0.2</v>
      </c>
      <c r="K526" s="7">
        <v>4077.15</v>
      </c>
      <c r="L526" s="7">
        <v>-277.85000000000002</v>
      </c>
      <c r="M526" s="3" t="s">
        <v>57</v>
      </c>
      <c r="N526" s="3"/>
      <c r="O526" s="3"/>
      <c r="P526" s="3"/>
      <c r="Q526" s="3"/>
    </row>
    <row r="527" spans="1:17" ht="21" customHeight="1">
      <c r="A527" s="3" t="s">
        <v>996</v>
      </c>
      <c r="B527" s="5">
        <v>45448</v>
      </c>
      <c r="C527" s="3" t="s">
        <v>997</v>
      </c>
      <c r="D527" s="3" t="s">
        <v>47</v>
      </c>
      <c r="E527" s="3" t="s">
        <v>41</v>
      </c>
      <c r="F527" s="3" t="s">
        <v>113</v>
      </c>
      <c r="G527" s="3" t="s">
        <v>123</v>
      </c>
      <c r="H527" s="3">
        <v>1</v>
      </c>
      <c r="I527" s="7">
        <v>3369.9</v>
      </c>
      <c r="J527" s="9">
        <v>0.15</v>
      </c>
      <c r="K527" s="7">
        <v>2864.41</v>
      </c>
      <c r="L527" s="7">
        <v>527.87</v>
      </c>
      <c r="M527" s="3" t="s">
        <v>56</v>
      </c>
      <c r="N527" s="3"/>
      <c r="O527" s="3"/>
      <c r="P527" s="3"/>
      <c r="Q527" s="3"/>
    </row>
    <row r="528" spans="1:17" ht="21" customHeight="1">
      <c r="A528" s="3" t="s">
        <v>998</v>
      </c>
      <c r="B528" s="5">
        <v>45449</v>
      </c>
      <c r="C528" s="3" t="s">
        <v>999</v>
      </c>
      <c r="D528" s="3" t="s">
        <v>45</v>
      </c>
      <c r="E528" s="3" t="s">
        <v>39</v>
      </c>
      <c r="F528" s="3" t="s">
        <v>130</v>
      </c>
      <c r="G528" s="3" t="s">
        <v>193</v>
      </c>
      <c r="H528" s="3">
        <v>2</v>
      </c>
      <c r="I528" s="7">
        <v>1887.56</v>
      </c>
      <c r="J528" s="9">
        <v>0</v>
      </c>
      <c r="K528" s="7">
        <v>3775.12</v>
      </c>
      <c r="L528" s="7">
        <v>1710.26</v>
      </c>
      <c r="M528" s="3" t="s">
        <v>56</v>
      </c>
      <c r="N528" s="3"/>
      <c r="O528" s="3"/>
      <c r="P528" s="3"/>
      <c r="Q528" s="3"/>
    </row>
    <row r="529" spans="1:17" ht="21" customHeight="1">
      <c r="A529" s="3" t="s">
        <v>1000</v>
      </c>
      <c r="B529" s="5">
        <v>45449</v>
      </c>
      <c r="C529" s="3" t="s">
        <v>754</v>
      </c>
      <c r="D529" s="3" t="s">
        <v>46</v>
      </c>
      <c r="E529" s="3" t="s">
        <v>39</v>
      </c>
      <c r="F529" s="3" t="s">
        <v>164</v>
      </c>
      <c r="G529" s="3" t="s">
        <v>200</v>
      </c>
      <c r="H529" s="3">
        <v>1</v>
      </c>
      <c r="I529" s="7">
        <v>1354.97</v>
      </c>
      <c r="J529" s="9">
        <v>0.1</v>
      </c>
      <c r="K529" s="7">
        <v>1219.47</v>
      </c>
      <c r="L529" s="7">
        <v>420.42</v>
      </c>
      <c r="M529" s="3" t="s">
        <v>56</v>
      </c>
      <c r="N529" s="3"/>
      <c r="O529" s="3"/>
      <c r="P529" s="3"/>
      <c r="Q529" s="3"/>
    </row>
    <row r="530" spans="1:17" ht="21" customHeight="1">
      <c r="A530" s="3" t="s">
        <v>1001</v>
      </c>
      <c r="B530" s="5">
        <v>45449</v>
      </c>
      <c r="C530" s="3" t="s">
        <v>992</v>
      </c>
      <c r="D530" s="3" t="s">
        <v>44</v>
      </c>
      <c r="E530" s="3" t="s">
        <v>39</v>
      </c>
      <c r="F530" s="3" t="s">
        <v>164</v>
      </c>
      <c r="G530" s="3" t="s">
        <v>165</v>
      </c>
      <c r="H530" s="3">
        <v>2</v>
      </c>
      <c r="I530" s="7">
        <v>1923.87</v>
      </c>
      <c r="J530" s="9">
        <v>0</v>
      </c>
      <c r="K530" s="7">
        <v>3847.74</v>
      </c>
      <c r="L530" s="7">
        <v>1690.37</v>
      </c>
      <c r="M530" s="3" t="s">
        <v>57</v>
      </c>
      <c r="N530" s="3"/>
      <c r="O530" s="3"/>
      <c r="P530" s="3"/>
      <c r="Q530" s="3"/>
    </row>
    <row r="531" spans="1:17" ht="21" customHeight="1">
      <c r="A531" s="3" t="s">
        <v>1002</v>
      </c>
      <c r="B531" s="5">
        <v>45449</v>
      </c>
      <c r="C531" s="3" t="s">
        <v>238</v>
      </c>
      <c r="D531" s="3" t="s">
        <v>46</v>
      </c>
      <c r="E531" s="3" t="s">
        <v>39</v>
      </c>
      <c r="F531" s="3" t="s">
        <v>130</v>
      </c>
      <c r="G531" s="3" t="s">
        <v>193</v>
      </c>
      <c r="H531" s="3">
        <v>1</v>
      </c>
      <c r="I531" s="7">
        <v>1869.68</v>
      </c>
      <c r="J531" s="9">
        <v>0.1</v>
      </c>
      <c r="K531" s="7">
        <v>1682.71</v>
      </c>
      <c r="L531" s="7">
        <v>460.53</v>
      </c>
      <c r="M531" s="3" t="s">
        <v>56</v>
      </c>
      <c r="N531" s="3"/>
      <c r="O531" s="3"/>
      <c r="P531" s="3"/>
      <c r="Q531" s="3"/>
    </row>
    <row r="532" spans="1:17" ht="21" customHeight="1">
      <c r="A532" s="3" t="s">
        <v>1003</v>
      </c>
      <c r="B532" s="5">
        <v>45449</v>
      </c>
      <c r="C532" s="3" t="s">
        <v>1004</v>
      </c>
      <c r="D532" s="3" t="s">
        <v>47</v>
      </c>
      <c r="E532" s="3" t="s">
        <v>42</v>
      </c>
      <c r="F532" s="3" t="s">
        <v>90</v>
      </c>
      <c r="G532" s="3" t="s">
        <v>106</v>
      </c>
      <c r="H532" s="3">
        <v>2</v>
      </c>
      <c r="I532" s="7">
        <v>943.69</v>
      </c>
      <c r="J532" s="9">
        <v>0</v>
      </c>
      <c r="K532" s="7">
        <v>1887.38</v>
      </c>
      <c r="L532" s="7">
        <v>1014.82</v>
      </c>
      <c r="M532" s="3" t="s">
        <v>59</v>
      </c>
      <c r="N532" s="3"/>
      <c r="O532" s="3"/>
      <c r="P532" s="3"/>
      <c r="Q532" s="3"/>
    </row>
    <row r="533" spans="1:17" ht="21" customHeight="1">
      <c r="A533" s="3" t="s">
        <v>1005</v>
      </c>
      <c r="B533" s="5">
        <v>45449</v>
      </c>
      <c r="C533" s="3" t="s">
        <v>1006</v>
      </c>
      <c r="D533" s="3" t="s">
        <v>44</v>
      </c>
      <c r="E533" s="3" t="s">
        <v>41</v>
      </c>
      <c r="F533" s="3" t="s">
        <v>119</v>
      </c>
      <c r="G533" s="3" t="s">
        <v>168</v>
      </c>
      <c r="H533" s="3">
        <v>1</v>
      </c>
      <c r="I533" s="7">
        <v>9973.17</v>
      </c>
      <c r="J533" s="9">
        <v>0.25</v>
      </c>
      <c r="K533" s="7">
        <v>7479.88</v>
      </c>
      <c r="L533" s="7">
        <v>868.29</v>
      </c>
      <c r="M533" s="3" t="s">
        <v>56</v>
      </c>
      <c r="N533" s="3"/>
      <c r="O533" s="3"/>
      <c r="P533" s="3"/>
      <c r="Q533" s="3"/>
    </row>
    <row r="534" spans="1:17" ht="21" customHeight="1">
      <c r="A534" s="3" t="s">
        <v>1007</v>
      </c>
      <c r="B534" s="5">
        <v>45449</v>
      </c>
      <c r="C534" s="3" t="s">
        <v>303</v>
      </c>
      <c r="D534" s="3" t="s">
        <v>45</v>
      </c>
      <c r="E534" s="3" t="s">
        <v>41</v>
      </c>
      <c r="F534" s="3" t="s">
        <v>119</v>
      </c>
      <c r="G534" s="3" t="s">
        <v>120</v>
      </c>
      <c r="H534" s="3">
        <v>1</v>
      </c>
      <c r="I534" s="7">
        <v>1332.44</v>
      </c>
      <c r="J534" s="9">
        <v>0.05</v>
      </c>
      <c r="K534" s="7">
        <v>1265.82</v>
      </c>
      <c r="L534" s="7">
        <v>428.59</v>
      </c>
      <c r="M534" s="3" t="s">
        <v>57</v>
      </c>
      <c r="N534" s="3"/>
      <c r="O534" s="3"/>
      <c r="P534" s="3"/>
      <c r="Q534" s="3"/>
    </row>
    <row r="535" spans="1:17" ht="21" customHeight="1">
      <c r="A535" s="3" t="s">
        <v>1008</v>
      </c>
      <c r="B535" s="5">
        <v>45449</v>
      </c>
      <c r="C535" s="3" t="s">
        <v>899</v>
      </c>
      <c r="D535" s="3" t="s">
        <v>46</v>
      </c>
      <c r="E535" s="3" t="s">
        <v>42</v>
      </c>
      <c r="F535" s="3" t="s">
        <v>126</v>
      </c>
      <c r="G535" s="3" t="s">
        <v>151</v>
      </c>
      <c r="H535" s="3">
        <v>1</v>
      </c>
      <c r="I535" s="7">
        <v>1460.24</v>
      </c>
      <c r="J535" s="9">
        <v>0.1</v>
      </c>
      <c r="K535" s="7">
        <v>1314.22</v>
      </c>
      <c r="L535" s="7">
        <v>519.51</v>
      </c>
      <c r="M535" s="3" t="s">
        <v>59</v>
      </c>
      <c r="N535" s="3"/>
      <c r="O535" s="3"/>
      <c r="P535" s="3"/>
      <c r="Q535" s="3"/>
    </row>
    <row r="536" spans="1:17" ht="21" customHeight="1">
      <c r="A536" s="3" t="s">
        <v>1009</v>
      </c>
      <c r="B536" s="5">
        <v>45449</v>
      </c>
      <c r="C536" s="3" t="s">
        <v>1010</v>
      </c>
      <c r="D536" s="3" t="s">
        <v>44</v>
      </c>
      <c r="E536" s="3" t="s">
        <v>40</v>
      </c>
      <c r="F536" s="3" t="s">
        <v>102</v>
      </c>
      <c r="G536" s="3" t="s">
        <v>146</v>
      </c>
      <c r="H536" s="3">
        <v>2</v>
      </c>
      <c r="I536" s="7">
        <v>7709.52</v>
      </c>
      <c r="J536" s="9">
        <v>0.25</v>
      </c>
      <c r="K536" s="7">
        <v>11564.28</v>
      </c>
      <c r="L536" s="7">
        <v>295.64</v>
      </c>
      <c r="M536" s="3" t="s">
        <v>56</v>
      </c>
      <c r="N536" s="3"/>
      <c r="O536" s="3"/>
      <c r="P536" s="3"/>
      <c r="Q536" s="3"/>
    </row>
    <row r="537" spans="1:17" ht="21" customHeight="1">
      <c r="A537" s="3" t="s">
        <v>1011</v>
      </c>
      <c r="B537" s="5">
        <v>45450</v>
      </c>
      <c r="C537" s="3" t="s">
        <v>891</v>
      </c>
      <c r="D537" s="3" t="s">
        <v>47</v>
      </c>
      <c r="E537" s="3" t="s">
        <v>42</v>
      </c>
      <c r="F537" s="3" t="s">
        <v>90</v>
      </c>
      <c r="G537" s="3" t="s">
        <v>91</v>
      </c>
      <c r="H537" s="3">
        <v>1</v>
      </c>
      <c r="I537" s="7">
        <v>1170.73</v>
      </c>
      <c r="J537" s="9">
        <v>0</v>
      </c>
      <c r="K537" s="7">
        <v>1170.73</v>
      </c>
      <c r="L537" s="7">
        <v>612.14</v>
      </c>
      <c r="M537" s="3" t="s">
        <v>56</v>
      </c>
      <c r="N537" s="3"/>
      <c r="O537" s="3"/>
      <c r="P537" s="3"/>
      <c r="Q537" s="3"/>
    </row>
    <row r="538" spans="1:17" ht="21" customHeight="1">
      <c r="A538" s="3" t="s">
        <v>1012</v>
      </c>
      <c r="B538" s="5">
        <v>45450</v>
      </c>
      <c r="C538" s="3" t="s">
        <v>1013</v>
      </c>
      <c r="D538" s="3" t="s">
        <v>46</v>
      </c>
      <c r="E538" s="3" t="s">
        <v>38</v>
      </c>
      <c r="F538" s="3" t="s">
        <v>98</v>
      </c>
      <c r="G538" s="3" t="s">
        <v>362</v>
      </c>
      <c r="H538" s="3">
        <v>2</v>
      </c>
      <c r="I538" s="7">
        <v>32151.22</v>
      </c>
      <c r="J538" s="9">
        <v>0.05</v>
      </c>
      <c r="K538" s="7">
        <v>61087.32</v>
      </c>
      <c r="L538" s="7">
        <v>9774.39</v>
      </c>
      <c r="M538" s="3" t="s">
        <v>57</v>
      </c>
      <c r="N538" s="3"/>
      <c r="O538" s="3"/>
      <c r="P538" s="3"/>
      <c r="Q538" s="3"/>
    </row>
    <row r="539" spans="1:17" ht="21" customHeight="1">
      <c r="A539" s="3" t="s">
        <v>1014</v>
      </c>
      <c r="B539" s="5">
        <v>45450</v>
      </c>
      <c r="C539" s="3" t="s">
        <v>974</v>
      </c>
      <c r="D539" s="3" t="s">
        <v>47</v>
      </c>
      <c r="E539" s="3" t="s">
        <v>42</v>
      </c>
      <c r="F539" s="3" t="s">
        <v>90</v>
      </c>
      <c r="G539" s="3" t="s">
        <v>106</v>
      </c>
      <c r="H539" s="3">
        <v>1</v>
      </c>
      <c r="I539" s="7">
        <v>941.01</v>
      </c>
      <c r="J539" s="9">
        <v>0.1</v>
      </c>
      <c r="K539" s="7">
        <v>846.91</v>
      </c>
      <c r="L539" s="7">
        <v>343.77</v>
      </c>
      <c r="M539" s="3" t="s">
        <v>57</v>
      </c>
      <c r="N539" s="3"/>
      <c r="O539" s="3"/>
      <c r="P539" s="3"/>
      <c r="Q539" s="3"/>
    </row>
    <row r="540" spans="1:17" ht="21" customHeight="1">
      <c r="A540" s="3" t="s">
        <v>1015</v>
      </c>
      <c r="B540" s="5">
        <v>45450</v>
      </c>
      <c r="C540" s="3" t="s">
        <v>1016</v>
      </c>
      <c r="D540" s="3" t="s">
        <v>45</v>
      </c>
      <c r="E540" s="3" t="s">
        <v>39</v>
      </c>
      <c r="F540" s="3" t="s">
        <v>164</v>
      </c>
      <c r="G540" s="3" t="s">
        <v>200</v>
      </c>
      <c r="H540" s="3">
        <v>1</v>
      </c>
      <c r="I540" s="7">
        <v>1302.95</v>
      </c>
      <c r="J540" s="9">
        <v>0.05</v>
      </c>
      <c r="K540" s="7">
        <v>1237.8</v>
      </c>
      <c r="L540" s="7">
        <v>409.38</v>
      </c>
      <c r="M540" s="3" t="s">
        <v>57</v>
      </c>
      <c r="N540" s="3"/>
      <c r="O540" s="3"/>
      <c r="P540" s="3"/>
      <c r="Q540" s="3"/>
    </row>
    <row r="541" spans="1:17" ht="21" customHeight="1">
      <c r="A541" s="3" t="s">
        <v>1017</v>
      </c>
      <c r="B541" s="5">
        <v>45451</v>
      </c>
      <c r="C541" s="3" t="s">
        <v>737</v>
      </c>
      <c r="D541" s="3" t="s">
        <v>47</v>
      </c>
      <c r="E541" s="3" t="s">
        <v>42</v>
      </c>
      <c r="F541" s="3" t="s">
        <v>126</v>
      </c>
      <c r="G541" s="3" t="s">
        <v>127</v>
      </c>
      <c r="H541" s="3">
        <v>2</v>
      </c>
      <c r="I541" s="7">
        <v>1042.1300000000001</v>
      </c>
      <c r="J541" s="9">
        <v>0.1</v>
      </c>
      <c r="K541" s="7">
        <v>1875.83</v>
      </c>
      <c r="L541" s="7">
        <v>756.5</v>
      </c>
      <c r="M541" s="3" t="s">
        <v>56</v>
      </c>
      <c r="N541" s="3"/>
      <c r="O541" s="3"/>
      <c r="P541" s="3"/>
      <c r="Q541" s="3"/>
    </row>
    <row r="542" spans="1:17" ht="21" customHeight="1">
      <c r="A542" s="3" t="s">
        <v>1018</v>
      </c>
      <c r="B542" s="5">
        <v>45451</v>
      </c>
      <c r="C542" s="3" t="s">
        <v>1019</v>
      </c>
      <c r="D542" s="3" t="s">
        <v>46</v>
      </c>
      <c r="E542" s="3" t="s">
        <v>40</v>
      </c>
      <c r="F542" s="3" t="s">
        <v>221</v>
      </c>
      <c r="G542" s="3" t="s">
        <v>222</v>
      </c>
      <c r="H542" s="3">
        <v>1</v>
      </c>
      <c r="I542" s="7">
        <v>956.51</v>
      </c>
      <c r="J542" s="9">
        <v>0</v>
      </c>
      <c r="K542" s="7">
        <v>956.51</v>
      </c>
      <c r="L542" s="7">
        <v>292.89999999999998</v>
      </c>
      <c r="M542" s="3" t="s">
        <v>57</v>
      </c>
      <c r="N542" s="3"/>
      <c r="O542" s="3"/>
      <c r="P542" s="3"/>
      <c r="Q542" s="3"/>
    </row>
    <row r="543" spans="1:17" ht="21" customHeight="1">
      <c r="A543" s="3" t="s">
        <v>1020</v>
      </c>
      <c r="B543" s="5">
        <v>45451</v>
      </c>
      <c r="C543" s="3" t="s">
        <v>616</v>
      </c>
      <c r="D543" s="3" t="s">
        <v>47</v>
      </c>
      <c r="E543" s="3" t="s">
        <v>40</v>
      </c>
      <c r="F543" s="3" t="s">
        <v>221</v>
      </c>
      <c r="G543" s="3" t="s">
        <v>279</v>
      </c>
      <c r="H543" s="3">
        <v>1</v>
      </c>
      <c r="I543" s="7">
        <v>1448.42</v>
      </c>
      <c r="J543" s="9">
        <v>0.1</v>
      </c>
      <c r="K543" s="7">
        <v>1303.58</v>
      </c>
      <c r="L543" s="7">
        <v>259.58</v>
      </c>
      <c r="M543" s="3" t="s">
        <v>56</v>
      </c>
      <c r="N543" s="3"/>
      <c r="O543" s="3"/>
      <c r="P543" s="3"/>
      <c r="Q543" s="3"/>
    </row>
    <row r="544" spans="1:17" ht="21" customHeight="1">
      <c r="A544" s="3" t="s">
        <v>1021</v>
      </c>
      <c r="B544" s="5">
        <v>45451</v>
      </c>
      <c r="C544" s="3" t="s">
        <v>1022</v>
      </c>
      <c r="D544" s="3" t="s">
        <v>45</v>
      </c>
      <c r="E544" s="3" t="s">
        <v>42</v>
      </c>
      <c r="F544" s="3" t="s">
        <v>90</v>
      </c>
      <c r="G544" s="3" t="s">
        <v>106</v>
      </c>
      <c r="H544" s="3">
        <v>1</v>
      </c>
      <c r="I544" s="7">
        <v>894.39</v>
      </c>
      <c r="J544" s="9">
        <v>0</v>
      </c>
      <c r="K544" s="7">
        <v>894.39</v>
      </c>
      <c r="L544" s="7">
        <v>459.46</v>
      </c>
      <c r="M544" s="3" t="s">
        <v>60</v>
      </c>
      <c r="N544" s="3"/>
      <c r="O544" s="3"/>
      <c r="P544" s="3"/>
      <c r="Q544" s="3"/>
    </row>
    <row r="545" spans="1:17" ht="21" customHeight="1">
      <c r="A545" s="3" t="s">
        <v>1023</v>
      </c>
      <c r="B545" s="5">
        <v>45451</v>
      </c>
      <c r="C545" s="3" t="s">
        <v>283</v>
      </c>
      <c r="D545" s="3" t="s">
        <v>45</v>
      </c>
      <c r="E545" s="3" t="s">
        <v>39</v>
      </c>
      <c r="F545" s="3" t="s">
        <v>164</v>
      </c>
      <c r="G545" s="3" t="s">
        <v>165</v>
      </c>
      <c r="H545" s="3">
        <v>2</v>
      </c>
      <c r="I545" s="7">
        <v>2010.21</v>
      </c>
      <c r="J545" s="9">
        <v>0</v>
      </c>
      <c r="K545" s="7">
        <v>4020.42</v>
      </c>
      <c r="L545" s="7">
        <v>1619.07</v>
      </c>
      <c r="M545" s="3" t="s">
        <v>57</v>
      </c>
      <c r="N545" s="3"/>
      <c r="O545" s="3"/>
      <c r="P545" s="3"/>
      <c r="Q545" s="3"/>
    </row>
    <row r="546" spans="1:17" ht="21" customHeight="1">
      <c r="A546" s="3" t="s">
        <v>1024</v>
      </c>
      <c r="B546" s="5">
        <v>45452</v>
      </c>
      <c r="C546" s="3" t="s">
        <v>1025</v>
      </c>
      <c r="D546" s="3" t="s">
        <v>47</v>
      </c>
      <c r="E546" s="3" t="s">
        <v>38</v>
      </c>
      <c r="F546" s="3" t="s">
        <v>94</v>
      </c>
      <c r="G546" s="3" t="s">
        <v>95</v>
      </c>
      <c r="H546" s="3">
        <v>2</v>
      </c>
      <c r="I546" s="7">
        <v>82369.820000000007</v>
      </c>
      <c r="J546" s="9">
        <v>0</v>
      </c>
      <c r="K546" s="7">
        <v>164739.64000000001</v>
      </c>
      <c r="L546" s="7">
        <v>28090.26</v>
      </c>
      <c r="M546" s="3" t="s">
        <v>56</v>
      </c>
      <c r="N546" s="3"/>
      <c r="O546" s="3"/>
      <c r="P546" s="3"/>
      <c r="Q546" s="3"/>
    </row>
    <row r="547" spans="1:17" ht="21" customHeight="1">
      <c r="A547" s="3" t="s">
        <v>1026</v>
      </c>
      <c r="B547" s="5">
        <v>45452</v>
      </c>
      <c r="C547" s="3" t="s">
        <v>105</v>
      </c>
      <c r="D547" s="3" t="s">
        <v>46</v>
      </c>
      <c r="E547" s="3" t="s">
        <v>41</v>
      </c>
      <c r="F547" s="3" t="s">
        <v>113</v>
      </c>
      <c r="G547" s="3" t="s">
        <v>114</v>
      </c>
      <c r="H547" s="3">
        <v>2</v>
      </c>
      <c r="I547" s="7">
        <v>12501.94</v>
      </c>
      <c r="J547" s="9">
        <v>0.2</v>
      </c>
      <c r="K547" s="7">
        <v>20003.099999999999</v>
      </c>
      <c r="L547" s="7">
        <v>3003.46</v>
      </c>
      <c r="M547" s="3" t="s">
        <v>57</v>
      </c>
      <c r="N547" s="3"/>
      <c r="O547" s="3"/>
      <c r="P547" s="3"/>
      <c r="Q547" s="3"/>
    </row>
    <row r="548" spans="1:17" ht="21" customHeight="1">
      <c r="A548" s="3" t="s">
        <v>1027</v>
      </c>
      <c r="B548" s="5">
        <v>45452</v>
      </c>
      <c r="C548" s="3" t="s">
        <v>1028</v>
      </c>
      <c r="D548" s="3" t="s">
        <v>47</v>
      </c>
      <c r="E548" s="3" t="s">
        <v>38</v>
      </c>
      <c r="F548" s="3" t="s">
        <v>98</v>
      </c>
      <c r="G548" s="3" t="s">
        <v>182</v>
      </c>
      <c r="H548" s="3">
        <v>1</v>
      </c>
      <c r="I548" s="7">
        <v>66804.31</v>
      </c>
      <c r="J548" s="9">
        <v>0.2</v>
      </c>
      <c r="K548" s="7">
        <v>53443.45</v>
      </c>
      <c r="L548" s="7">
        <v>-2356.23</v>
      </c>
      <c r="M548" s="3" t="s">
        <v>56</v>
      </c>
      <c r="N548" s="3"/>
      <c r="O548" s="3"/>
      <c r="P548" s="3"/>
      <c r="Q548" s="3"/>
    </row>
    <row r="549" spans="1:17" ht="21" customHeight="1">
      <c r="A549" s="3" t="s">
        <v>1029</v>
      </c>
      <c r="B549" s="5">
        <v>45452</v>
      </c>
      <c r="C549" s="3" t="s">
        <v>743</v>
      </c>
      <c r="D549" s="3" t="s">
        <v>45</v>
      </c>
      <c r="E549" s="3" t="s">
        <v>41</v>
      </c>
      <c r="F549" s="3" t="s">
        <v>119</v>
      </c>
      <c r="G549" s="3" t="s">
        <v>120</v>
      </c>
      <c r="H549" s="3">
        <v>1</v>
      </c>
      <c r="I549" s="7">
        <v>1356.29</v>
      </c>
      <c r="J549" s="9">
        <v>0</v>
      </c>
      <c r="K549" s="7">
        <v>1356.29</v>
      </c>
      <c r="L549" s="7">
        <v>549.39</v>
      </c>
      <c r="M549" s="3" t="s">
        <v>56</v>
      </c>
      <c r="N549" s="3"/>
      <c r="O549" s="3"/>
      <c r="P549" s="3"/>
      <c r="Q549" s="3"/>
    </row>
    <row r="550" spans="1:17" ht="21" customHeight="1">
      <c r="A550" s="3" t="s">
        <v>1030</v>
      </c>
      <c r="B550" s="5">
        <v>45452</v>
      </c>
      <c r="C550" s="3" t="s">
        <v>1031</v>
      </c>
      <c r="D550" s="3" t="s">
        <v>44</v>
      </c>
      <c r="E550" s="3" t="s">
        <v>40</v>
      </c>
      <c r="F550" s="3" t="s">
        <v>160</v>
      </c>
      <c r="G550" s="3" t="s">
        <v>173</v>
      </c>
      <c r="H550" s="3">
        <v>3</v>
      </c>
      <c r="I550" s="7">
        <v>9372.77</v>
      </c>
      <c r="J550" s="9">
        <v>0.05</v>
      </c>
      <c r="K550" s="7">
        <v>26712.39</v>
      </c>
      <c r="L550" s="7">
        <v>6391.33</v>
      </c>
      <c r="M550" s="3" t="s">
        <v>57</v>
      </c>
      <c r="N550" s="3"/>
      <c r="O550" s="3"/>
      <c r="P550" s="3"/>
      <c r="Q550" s="3"/>
    </row>
    <row r="551" spans="1:17" ht="21" customHeight="1">
      <c r="A551" s="3" t="s">
        <v>1032</v>
      </c>
      <c r="B551" s="5">
        <v>45453</v>
      </c>
      <c r="C551" s="3" t="s">
        <v>529</v>
      </c>
      <c r="D551" s="3" t="s">
        <v>44</v>
      </c>
      <c r="E551" s="3" t="s">
        <v>39</v>
      </c>
      <c r="F551" s="3" t="s">
        <v>164</v>
      </c>
      <c r="G551" s="3" t="s">
        <v>165</v>
      </c>
      <c r="H551" s="3">
        <v>2</v>
      </c>
      <c r="I551" s="7">
        <v>1981.67</v>
      </c>
      <c r="J551" s="9">
        <v>0</v>
      </c>
      <c r="K551" s="7">
        <v>3963.34</v>
      </c>
      <c r="L551" s="7">
        <v>1733.52</v>
      </c>
      <c r="M551" s="3" t="s">
        <v>58</v>
      </c>
      <c r="N551" s="3"/>
      <c r="O551" s="3"/>
      <c r="P551" s="3"/>
      <c r="Q551" s="3"/>
    </row>
    <row r="552" spans="1:17" ht="21" customHeight="1">
      <c r="A552" s="3" t="s">
        <v>1033</v>
      </c>
      <c r="B552" s="5">
        <v>45454</v>
      </c>
      <c r="C552" s="3" t="s">
        <v>507</v>
      </c>
      <c r="D552" s="3" t="s">
        <v>44</v>
      </c>
      <c r="E552" s="3" t="s">
        <v>39</v>
      </c>
      <c r="F552" s="3" t="s">
        <v>109</v>
      </c>
      <c r="G552" s="3" t="s">
        <v>110</v>
      </c>
      <c r="H552" s="3">
        <v>1</v>
      </c>
      <c r="I552" s="7">
        <v>2877.23</v>
      </c>
      <c r="J552" s="9">
        <v>0.15</v>
      </c>
      <c r="K552" s="7">
        <v>2445.65</v>
      </c>
      <c r="L552" s="7">
        <v>637.78</v>
      </c>
      <c r="M552" s="3" t="s">
        <v>56</v>
      </c>
      <c r="N552" s="3"/>
      <c r="O552" s="3"/>
      <c r="P552" s="3"/>
      <c r="Q552" s="3"/>
    </row>
    <row r="553" spans="1:17" ht="21" customHeight="1">
      <c r="A553" s="3" t="s">
        <v>1034</v>
      </c>
      <c r="B553" s="5">
        <v>45454</v>
      </c>
      <c r="C553" s="3" t="s">
        <v>1035</v>
      </c>
      <c r="D553" s="3" t="s">
        <v>45</v>
      </c>
      <c r="E553" s="3" t="s">
        <v>38</v>
      </c>
      <c r="F553" s="3" t="s">
        <v>142</v>
      </c>
      <c r="G553" s="3" t="s">
        <v>245</v>
      </c>
      <c r="H553" s="3">
        <v>1</v>
      </c>
      <c r="I553" s="7">
        <v>5129.5200000000004</v>
      </c>
      <c r="J553" s="9">
        <v>0.15</v>
      </c>
      <c r="K553" s="7">
        <v>4360.09</v>
      </c>
      <c r="L553" s="7">
        <v>149.46</v>
      </c>
      <c r="M553" s="3" t="s">
        <v>57</v>
      </c>
      <c r="N553" s="3"/>
      <c r="O553" s="3"/>
      <c r="P553" s="3"/>
      <c r="Q553" s="3"/>
    </row>
    <row r="554" spans="1:17" ht="21" customHeight="1">
      <c r="A554" s="3" t="s">
        <v>1036</v>
      </c>
      <c r="B554" s="5">
        <v>45455</v>
      </c>
      <c r="C554" s="3" t="s">
        <v>1037</v>
      </c>
      <c r="D554" s="3" t="s">
        <v>45</v>
      </c>
      <c r="E554" s="3" t="s">
        <v>39</v>
      </c>
      <c r="F554" s="3" t="s">
        <v>164</v>
      </c>
      <c r="G554" s="3" t="s">
        <v>165</v>
      </c>
      <c r="H554" s="3">
        <v>2</v>
      </c>
      <c r="I554" s="7">
        <v>2039.24</v>
      </c>
      <c r="J554" s="9">
        <v>0.15</v>
      </c>
      <c r="K554" s="7">
        <v>3466.71</v>
      </c>
      <c r="L554" s="7">
        <v>835.69</v>
      </c>
      <c r="M554" s="3" t="s">
        <v>56</v>
      </c>
      <c r="N554" s="3"/>
      <c r="O554" s="3"/>
      <c r="P554" s="3"/>
      <c r="Q554" s="3"/>
    </row>
    <row r="555" spans="1:17" ht="21" customHeight="1">
      <c r="A555" s="3" t="s">
        <v>1038</v>
      </c>
      <c r="B555" s="5">
        <v>45455</v>
      </c>
      <c r="C555" s="3" t="s">
        <v>1039</v>
      </c>
      <c r="D555" s="3" t="s">
        <v>46</v>
      </c>
      <c r="E555" s="3" t="s">
        <v>38</v>
      </c>
      <c r="F555" s="3" t="s">
        <v>98</v>
      </c>
      <c r="G555" s="3" t="s">
        <v>99</v>
      </c>
      <c r="H555" s="3">
        <v>2</v>
      </c>
      <c r="I555" s="7">
        <v>23962.31</v>
      </c>
      <c r="J555" s="9">
        <v>0.1</v>
      </c>
      <c r="K555" s="7">
        <v>43132.160000000003</v>
      </c>
      <c r="L555" s="7">
        <v>3518.82</v>
      </c>
      <c r="M555" s="3" t="s">
        <v>60</v>
      </c>
      <c r="N555" s="3"/>
      <c r="O555" s="3"/>
      <c r="P555" s="3"/>
      <c r="Q555" s="3"/>
    </row>
    <row r="556" spans="1:17" ht="21" customHeight="1">
      <c r="A556" s="3" t="s">
        <v>1040</v>
      </c>
      <c r="B556" s="5">
        <v>45455</v>
      </c>
      <c r="C556" s="3" t="s">
        <v>985</v>
      </c>
      <c r="D556" s="3" t="s">
        <v>44</v>
      </c>
      <c r="E556" s="3" t="s">
        <v>41</v>
      </c>
      <c r="F556" s="3" t="s">
        <v>113</v>
      </c>
      <c r="G556" s="3" t="s">
        <v>114</v>
      </c>
      <c r="H556" s="3">
        <v>2</v>
      </c>
      <c r="I556" s="7">
        <v>11937.79</v>
      </c>
      <c r="J556" s="9">
        <v>0.05</v>
      </c>
      <c r="K556" s="7">
        <v>22681.8</v>
      </c>
      <c r="L556" s="7">
        <v>7016.5</v>
      </c>
      <c r="M556" s="3" t="s">
        <v>60</v>
      </c>
      <c r="N556" s="3"/>
      <c r="O556" s="3"/>
      <c r="P556" s="3"/>
      <c r="Q556" s="3"/>
    </row>
    <row r="557" spans="1:17" ht="21" customHeight="1">
      <c r="A557" s="3" t="s">
        <v>1041</v>
      </c>
      <c r="B557" s="5">
        <v>45455</v>
      </c>
      <c r="C557" s="3" t="s">
        <v>1042</v>
      </c>
      <c r="D557" s="3" t="s">
        <v>47</v>
      </c>
      <c r="E557" s="3" t="s">
        <v>41</v>
      </c>
      <c r="F557" s="3" t="s">
        <v>113</v>
      </c>
      <c r="G557" s="3" t="s">
        <v>123</v>
      </c>
      <c r="H557" s="3">
        <v>1</v>
      </c>
      <c r="I557" s="7">
        <v>3453.33</v>
      </c>
      <c r="J557" s="9">
        <v>0.15</v>
      </c>
      <c r="K557" s="7">
        <v>2935.33</v>
      </c>
      <c r="L557" s="7">
        <v>550.19000000000005</v>
      </c>
      <c r="M557" s="3" t="s">
        <v>57</v>
      </c>
      <c r="N557" s="3"/>
      <c r="O557" s="3"/>
      <c r="P557" s="3"/>
      <c r="Q557" s="3"/>
    </row>
    <row r="558" spans="1:17" ht="21" customHeight="1">
      <c r="A558" s="3" t="s">
        <v>1043</v>
      </c>
      <c r="B558" s="5">
        <v>45456</v>
      </c>
      <c r="C558" s="3" t="s">
        <v>1044</v>
      </c>
      <c r="D558" s="3" t="s">
        <v>45</v>
      </c>
      <c r="E558" s="3" t="s">
        <v>40</v>
      </c>
      <c r="F558" s="3" t="s">
        <v>160</v>
      </c>
      <c r="G558" s="3" t="s">
        <v>173</v>
      </c>
      <c r="H558" s="3">
        <v>2</v>
      </c>
      <c r="I558" s="7">
        <v>8631.16</v>
      </c>
      <c r="J558" s="9">
        <v>0.05</v>
      </c>
      <c r="K558" s="7">
        <v>16399.2</v>
      </c>
      <c r="L558" s="7">
        <v>4269.32</v>
      </c>
      <c r="M558" s="3" t="s">
        <v>57</v>
      </c>
      <c r="N558" s="3"/>
      <c r="O558" s="3"/>
      <c r="P558" s="3"/>
      <c r="Q558" s="3"/>
    </row>
    <row r="559" spans="1:17" ht="21" customHeight="1">
      <c r="A559" s="3" t="s">
        <v>1045</v>
      </c>
      <c r="B559" s="5">
        <v>45456</v>
      </c>
      <c r="C559" s="3" t="s">
        <v>1046</v>
      </c>
      <c r="D559" s="3" t="s">
        <v>46</v>
      </c>
      <c r="E559" s="3" t="s">
        <v>39</v>
      </c>
      <c r="F559" s="3" t="s">
        <v>109</v>
      </c>
      <c r="G559" s="3" t="s">
        <v>110</v>
      </c>
      <c r="H559" s="3">
        <v>1</v>
      </c>
      <c r="I559" s="7">
        <v>2989.52</v>
      </c>
      <c r="J559" s="9">
        <v>0.05</v>
      </c>
      <c r="K559" s="7">
        <v>2840.04</v>
      </c>
      <c r="L559" s="7">
        <v>1113.05</v>
      </c>
      <c r="M559" s="3" t="s">
        <v>59</v>
      </c>
      <c r="N559" s="3"/>
      <c r="O559" s="3"/>
      <c r="P559" s="3"/>
      <c r="Q559" s="3"/>
    </row>
    <row r="560" spans="1:17" ht="21" customHeight="1">
      <c r="A560" s="3" t="s">
        <v>1047</v>
      </c>
      <c r="B560" s="5">
        <v>45456</v>
      </c>
      <c r="C560" s="3" t="s">
        <v>896</v>
      </c>
      <c r="D560" s="3" t="s">
        <v>45</v>
      </c>
      <c r="E560" s="3" t="s">
        <v>39</v>
      </c>
      <c r="F560" s="3" t="s">
        <v>130</v>
      </c>
      <c r="G560" s="3" t="s">
        <v>131</v>
      </c>
      <c r="H560" s="3">
        <v>5</v>
      </c>
      <c r="I560" s="7">
        <v>2099.46</v>
      </c>
      <c r="J560" s="9">
        <v>0.15</v>
      </c>
      <c r="K560" s="7">
        <v>8922.7000000000007</v>
      </c>
      <c r="L560" s="7">
        <v>2103.52</v>
      </c>
      <c r="M560" s="3" t="s">
        <v>56</v>
      </c>
      <c r="N560" s="3"/>
      <c r="O560" s="3"/>
      <c r="P560" s="3"/>
      <c r="Q560" s="3"/>
    </row>
    <row r="561" spans="1:17" ht="21" customHeight="1">
      <c r="A561" s="3" t="s">
        <v>1048</v>
      </c>
      <c r="B561" s="5">
        <v>45456</v>
      </c>
      <c r="C561" s="3" t="s">
        <v>1049</v>
      </c>
      <c r="D561" s="3" t="s">
        <v>45</v>
      </c>
      <c r="E561" s="3" t="s">
        <v>38</v>
      </c>
      <c r="F561" s="3" t="s">
        <v>142</v>
      </c>
      <c r="G561" s="3" t="s">
        <v>143</v>
      </c>
      <c r="H561" s="3">
        <v>2</v>
      </c>
      <c r="I561" s="7">
        <v>9418.7099999999991</v>
      </c>
      <c r="J561" s="9">
        <v>0</v>
      </c>
      <c r="K561" s="7">
        <v>18837.419999999998</v>
      </c>
      <c r="L561" s="7">
        <v>3214.83</v>
      </c>
      <c r="M561" s="3" t="s">
        <v>56</v>
      </c>
      <c r="N561" s="3"/>
      <c r="O561" s="3"/>
      <c r="P561" s="3"/>
      <c r="Q561" s="3"/>
    </row>
    <row r="562" spans="1:17" ht="21" customHeight="1">
      <c r="A562" s="3" t="s">
        <v>1050</v>
      </c>
      <c r="B562" s="5">
        <v>45457</v>
      </c>
      <c r="C562" s="3" t="s">
        <v>1051</v>
      </c>
      <c r="D562" s="3" t="s">
        <v>44</v>
      </c>
      <c r="E562" s="3" t="s">
        <v>42</v>
      </c>
      <c r="F562" s="3" t="s">
        <v>126</v>
      </c>
      <c r="G562" s="3" t="s">
        <v>151</v>
      </c>
      <c r="H562" s="3">
        <v>5</v>
      </c>
      <c r="I562" s="7">
        <v>1540.1</v>
      </c>
      <c r="J562" s="9">
        <v>0.1</v>
      </c>
      <c r="K562" s="7">
        <v>6930.45</v>
      </c>
      <c r="L562" s="7">
        <v>2958.27</v>
      </c>
      <c r="M562" s="3" t="s">
        <v>59</v>
      </c>
      <c r="N562" s="3"/>
      <c r="O562" s="3"/>
      <c r="P562" s="3"/>
      <c r="Q562" s="3"/>
    </row>
    <row r="563" spans="1:17" ht="21" customHeight="1">
      <c r="A563" s="3" t="s">
        <v>1052</v>
      </c>
      <c r="B563" s="5">
        <v>45457</v>
      </c>
      <c r="C563" s="3" t="s">
        <v>722</v>
      </c>
      <c r="D563" s="3" t="s">
        <v>46</v>
      </c>
      <c r="E563" s="3" t="s">
        <v>39</v>
      </c>
      <c r="F563" s="3" t="s">
        <v>130</v>
      </c>
      <c r="G563" s="3" t="s">
        <v>131</v>
      </c>
      <c r="H563" s="3">
        <v>4</v>
      </c>
      <c r="I563" s="7">
        <v>2237.0700000000002</v>
      </c>
      <c r="J563" s="9">
        <v>0.2</v>
      </c>
      <c r="K563" s="7">
        <v>7158.62</v>
      </c>
      <c r="L563" s="7">
        <v>1494.48</v>
      </c>
      <c r="M563" s="3" t="s">
        <v>58</v>
      </c>
      <c r="N563" s="3"/>
      <c r="O563" s="3"/>
      <c r="P563" s="3"/>
      <c r="Q563" s="3"/>
    </row>
    <row r="564" spans="1:17" ht="21" customHeight="1">
      <c r="A564" s="3" t="s">
        <v>1053</v>
      </c>
      <c r="B564" s="5">
        <v>45457</v>
      </c>
      <c r="C564" s="3" t="s">
        <v>105</v>
      </c>
      <c r="D564" s="3" t="s">
        <v>46</v>
      </c>
      <c r="E564" s="3" t="s">
        <v>40</v>
      </c>
      <c r="F564" s="3" t="s">
        <v>102</v>
      </c>
      <c r="G564" s="3" t="s">
        <v>146</v>
      </c>
      <c r="H564" s="3">
        <v>2</v>
      </c>
      <c r="I564" s="7">
        <v>7808.09</v>
      </c>
      <c r="J564" s="9">
        <v>0.1</v>
      </c>
      <c r="K564" s="7">
        <v>14054.56</v>
      </c>
      <c r="L564" s="7">
        <v>2971.66</v>
      </c>
      <c r="M564" s="3" t="s">
        <v>56</v>
      </c>
      <c r="N564" s="3"/>
      <c r="O564" s="3"/>
      <c r="P564" s="3"/>
      <c r="Q564" s="3"/>
    </row>
    <row r="565" spans="1:17" ht="21" customHeight="1">
      <c r="A565" s="3" t="s">
        <v>1054</v>
      </c>
      <c r="B565" s="5">
        <v>45457</v>
      </c>
      <c r="C565" s="3" t="s">
        <v>481</v>
      </c>
      <c r="D565" s="3" t="s">
        <v>46</v>
      </c>
      <c r="E565" s="3" t="s">
        <v>41</v>
      </c>
      <c r="F565" s="3" t="s">
        <v>119</v>
      </c>
      <c r="G565" s="3" t="s">
        <v>168</v>
      </c>
      <c r="H565" s="3">
        <v>1</v>
      </c>
      <c r="I565" s="7">
        <v>10165.75</v>
      </c>
      <c r="J565" s="9">
        <v>0.25</v>
      </c>
      <c r="K565" s="7">
        <v>7624.31</v>
      </c>
      <c r="L565" s="7">
        <v>415.27</v>
      </c>
      <c r="M565" s="3" t="s">
        <v>56</v>
      </c>
      <c r="N565" s="3"/>
      <c r="O565" s="3"/>
      <c r="P565" s="3"/>
      <c r="Q565" s="3"/>
    </row>
    <row r="566" spans="1:17" ht="21" customHeight="1">
      <c r="A566" s="3" t="s">
        <v>1055</v>
      </c>
      <c r="B566" s="5">
        <v>45458</v>
      </c>
      <c r="C566" s="3" t="s">
        <v>428</v>
      </c>
      <c r="D566" s="3" t="s">
        <v>44</v>
      </c>
      <c r="E566" s="3" t="s">
        <v>41</v>
      </c>
      <c r="F566" s="3" t="s">
        <v>113</v>
      </c>
      <c r="G566" s="3" t="s">
        <v>114</v>
      </c>
      <c r="H566" s="3">
        <v>1</v>
      </c>
      <c r="I566" s="7">
        <v>12104.96</v>
      </c>
      <c r="J566" s="9">
        <v>0.1</v>
      </c>
      <c r="K566" s="7">
        <v>10894.46</v>
      </c>
      <c r="L566" s="7">
        <v>2807.54</v>
      </c>
      <c r="M566" s="3" t="s">
        <v>59</v>
      </c>
      <c r="N566" s="3"/>
      <c r="O566" s="3"/>
      <c r="P566" s="3"/>
      <c r="Q566" s="3"/>
    </row>
    <row r="567" spans="1:17" ht="21" customHeight="1">
      <c r="A567" s="3" t="s">
        <v>1056</v>
      </c>
      <c r="B567" s="5">
        <v>45459</v>
      </c>
      <c r="C567" s="3" t="s">
        <v>1049</v>
      </c>
      <c r="D567" s="3" t="s">
        <v>44</v>
      </c>
      <c r="E567" s="3" t="s">
        <v>40</v>
      </c>
      <c r="F567" s="3" t="s">
        <v>160</v>
      </c>
      <c r="G567" s="3" t="s">
        <v>173</v>
      </c>
      <c r="H567" s="3">
        <v>1</v>
      </c>
      <c r="I567" s="7">
        <v>9180.6200000000008</v>
      </c>
      <c r="J567" s="9">
        <v>0.1</v>
      </c>
      <c r="K567" s="7">
        <v>8262.56</v>
      </c>
      <c r="L567" s="7">
        <v>1897.78</v>
      </c>
      <c r="M567" s="3" t="s">
        <v>57</v>
      </c>
      <c r="N567" s="3"/>
      <c r="O567" s="3"/>
      <c r="P567" s="3"/>
      <c r="Q567" s="3"/>
    </row>
    <row r="568" spans="1:17" ht="21" customHeight="1">
      <c r="A568" s="3" t="s">
        <v>1057</v>
      </c>
      <c r="B568" s="5">
        <v>45459</v>
      </c>
      <c r="C568" s="3" t="s">
        <v>1058</v>
      </c>
      <c r="D568" s="3" t="s">
        <v>46</v>
      </c>
      <c r="E568" s="3" t="s">
        <v>38</v>
      </c>
      <c r="F568" s="3" t="s">
        <v>94</v>
      </c>
      <c r="G568" s="3" t="s">
        <v>213</v>
      </c>
      <c r="H568" s="3">
        <v>1</v>
      </c>
      <c r="I568" s="7">
        <v>57727.56</v>
      </c>
      <c r="J568" s="9">
        <v>0</v>
      </c>
      <c r="K568" s="7">
        <v>57727.56</v>
      </c>
      <c r="L568" s="7">
        <v>12273.52</v>
      </c>
      <c r="M568" s="3" t="s">
        <v>56</v>
      </c>
      <c r="N568" s="3"/>
      <c r="O568" s="3"/>
      <c r="P568" s="3"/>
      <c r="Q568" s="3"/>
    </row>
    <row r="569" spans="1:17" ht="21" customHeight="1">
      <c r="A569" s="3" t="s">
        <v>1059</v>
      </c>
      <c r="B569" s="5">
        <v>45459</v>
      </c>
      <c r="C569" s="3" t="s">
        <v>1060</v>
      </c>
      <c r="D569" s="3" t="s">
        <v>44</v>
      </c>
      <c r="E569" s="3" t="s">
        <v>38</v>
      </c>
      <c r="F569" s="3" t="s">
        <v>94</v>
      </c>
      <c r="G569" s="3" t="s">
        <v>95</v>
      </c>
      <c r="H569" s="3">
        <v>1</v>
      </c>
      <c r="I569" s="7">
        <v>76690.960000000006</v>
      </c>
      <c r="J569" s="9">
        <v>0</v>
      </c>
      <c r="K569" s="7">
        <v>76690.960000000006</v>
      </c>
      <c r="L569" s="7">
        <v>12691.05</v>
      </c>
      <c r="M569" s="3" t="s">
        <v>57</v>
      </c>
      <c r="N569" s="3"/>
      <c r="O569" s="3"/>
      <c r="P569" s="3"/>
      <c r="Q569" s="3"/>
    </row>
    <row r="570" spans="1:17" ht="21" customHeight="1">
      <c r="A570" s="3" t="s">
        <v>1061</v>
      </c>
      <c r="B570" s="5">
        <v>45459</v>
      </c>
      <c r="C570" s="3" t="s">
        <v>1062</v>
      </c>
      <c r="D570" s="3" t="s">
        <v>45</v>
      </c>
      <c r="E570" s="3" t="s">
        <v>42</v>
      </c>
      <c r="F570" s="3" t="s">
        <v>126</v>
      </c>
      <c r="G570" s="3" t="s">
        <v>127</v>
      </c>
      <c r="H570" s="3">
        <v>1</v>
      </c>
      <c r="I570" s="7">
        <v>956.37</v>
      </c>
      <c r="J570" s="9">
        <v>0</v>
      </c>
      <c r="K570" s="7">
        <v>956.37</v>
      </c>
      <c r="L570" s="7">
        <v>540.16</v>
      </c>
      <c r="M570" s="3" t="s">
        <v>57</v>
      </c>
      <c r="N570" s="3"/>
      <c r="O570" s="3"/>
      <c r="P570" s="3"/>
      <c r="Q570" s="3"/>
    </row>
    <row r="571" spans="1:17" ht="21" customHeight="1">
      <c r="A571" s="3" t="s">
        <v>1063</v>
      </c>
      <c r="B571" s="5">
        <v>45460</v>
      </c>
      <c r="C571" s="3" t="s">
        <v>597</v>
      </c>
      <c r="D571" s="3" t="s">
        <v>45</v>
      </c>
      <c r="E571" s="3" t="s">
        <v>40</v>
      </c>
      <c r="F571" s="3" t="s">
        <v>102</v>
      </c>
      <c r="G571" s="3" t="s">
        <v>103</v>
      </c>
      <c r="H571" s="3">
        <v>1</v>
      </c>
      <c r="I571" s="7">
        <v>6524.61</v>
      </c>
      <c r="J571" s="9">
        <v>0</v>
      </c>
      <c r="K571" s="7">
        <v>6524.61</v>
      </c>
      <c r="L571" s="7">
        <v>2399.2199999999998</v>
      </c>
      <c r="M571" s="3" t="s">
        <v>59</v>
      </c>
      <c r="N571" s="3"/>
      <c r="O571" s="3"/>
      <c r="P571" s="3"/>
      <c r="Q571" s="3"/>
    </row>
    <row r="572" spans="1:17" ht="21" customHeight="1">
      <c r="A572" s="3" t="s">
        <v>1064</v>
      </c>
      <c r="B572" s="5">
        <v>45460</v>
      </c>
      <c r="C572" s="3" t="s">
        <v>881</v>
      </c>
      <c r="D572" s="3" t="s">
        <v>47</v>
      </c>
      <c r="E572" s="3" t="s">
        <v>42</v>
      </c>
      <c r="F572" s="3" t="s">
        <v>126</v>
      </c>
      <c r="G572" s="3" t="s">
        <v>127</v>
      </c>
      <c r="H572" s="3">
        <v>1</v>
      </c>
      <c r="I572" s="7">
        <v>1047.8599999999999</v>
      </c>
      <c r="J572" s="9">
        <v>0.15</v>
      </c>
      <c r="K572" s="7">
        <v>890.68</v>
      </c>
      <c r="L572" s="7">
        <v>307.11</v>
      </c>
      <c r="M572" s="3" t="s">
        <v>56</v>
      </c>
      <c r="N572" s="3"/>
      <c r="O572" s="3"/>
      <c r="P572" s="3"/>
      <c r="Q572" s="3"/>
    </row>
    <row r="573" spans="1:17" ht="21" customHeight="1">
      <c r="A573" s="3" t="s">
        <v>1065</v>
      </c>
      <c r="B573" s="5">
        <v>45460</v>
      </c>
      <c r="C573" s="3" t="s">
        <v>573</v>
      </c>
      <c r="D573" s="3" t="s">
        <v>46</v>
      </c>
      <c r="E573" s="3" t="s">
        <v>38</v>
      </c>
      <c r="F573" s="3" t="s">
        <v>142</v>
      </c>
      <c r="G573" s="3" t="s">
        <v>245</v>
      </c>
      <c r="H573" s="3">
        <v>2</v>
      </c>
      <c r="I573" s="7">
        <v>5109.4399999999996</v>
      </c>
      <c r="J573" s="9">
        <v>0</v>
      </c>
      <c r="K573" s="7">
        <v>10218.879999999999</v>
      </c>
      <c r="L573" s="7">
        <v>1877.6</v>
      </c>
      <c r="M573" s="3" t="s">
        <v>56</v>
      </c>
      <c r="N573" s="3"/>
      <c r="O573" s="3"/>
      <c r="P573" s="3"/>
      <c r="Q573" s="3"/>
    </row>
    <row r="574" spans="1:17" ht="21" customHeight="1">
      <c r="A574" s="3" t="s">
        <v>1066</v>
      </c>
      <c r="B574" s="5">
        <v>45460</v>
      </c>
      <c r="C574" s="3" t="s">
        <v>1067</v>
      </c>
      <c r="D574" s="3" t="s">
        <v>47</v>
      </c>
      <c r="E574" s="3" t="s">
        <v>40</v>
      </c>
      <c r="F574" s="3" t="s">
        <v>221</v>
      </c>
      <c r="G574" s="3" t="s">
        <v>279</v>
      </c>
      <c r="H574" s="3">
        <v>3</v>
      </c>
      <c r="I574" s="7">
        <v>1568.03</v>
      </c>
      <c r="J574" s="9">
        <v>0</v>
      </c>
      <c r="K574" s="7">
        <v>4704.09</v>
      </c>
      <c r="L574" s="7">
        <v>1711.83</v>
      </c>
      <c r="M574" s="3" t="s">
        <v>56</v>
      </c>
      <c r="N574" s="3"/>
      <c r="O574" s="3"/>
      <c r="P574" s="3"/>
      <c r="Q574" s="3"/>
    </row>
    <row r="575" spans="1:17" ht="21" customHeight="1">
      <c r="A575" s="3" t="s">
        <v>1068</v>
      </c>
      <c r="B575" s="5">
        <v>45460</v>
      </c>
      <c r="C575" s="3" t="s">
        <v>676</v>
      </c>
      <c r="D575" s="3" t="s">
        <v>45</v>
      </c>
      <c r="E575" s="3" t="s">
        <v>39</v>
      </c>
      <c r="F575" s="3" t="s">
        <v>109</v>
      </c>
      <c r="G575" s="3" t="s">
        <v>355</v>
      </c>
      <c r="H575" s="3">
        <v>1</v>
      </c>
      <c r="I575" s="7">
        <v>3328.82</v>
      </c>
      <c r="J575" s="9">
        <v>0.15</v>
      </c>
      <c r="K575" s="7">
        <v>2829.5</v>
      </c>
      <c r="L575" s="7">
        <v>768.64</v>
      </c>
      <c r="M575" s="3" t="s">
        <v>60</v>
      </c>
      <c r="N575" s="3"/>
      <c r="O575" s="3"/>
      <c r="P575" s="3"/>
      <c r="Q575" s="3"/>
    </row>
    <row r="576" spans="1:17" ht="21" customHeight="1">
      <c r="A576" s="3" t="s">
        <v>1069</v>
      </c>
      <c r="B576" s="5">
        <v>45461</v>
      </c>
      <c r="C576" s="3" t="s">
        <v>805</v>
      </c>
      <c r="D576" s="3" t="s">
        <v>44</v>
      </c>
      <c r="E576" s="3" t="s">
        <v>38</v>
      </c>
      <c r="F576" s="3" t="s">
        <v>98</v>
      </c>
      <c r="G576" s="3" t="s">
        <v>182</v>
      </c>
      <c r="H576" s="3">
        <v>1</v>
      </c>
      <c r="I576" s="7">
        <v>71823.19</v>
      </c>
      <c r="J576" s="9">
        <v>0</v>
      </c>
      <c r="K576" s="7">
        <v>71823.19</v>
      </c>
      <c r="L576" s="7">
        <v>14455.62</v>
      </c>
      <c r="M576" s="3" t="s">
        <v>57</v>
      </c>
      <c r="N576" s="3"/>
      <c r="O576" s="3"/>
      <c r="P576" s="3"/>
      <c r="Q576" s="3"/>
    </row>
    <row r="577" spans="1:17" ht="21" customHeight="1">
      <c r="A577" s="3" t="s">
        <v>1070</v>
      </c>
      <c r="B577" s="5">
        <v>45461</v>
      </c>
      <c r="C577" s="3" t="s">
        <v>391</v>
      </c>
      <c r="D577" s="3" t="s">
        <v>44</v>
      </c>
      <c r="E577" s="3" t="s">
        <v>41</v>
      </c>
      <c r="F577" s="3" t="s">
        <v>119</v>
      </c>
      <c r="G577" s="3" t="s">
        <v>168</v>
      </c>
      <c r="H577" s="3">
        <v>1</v>
      </c>
      <c r="I577" s="7">
        <v>10169.43</v>
      </c>
      <c r="J577" s="9">
        <v>0</v>
      </c>
      <c r="K577" s="7">
        <v>10169.43</v>
      </c>
      <c r="L577" s="7">
        <v>3818.09</v>
      </c>
      <c r="M577" s="3" t="s">
        <v>56</v>
      </c>
      <c r="N577" s="3"/>
      <c r="O577" s="3"/>
      <c r="P577" s="3"/>
      <c r="Q577" s="3"/>
    </row>
    <row r="578" spans="1:17" ht="21" customHeight="1">
      <c r="A578" s="3" t="s">
        <v>1071</v>
      </c>
      <c r="B578" s="5">
        <v>45461</v>
      </c>
      <c r="C578" s="3" t="s">
        <v>1072</v>
      </c>
      <c r="D578" s="3" t="s">
        <v>47</v>
      </c>
      <c r="E578" s="3" t="s">
        <v>42</v>
      </c>
      <c r="F578" s="3" t="s">
        <v>90</v>
      </c>
      <c r="G578" s="3" t="s">
        <v>91</v>
      </c>
      <c r="H578" s="3">
        <v>1</v>
      </c>
      <c r="I578" s="7">
        <v>1140.94</v>
      </c>
      <c r="J578" s="9">
        <v>0</v>
      </c>
      <c r="K578" s="7">
        <v>1140.94</v>
      </c>
      <c r="L578" s="7">
        <v>672.73</v>
      </c>
      <c r="M578" s="3" t="s">
        <v>57</v>
      </c>
      <c r="N578" s="3"/>
      <c r="O578" s="3"/>
      <c r="P578" s="3"/>
      <c r="Q578" s="3"/>
    </row>
    <row r="579" spans="1:17" ht="21" customHeight="1">
      <c r="A579" s="3" t="s">
        <v>1073</v>
      </c>
      <c r="B579" s="5">
        <v>45462</v>
      </c>
      <c r="C579" s="3" t="s">
        <v>1074</v>
      </c>
      <c r="D579" s="3" t="s">
        <v>45</v>
      </c>
      <c r="E579" s="3" t="s">
        <v>39</v>
      </c>
      <c r="F579" s="3" t="s">
        <v>164</v>
      </c>
      <c r="G579" s="3" t="s">
        <v>200</v>
      </c>
      <c r="H579" s="3">
        <v>1</v>
      </c>
      <c r="I579" s="7">
        <v>1342.61</v>
      </c>
      <c r="J579" s="9">
        <v>0.05</v>
      </c>
      <c r="K579" s="7">
        <v>1275.48</v>
      </c>
      <c r="L579" s="7">
        <v>481.74</v>
      </c>
      <c r="M579" s="3" t="s">
        <v>57</v>
      </c>
      <c r="N579" s="3"/>
      <c r="O579" s="3"/>
      <c r="P579" s="3"/>
      <c r="Q579" s="3"/>
    </row>
    <row r="580" spans="1:17" ht="21" customHeight="1">
      <c r="A580" s="3" t="s">
        <v>1075</v>
      </c>
      <c r="B580" s="5">
        <v>45462</v>
      </c>
      <c r="C580" s="3" t="s">
        <v>133</v>
      </c>
      <c r="D580" s="3" t="s">
        <v>44</v>
      </c>
      <c r="E580" s="3" t="s">
        <v>40</v>
      </c>
      <c r="F580" s="3" t="s">
        <v>102</v>
      </c>
      <c r="G580" s="3" t="s">
        <v>103</v>
      </c>
      <c r="H580" s="3">
        <v>4</v>
      </c>
      <c r="I580" s="7">
        <v>6640.24</v>
      </c>
      <c r="J580" s="9">
        <v>0.05</v>
      </c>
      <c r="K580" s="7">
        <v>25232.91</v>
      </c>
      <c r="L580" s="7">
        <v>7705.32</v>
      </c>
      <c r="M580" s="3" t="s">
        <v>56</v>
      </c>
      <c r="N580" s="3"/>
      <c r="O580" s="3"/>
      <c r="P580" s="3"/>
      <c r="Q580" s="3"/>
    </row>
    <row r="581" spans="1:17" ht="21" customHeight="1">
      <c r="A581" s="3" t="s">
        <v>1076</v>
      </c>
      <c r="B581" s="5">
        <v>45462</v>
      </c>
      <c r="C581" s="3" t="s">
        <v>724</v>
      </c>
      <c r="D581" s="3" t="s">
        <v>46</v>
      </c>
      <c r="E581" s="3" t="s">
        <v>42</v>
      </c>
      <c r="F581" s="3" t="s">
        <v>126</v>
      </c>
      <c r="G581" s="3" t="s">
        <v>127</v>
      </c>
      <c r="H581" s="3">
        <v>1</v>
      </c>
      <c r="I581" s="7">
        <v>988.82</v>
      </c>
      <c r="J581" s="9">
        <v>0.25</v>
      </c>
      <c r="K581" s="7">
        <v>741.62</v>
      </c>
      <c r="L581" s="7">
        <v>177.25</v>
      </c>
      <c r="M581" s="3" t="s">
        <v>57</v>
      </c>
      <c r="N581" s="3"/>
      <c r="O581" s="3"/>
      <c r="P581" s="3"/>
      <c r="Q581" s="3"/>
    </row>
    <row r="582" spans="1:17" ht="21" customHeight="1">
      <c r="A582" s="3" t="s">
        <v>1077</v>
      </c>
      <c r="B582" s="5">
        <v>45463</v>
      </c>
      <c r="C582" s="3" t="s">
        <v>1078</v>
      </c>
      <c r="D582" s="3" t="s">
        <v>44</v>
      </c>
      <c r="E582" s="3" t="s">
        <v>38</v>
      </c>
      <c r="F582" s="3" t="s">
        <v>94</v>
      </c>
      <c r="G582" s="3" t="s">
        <v>95</v>
      </c>
      <c r="H582" s="3">
        <v>1</v>
      </c>
      <c r="I582" s="7">
        <v>79108.539999999994</v>
      </c>
      <c r="J582" s="9">
        <v>0.25</v>
      </c>
      <c r="K582" s="7">
        <v>59331.4</v>
      </c>
      <c r="L582" s="7">
        <v>-5113.45</v>
      </c>
      <c r="M582" s="3" t="s">
        <v>56</v>
      </c>
      <c r="N582" s="3"/>
      <c r="O582" s="3"/>
      <c r="P582" s="3"/>
      <c r="Q582" s="3"/>
    </row>
    <row r="583" spans="1:17" ht="21" customHeight="1">
      <c r="A583" s="3" t="s">
        <v>1079</v>
      </c>
      <c r="B583" s="5">
        <v>45463</v>
      </c>
      <c r="C583" s="3" t="s">
        <v>1080</v>
      </c>
      <c r="D583" s="3" t="s">
        <v>46</v>
      </c>
      <c r="E583" s="3" t="s">
        <v>41</v>
      </c>
      <c r="F583" s="3" t="s">
        <v>119</v>
      </c>
      <c r="G583" s="3" t="s">
        <v>120</v>
      </c>
      <c r="H583" s="3">
        <v>2</v>
      </c>
      <c r="I583" s="7">
        <v>1257.58</v>
      </c>
      <c r="J583" s="9">
        <v>0.1</v>
      </c>
      <c r="K583" s="7">
        <v>2263.64</v>
      </c>
      <c r="L583" s="7">
        <v>681.73</v>
      </c>
      <c r="M583" s="3" t="s">
        <v>58</v>
      </c>
      <c r="N583" s="3"/>
      <c r="O583" s="3"/>
      <c r="P583" s="3"/>
      <c r="Q583" s="3"/>
    </row>
    <row r="584" spans="1:17" ht="21" customHeight="1">
      <c r="A584" s="3" t="s">
        <v>1081</v>
      </c>
      <c r="B584" s="5">
        <v>45464</v>
      </c>
      <c r="C584" s="3" t="s">
        <v>1082</v>
      </c>
      <c r="D584" s="3" t="s">
        <v>46</v>
      </c>
      <c r="E584" s="3" t="s">
        <v>42</v>
      </c>
      <c r="F584" s="3" t="s">
        <v>126</v>
      </c>
      <c r="G584" s="3" t="s">
        <v>127</v>
      </c>
      <c r="H584" s="3">
        <v>2</v>
      </c>
      <c r="I584" s="7">
        <v>1030.32</v>
      </c>
      <c r="J584" s="9">
        <v>0.15</v>
      </c>
      <c r="K584" s="7">
        <v>1751.54</v>
      </c>
      <c r="L584" s="7">
        <v>704.01</v>
      </c>
      <c r="M584" s="3" t="s">
        <v>57</v>
      </c>
      <c r="N584" s="3"/>
      <c r="O584" s="3"/>
      <c r="P584" s="3"/>
      <c r="Q584" s="3"/>
    </row>
    <row r="585" spans="1:17" ht="21" customHeight="1">
      <c r="A585" s="3" t="s">
        <v>1083</v>
      </c>
      <c r="B585" s="5">
        <v>45464</v>
      </c>
      <c r="C585" s="3" t="s">
        <v>259</v>
      </c>
      <c r="D585" s="3" t="s">
        <v>44</v>
      </c>
      <c r="E585" s="3" t="s">
        <v>38</v>
      </c>
      <c r="F585" s="3" t="s">
        <v>94</v>
      </c>
      <c r="G585" s="3" t="s">
        <v>95</v>
      </c>
      <c r="H585" s="3">
        <v>2</v>
      </c>
      <c r="I585" s="7">
        <v>80061.53</v>
      </c>
      <c r="J585" s="9">
        <v>0</v>
      </c>
      <c r="K585" s="7">
        <v>160123.06</v>
      </c>
      <c r="L585" s="7">
        <v>22477.61</v>
      </c>
      <c r="M585" s="3" t="s">
        <v>58</v>
      </c>
      <c r="N585" s="3"/>
      <c r="O585" s="3"/>
      <c r="P585" s="3"/>
      <c r="Q585" s="3"/>
    </row>
    <row r="586" spans="1:17" ht="21" customHeight="1">
      <c r="A586" s="3" t="s">
        <v>1084</v>
      </c>
      <c r="B586" s="5">
        <v>45464</v>
      </c>
      <c r="C586" s="3" t="s">
        <v>1085</v>
      </c>
      <c r="D586" s="3" t="s">
        <v>45</v>
      </c>
      <c r="E586" s="3" t="s">
        <v>39</v>
      </c>
      <c r="F586" s="3" t="s">
        <v>130</v>
      </c>
      <c r="G586" s="3" t="s">
        <v>131</v>
      </c>
      <c r="H586" s="3">
        <v>1</v>
      </c>
      <c r="I586" s="7">
        <v>2156.27</v>
      </c>
      <c r="J586" s="9">
        <v>0.1</v>
      </c>
      <c r="K586" s="7">
        <v>1940.64</v>
      </c>
      <c r="L586" s="7">
        <v>604.96</v>
      </c>
      <c r="M586" s="3" t="s">
        <v>56</v>
      </c>
      <c r="N586" s="3"/>
      <c r="O586" s="3"/>
      <c r="P586" s="3"/>
      <c r="Q586" s="3"/>
    </row>
    <row r="587" spans="1:17" ht="21" customHeight="1">
      <c r="A587" s="3" t="s">
        <v>1086</v>
      </c>
      <c r="B587" s="5">
        <v>45464</v>
      </c>
      <c r="C587" s="3" t="s">
        <v>636</v>
      </c>
      <c r="D587" s="3" t="s">
        <v>45</v>
      </c>
      <c r="E587" s="3" t="s">
        <v>42</v>
      </c>
      <c r="F587" s="3" t="s">
        <v>90</v>
      </c>
      <c r="G587" s="3" t="s">
        <v>91</v>
      </c>
      <c r="H587" s="3">
        <v>3</v>
      </c>
      <c r="I587" s="7">
        <v>1230.68</v>
      </c>
      <c r="J587" s="9">
        <v>0.15</v>
      </c>
      <c r="K587" s="7">
        <v>3138.23</v>
      </c>
      <c r="L587" s="7">
        <v>1208.05</v>
      </c>
      <c r="M587" s="3" t="s">
        <v>56</v>
      </c>
      <c r="N587" s="3"/>
      <c r="O587" s="3"/>
      <c r="P587" s="3"/>
      <c r="Q587" s="3"/>
    </row>
    <row r="588" spans="1:17" ht="21" customHeight="1">
      <c r="A588" s="3" t="s">
        <v>1087</v>
      </c>
      <c r="B588" s="5">
        <v>45464</v>
      </c>
      <c r="C588" s="3" t="s">
        <v>1088</v>
      </c>
      <c r="D588" s="3" t="s">
        <v>46</v>
      </c>
      <c r="E588" s="3" t="s">
        <v>38</v>
      </c>
      <c r="F588" s="3" t="s">
        <v>94</v>
      </c>
      <c r="G588" s="3" t="s">
        <v>95</v>
      </c>
      <c r="H588" s="3">
        <v>1</v>
      </c>
      <c r="I588" s="7">
        <v>75990.86</v>
      </c>
      <c r="J588" s="9">
        <v>0.1</v>
      </c>
      <c r="K588" s="7">
        <v>68391.77</v>
      </c>
      <c r="L588" s="7">
        <v>3869.94</v>
      </c>
      <c r="M588" s="3" t="s">
        <v>60</v>
      </c>
      <c r="N588" s="3"/>
      <c r="O588" s="3"/>
      <c r="P588" s="3"/>
      <c r="Q588" s="3"/>
    </row>
    <row r="589" spans="1:17" ht="21" customHeight="1">
      <c r="A589" s="3" t="s">
        <v>1089</v>
      </c>
      <c r="B589" s="5">
        <v>45464</v>
      </c>
      <c r="C589" s="3" t="s">
        <v>563</v>
      </c>
      <c r="D589" s="3" t="s">
        <v>45</v>
      </c>
      <c r="E589" s="3" t="s">
        <v>42</v>
      </c>
      <c r="F589" s="3" t="s">
        <v>126</v>
      </c>
      <c r="G589" s="3" t="s">
        <v>127</v>
      </c>
      <c r="H589" s="3">
        <v>2</v>
      </c>
      <c r="I589" s="7">
        <v>1034.56</v>
      </c>
      <c r="J589" s="9">
        <v>0</v>
      </c>
      <c r="K589" s="7">
        <v>2069.12</v>
      </c>
      <c r="L589" s="7">
        <v>1135.6099999999999</v>
      </c>
      <c r="M589" s="3" t="s">
        <v>57</v>
      </c>
      <c r="N589" s="3"/>
      <c r="O589" s="3"/>
      <c r="P589" s="3"/>
      <c r="Q589" s="3"/>
    </row>
    <row r="590" spans="1:17" ht="21" customHeight="1">
      <c r="A590" s="3" t="s">
        <v>1090</v>
      </c>
      <c r="B590" s="5">
        <v>45464</v>
      </c>
      <c r="C590" s="3" t="s">
        <v>702</v>
      </c>
      <c r="D590" s="3" t="s">
        <v>44</v>
      </c>
      <c r="E590" s="3" t="s">
        <v>38</v>
      </c>
      <c r="F590" s="3" t="s">
        <v>98</v>
      </c>
      <c r="G590" s="3" t="s">
        <v>362</v>
      </c>
      <c r="H590" s="3">
        <v>3</v>
      </c>
      <c r="I590" s="7">
        <v>33830.36</v>
      </c>
      <c r="J590" s="9">
        <v>0</v>
      </c>
      <c r="K590" s="7">
        <v>101491.08</v>
      </c>
      <c r="L590" s="7">
        <v>14258.43</v>
      </c>
      <c r="M590" s="3" t="s">
        <v>58</v>
      </c>
      <c r="N590" s="3"/>
      <c r="O590" s="3"/>
      <c r="P590" s="3"/>
      <c r="Q590" s="3"/>
    </row>
    <row r="591" spans="1:17" ht="21" customHeight="1">
      <c r="A591" s="3" t="s">
        <v>1091</v>
      </c>
      <c r="B591" s="5">
        <v>45464</v>
      </c>
      <c r="C591" s="3" t="s">
        <v>184</v>
      </c>
      <c r="D591" s="3" t="s">
        <v>44</v>
      </c>
      <c r="E591" s="3" t="s">
        <v>41</v>
      </c>
      <c r="F591" s="3" t="s">
        <v>119</v>
      </c>
      <c r="G591" s="3" t="s">
        <v>120</v>
      </c>
      <c r="H591" s="3">
        <v>3</v>
      </c>
      <c r="I591" s="7">
        <v>1314</v>
      </c>
      <c r="J591" s="9">
        <v>0.05</v>
      </c>
      <c r="K591" s="7">
        <v>3744.9</v>
      </c>
      <c r="L591" s="7">
        <v>1114.49</v>
      </c>
      <c r="M591" s="3" t="s">
        <v>56</v>
      </c>
      <c r="N591" s="3"/>
      <c r="O591" s="3"/>
      <c r="P591" s="3"/>
      <c r="Q591" s="3"/>
    </row>
    <row r="592" spans="1:17" ht="21" customHeight="1">
      <c r="A592" s="3" t="s">
        <v>1092</v>
      </c>
      <c r="B592" s="5">
        <v>45465</v>
      </c>
      <c r="C592" s="3" t="s">
        <v>188</v>
      </c>
      <c r="D592" s="3" t="s">
        <v>45</v>
      </c>
      <c r="E592" s="3" t="s">
        <v>38</v>
      </c>
      <c r="F592" s="3" t="s">
        <v>98</v>
      </c>
      <c r="G592" s="3" t="s">
        <v>182</v>
      </c>
      <c r="H592" s="3">
        <v>4</v>
      </c>
      <c r="I592" s="7">
        <v>67862.259999999995</v>
      </c>
      <c r="J592" s="9">
        <v>0.05</v>
      </c>
      <c r="K592" s="7">
        <v>257876.59</v>
      </c>
      <c r="L592" s="7">
        <v>37448</v>
      </c>
      <c r="M592" s="3" t="s">
        <v>57</v>
      </c>
      <c r="N592" s="3"/>
      <c r="O592" s="3"/>
      <c r="P592" s="3"/>
      <c r="Q592" s="3"/>
    </row>
    <row r="593" spans="1:17" ht="21" customHeight="1">
      <c r="A593" s="3" t="s">
        <v>1093</v>
      </c>
      <c r="B593" s="5">
        <v>45465</v>
      </c>
      <c r="C593" s="3" t="s">
        <v>1094</v>
      </c>
      <c r="D593" s="3" t="s">
        <v>44</v>
      </c>
      <c r="E593" s="3" t="s">
        <v>42</v>
      </c>
      <c r="F593" s="3" t="s">
        <v>126</v>
      </c>
      <c r="G593" s="3" t="s">
        <v>151</v>
      </c>
      <c r="H593" s="3">
        <v>5</v>
      </c>
      <c r="I593" s="7">
        <v>1443.87</v>
      </c>
      <c r="J593" s="9">
        <v>0.1</v>
      </c>
      <c r="K593" s="7">
        <v>6497.41</v>
      </c>
      <c r="L593" s="7">
        <v>3030.25</v>
      </c>
      <c r="M593" s="3" t="s">
        <v>56</v>
      </c>
      <c r="N593" s="3"/>
      <c r="O593" s="3"/>
      <c r="P593" s="3"/>
      <c r="Q593" s="3"/>
    </row>
    <row r="594" spans="1:17" ht="21" customHeight="1">
      <c r="A594" s="3" t="s">
        <v>1095</v>
      </c>
      <c r="B594" s="5">
        <v>45465</v>
      </c>
      <c r="C594" s="3" t="s">
        <v>558</v>
      </c>
      <c r="D594" s="3" t="s">
        <v>44</v>
      </c>
      <c r="E594" s="3" t="s">
        <v>38</v>
      </c>
      <c r="F594" s="3" t="s">
        <v>98</v>
      </c>
      <c r="G594" s="3" t="s">
        <v>99</v>
      </c>
      <c r="H594" s="3">
        <v>1</v>
      </c>
      <c r="I594" s="7">
        <v>24205.7</v>
      </c>
      <c r="J594" s="9">
        <v>0</v>
      </c>
      <c r="K594" s="7">
        <v>24205.7</v>
      </c>
      <c r="L594" s="7">
        <v>4876.59</v>
      </c>
      <c r="M594" s="3" t="s">
        <v>60</v>
      </c>
      <c r="N594" s="3"/>
      <c r="O594" s="3"/>
      <c r="P594" s="3"/>
      <c r="Q594" s="3"/>
    </row>
    <row r="595" spans="1:17" ht="21" customHeight="1">
      <c r="A595" s="3" t="s">
        <v>1096</v>
      </c>
      <c r="B595" s="5">
        <v>45466</v>
      </c>
      <c r="C595" s="3" t="s">
        <v>1039</v>
      </c>
      <c r="D595" s="3" t="s">
        <v>46</v>
      </c>
      <c r="E595" s="3" t="s">
        <v>42</v>
      </c>
      <c r="F595" s="3" t="s">
        <v>126</v>
      </c>
      <c r="G595" s="3" t="s">
        <v>151</v>
      </c>
      <c r="H595" s="3">
        <v>5</v>
      </c>
      <c r="I595" s="7">
        <v>1540.4</v>
      </c>
      <c r="J595" s="9">
        <v>0.15</v>
      </c>
      <c r="K595" s="7">
        <v>6546.7</v>
      </c>
      <c r="L595" s="7">
        <v>2512.04</v>
      </c>
      <c r="M595" s="3" t="s">
        <v>57</v>
      </c>
      <c r="N595" s="3"/>
      <c r="O595" s="3"/>
      <c r="P595" s="3"/>
      <c r="Q595" s="3"/>
    </row>
    <row r="596" spans="1:17" ht="21" customHeight="1">
      <c r="A596" s="3" t="s">
        <v>1097</v>
      </c>
      <c r="B596" s="5">
        <v>45466</v>
      </c>
      <c r="C596" s="3" t="s">
        <v>636</v>
      </c>
      <c r="D596" s="3" t="s">
        <v>45</v>
      </c>
      <c r="E596" s="3" t="s">
        <v>42</v>
      </c>
      <c r="F596" s="3" t="s">
        <v>90</v>
      </c>
      <c r="G596" s="3" t="s">
        <v>91</v>
      </c>
      <c r="H596" s="3">
        <v>1</v>
      </c>
      <c r="I596" s="7">
        <v>1194.03</v>
      </c>
      <c r="J596" s="9">
        <v>0.2</v>
      </c>
      <c r="K596" s="7">
        <v>955.22</v>
      </c>
      <c r="L596" s="7">
        <v>280.54000000000002</v>
      </c>
      <c r="M596" s="3" t="s">
        <v>59</v>
      </c>
      <c r="N596" s="3"/>
      <c r="O596" s="3"/>
      <c r="P596" s="3"/>
      <c r="Q596" s="3"/>
    </row>
    <row r="597" spans="1:17" ht="21" customHeight="1">
      <c r="A597" s="3" t="s">
        <v>1098</v>
      </c>
      <c r="B597" s="5">
        <v>45466</v>
      </c>
      <c r="C597" s="3" t="s">
        <v>1099</v>
      </c>
      <c r="D597" s="3" t="s">
        <v>46</v>
      </c>
      <c r="E597" s="3" t="s">
        <v>42</v>
      </c>
      <c r="F597" s="3" t="s">
        <v>126</v>
      </c>
      <c r="G597" s="3" t="s">
        <v>127</v>
      </c>
      <c r="H597" s="3">
        <v>1</v>
      </c>
      <c r="I597" s="7">
        <v>1035.5</v>
      </c>
      <c r="J597" s="9">
        <v>0.15</v>
      </c>
      <c r="K597" s="7">
        <v>880.17</v>
      </c>
      <c r="L597" s="7">
        <v>335.89</v>
      </c>
      <c r="M597" s="3" t="s">
        <v>59</v>
      </c>
      <c r="N597" s="3"/>
      <c r="O597" s="3"/>
      <c r="P597" s="3"/>
      <c r="Q597" s="3"/>
    </row>
    <row r="598" spans="1:17" ht="21" customHeight="1">
      <c r="A598" s="3" t="s">
        <v>1100</v>
      </c>
      <c r="B598" s="5">
        <v>45466</v>
      </c>
      <c r="C598" s="3" t="s">
        <v>1101</v>
      </c>
      <c r="D598" s="3" t="s">
        <v>46</v>
      </c>
      <c r="E598" s="3" t="s">
        <v>42</v>
      </c>
      <c r="F598" s="3" t="s">
        <v>90</v>
      </c>
      <c r="G598" s="3" t="s">
        <v>91</v>
      </c>
      <c r="H598" s="3">
        <v>1</v>
      </c>
      <c r="I598" s="7">
        <v>1192.33</v>
      </c>
      <c r="J598" s="9">
        <v>0.05</v>
      </c>
      <c r="K598" s="7">
        <v>1132.71</v>
      </c>
      <c r="L598" s="7">
        <v>554.41</v>
      </c>
      <c r="M598" s="3" t="s">
        <v>56</v>
      </c>
      <c r="N598" s="3"/>
      <c r="O598" s="3"/>
      <c r="P598" s="3"/>
      <c r="Q598" s="3"/>
    </row>
    <row r="599" spans="1:17" ht="21" customHeight="1">
      <c r="A599" s="3" t="s">
        <v>1102</v>
      </c>
      <c r="B599" s="5">
        <v>45466</v>
      </c>
      <c r="C599" s="3" t="s">
        <v>1103</v>
      </c>
      <c r="D599" s="3" t="s">
        <v>46</v>
      </c>
      <c r="E599" s="3" t="s">
        <v>42</v>
      </c>
      <c r="F599" s="3" t="s">
        <v>126</v>
      </c>
      <c r="G599" s="3" t="s">
        <v>151</v>
      </c>
      <c r="H599" s="3">
        <v>1</v>
      </c>
      <c r="I599" s="7">
        <v>1559.85</v>
      </c>
      <c r="J599" s="9">
        <v>0</v>
      </c>
      <c r="K599" s="7">
        <v>1559.85</v>
      </c>
      <c r="L599" s="7">
        <v>899.43</v>
      </c>
      <c r="M599" s="3" t="s">
        <v>56</v>
      </c>
      <c r="N599" s="3"/>
      <c r="O599" s="3"/>
      <c r="P599" s="3"/>
      <c r="Q599" s="3"/>
    </row>
    <row r="600" spans="1:17" ht="21" customHeight="1">
      <c r="A600" s="3" t="s">
        <v>1104</v>
      </c>
      <c r="B600" s="5">
        <v>45466</v>
      </c>
      <c r="C600" s="3" t="s">
        <v>148</v>
      </c>
      <c r="D600" s="3" t="s">
        <v>45</v>
      </c>
      <c r="E600" s="3" t="s">
        <v>40</v>
      </c>
      <c r="F600" s="3" t="s">
        <v>102</v>
      </c>
      <c r="G600" s="3" t="s">
        <v>103</v>
      </c>
      <c r="H600" s="3">
        <v>2</v>
      </c>
      <c r="I600" s="7">
        <v>6719.56</v>
      </c>
      <c r="J600" s="9">
        <v>0.25</v>
      </c>
      <c r="K600" s="7">
        <v>10079.34</v>
      </c>
      <c r="L600" s="7">
        <v>521.16</v>
      </c>
      <c r="M600" s="3" t="s">
        <v>56</v>
      </c>
      <c r="N600" s="3"/>
      <c r="O600" s="3"/>
      <c r="P600" s="3"/>
      <c r="Q600" s="3"/>
    </row>
    <row r="601" spans="1:17" ht="21" customHeight="1">
      <c r="A601" s="3" t="s">
        <v>1105</v>
      </c>
      <c r="B601" s="5">
        <v>45467</v>
      </c>
      <c r="C601" s="3" t="s">
        <v>179</v>
      </c>
      <c r="D601" s="3" t="s">
        <v>45</v>
      </c>
      <c r="E601" s="3" t="s">
        <v>39</v>
      </c>
      <c r="F601" s="3" t="s">
        <v>130</v>
      </c>
      <c r="G601" s="3" t="s">
        <v>193</v>
      </c>
      <c r="H601" s="3">
        <v>2</v>
      </c>
      <c r="I601" s="7">
        <v>1845.7</v>
      </c>
      <c r="J601" s="9">
        <v>0.2</v>
      </c>
      <c r="K601" s="7">
        <v>2953.12</v>
      </c>
      <c r="L601" s="7">
        <v>465.06</v>
      </c>
      <c r="M601" s="3" t="s">
        <v>57</v>
      </c>
      <c r="N601" s="3"/>
      <c r="O601" s="3"/>
      <c r="P601" s="3"/>
      <c r="Q601" s="3"/>
    </row>
    <row r="602" spans="1:17" ht="21" customHeight="1">
      <c r="A602" s="3" t="s">
        <v>1106</v>
      </c>
      <c r="B602" s="5">
        <v>45467</v>
      </c>
      <c r="C602" s="3" t="s">
        <v>1107</v>
      </c>
      <c r="D602" s="3" t="s">
        <v>45</v>
      </c>
      <c r="E602" s="3" t="s">
        <v>38</v>
      </c>
      <c r="F602" s="3" t="s">
        <v>98</v>
      </c>
      <c r="G602" s="3" t="s">
        <v>362</v>
      </c>
      <c r="H602" s="3">
        <v>5</v>
      </c>
      <c r="I602" s="7">
        <v>31370.79</v>
      </c>
      <c r="J602" s="9">
        <v>0.15</v>
      </c>
      <c r="K602" s="7">
        <v>133325.85999999999</v>
      </c>
      <c r="L602" s="7">
        <v>4571.09</v>
      </c>
      <c r="M602" s="3" t="s">
        <v>56</v>
      </c>
      <c r="N602" s="3"/>
      <c r="O602" s="3"/>
      <c r="P602" s="3"/>
      <c r="Q602" s="3"/>
    </row>
    <row r="603" spans="1:17" ht="21" customHeight="1">
      <c r="A603" s="3" t="s">
        <v>1108</v>
      </c>
      <c r="B603" s="5">
        <v>45467</v>
      </c>
      <c r="C603" s="3" t="s">
        <v>1109</v>
      </c>
      <c r="D603" s="3" t="s">
        <v>44</v>
      </c>
      <c r="E603" s="3" t="s">
        <v>42</v>
      </c>
      <c r="F603" s="3" t="s">
        <v>126</v>
      </c>
      <c r="G603" s="3" t="s">
        <v>127</v>
      </c>
      <c r="H603" s="3">
        <v>5</v>
      </c>
      <c r="I603" s="7">
        <v>994.39</v>
      </c>
      <c r="J603" s="9">
        <v>0</v>
      </c>
      <c r="K603" s="7">
        <v>4971.95</v>
      </c>
      <c r="L603" s="7">
        <v>2571.17</v>
      </c>
      <c r="M603" s="3" t="s">
        <v>60</v>
      </c>
      <c r="N603" s="3"/>
      <c r="O603" s="3"/>
      <c r="P603" s="3"/>
      <c r="Q603" s="3"/>
    </row>
    <row r="604" spans="1:17" ht="21" customHeight="1">
      <c r="A604" s="3" t="s">
        <v>1110</v>
      </c>
      <c r="B604" s="5">
        <v>45467</v>
      </c>
      <c r="C604" s="3" t="s">
        <v>498</v>
      </c>
      <c r="D604" s="3" t="s">
        <v>45</v>
      </c>
      <c r="E604" s="3" t="s">
        <v>39</v>
      </c>
      <c r="F604" s="3" t="s">
        <v>109</v>
      </c>
      <c r="G604" s="3" t="s">
        <v>355</v>
      </c>
      <c r="H604" s="3">
        <v>2</v>
      </c>
      <c r="I604" s="7">
        <v>3386.3</v>
      </c>
      <c r="J604" s="9">
        <v>0.25</v>
      </c>
      <c r="K604" s="7">
        <v>5079.45</v>
      </c>
      <c r="L604" s="7">
        <v>853.87</v>
      </c>
      <c r="M604" s="3" t="s">
        <v>60</v>
      </c>
      <c r="N604" s="3"/>
      <c r="O604" s="3"/>
      <c r="P604" s="3"/>
      <c r="Q604" s="3"/>
    </row>
    <row r="605" spans="1:17" ht="21" customHeight="1">
      <c r="A605" s="3" t="s">
        <v>1111</v>
      </c>
      <c r="B605" s="5">
        <v>45467</v>
      </c>
      <c r="C605" s="3" t="s">
        <v>177</v>
      </c>
      <c r="D605" s="3" t="s">
        <v>47</v>
      </c>
      <c r="E605" s="3" t="s">
        <v>40</v>
      </c>
      <c r="F605" s="3" t="s">
        <v>160</v>
      </c>
      <c r="G605" s="3" t="s">
        <v>173</v>
      </c>
      <c r="H605" s="3">
        <v>1</v>
      </c>
      <c r="I605" s="7">
        <v>8760.48</v>
      </c>
      <c r="J605" s="9">
        <v>0.1</v>
      </c>
      <c r="K605" s="7">
        <v>7884.43</v>
      </c>
      <c r="L605" s="7">
        <v>1827.47</v>
      </c>
      <c r="M605" s="3" t="s">
        <v>57</v>
      </c>
      <c r="N605" s="3"/>
      <c r="O605" s="3"/>
      <c r="P605" s="3"/>
      <c r="Q605" s="3"/>
    </row>
    <row r="606" spans="1:17" ht="21" customHeight="1">
      <c r="A606" s="3" t="s">
        <v>1112</v>
      </c>
      <c r="B606" s="5">
        <v>45467</v>
      </c>
      <c r="C606" s="3" t="s">
        <v>1072</v>
      </c>
      <c r="D606" s="3" t="s">
        <v>46</v>
      </c>
      <c r="E606" s="3" t="s">
        <v>42</v>
      </c>
      <c r="F606" s="3" t="s">
        <v>90</v>
      </c>
      <c r="G606" s="3" t="s">
        <v>91</v>
      </c>
      <c r="H606" s="3">
        <v>4</v>
      </c>
      <c r="I606" s="7">
        <v>1194.22</v>
      </c>
      <c r="J606" s="9">
        <v>0</v>
      </c>
      <c r="K606" s="7">
        <v>4776.88</v>
      </c>
      <c r="L606" s="7">
        <v>2491.4</v>
      </c>
      <c r="M606" s="3" t="s">
        <v>56</v>
      </c>
      <c r="N606" s="3"/>
      <c r="O606" s="3"/>
      <c r="P606" s="3"/>
      <c r="Q606" s="3"/>
    </row>
    <row r="607" spans="1:17" ht="21" customHeight="1">
      <c r="A607" s="3" t="s">
        <v>1113</v>
      </c>
      <c r="B607" s="5">
        <v>45468</v>
      </c>
      <c r="C607" s="3" t="s">
        <v>118</v>
      </c>
      <c r="D607" s="3" t="s">
        <v>44</v>
      </c>
      <c r="E607" s="3" t="s">
        <v>40</v>
      </c>
      <c r="F607" s="3" t="s">
        <v>102</v>
      </c>
      <c r="G607" s="3" t="s">
        <v>146</v>
      </c>
      <c r="H607" s="3">
        <v>2</v>
      </c>
      <c r="I607" s="7">
        <v>7944.43</v>
      </c>
      <c r="J607" s="9">
        <v>0.25</v>
      </c>
      <c r="K607" s="7">
        <v>11916.65</v>
      </c>
      <c r="L607" s="7">
        <v>928.97</v>
      </c>
      <c r="M607" s="3" t="s">
        <v>56</v>
      </c>
      <c r="N607" s="3"/>
      <c r="O607" s="3"/>
      <c r="P607" s="3"/>
      <c r="Q607" s="3"/>
    </row>
    <row r="608" spans="1:17" ht="21" customHeight="1">
      <c r="A608" s="3" t="s">
        <v>1114</v>
      </c>
      <c r="B608" s="5">
        <v>45469</v>
      </c>
      <c r="C608" s="3" t="s">
        <v>1115</v>
      </c>
      <c r="D608" s="3" t="s">
        <v>45</v>
      </c>
      <c r="E608" s="3" t="s">
        <v>38</v>
      </c>
      <c r="F608" s="3" t="s">
        <v>98</v>
      </c>
      <c r="G608" s="3" t="s">
        <v>362</v>
      </c>
      <c r="H608" s="3">
        <v>2</v>
      </c>
      <c r="I608" s="7">
        <v>32729.200000000001</v>
      </c>
      <c r="J608" s="9">
        <v>0.05</v>
      </c>
      <c r="K608" s="7">
        <v>62185.48</v>
      </c>
      <c r="L608" s="7">
        <v>5816.17</v>
      </c>
      <c r="M608" s="3" t="s">
        <v>56</v>
      </c>
      <c r="N608" s="3"/>
      <c r="O608" s="3"/>
      <c r="P608" s="3"/>
      <c r="Q608" s="3"/>
    </row>
    <row r="609" spans="1:17" ht="21" customHeight="1">
      <c r="A609" s="3" t="s">
        <v>1116</v>
      </c>
      <c r="B609" s="5">
        <v>45469</v>
      </c>
      <c r="C609" s="3" t="s">
        <v>322</v>
      </c>
      <c r="D609" s="3" t="s">
        <v>45</v>
      </c>
      <c r="E609" s="3" t="s">
        <v>40</v>
      </c>
      <c r="F609" s="3" t="s">
        <v>102</v>
      </c>
      <c r="G609" s="3" t="s">
        <v>146</v>
      </c>
      <c r="H609" s="3">
        <v>2</v>
      </c>
      <c r="I609" s="7">
        <v>8059.55</v>
      </c>
      <c r="J609" s="9">
        <v>0.25</v>
      </c>
      <c r="K609" s="7">
        <v>12089.33</v>
      </c>
      <c r="L609" s="7">
        <v>980.6</v>
      </c>
      <c r="M609" s="3" t="s">
        <v>60</v>
      </c>
      <c r="N609" s="3"/>
      <c r="O609" s="3"/>
      <c r="P609" s="3"/>
      <c r="Q609" s="3"/>
    </row>
    <row r="610" spans="1:17" ht="21" customHeight="1">
      <c r="A610" s="3" t="s">
        <v>1117</v>
      </c>
      <c r="B610" s="5">
        <v>45469</v>
      </c>
      <c r="C610" s="3" t="s">
        <v>370</v>
      </c>
      <c r="D610" s="3" t="s">
        <v>45</v>
      </c>
      <c r="E610" s="3" t="s">
        <v>38</v>
      </c>
      <c r="F610" s="3" t="s">
        <v>98</v>
      </c>
      <c r="G610" s="3" t="s">
        <v>362</v>
      </c>
      <c r="H610" s="3">
        <v>2</v>
      </c>
      <c r="I610" s="7">
        <v>32398.84</v>
      </c>
      <c r="J610" s="9">
        <v>0.05</v>
      </c>
      <c r="K610" s="7">
        <v>61557.8</v>
      </c>
      <c r="L610" s="7">
        <v>6963.61</v>
      </c>
      <c r="M610" s="3" t="s">
        <v>57</v>
      </c>
      <c r="N610" s="3"/>
      <c r="O610" s="3"/>
      <c r="P610" s="3"/>
      <c r="Q610" s="3"/>
    </row>
    <row r="611" spans="1:17" ht="21" customHeight="1">
      <c r="A611" s="3" t="s">
        <v>1118</v>
      </c>
      <c r="B611" s="5">
        <v>45469</v>
      </c>
      <c r="C611" s="3" t="s">
        <v>436</v>
      </c>
      <c r="D611" s="3" t="s">
        <v>44</v>
      </c>
      <c r="E611" s="3" t="s">
        <v>41</v>
      </c>
      <c r="F611" s="3" t="s">
        <v>119</v>
      </c>
      <c r="G611" s="3" t="s">
        <v>168</v>
      </c>
      <c r="H611" s="3">
        <v>1</v>
      </c>
      <c r="I611" s="7">
        <v>9942.98</v>
      </c>
      <c r="J611" s="9">
        <v>0.15</v>
      </c>
      <c r="K611" s="7">
        <v>8451.5300000000007</v>
      </c>
      <c r="L611" s="7">
        <v>1851.63</v>
      </c>
      <c r="M611" s="3" t="s">
        <v>56</v>
      </c>
      <c r="N611" s="3"/>
      <c r="O611" s="3"/>
      <c r="P611" s="3"/>
      <c r="Q611" s="3"/>
    </row>
    <row r="612" spans="1:17" ht="21" customHeight="1">
      <c r="A612" s="3" t="s">
        <v>1119</v>
      </c>
      <c r="B612" s="5">
        <v>45469</v>
      </c>
      <c r="C612" s="3" t="s">
        <v>805</v>
      </c>
      <c r="D612" s="3" t="s">
        <v>46</v>
      </c>
      <c r="E612" s="3" t="s">
        <v>39</v>
      </c>
      <c r="F612" s="3" t="s">
        <v>130</v>
      </c>
      <c r="G612" s="3" t="s">
        <v>131</v>
      </c>
      <c r="H612" s="3">
        <v>1</v>
      </c>
      <c r="I612" s="7">
        <v>2295.62</v>
      </c>
      <c r="J612" s="9">
        <v>0.1</v>
      </c>
      <c r="K612" s="7">
        <v>2066.06</v>
      </c>
      <c r="L612" s="7">
        <v>549.21</v>
      </c>
      <c r="M612" s="3" t="s">
        <v>56</v>
      </c>
      <c r="N612" s="3"/>
      <c r="O612" s="3"/>
      <c r="P612" s="3"/>
      <c r="Q612" s="3"/>
    </row>
    <row r="613" spans="1:17" ht="21" customHeight="1">
      <c r="A613" s="3" t="s">
        <v>1120</v>
      </c>
      <c r="B613" s="5">
        <v>45469</v>
      </c>
      <c r="C613" s="3" t="s">
        <v>833</v>
      </c>
      <c r="D613" s="3" t="s">
        <v>45</v>
      </c>
      <c r="E613" s="3" t="s">
        <v>40</v>
      </c>
      <c r="F613" s="3" t="s">
        <v>221</v>
      </c>
      <c r="G613" s="3" t="s">
        <v>279</v>
      </c>
      <c r="H613" s="3">
        <v>1</v>
      </c>
      <c r="I613" s="7">
        <v>1446.37</v>
      </c>
      <c r="J613" s="9">
        <v>0.05</v>
      </c>
      <c r="K613" s="7">
        <v>1374.05</v>
      </c>
      <c r="L613" s="7">
        <v>330.3</v>
      </c>
      <c r="M613" s="3" t="s">
        <v>57</v>
      </c>
      <c r="N613" s="3"/>
      <c r="O613" s="3"/>
      <c r="P613" s="3"/>
      <c r="Q613" s="3"/>
    </row>
    <row r="614" spans="1:17" ht="21" customHeight="1">
      <c r="A614" s="3" t="s">
        <v>1121</v>
      </c>
      <c r="B614" s="5">
        <v>45470</v>
      </c>
      <c r="C614" s="3" t="s">
        <v>1122</v>
      </c>
      <c r="D614" s="3" t="s">
        <v>47</v>
      </c>
      <c r="E614" s="3" t="s">
        <v>41</v>
      </c>
      <c r="F614" s="3" t="s">
        <v>113</v>
      </c>
      <c r="G614" s="3" t="s">
        <v>114</v>
      </c>
      <c r="H614" s="3">
        <v>1</v>
      </c>
      <c r="I614" s="7">
        <v>11846.41</v>
      </c>
      <c r="J614" s="9">
        <v>0</v>
      </c>
      <c r="K614" s="7">
        <v>11846.41</v>
      </c>
      <c r="L614" s="7">
        <v>4321.96</v>
      </c>
      <c r="M614" s="3" t="s">
        <v>60</v>
      </c>
      <c r="N614" s="3"/>
      <c r="O614" s="3"/>
      <c r="P614" s="3"/>
      <c r="Q614" s="3"/>
    </row>
    <row r="615" spans="1:17" ht="21" customHeight="1">
      <c r="A615" s="3" t="s">
        <v>1123</v>
      </c>
      <c r="B615" s="5">
        <v>45471</v>
      </c>
      <c r="C615" s="3" t="s">
        <v>1042</v>
      </c>
      <c r="D615" s="3" t="s">
        <v>46</v>
      </c>
      <c r="E615" s="3" t="s">
        <v>38</v>
      </c>
      <c r="F615" s="3" t="s">
        <v>98</v>
      </c>
      <c r="G615" s="3" t="s">
        <v>182</v>
      </c>
      <c r="H615" s="3">
        <v>3</v>
      </c>
      <c r="I615" s="7">
        <v>73154.460000000006</v>
      </c>
      <c r="J615" s="9">
        <v>0.1</v>
      </c>
      <c r="K615" s="7">
        <v>197517.04</v>
      </c>
      <c r="L615" s="7">
        <v>20732.53</v>
      </c>
      <c r="M615" s="3" t="s">
        <v>56</v>
      </c>
      <c r="N615" s="3"/>
      <c r="O615" s="3"/>
      <c r="P615" s="3"/>
      <c r="Q615" s="3"/>
    </row>
    <row r="616" spans="1:17" ht="21" customHeight="1">
      <c r="A616" s="3" t="s">
        <v>1124</v>
      </c>
      <c r="B616" s="5">
        <v>45471</v>
      </c>
      <c r="C616" s="3" t="s">
        <v>858</v>
      </c>
      <c r="D616" s="3" t="s">
        <v>46</v>
      </c>
      <c r="E616" s="3" t="s">
        <v>41</v>
      </c>
      <c r="F616" s="3" t="s">
        <v>119</v>
      </c>
      <c r="G616" s="3" t="s">
        <v>168</v>
      </c>
      <c r="H616" s="3">
        <v>1</v>
      </c>
      <c r="I616" s="7">
        <v>10406.9</v>
      </c>
      <c r="J616" s="9">
        <v>0.1</v>
      </c>
      <c r="K616" s="7">
        <v>9366.2099999999991</v>
      </c>
      <c r="L616" s="7">
        <v>2174.4299999999998</v>
      </c>
      <c r="M616" s="3" t="s">
        <v>57</v>
      </c>
      <c r="N616" s="3"/>
      <c r="O616" s="3"/>
      <c r="P616" s="3"/>
      <c r="Q616" s="3"/>
    </row>
    <row r="617" spans="1:17" ht="21" customHeight="1">
      <c r="A617" s="3" t="s">
        <v>1125</v>
      </c>
      <c r="B617" s="5">
        <v>45471</v>
      </c>
      <c r="C617" s="3" t="s">
        <v>700</v>
      </c>
      <c r="D617" s="3" t="s">
        <v>45</v>
      </c>
      <c r="E617" s="3" t="s">
        <v>39</v>
      </c>
      <c r="F617" s="3" t="s">
        <v>164</v>
      </c>
      <c r="G617" s="3" t="s">
        <v>165</v>
      </c>
      <c r="H617" s="3">
        <v>1</v>
      </c>
      <c r="I617" s="7">
        <v>1989.68</v>
      </c>
      <c r="J617" s="9">
        <v>0.05</v>
      </c>
      <c r="K617" s="7">
        <v>1890.2</v>
      </c>
      <c r="L617" s="7">
        <v>701.65</v>
      </c>
      <c r="M617" s="3" t="s">
        <v>58</v>
      </c>
      <c r="N617" s="3"/>
      <c r="O617" s="3"/>
      <c r="P617" s="3"/>
      <c r="Q617" s="3"/>
    </row>
    <row r="618" spans="1:17" ht="21" customHeight="1">
      <c r="A618" s="3" t="s">
        <v>1126</v>
      </c>
      <c r="B618" s="5">
        <v>45471</v>
      </c>
      <c r="C618" s="3" t="s">
        <v>473</v>
      </c>
      <c r="D618" s="3" t="s">
        <v>46</v>
      </c>
      <c r="E618" s="3" t="s">
        <v>39</v>
      </c>
      <c r="F618" s="3" t="s">
        <v>130</v>
      </c>
      <c r="G618" s="3" t="s">
        <v>193</v>
      </c>
      <c r="H618" s="3">
        <v>2</v>
      </c>
      <c r="I618" s="7">
        <v>1876.48</v>
      </c>
      <c r="J618" s="9">
        <v>0.15</v>
      </c>
      <c r="K618" s="7">
        <v>3190.02</v>
      </c>
      <c r="L618" s="7">
        <v>764.17</v>
      </c>
      <c r="M618" s="3" t="s">
        <v>56</v>
      </c>
      <c r="N618" s="3"/>
      <c r="O618" s="3"/>
      <c r="P618" s="3"/>
      <c r="Q618" s="3"/>
    </row>
    <row r="619" spans="1:17" ht="21" customHeight="1">
      <c r="A619" s="3" t="s">
        <v>1127</v>
      </c>
      <c r="B619" s="5">
        <v>45471</v>
      </c>
      <c r="C619" s="3" t="s">
        <v>715</v>
      </c>
      <c r="D619" s="3" t="s">
        <v>45</v>
      </c>
      <c r="E619" s="3" t="s">
        <v>40</v>
      </c>
      <c r="F619" s="3" t="s">
        <v>221</v>
      </c>
      <c r="G619" s="3" t="s">
        <v>222</v>
      </c>
      <c r="H619" s="3">
        <v>2</v>
      </c>
      <c r="I619" s="7">
        <v>982.34</v>
      </c>
      <c r="J619" s="9">
        <v>0</v>
      </c>
      <c r="K619" s="7">
        <v>1964.68</v>
      </c>
      <c r="L619" s="7">
        <v>632.01</v>
      </c>
      <c r="M619" s="3" t="s">
        <v>60</v>
      </c>
      <c r="N619" s="3"/>
      <c r="O619" s="3"/>
      <c r="P619" s="3"/>
      <c r="Q619" s="3"/>
    </row>
    <row r="620" spans="1:17" ht="21" customHeight="1">
      <c r="A620" s="3" t="s">
        <v>1128</v>
      </c>
      <c r="B620" s="5">
        <v>45471</v>
      </c>
      <c r="C620" s="3" t="s">
        <v>1129</v>
      </c>
      <c r="D620" s="3" t="s">
        <v>46</v>
      </c>
      <c r="E620" s="3" t="s">
        <v>41</v>
      </c>
      <c r="F620" s="3" t="s">
        <v>113</v>
      </c>
      <c r="G620" s="3" t="s">
        <v>123</v>
      </c>
      <c r="H620" s="3">
        <v>4</v>
      </c>
      <c r="I620" s="7">
        <v>3455.53</v>
      </c>
      <c r="J620" s="9">
        <v>0.1</v>
      </c>
      <c r="K620" s="7">
        <v>12439.91</v>
      </c>
      <c r="L620" s="7">
        <v>2805.57</v>
      </c>
      <c r="M620" s="3" t="s">
        <v>56</v>
      </c>
      <c r="N620" s="3"/>
      <c r="O620" s="3"/>
      <c r="P620" s="3"/>
      <c r="Q620" s="3"/>
    </row>
    <row r="621" spans="1:17" ht="21" customHeight="1">
      <c r="A621" s="3" t="s">
        <v>1130</v>
      </c>
      <c r="B621" s="5">
        <v>45471</v>
      </c>
      <c r="C621" s="3" t="s">
        <v>1131</v>
      </c>
      <c r="D621" s="3" t="s">
        <v>47</v>
      </c>
      <c r="E621" s="3" t="s">
        <v>42</v>
      </c>
      <c r="F621" s="3" t="s">
        <v>126</v>
      </c>
      <c r="G621" s="3" t="s">
        <v>127</v>
      </c>
      <c r="H621" s="3">
        <v>1</v>
      </c>
      <c r="I621" s="7">
        <v>1030.8699999999999</v>
      </c>
      <c r="J621" s="9">
        <v>0.05</v>
      </c>
      <c r="K621" s="7">
        <v>979.33</v>
      </c>
      <c r="L621" s="7">
        <v>456.37</v>
      </c>
      <c r="M621" s="3" t="s">
        <v>60</v>
      </c>
      <c r="N621" s="3"/>
      <c r="O621" s="3"/>
      <c r="P621" s="3"/>
      <c r="Q621" s="3"/>
    </row>
    <row r="622" spans="1:17" ht="21" customHeight="1">
      <c r="A622" s="3" t="s">
        <v>1132</v>
      </c>
      <c r="B622" s="5">
        <v>45472</v>
      </c>
      <c r="C622" s="3" t="s">
        <v>962</v>
      </c>
      <c r="D622" s="3" t="s">
        <v>46</v>
      </c>
      <c r="E622" s="3" t="s">
        <v>39</v>
      </c>
      <c r="F622" s="3" t="s">
        <v>109</v>
      </c>
      <c r="G622" s="3" t="s">
        <v>110</v>
      </c>
      <c r="H622" s="3">
        <v>1</v>
      </c>
      <c r="I622" s="7">
        <v>2864.69</v>
      </c>
      <c r="J622" s="9">
        <v>0</v>
      </c>
      <c r="K622" s="7">
        <v>2864.69</v>
      </c>
      <c r="L622" s="7">
        <v>1238.6099999999999</v>
      </c>
      <c r="M622" s="3" t="s">
        <v>60</v>
      </c>
      <c r="N622" s="3"/>
      <c r="O622" s="3"/>
      <c r="P622" s="3"/>
      <c r="Q622" s="3"/>
    </row>
    <row r="623" spans="1:17" ht="21" customHeight="1">
      <c r="A623" s="3" t="s">
        <v>1133</v>
      </c>
      <c r="B623" s="5">
        <v>45472</v>
      </c>
      <c r="C623" s="3" t="s">
        <v>1134</v>
      </c>
      <c r="D623" s="3" t="s">
        <v>46</v>
      </c>
      <c r="E623" s="3" t="s">
        <v>40</v>
      </c>
      <c r="F623" s="3" t="s">
        <v>160</v>
      </c>
      <c r="G623" s="3" t="s">
        <v>161</v>
      </c>
      <c r="H623" s="3">
        <v>1</v>
      </c>
      <c r="I623" s="7">
        <v>13323.43</v>
      </c>
      <c r="J623" s="9">
        <v>0.2</v>
      </c>
      <c r="K623" s="7">
        <v>10658.74</v>
      </c>
      <c r="L623" s="7">
        <v>750.58</v>
      </c>
      <c r="M623" s="3" t="s">
        <v>56</v>
      </c>
      <c r="N623" s="3"/>
      <c r="O623" s="3"/>
      <c r="P623" s="3"/>
      <c r="Q623" s="3"/>
    </row>
    <row r="624" spans="1:17" ht="21" customHeight="1">
      <c r="A624" s="3" t="s">
        <v>1135</v>
      </c>
      <c r="B624" s="5">
        <v>45473</v>
      </c>
      <c r="C624" s="3" t="s">
        <v>333</v>
      </c>
      <c r="D624" s="3" t="s">
        <v>44</v>
      </c>
      <c r="E624" s="3" t="s">
        <v>39</v>
      </c>
      <c r="F624" s="3" t="s">
        <v>130</v>
      </c>
      <c r="G624" s="3" t="s">
        <v>193</v>
      </c>
      <c r="H624" s="3">
        <v>1</v>
      </c>
      <c r="I624" s="7">
        <v>1824.01</v>
      </c>
      <c r="J624" s="9">
        <v>0.3</v>
      </c>
      <c r="K624" s="7">
        <v>1276.81</v>
      </c>
      <c r="L624" s="7">
        <v>75.81</v>
      </c>
      <c r="M624" s="3" t="s">
        <v>57</v>
      </c>
      <c r="N624" s="3"/>
      <c r="O624" s="3"/>
      <c r="P624" s="3"/>
      <c r="Q624" s="3"/>
    </row>
    <row r="625" spans="1:17" ht="21" customHeight="1">
      <c r="A625" s="3" t="s">
        <v>1136</v>
      </c>
      <c r="B625" s="5">
        <v>45473</v>
      </c>
      <c r="C625" s="3" t="s">
        <v>741</v>
      </c>
      <c r="D625" s="3" t="s">
        <v>45</v>
      </c>
      <c r="E625" s="3" t="s">
        <v>39</v>
      </c>
      <c r="F625" s="3" t="s">
        <v>109</v>
      </c>
      <c r="G625" s="3" t="s">
        <v>110</v>
      </c>
      <c r="H625" s="3">
        <v>5</v>
      </c>
      <c r="I625" s="7">
        <v>3053.94</v>
      </c>
      <c r="J625" s="9">
        <v>0</v>
      </c>
      <c r="K625" s="7">
        <v>15269.7</v>
      </c>
      <c r="L625" s="7">
        <v>5991.43</v>
      </c>
      <c r="M625" s="3" t="s">
        <v>56</v>
      </c>
      <c r="N625" s="3"/>
      <c r="O625" s="3"/>
      <c r="P625" s="3"/>
      <c r="Q625" s="3"/>
    </row>
    <row r="626" spans="1:17" ht="21" customHeight="1">
      <c r="A626" s="3" t="s">
        <v>1137</v>
      </c>
      <c r="B626" s="5">
        <v>45473</v>
      </c>
      <c r="C626" s="3" t="s">
        <v>1138</v>
      </c>
      <c r="D626" s="3" t="s">
        <v>45</v>
      </c>
      <c r="E626" s="3" t="s">
        <v>41</v>
      </c>
      <c r="F626" s="3" t="s">
        <v>119</v>
      </c>
      <c r="G626" s="3" t="s">
        <v>120</v>
      </c>
      <c r="H626" s="3">
        <v>1</v>
      </c>
      <c r="I626" s="7">
        <v>1325.52</v>
      </c>
      <c r="J626" s="9">
        <v>0.15</v>
      </c>
      <c r="K626" s="7">
        <v>1126.69</v>
      </c>
      <c r="L626" s="7">
        <v>228.85</v>
      </c>
      <c r="M626" s="3" t="s">
        <v>57</v>
      </c>
      <c r="N626" s="3"/>
      <c r="O626" s="3"/>
      <c r="P626" s="3"/>
      <c r="Q626" s="3"/>
    </row>
    <row r="627" spans="1:17" ht="21" customHeight="1">
      <c r="A627" s="3" t="s">
        <v>1139</v>
      </c>
      <c r="B627" s="5">
        <v>45473</v>
      </c>
      <c r="C627" s="3" t="s">
        <v>1140</v>
      </c>
      <c r="D627" s="3" t="s">
        <v>45</v>
      </c>
      <c r="E627" s="3" t="s">
        <v>38</v>
      </c>
      <c r="F627" s="3" t="s">
        <v>98</v>
      </c>
      <c r="G627" s="3" t="s">
        <v>182</v>
      </c>
      <c r="H627" s="3">
        <v>2</v>
      </c>
      <c r="I627" s="7">
        <v>71050.080000000002</v>
      </c>
      <c r="J627" s="9">
        <v>0.4</v>
      </c>
      <c r="K627" s="7">
        <v>85260.1</v>
      </c>
      <c r="L627" s="7">
        <v>-24487.66</v>
      </c>
      <c r="M627" s="3" t="s">
        <v>56</v>
      </c>
      <c r="N627" s="3"/>
      <c r="O627" s="3"/>
      <c r="P627" s="3"/>
      <c r="Q627" s="3"/>
    </row>
    <row r="628" spans="1:17" ht="21" customHeight="1">
      <c r="A628" s="3" t="s">
        <v>1141</v>
      </c>
      <c r="B628" s="5">
        <v>45474</v>
      </c>
      <c r="C628" s="3" t="s">
        <v>1142</v>
      </c>
      <c r="D628" s="3" t="s">
        <v>44</v>
      </c>
      <c r="E628" s="3" t="s">
        <v>40</v>
      </c>
      <c r="F628" s="3" t="s">
        <v>160</v>
      </c>
      <c r="G628" s="3" t="s">
        <v>161</v>
      </c>
      <c r="H628" s="3">
        <v>1</v>
      </c>
      <c r="I628" s="7">
        <v>12854.18</v>
      </c>
      <c r="J628" s="9">
        <v>0</v>
      </c>
      <c r="K628" s="7">
        <v>12854.18</v>
      </c>
      <c r="L628" s="7">
        <v>4751.8900000000003</v>
      </c>
      <c r="M628" s="3" t="s">
        <v>58</v>
      </c>
      <c r="N628" s="3"/>
      <c r="O628" s="3"/>
      <c r="P628" s="3"/>
      <c r="Q628" s="3"/>
    </row>
    <row r="629" spans="1:17" ht="21" customHeight="1">
      <c r="A629" s="3" t="s">
        <v>1143</v>
      </c>
      <c r="B629" s="5">
        <v>45474</v>
      </c>
      <c r="C629" s="3" t="s">
        <v>902</v>
      </c>
      <c r="D629" s="3" t="s">
        <v>46</v>
      </c>
      <c r="E629" s="3" t="s">
        <v>41</v>
      </c>
      <c r="F629" s="3" t="s">
        <v>119</v>
      </c>
      <c r="G629" s="3" t="s">
        <v>168</v>
      </c>
      <c r="H629" s="3">
        <v>5</v>
      </c>
      <c r="I629" s="7">
        <v>10324.36</v>
      </c>
      <c r="J629" s="9">
        <v>0</v>
      </c>
      <c r="K629" s="7">
        <v>51621.8</v>
      </c>
      <c r="L629" s="7">
        <v>21159.59</v>
      </c>
      <c r="M629" s="3" t="s">
        <v>57</v>
      </c>
      <c r="N629" s="3"/>
      <c r="O629" s="3"/>
      <c r="P629" s="3"/>
      <c r="Q629" s="3"/>
    </row>
    <row r="630" spans="1:17" ht="21" customHeight="1">
      <c r="A630" s="3" t="s">
        <v>1144</v>
      </c>
      <c r="B630" s="5">
        <v>45475</v>
      </c>
      <c r="C630" s="3" t="s">
        <v>377</v>
      </c>
      <c r="D630" s="3" t="s">
        <v>44</v>
      </c>
      <c r="E630" s="3" t="s">
        <v>38</v>
      </c>
      <c r="F630" s="3" t="s">
        <v>142</v>
      </c>
      <c r="G630" s="3" t="s">
        <v>143</v>
      </c>
      <c r="H630" s="3">
        <v>1</v>
      </c>
      <c r="I630" s="7">
        <v>8796.2900000000009</v>
      </c>
      <c r="J630" s="9">
        <v>0.1</v>
      </c>
      <c r="K630" s="7">
        <v>7916.66</v>
      </c>
      <c r="L630" s="7">
        <v>816.99</v>
      </c>
      <c r="M630" s="3" t="s">
        <v>58</v>
      </c>
      <c r="N630" s="3"/>
      <c r="O630" s="3"/>
      <c r="P630" s="3"/>
      <c r="Q630" s="3"/>
    </row>
    <row r="631" spans="1:17" ht="21" customHeight="1">
      <c r="A631" s="3" t="s">
        <v>1145</v>
      </c>
      <c r="B631" s="5">
        <v>45475</v>
      </c>
      <c r="C631" s="3" t="s">
        <v>1146</v>
      </c>
      <c r="D631" s="3" t="s">
        <v>45</v>
      </c>
      <c r="E631" s="3" t="s">
        <v>38</v>
      </c>
      <c r="F631" s="3" t="s">
        <v>142</v>
      </c>
      <c r="G631" s="3" t="s">
        <v>245</v>
      </c>
      <c r="H631" s="3">
        <v>3</v>
      </c>
      <c r="I631" s="7">
        <v>5056.01</v>
      </c>
      <c r="J631" s="9">
        <v>0.15</v>
      </c>
      <c r="K631" s="7">
        <v>12892.83</v>
      </c>
      <c r="L631" s="7">
        <v>-247.96</v>
      </c>
      <c r="M631" s="3" t="s">
        <v>57</v>
      </c>
      <c r="N631" s="3"/>
      <c r="O631" s="3"/>
      <c r="P631" s="3"/>
      <c r="Q631" s="3"/>
    </row>
    <row r="632" spans="1:17" ht="21" customHeight="1">
      <c r="A632" s="3" t="s">
        <v>1147</v>
      </c>
      <c r="B632" s="5">
        <v>45475</v>
      </c>
      <c r="C632" s="3" t="s">
        <v>906</v>
      </c>
      <c r="D632" s="3" t="s">
        <v>44</v>
      </c>
      <c r="E632" s="3" t="s">
        <v>42</v>
      </c>
      <c r="F632" s="3" t="s">
        <v>90</v>
      </c>
      <c r="G632" s="3" t="s">
        <v>106</v>
      </c>
      <c r="H632" s="3">
        <v>2</v>
      </c>
      <c r="I632" s="7">
        <v>871.08</v>
      </c>
      <c r="J632" s="9">
        <v>0.1</v>
      </c>
      <c r="K632" s="7">
        <v>1567.94</v>
      </c>
      <c r="L632" s="7">
        <v>685.34</v>
      </c>
      <c r="M632" s="3" t="s">
        <v>57</v>
      </c>
      <c r="N632" s="3"/>
      <c r="O632" s="3"/>
      <c r="P632" s="3"/>
      <c r="Q632" s="3"/>
    </row>
    <row r="633" spans="1:17" ht="21" customHeight="1">
      <c r="A633" s="3" t="s">
        <v>1148</v>
      </c>
      <c r="B633" s="5">
        <v>45475</v>
      </c>
      <c r="C633" s="3" t="s">
        <v>518</v>
      </c>
      <c r="D633" s="3" t="s">
        <v>46</v>
      </c>
      <c r="E633" s="3" t="s">
        <v>41</v>
      </c>
      <c r="F633" s="3" t="s">
        <v>119</v>
      </c>
      <c r="G633" s="3" t="s">
        <v>120</v>
      </c>
      <c r="H633" s="3">
        <v>1</v>
      </c>
      <c r="I633" s="7">
        <v>1312.33</v>
      </c>
      <c r="J633" s="9">
        <v>0.3</v>
      </c>
      <c r="K633" s="7">
        <v>918.63</v>
      </c>
      <c r="L633" s="7">
        <v>1.07</v>
      </c>
      <c r="M633" s="3" t="s">
        <v>56</v>
      </c>
      <c r="N633" s="3"/>
      <c r="O633" s="3"/>
      <c r="P633" s="3"/>
      <c r="Q633" s="3"/>
    </row>
    <row r="634" spans="1:17" ht="21" customHeight="1">
      <c r="A634" s="3" t="s">
        <v>1149</v>
      </c>
      <c r="B634" s="5">
        <v>45475</v>
      </c>
      <c r="C634" s="3" t="s">
        <v>1150</v>
      </c>
      <c r="D634" s="3" t="s">
        <v>47</v>
      </c>
      <c r="E634" s="3" t="s">
        <v>40</v>
      </c>
      <c r="F634" s="3" t="s">
        <v>160</v>
      </c>
      <c r="G634" s="3" t="s">
        <v>173</v>
      </c>
      <c r="H634" s="3">
        <v>2</v>
      </c>
      <c r="I634" s="7">
        <v>8925.93</v>
      </c>
      <c r="J634" s="9">
        <v>0.3</v>
      </c>
      <c r="K634" s="7">
        <v>12496.3</v>
      </c>
      <c r="L634" s="7">
        <v>-304.33</v>
      </c>
      <c r="M634" s="3" t="s">
        <v>59</v>
      </c>
      <c r="N634" s="3"/>
      <c r="O634" s="3"/>
      <c r="P634" s="3"/>
      <c r="Q634" s="3"/>
    </row>
    <row r="635" spans="1:17" ht="21" customHeight="1">
      <c r="A635" s="3" t="s">
        <v>1151</v>
      </c>
      <c r="B635" s="5">
        <v>45476</v>
      </c>
      <c r="C635" s="3" t="s">
        <v>1152</v>
      </c>
      <c r="D635" s="3" t="s">
        <v>44</v>
      </c>
      <c r="E635" s="3" t="s">
        <v>41</v>
      </c>
      <c r="F635" s="3" t="s">
        <v>113</v>
      </c>
      <c r="G635" s="3" t="s">
        <v>114</v>
      </c>
      <c r="H635" s="3">
        <v>4</v>
      </c>
      <c r="I635" s="7">
        <v>12360.35</v>
      </c>
      <c r="J635" s="9">
        <v>0.05</v>
      </c>
      <c r="K635" s="7">
        <v>46969.33</v>
      </c>
      <c r="L635" s="7">
        <v>16000.88</v>
      </c>
      <c r="M635" s="3" t="s">
        <v>57</v>
      </c>
      <c r="N635" s="3"/>
      <c r="O635" s="3"/>
      <c r="P635" s="3"/>
      <c r="Q635" s="3"/>
    </row>
    <row r="636" spans="1:17" ht="21" customHeight="1">
      <c r="A636" s="3" t="s">
        <v>1153</v>
      </c>
      <c r="B636" s="5">
        <v>45476</v>
      </c>
      <c r="C636" s="3" t="s">
        <v>957</v>
      </c>
      <c r="D636" s="3" t="s">
        <v>46</v>
      </c>
      <c r="E636" s="3" t="s">
        <v>41</v>
      </c>
      <c r="F636" s="3" t="s">
        <v>119</v>
      </c>
      <c r="G636" s="3" t="s">
        <v>120</v>
      </c>
      <c r="H636" s="3">
        <v>1</v>
      </c>
      <c r="I636" s="7">
        <v>1345.78</v>
      </c>
      <c r="J636" s="9">
        <v>0.15</v>
      </c>
      <c r="K636" s="7">
        <v>1143.9100000000001</v>
      </c>
      <c r="L636" s="7">
        <v>273.38</v>
      </c>
      <c r="M636" s="3" t="s">
        <v>60</v>
      </c>
      <c r="N636" s="3"/>
      <c r="O636" s="3"/>
      <c r="P636" s="3"/>
      <c r="Q636" s="3"/>
    </row>
    <row r="637" spans="1:17" ht="21" customHeight="1">
      <c r="A637" s="3" t="s">
        <v>1154</v>
      </c>
      <c r="B637" s="5">
        <v>45476</v>
      </c>
      <c r="C637" s="3" t="s">
        <v>992</v>
      </c>
      <c r="D637" s="3" t="s">
        <v>47</v>
      </c>
      <c r="E637" s="3" t="s">
        <v>38</v>
      </c>
      <c r="F637" s="3" t="s">
        <v>94</v>
      </c>
      <c r="G637" s="3" t="s">
        <v>213</v>
      </c>
      <c r="H637" s="3">
        <v>1</v>
      </c>
      <c r="I637" s="7">
        <v>53405.66</v>
      </c>
      <c r="J637" s="9">
        <v>0.1</v>
      </c>
      <c r="K637" s="7">
        <v>48065.09</v>
      </c>
      <c r="L637" s="7">
        <v>2816.26</v>
      </c>
      <c r="M637" s="3" t="s">
        <v>57</v>
      </c>
      <c r="N637" s="3"/>
      <c r="O637" s="3"/>
      <c r="P637" s="3"/>
      <c r="Q637" s="3"/>
    </row>
    <row r="638" spans="1:17" ht="21" customHeight="1">
      <c r="A638" s="3" t="s">
        <v>1155</v>
      </c>
      <c r="B638" s="5">
        <v>45476</v>
      </c>
      <c r="C638" s="3" t="s">
        <v>1156</v>
      </c>
      <c r="D638" s="3" t="s">
        <v>44</v>
      </c>
      <c r="E638" s="3" t="s">
        <v>41</v>
      </c>
      <c r="F638" s="3" t="s">
        <v>113</v>
      </c>
      <c r="G638" s="3" t="s">
        <v>123</v>
      </c>
      <c r="H638" s="3">
        <v>1</v>
      </c>
      <c r="I638" s="7">
        <v>3666.57</v>
      </c>
      <c r="J638" s="9">
        <v>0.1</v>
      </c>
      <c r="K638" s="7">
        <v>3299.91</v>
      </c>
      <c r="L638" s="7">
        <v>954.62</v>
      </c>
      <c r="M638" s="3" t="s">
        <v>56</v>
      </c>
      <c r="N638" s="3"/>
      <c r="O638" s="3"/>
      <c r="P638" s="3"/>
      <c r="Q638" s="3"/>
    </row>
    <row r="639" spans="1:17" ht="21" customHeight="1">
      <c r="A639" s="3" t="s">
        <v>1157</v>
      </c>
      <c r="B639" s="5">
        <v>45476</v>
      </c>
      <c r="C639" s="3" t="s">
        <v>1158</v>
      </c>
      <c r="D639" s="3" t="s">
        <v>44</v>
      </c>
      <c r="E639" s="3" t="s">
        <v>41</v>
      </c>
      <c r="F639" s="3" t="s">
        <v>113</v>
      </c>
      <c r="G639" s="3" t="s">
        <v>114</v>
      </c>
      <c r="H639" s="3">
        <v>2</v>
      </c>
      <c r="I639" s="7">
        <v>11541.54</v>
      </c>
      <c r="J639" s="9">
        <v>0.15</v>
      </c>
      <c r="K639" s="7">
        <v>19620.62</v>
      </c>
      <c r="L639" s="7">
        <v>3969.79</v>
      </c>
      <c r="M639" s="3" t="s">
        <v>56</v>
      </c>
      <c r="N639" s="3"/>
      <c r="O639" s="3"/>
      <c r="P639" s="3"/>
      <c r="Q639" s="3"/>
    </row>
    <row r="640" spans="1:17" ht="21" customHeight="1">
      <c r="A640" s="3" t="s">
        <v>1159</v>
      </c>
      <c r="B640" s="5">
        <v>45477</v>
      </c>
      <c r="C640" s="3" t="s">
        <v>1160</v>
      </c>
      <c r="D640" s="3" t="s">
        <v>44</v>
      </c>
      <c r="E640" s="3" t="s">
        <v>38</v>
      </c>
      <c r="F640" s="3" t="s">
        <v>94</v>
      </c>
      <c r="G640" s="3" t="s">
        <v>95</v>
      </c>
      <c r="H640" s="3">
        <v>1</v>
      </c>
      <c r="I640" s="7">
        <v>77219.839999999997</v>
      </c>
      <c r="J640" s="9">
        <v>0.25</v>
      </c>
      <c r="K640" s="7">
        <v>57914.879999999997</v>
      </c>
      <c r="L640" s="7">
        <v>-5350.81</v>
      </c>
      <c r="M640" s="3" t="s">
        <v>57</v>
      </c>
      <c r="N640" s="3"/>
      <c r="O640" s="3"/>
      <c r="P640" s="3"/>
      <c r="Q640" s="3"/>
    </row>
    <row r="641" spans="1:17" ht="21" customHeight="1">
      <c r="A641" s="3" t="s">
        <v>1161</v>
      </c>
      <c r="B641" s="5">
        <v>45478</v>
      </c>
      <c r="C641" s="3" t="s">
        <v>1162</v>
      </c>
      <c r="D641" s="3" t="s">
        <v>46</v>
      </c>
      <c r="E641" s="3" t="s">
        <v>41</v>
      </c>
      <c r="F641" s="3" t="s">
        <v>119</v>
      </c>
      <c r="G641" s="3" t="s">
        <v>168</v>
      </c>
      <c r="H641" s="3">
        <v>4</v>
      </c>
      <c r="I641" s="7">
        <v>10033.120000000001</v>
      </c>
      <c r="J641" s="9">
        <v>0.4</v>
      </c>
      <c r="K641" s="7">
        <v>24079.49</v>
      </c>
      <c r="L641" s="7">
        <v>-1142.47</v>
      </c>
      <c r="M641" s="3" t="s">
        <v>57</v>
      </c>
      <c r="N641" s="3"/>
      <c r="O641" s="3"/>
      <c r="P641" s="3"/>
      <c r="Q641" s="3"/>
    </row>
    <row r="642" spans="1:17" ht="21" customHeight="1">
      <c r="A642" s="3" t="s">
        <v>1163</v>
      </c>
      <c r="B642" s="5">
        <v>45478</v>
      </c>
      <c r="C642" s="3" t="s">
        <v>400</v>
      </c>
      <c r="D642" s="3" t="s">
        <v>46</v>
      </c>
      <c r="E642" s="3" t="s">
        <v>40</v>
      </c>
      <c r="F642" s="3" t="s">
        <v>160</v>
      </c>
      <c r="G642" s="3" t="s">
        <v>161</v>
      </c>
      <c r="H642" s="3">
        <v>1</v>
      </c>
      <c r="I642" s="7">
        <v>13324.59</v>
      </c>
      <c r="J642" s="9">
        <v>0.05</v>
      </c>
      <c r="K642" s="7">
        <v>12658.36</v>
      </c>
      <c r="L642" s="7">
        <v>3520.14</v>
      </c>
      <c r="M642" s="3" t="s">
        <v>56</v>
      </c>
      <c r="N642" s="3"/>
      <c r="O642" s="3"/>
      <c r="P642" s="3"/>
      <c r="Q642" s="3"/>
    </row>
    <row r="643" spans="1:17" ht="21" customHeight="1">
      <c r="A643" s="3" t="s">
        <v>1164</v>
      </c>
      <c r="B643" s="5">
        <v>45478</v>
      </c>
      <c r="C643" s="3" t="s">
        <v>1165</v>
      </c>
      <c r="D643" s="3" t="s">
        <v>46</v>
      </c>
      <c r="E643" s="3" t="s">
        <v>40</v>
      </c>
      <c r="F643" s="3" t="s">
        <v>221</v>
      </c>
      <c r="G643" s="3" t="s">
        <v>279</v>
      </c>
      <c r="H643" s="3">
        <v>1</v>
      </c>
      <c r="I643" s="7">
        <v>1496.08</v>
      </c>
      <c r="J643" s="9">
        <v>0.05</v>
      </c>
      <c r="K643" s="7">
        <v>1421.28</v>
      </c>
      <c r="L643" s="7">
        <v>389.78</v>
      </c>
      <c r="M643" s="3" t="s">
        <v>57</v>
      </c>
      <c r="N643" s="3"/>
      <c r="O643" s="3"/>
      <c r="P643" s="3"/>
      <c r="Q643" s="3"/>
    </row>
    <row r="644" spans="1:17" ht="21" customHeight="1">
      <c r="A644" s="3" t="s">
        <v>1166</v>
      </c>
      <c r="B644" s="5">
        <v>45478</v>
      </c>
      <c r="C644" s="3" t="s">
        <v>1167</v>
      </c>
      <c r="D644" s="3" t="s">
        <v>46</v>
      </c>
      <c r="E644" s="3" t="s">
        <v>41</v>
      </c>
      <c r="F644" s="3" t="s">
        <v>113</v>
      </c>
      <c r="G644" s="3" t="s">
        <v>123</v>
      </c>
      <c r="H644" s="3">
        <v>1</v>
      </c>
      <c r="I644" s="7">
        <v>3417.84</v>
      </c>
      <c r="J644" s="9">
        <v>0.25</v>
      </c>
      <c r="K644" s="7">
        <v>2563.38</v>
      </c>
      <c r="L644" s="7">
        <v>327.45</v>
      </c>
      <c r="M644" s="3" t="s">
        <v>60</v>
      </c>
      <c r="N644" s="3"/>
      <c r="O644" s="3"/>
      <c r="P644" s="3"/>
      <c r="Q644" s="3"/>
    </row>
    <row r="645" spans="1:17" ht="21" customHeight="1">
      <c r="A645" s="3" t="s">
        <v>1168</v>
      </c>
      <c r="B645" s="5">
        <v>45478</v>
      </c>
      <c r="C645" s="3" t="s">
        <v>803</v>
      </c>
      <c r="D645" s="3" t="s">
        <v>44</v>
      </c>
      <c r="E645" s="3" t="s">
        <v>42</v>
      </c>
      <c r="F645" s="3" t="s">
        <v>90</v>
      </c>
      <c r="G645" s="3" t="s">
        <v>106</v>
      </c>
      <c r="H645" s="3">
        <v>1</v>
      </c>
      <c r="I645" s="7">
        <v>891.92</v>
      </c>
      <c r="J645" s="9">
        <v>0.1</v>
      </c>
      <c r="K645" s="7">
        <v>802.73</v>
      </c>
      <c r="L645" s="7">
        <v>373.2</v>
      </c>
      <c r="M645" s="3" t="s">
        <v>56</v>
      </c>
      <c r="N645" s="3"/>
      <c r="O645" s="3"/>
      <c r="P645" s="3"/>
      <c r="Q645" s="3"/>
    </row>
    <row r="646" spans="1:17" ht="21" customHeight="1">
      <c r="A646" s="3" t="s">
        <v>1169</v>
      </c>
      <c r="B646" s="5">
        <v>45478</v>
      </c>
      <c r="C646" s="3" t="s">
        <v>148</v>
      </c>
      <c r="D646" s="3" t="s">
        <v>47</v>
      </c>
      <c r="E646" s="3" t="s">
        <v>42</v>
      </c>
      <c r="F646" s="3" t="s">
        <v>90</v>
      </c>
      <c r="G646" s="3" t="s">
        <v>91</v>
      </c>
      <c r="H646" s="3">
        <v>1</v>
      </c>
      <c r="I646" s="7">
        <v>1141.24</v>
      </c>
      <c r="J646" s="9">
        <v>0.2</v>
      </c>
      <c r="K646" s="7">
        <v>912.99</v>
      </c>
      <c r="L646" s="7">
        <v>317.48</v>
      </c>
      <c r="M646" s="3" t="s">
        <v>60</v>
      </c>
      <c r="N646" s="3"/>
      <c r="O646" s="3"/>
      <c r="P646" s="3"/>
      <c r="Q646" s="3"/>
    </row>
    <row r="647" spans="1:17" ht="21" customHeight="1">
      <c r="A647" s="3" t="s">
        <v>1170</v>
      </c>
      <c r="B647" s="5">
        <v>45479</v>
      </c>
      <c r="C647" s="3" t="s">
        <v>1171</v>
      </c>
      <c r="D647" s="3" t="s">
        <v>47</v>
      </c>
      <c r="E647" s="3" t="s">
        <v>41</v>
      </c>
      <c r="F647" s="3" t="s">
        <v>113</v>
      </c>
      <c r="G647" s="3" t="s">
        <v>123</v>
      </c>
      <c r="H647" s="3">
        <v>1</v>
      </c>
      <c r="I647" s="7">
        <v>3559.52</v>
      </c>
      <c r="J647" s="9">
        <v>0.15</v>
      </c>
      <c r="K647" s="7">
        <v>3025.59</v>
      </c>
      <c r="L647" s="7">
        <v>529.67999999999995</v>
      </c>
      <c r="M647" s="3" t="s">
        <v>56</v>
      </c>
      <c r="N647" s="3"/>
      <c r="O647" s="3"/>
      <c r="P647" s="3"/>
      <c r="Q647" s="3"/>
    </row>
    <row r="648" spans="1:17" ht="21" customHeight="1">
      <c r="A648" s="3" t="s">
        <v>1172</v>
      </c>
      <c r="B648" s="5">
        <v>45479</v>
      </c>
      <c r="C648" s="3" t="s">
        <v>475</v>
      </c>
      <c r="D648" s="3" t="s">
        <v>47</v>
      </c>
      <c r="E648" s="3" t="s">
        <v>41</v>
      </c>
      <c r="F648" s="3" t="s">
        <v>113</v>
      </c>
      <c r="G648" s="3" t="s">
        <v>123</v>
      </c>
      <c r="H648" s="3">
        <v>1</v>
      </c>
      <c r="I648" s="7">
        <v>3513.71</v>
      </c>
      <c r="J648" s="9">
        <v>0</v>
      </c>
      <c r="K648" s="7">
        <v>3513.71</v>
      </c>
      <c r="L648" s="7">
        <v>1298.94</v>
      </c>
      <c r="M648" s="3" t="s">
        <v>56</v>
      </c>
      <c r="N648" s="3"/>
      <c r="O648" s="3"/>
      <c r="P648" s="3"/>
      <c r="Q648" s="3"/>
    </row>
    <row r="649" spans="1:17" ht="21" customHeight="1">
      <c r="A649" s="3" t="s">
        <v>1173</v>
      </c>
      <c r="B649" s="5">
        <v>45479</v>
      </c>
      <c r="C649" s="3" t="s">
        <v>1174</v>
      </c>
      <c r="D649" s="3" t="s">
        <v>46</v>
      </c>
      <c r="E649" s="3" t="s">
        <v>42</v>
      </c>
      <c r="F649" s="3" t="s">
        <v>126</v>
      </c>
      <c r="G649" s="3" t="s">
        <v>127</v>
      </c>
      <c r="H649" s="3">
        <v>1</v>
      </c>
      <c r="I649" s="7">
        <v>965.94</v>
      </c>
      <c r="J649" s="9">
        <v>0.05</v>
      </c>
      <c r="K649" s="7">
        <v>917.64</v>
      </c>
      <c r="L649" s="7">
        <v>484.25</v>
      </c>
      <c r="M649" s="3" t="s">
        <v>58</v>
      </c>
      <c r="N649" s="3"/>
      <c r="O649" s="3"/>
      <c r="P649" s="3"/>
      <c r="Q649" s="3"/>
    </row>
    <row r="650" spans="1:17" ht="21" customHeight="1">
      <c r="A650" s="3" t="s">
        <v>1175</v>
      </c>
      <c r="B650" s="5">
        <v>45479</v>
      </c>
      <c r="C650" s="3" t="s">
        <v>1176</v>
      </c>
      <c r="D650" s="3" t="s">
        <v>44</v>
      </c>
      <c r="E650" s="3" t="s">
        <v>41</v>
      </c>
      <c r="F650" s="3" t="s">
        <v>119</v>
      </c>
      <c r="G650" s="3" t="s">
        <v>168</v>
      </c>
      <c r="H650" s="3">
        <v>2</v>
      </c>
      <c r="I650" s="7">
        <v>9790.23</v>
      </c>
      <c r="J650" s="9">
        <v>0.25</v>
      </c>
      <c r="K650" s="7">
        <v>14685.34</v>
      </c>
      <c r="L650" s="7">
        <v>1003.93</v>
      </c>
      <c r="M650" s="3" t="s">
        <v>58</v>
      </c>
      <c r="N650" s="3"/>
      <c r="O650" s="3"/>
      <c r="P650" s="3"/>
      <c r="Q650" s="3"/>
    </row>
    <row r="651" spans="1:17" ht="21" customHeight="1">
      <c r="A651" s="3" t="s">
        <v>1177</v>
      </c>
      <c r="B651" s="5">
        <v>45480</v>
      </c>
      <c r="C651" s="3" t="s">
        <v>543</v>
      </c>
      <c r="D651" s="3" t="s">
        <v>45</v>
      </c>
      <c r="E651" s="3" t="s">
        <v>42</v>
      </c>
      <c r="F651" s="3" t="s">
        <v>90</v>
      </c>
      <c r="G651" s="3" t="s">
        <v>91</v>
      </c>
      <c r="H651" s="3">
        <v>1</v>
      </c>
      <c r="I651" s="7">
        <v>1181.98</v>
      </c>
      <c r="J651" s="9">
        <v>0.1</v>
      </c>
      <c r="K651" s="7">
        <v>1063.78</v>
      </c>
      <c r="L651" s="7">
        <v>486.92</v>
      </c>
      <c r="M651" s="3" t="s">
        <v>56</v>
      </c>
      <c r="N651" s="3"/>
      <c r="O651" s="3"/>
      <c r="P651" s="3"/>
      <c r="Q651" s="3"/>
    </row>
    <row r="652" spans="1:17" ht="21" customHeight="1">
      <c r="A652" s="3" t="s">
        <v>1178</v>
      </c>
      <c r="B652" s="5">
        <v>45480</v>
      </c>
      <c r="C652" s="3" t="s">
        <v>1179</v>
      </c>
      <c r="D652" s="3" t="s">
        <v>45</v>
      </c>
      <c r="E652" s="3" t="s">
        <v>39</v>
      </c>
      <c r="F652" s="3" t="s">
        <v>130</v>
      </c>
      <c r="G652" s="3" t="s">
        <v>193</v>
      </c>
      <c r="H652" s="3">
        <v>2</v>
      </c>
      <c r="I652" s="7">
        <v>1737.48</v>
      </c>
      <c r="J652" s="9">
        <v>0.1</v>
      </c>
      <c r="K652" s="7">
        <v>3127.46</v>
      </c>
      <c r="L652" s="7">
        <v>845.74</v>
      </c>
      <c r="M652" s="3" t="s">
        <v>58</v>
      </c>
      <c r="N652" s="3"/>
      <c r="O652" s="3"/>
      <c r="P652" s="3"/>
      <c r="Q652" s="3"/>
    </row>
    <row r="653" spans="1:17" ht="21" customHeight="1">
      <c r="A653" s="3" t="s">
        <v>1180</v>
      </c>
      <c r="B653" s="5">
        <v>45480</v>
      </c>
      <c r="C653" s="3" t="s">
        <v>1025</v>
      </c>
      <c r="D653" s="3" t="s">
        <v>46</v>
      </c>
      <c r="E653" s="3" t="s">
        <v>39</v>
      </c>
      <c r="F653" s="3" t="s">
        <v>109</v>
      </c>
      <c r="G653" s="3" t="s">
        <v>355</v>
      </c>
      <c r="H653" s="3">
        <v>1</v>
      </c>
      <c r="I653" s="7">
        <v>3534.73</v>
      </c>
      <c r="J653" s="9">
        <v>0.05</v>
      </c>
      <c r="K653" s="7">
        <v>3357.99</v>
      </c>
      <c r="L653" s="7">
        <v>1301.47</v>
      </c>
      <c r="M653" s="3" t="s">
        <v>57</v>
      </c>
      <c r="N653" s="3"/>
      <c r="O653" s="3"/>
      <c r="P653" s="3"/>
      <c r="Q653" s="3"/>
    </row>
    <row r="654" spans="1:17" ht="21" customHeight="1">
      <c r="A654" s="3" t="s">
        <v>1181</v>
      </c>
      <c r="B654" s="5">
        <v>45480</v>
      </c>
      <c r="C654" s="3" t="s">
        <v>389</v>
      </c>
      <c r="D654" s="3" t="s">
        <v>44</v>
      </c>
      <c r="E654" s="3" t="s">
        <v>39</v>
      </c>
      <c r="F654" s="3" t="s">
        <v>109</v>
      </c>
      <c r="G654" s="3" t="s">
        <v>355</v>
      </c>
      <c r="H654" s="3">
        <v>3</v>
      </c>
      <c r="I654" s="7">
        <v>3398.41</v>
      </c>
      <c r="J654" s="9">
        <v>0</v>
      </c>
      <c r="K654" s="7">
        <v>10195.23</v>
      </c>
      <c r="L654" s="7">
        <v>4183.7</v>
      </c>
      <c r="M654" s="3" t="s">
        <v>59</v>
      </c>
      <c r="N654" s="3"/>
      <c r="O654" s="3"/>
      <c r="P654" s="3"/>
      <c r="Q654" s="3"/>
    </row>
    <row r="655" spans="1:17" ht="21" customHeight="1">
      <c r="A655" s="3" t="s">
        <v>1182</v>
      </c>
      <c r="B655" s="5">
        <v>45480</v>
      </c>
      <c r="C655" s="3" t="s">
        <v>287</v>
      </c>
      <c r="D655" s="3" t="s">
        <v>44</v>
      </c>
      <c r="E655" s="3" t="s">
        <v>38</v>
      </c>
      <c r="F655" s="3" t="s">
        <v>142</v>
      </c>
      <c r="G655" s="3" t="s">
        <v>143</v>
      </c>
      <c r="H655" s="3">
        <v>1</v>
      </c>
      <c r="I655" s="7">
        <v>9428.25</v>
      </c>
      <c r="J655" s="9">
        <v>0</v>
      </c>
      <c r="K655" s="7">
        <v>9428.25</v>
      </c>
      <c r="L655" s="7">
        <v>1716.38</v>
      </c>
      <c r="M655" s="3" t="s">
        <v>59</v>
      </c>
      <c r="N655" s="3"/>
      <c r="O655" s="3"/>
      <c r="P655" s="3"/>
      <c r="Q655" s="3"/>
    </row>
    <row r="656" spans="1:17" ht="21" customHeight="1">
      <c r="A656" s="3" t="s">
        <v>1183</v>
      </c>
      <c r="B656" s="5">
        <v>45481</v>
      </c>
      <c r="C656" s="3" t="s">
        <v>416</v>
      </c>
      <c r="D656" s="3" t="s">
        <v>44</v>
      </c>
      <c r="E656" s="3" t="s">
        <v>41</v>
      </c>
      <c r="F656" s="3" t="s">
        <v>113</v>
      </c>
      <c r="G656" s="3" t="s">
        <v>114</v>
      </c>
      <c r="H656" s="3">
        <v>2</v>
      </c>
      <c r="I656" s="7">
        <v>11700.71</v>
      </c>
      <c r="J656" s="9">
        <v>0</v>
      </c>
      <c r="K656" s="7">
        <v>23401.42</v>
      </c>
      <c r="L656" s="7">
        <v>8182.36</v>
      </c>
      <c r="M656" s="3" t="s">
        <v>56</v>
      </c>
      <c r="N656" s="3"/>
      <c r="O656" s="3"/>
      <c r="P656" s="3"/>
      <c r="Q656" s="3"/>
    </row>
    <row r="657" spans="1:17" ht="21" customHeight="1">
      <c r="A657" s="3" t="s">
        <v>1184</v>
      </c>
      <c r="B657" s="5">
        <v>45481</v>
      </c>
      <c r="C657" s="3" t="s">
        <v>765</v>
      </c>
      <c r="D657" s="3" t="s">
        <v>44</v>
      </c>
      <c r="E657" s="3" t="s">
        <v>42</v>
      </c>
      <c r="F657" s="3" t="s">
        <v>90</v>
      </c>
      <c r="G657" s="3" t="s">
        <v>91</v>
      </c>
      <c r="H657" s="3">
        <v>1</v>
      </c>
      <c r="I657" s="7">
        <v>1191.05</v>
      </c>
      <c r="J657" s="9">
        <v>0.1</v>
      </c>
      <c r="K657" s="7">
        <v>1071.94</v>
      </c>
      <c r="L657" s="7">
        <v>472.42</v>
      </c>
      <c r="M657" s="3" t="s">
        <v>56</v>
      </c>
      <c r="N657" s="3"/>
      <c r="O657" s="3"/>
      <c r="P657" s="3"/>
      <c r="Q657" s="3"/>
    </row>
    <row r="658" spans="1:17" ht="21" customHeight="1">
      <c r="A658" s="3" t="s">
        <v>1185</v>
      </c>
      <c r="B658" s="5">
        <v>45481</v>
      </c>
      <c r="C658" s="3" t="s">
        <v>1099</v>
      </c>
      <c r="D658" s="3" t="s">
        <v>45</v>
      </c>
      <c r="E658" s="3" t="s">
        <v>41</v>
      </c>
      <c r="F658" s="3" t="s">
        <v>113</v>
      </c>
      <c r="G658" s="3" t="s">
        <v>123</v>
      </c>
      <c r="H658" s="3">
        <v>2</v>
      </c>
      <c r="I658" s="7">
        <v>3399.5</v>
      </c>
      <c r="J658" s="9">
        <v>0.1</v>
      </c>
      <c r="K658" s="7">
        <v>6119.1</v>
      </c>
      <c r="L658" s="7">
        <v>1457.56</v>
      </c>
      <c r="M658" s="3" t="s">
        <v>57</v>
      </c>
      <c r="N658" s="3"/>
      <c r="O658" s="3"/>
      <c r="P658" s="3"/>
      <c r="Q658" s="3"/>
    </row>
    <row r="659" spans="1:17" ht="21" customHeight="1">
      <c r="A659" s="3" t="s">
        <v>1186</v>
      </c>
      <c r="B659" s="5">
        <v>45482</v>
      </c>
      <c r="C659" s="3" t="s">
        <v>985</v>
      </c>
      <c r="D659" s="3" t="s">
        <v>45</v>
      </c>
      <c r="E659" s="3" t="s">
        <v>39</v>
      </c>
      <c r="F659" s="3" t="s">
        <v>130</v>
      </c>
      <c r="G659" s="3" t="s">
        <v>193</v>
      </c>
      <c r="H659" s="3">
        <v>2</v>
      </c>
      <c r="I659" s="7">
        <v>1741.79</v>
      </c>
      <c r="J659" s="9">
        <v>0</v>
      </c>
      <c r="K659" s="7">
        <v>3483.58</v>
      </c>
      <c r="L659" s="7">
        <v>1588.09</v>
      </c>
      <c r="M659" s="3" t="s">
        <v>58</v>
      </c>
      <c r="N659" s="3"/>
      <c r="O659" s="3"/>
      <c r="P659" s="3"/>
      <c r="Q659" s="3"/>
    </row>
    <row r="660" spans="1:17" ht="21" customHeight="1">
      <c r="A660" s="3" t="s">
        <v>1187</v>
      </c>
      <c r="B660" s="5">
        <v>45482</v>
      </c>
      <c r="C660" s="3" t="s">
        <v>919</v>
      </c>
      <c r="D660" s="3" t="s">
        <v>47</v>
      </c>
      <c r="E660" s="3" t="s">
        <v>42</v>
      </c>
      <c r="F660" s="3" t="s">
        <v>126</v>
      </c>
      <c r="G660" s="3" t="s">
        <v>127</v>
      </c>
      <c r="H660" s="3">
        <v>1</v>
      </c>
      <c r="I660" s="7">
        <v>970.85</v>
      </c>
      <c r="J660" s="9">
        <v>0</v>
      </c>
      <c r="K660" s="7">
        <v>970.85</v>
      </c>
      <c r="L660" s="7">
        <v>515.39</v>
      </c>
      <c r="M660" s="3" t="s">
        <v>57</v>
      </c>
      <c r="N660" s="3"/>
      <c r="O660" s="3"/>
      <c r="P660" s="3"/>
      <c r="Q660" s="3"/>
    </row>
    <row r="661" spans="1:17" ht="21" customHeight="1">
      <c r="A661" s="3" t="s">
        <v>1188</v>
      </c>
      <c r="B661" s="5">
        <v>45482</v>
      </c>
      <c r="C661" s="3" t="s">
        <v>726</v>
      </c>
      <c r="D661" s="3" t="s">
        <v>45</v>
      </c>
      <c r="E661" s="3" t="s">
        <v>38</v>
      </c>
      <c r="F661" s="3" t="s">
        <v>94</v>
      </c>
      <c r="G661" s="3" t="s">
        <v>213</v>
      </c>
      <c r="H661" s="3">
        <v>1</v>
      </c>
      <c r="I661" s="7">
        <v>53068.7</v>
      </c>
      <c r="J661" s="9">
        <v>0</v>
      </c>
      <c r="K661" s="7">
        <v>53068.7</v>
      </c>
      <c r="L661" s="7">
        <v>8030.92</v>
      </c>
      <c r="M661" s="3" t="s">
        <v>59</v>
      </c>
      <c r="N661" s="3"/>
      <c r="O661" s="3"/>
      <c r="P661" s="3"/>
      <c r="Q661" s="3"/>
    </row>
    <row r="662" spans="1:17" ht="21" customHeight="1">
      <c r="A662" s="3" t="s">
        <v>1189</v>
      </c>
      <c r="B662" s="5">
        <v>45482</v>
      </c>
      <c r="C662" s="3" t="s">
        <v>525</v>
      </c>
      <c r="D662" s="3" t="s">
        <v>46</v>
      </c>
      <c r="E662" s="3" t="s">
        <v>38</v>
      </c>
      <c r="F662" s="3" t="s">
        <v>98</v>
      </c>
      <c r="G662" s="3" t="s">
        <v>99</v>
      </c>
      <c r="H662" s="3">
        <v>1</v>
      </c>
      <c r="I662" s="7">
        <v>24626.68</v>
      </c>
      <c r="J662" s="9">
        <v>0.1</v>
      </c>
      <c r="K662" s="7">
        <v>22164.01</v>
      </c>
      <c r="L662" s="7">
        <v>827.47</v>
      </c>
      <c r="M662" s="3" t="s">
        <v>56</v>
      </c>
      <c r="N662" s="3"/>
      <c r="O662" s="3"/>
      <c r="P662" s="3"/>
      <c r="Q662" s="3"/>
    </row>
    <row r="663" spans="1:17" ht="21" customHeight="1">
      <c r="A663" s="3" t="s">
        <v>1190</v>
      </c>
      <c r="B663" s="5">
        <v>45483</v>
      </c>
      <c r="C663" s="3" t="s">
        <v>1191</v>
      </c>
      <c r="D663" s="3" t="s">
        <v>45</v>
      </c>
      <c r="E663" s="3" t="s">
        <v>38</v>
      </c>
      <c r="F663" s="3" t="s">
        <v>98</v>
      </c>
      <c r="G663" s="3" t="s">
        <v>182</v>
      </c>
      <c r="H663" s="3">
        <v>1</v>
      </c>
      <c r="I663" s="7">
        <v>69971.89</v>
      </c>
      <c r="J663" s="9">
        <v>0.15</v>
      </c>
      <c r="K663" s="7">
        <v>59476.11</v>
      </c>
      <c r="L663" s="7">
        <v>-111.91</v>
      </c>
      <c r="M663" s="3" t="s">
        <v>56</v>
      </c>
      <c r="N663" s="3"/>
      <c r="O663" s="3"/>
      <c r="P663" s="3"/>
      <c r="Q663" s="3"/>
    </row>
    <row r="664" spans="1:17" ht="21" customHeight="1">
      <c r="A664" s="3" t="s">
        <v>1192</v>
      </c>
      <c r="B664" s="5">
        <v>45483</v>
      </c>
      <c r="C664" s="3" t="s">
        <v>1193</v>
      </c>
      <c r="D664" s="3" t="s">
        <v>46</v>
      </c>
      <c r="E664" s="3" t="s">
        <v>41</v>
      </c>
      <c r="F664" s="3" t="s">
        <v>113</v>
      </c>
      <c r="G664" s="3" t="s">
        <v>123</v>
      </c>
      <c r="H664" s="3">
        <v>1</v>
      </c>
      <c r="I664" s="7">
        <v>3382</v>
      </c>
      <c r="J664" s="9">
        <v>0</v>
      </c>
      <c r="K664" s="7">
        <v>3382</v>
      </c>
      <c r="L664" s="7">
        <v>1170.74</v>
      </c>
      <c r="M664" s="3" t="s">
        <v>56</v>
      </c>
      <c r="N664" s="3"/>
      <c r="O664" s="3"/>
      <c r="P664" s="3"/>
      <c r="Q664" s="3"/>
    </row>
    <row r="665" spans="1:17" ht="21" customHeight="1">
      <c r="A665" s="3" t="s">
        <v>1194</v>
      </c>
      <c r="B665" s="5">
        <v>45483</v>
      </c>
      <c r="C665" s="3" t="s">
        <v>1195</v>
      </c>
      <c r="D665" s="3" t="s">
        <v>47</v>
      </c>
      <c r="E665" s="3" t="s">
        <v>41</v>
      </c>
      <c r="F665" s="3" t="s">
        <v>119</v>
      </c>
      <c r="G665" s="3" t="s">
        <v>168</v>
      </c>
      <c r="H665" s="3">
        <v>5</v>
      </c>
      <c r="I665" s="7">
        <v>9590.68</v>
      </c>
      <c r="J665" s="9">
        <v>0.05</v>
      </c>
      <c r="K665" s="7">
        <v>45555.73</v>
      </c>
      <c r="L665" s="7">
        <v>13047.91</v>
      </c>
      <c r="M665" s="3" t="s">
        <v>56</v>
      </c>
      <c r="N665" s="3"/>
      <c r="O665" s="3"/>
      <c r="P665" s="3"/>
      <c r="Q665" s="3"/>
    </row>
    <row r="666" spans="1:17" ht="21" customHeight="1">
      <c r="A666" s="3" t="s">
        <v>1196</v>
      </c>
      <c r="B666" s="5">
        <v>45483</v>
      </c>
      <c r="C666" s="3" t="s">
        <v>1197</v>
      </c>
      <c r="D666" s="3" t="s">
        <v>46</v>
      </c>
      <c r="E666" s="3" t="s">
        <v>39</v>
      </c>
      <c r="F666" s="3" t="s">
        <v>164</v>
      </c>
      <c r="G666" s="3" t="s">
        <v>165</v>
      </c>
      <c r="H666" s="3">
        <v>2</v>
      </c>
      <c r="I666" s="7">
        <v>2033.59</v>
      </c>
      <c r="J666" s="9">
        <v>0</v>
      </c>
      <c r="K666" s="7">
        <v>4067.18</v>
      </c>
      <c r="L666" s="7">
        <v>1821.82</v>
      </c>
      <c r="M666" s="3" t="s">
        <v>56</v>
      </c>
      <c r="N666" s="3"/>
      <c r="O666" s="3"/>
      <c r="P666" s="3"/>
      <c r="Q666" s="3"/>
    </row>
    <row r="667" spans="1:17" ht="21" customHeight="1">
      <c r="A667" s="3" t="s">
        <v>1198</v>
      </c>
      <c r="B667" s="5">
        <v>45484</v>
      </c>
      <c r="C667" s="3" t="s">
        <v>1199</v>
      </c>
      <c r="D667" s="3" t="s">
        <v>47</v>
      </c>
      <c r="E667" s="3" t="s">
        <v>39</v>
      </c>
      <c r="F667" s="3" t="s">
        <v>109</v>
      </c>
      <c r="G667" s="3" t="s">
        <v>355</v>
      </c>
      <c r="H667" s="3">
        <v>4</v>
      </c>
      <c r="I667" s="7">
        <v>3422.74</v>
      </c>
      <c r="J667" s="9">
        <v>0</v>
      </c>
      <c r="K667" s="7">
        <v>13690.96</v>
      </c>
      <c r="L667" s="7">
        <v>5542.28</v>
      </c>
      <c r="M667" s="3" t="s">
        <v>58</v>
      </c>
      <c r="N667" s="3"/>
      <c r="O667" s="3"/>
      <c r="P667" s="3"/>
      <c r="Q667" s="3"/>
    </row>
    <row r="668" spans="1:17" ht="21" customHeight="1">
      <c r="A668" s="3" t="s">
        <v>1200</v>
      </c>
      <c r="B668" s="5">
        <v>45484</v>
      </c>
      <c r="C668" s="3" t="s">
        <v>628</v>
      </c>
      <c r="D668" s="3" t="s">
        <v>47</v>
      </c>
      <c r="E668" s="3" t="s">
        <v>39</v>
      </c>
      <c r="F668" s="3" t="s">
        <v>109</v>
      </c>
      <c r="G668" s="3" t="s">
        <v>355</v>
      </c>
      <c r="H668" s="3">
        <v>1</v>
      </c>
      <c r="I668" s="7">
        <v>3376.66</v>
      </c>
      <c r="J668" s="9">
        <v>0.05</v>
      </c>
      <c r="K668" s="7">
        <v>3207.83</v>
      </c>
      <c r="L668" s="7">
        <v>1051.73</v>
      </c>
      <c r="M668" s="3" t="s">
        <v>56</v>
      </c>
      <c r="N668" s="3"/>
      <c r="O668" s="3"/>
      <c r="P668" s="3"/>
      <c r="Q668" s="3"/>
    </row>
    <row r="669" spans="1:17" ht="21" customHeight="1">
      <c r="A669" s="3" t="s">
        <v>1201</v>
      </c>
      <c r="B669" s="5">
        <v>45484</v>
      </c>
      <c r="C669" s="3" t="s">
        <v>1202</v>
      </c>
      <c r="D669" s="3" t="s">
        <v>47</v>
      </c>
      <c r="E669" s="3" t="s">
        <v>41</v>
      </c>
      <c r="F669" s="3" t="s">
        <v>119</v>
      </c>
      <c r="G669" s="3" t="s">
        <v>120</v>
      </c>
      <c r="H669" s="3">
        <v>2</v>
      </c>
      <c r="I669" s="7">
        <v>1288.52</v>
      </c>
      <c r="J669" s="9">
        <v>0.05</v>
      </c>
      <c r="K669" s="7">
        <v>2448.19</v>
      </c>
      <c r="L669" s="7">
        <v>802.91</v>
      </c>
      <c r="M669" s="3" t="s">
        <v>56</v>
      </c>
      <c r="N669" s="3"/>
      <c r="O669" s="3"/>
      <c r="P669" s="3"/>
      <c r="Q669" s="3"/>
    </row>
    <row r="670" spans="1:17" ht="21" customHeight="1">
      <c r="A670" s="3" t="s">
        <v>1203</v>
      </c>
      <c r="B670" s="5">
        <v>45485</v>
      </c>
      <c r="C670" s="3" t="s">
        <v>686</v>
      </c>
      <c r="D670" s="3" t="s">
        <v>47</v>
      </c>
      <c r="E670" s="3" t="s">
        <v>41</v>
      </c>
      <c r="F670" s="3" t="s">
        <v>113</v>
      </c>
      <c r="G670" s="3" t="s">
        <v>123</v>
      </c>
      <c r="H670" s="3">
        <v>1</v>
      </c>
      <c r="I670" s="7">
        <v>3341.24</v>
      </c>
      <c r="J670" s="9">
        <v>0.05</v>
      </c>
      <c r="K670" s="7">
        <v>3174.18</v>
      </c>
      <c r="L670" s="7">
        <v>993.84</v>
      </c>
      <c r="M670" s="3" t="s">
        <v>56</v>
      </c>
      <c r="N670" s="3"/>
      <c r="O670" s="3"/>
      <c r="P670" s="3"/>
      <c r="Q670" s="3"/>
    </row>
    <row r="671" spans="1:17" ht="21" customHeight="1">
      <c r="A671" s="3" t="s">
        <v>1204</v>
      </c>
      <c r="B671" s="5">
        <v>45485</v>
      </c>
      <c r="C671" s="3" t="s">
        <v>1205</v>
      </c>
      <c r="D671" s="3" t="s">
        <v>47</v>
      </c>
      <c r="E671" s="3" t="s">
        <v>38</v>
      </c>
      <c r="F671" s="3" t="s">
        <v>98</v>
      </c>
      <c r="G671" s="3" t="s">
        <v>362</v>
      </c>
      <c r="H671" s="3">
        <v>1</v>
      </c>
      <c r="I671" s="7">
        <v>34335.94</v>
      </c>
      <c r="J671" s="9">
        <v>0</v>
      </c>
      <c r="K671" s="7">
        <v>34335.94</v>
      </c>
      <c r="L671" s="7">
        <v>6354.52</v>
      </c>
      <c r="M671" s="3" t="s">
        <v>60</v>
      </c>
      <c r="N671" s="3"/>
      <c r="O671" s="3"/>
      <c r="P671" s="3"/>
      <c r="Q671" s="3"/>
    </row>
    <row r="672" spans="1:17" ht="21" customHeight="1">
      <c r="A672" s="3" t="s">
        <v>1206</v>
      </c>
      <c r="B672" s="5">
        <v>45485</v>
      </c>
      <c r="C672" s="3" t="s">
        <v>713</v>
      </c>
      <c r="D672" s="3" t="s">
        <v>45</v>
      </c>
      <c r="E672" s="3" t="s">
        <v>41</v>
      </c>
      <c r="F672" s="3" t="s">
        <v>119</v>
      </c>
      <c r="G672" s="3" t="s">
        <v>168</v>
      </c>
      <c r="H672" s="3">
        <v>2</v>
      </c>
      <c r="I672" s="7">
        <v>9582.31</v>
      </c>
      <c r="J672" s="9">
        <v>0</v>
      </c>
      <c r="K672" s="7">
        <v>19164.62</v>
      </c>
      <c r="L672" s="7">
        <v>7725.64</v>
      </c>
      <c r="M672" s="3" t="s">
        <v>56</v>
      </c>
      <c r="N672" s="3"/>
      <c r="O672" s="3"/>
      <c r="P672" s="3"/>
      <c r="Q672" s="3"/>
    </row>
    <row r="673" spans="1:17" ht="21" customHeight="1">
      <c r="A673" s="3" t="s">
        <v>1207</v>
      </c>
      <c r="B673" s="5">
        <v>45486</v>
      </c>
      <c r="C673" s="3" t="s">
        <v>1208</v>
      </c>
      <c r="D673" s="3" t="s">
        <v>47</v>
      </c>
      <c r="E673" s="3" t="s">
        <v>38</v>
      </c>
      <c r="F673" s="3" t="s">
        <v>142</v>
      </c>
      <c r="G673" s="3" t="s">
        <v>245</v>
      </c>
      <c r="H673" s="3">
        <v>1</v>
      </c>
      <c r="I673" s="7">
        <v>5196.12</v>
      </c>
      <c r="J673" s="9">
        <v>0.05</v>
      </c>
      <c r="K673" s="7">
        <v>4936.3100000000004</v>
      </c>
      <c r="L673" s="7">
        <v>513.5</v>
      </c>
      <c r="M673" s="3" t="s">
        <v>57</v>
      </c>
      <c r="N673" s="3"/>
      <c r="O673" s="3"/>
      <c r="P673" s="3"/>
      <c r="Q673" s="3"/>
    </row>
    <row r="674" spans="1:17" ht="21" customHeight="1">
      <c r="A674" s="3" t="s">
        <v>1209</v>
      </c>
      <c r="B674" s="5">
        <v>45486</v>
      </c>
      <c r="C674" s="3" t="s">
        <v>364</v>
      </c>
      <c r="D674" s="3" t="s">
        <v>45</v>
      </c>
      <c r="E674" s="3" t="s">
        <v>40</v>
      </c>
      <c r="F674" s="3" t="s">
        <v>160</v>
      </c>
      <c r="G674" s="3" t="s">
        <v>173</v>
      </c>
      <c r="H674" s="3">
        <v>2</v>
      </c>
      <c r="I674" s="7">
        <v>9060.8799999999992</v>
      </c>
      <c r="J674" s="9">
        <v>0.1</v>
      </c>
      <c r="K674" s="7">
        <v>16309.58</v>
      </c>
      <c r="L674" s="7">
        <v>3045.89</v>
      </c>
      <c r="M674" s="3" t="s">
        <v>56</v>
      </c>
      <c r="N674" s="3"/>
      <c r="O674" s="3"/>
      <c r="P674" s="3"/>
      <c r="Q674" s="3"/>
    </row>
    <row r="675" spans="1:17" ht="21" customHeight="1">
      <c r="A675" s="3" t="s">
        <v>1210</v>
      </c>
      <c r="B675" s="5">
        <v>45487</v>
      </c>
      <c r="C675" s="3" t="s">
        <v>1191</v>
      </c>
      <c r="D675" s="3" t="s">
        <v>44</v>
      </c>
      <c r="E675" s="3" t="s">
        <v>40</v>
      </c>
      <c r="F675" s="3" t="s">
        <v>160</v>
      </c>
      <c r="G675" s="3" t="s">
        <v>173</v>
      </c>
      <c r="H675" s="3">
        <v>1</v>
      </c>
      <c r="I675" s="7">
        <v>9115.59</v>
      </c>
      <c r="J675" s="9">
        <v>0</v>
      </c>
      <c r="K675" s="7">
        <v>9115.59</v>
      </c>
      <c r="L675" s="7">
        <v>3082.41</v>
      </c>
      <c r="M675" s="3" t="s">
        <v>60</v>
      </c>
      <c r="N675" s="3"/>
      <c r="O675" s="3"/>
      <c r="P675" s="3"/>
      <c r="Q675" s="3"/>
    </row>
    <row r="676" spans="1:17" ht="21" customHeight="1">
      <c r="A676" s="3" t="s">
        <v>1211</v>
      </c>
      <c r="B676" s="5">
        <v>45487</v>
      </c>
      <c r="C676" s="3" t="s">
        <v>548</v>
      </c>
      <c r="D676" s="3" t="s">
        <v>46</v>
      </c>
      <c r="E676" s="3" t="s">
        <v>42</v>
      </c>
      <c r="F676" s="3" t="s">
        <v>90</v>
      </c>
      <c r="G676" s="3" t="s">
        <v>106</v>
      </c>
      <c r="H676" s="3">
        <v>2</v>
      </c>
      <c r="I676" s="7">
        <v>898.02</v>
      </c>
      <c r="J676" s="9">
        <v>0</v>
      </c>
      <c r="K676" s="7">
        <v>1796.04</v>
      </c>
      <c r="L676" s="7">
        <v>1002.89</v>
      </c>
      <c r="M676" s="3" t="s">
        <v>56</v>
      </c>
      <c r="N676" s="3"/>
      <c r="O676" s="3"/>
      <c r="P676" s="3"/>
      <c r="Q676" s="3"/>
    </row>
    <row r="677" spans="1:17" ht="21" customHeight="1">
      <c r="A677" s="3" t="s">
        <v>1212</v>
      </c>
      <c r="B677" s="5">
        <v>45487</v>
      </c>
      <c r="C677" s="3" t="s">
        <v>1191</v>
      </c>
      <c r="D677" s="3" t="s">
        <v>45</v>
      </c>
      <c r="E677" s="3" t="s">
        <v>41</v>
      </c>
      <c r="F677" s="3" t="s">
        <v>113</v>
      </c>
      <c r="G677" s="3" t="s">
        <v>114</v>
      </c>
      <c r="H677" s="3">
        <v>4</v>
      </c>
      <c r="I677" s="7">
        <v>11778.44</v>
      </c>
      <c r="J677" s="9">
        <v>0</v>
      </c>
      <c r="K677" s="7">
        <v>47113.760000000002</v>
      </c>
      <c r="L677" s="7">
        <v>17604.43</v>
      </c>
      <c r="M677" s="3" t="s">
        <v>57</v>
      </c>
      <c r="N677" s="3"/>
      <c r="O677" s="3"/>
      <c r="P677" s="3"/>
      <c r="Q677" s="3"/>
    </row>
    <row r="678" spans="1:17" ht="21" customHeight="1">
      <c r="A678" s="3" t="s">
        <v>1213</v>
      </c>
      <c r="B678" s="5">
        <v>45488</v>
      </c>
      <c r="C678" s="3" t="s">
        <v>700</v>
      </c>
      <c r="D678" s="3" t="s">
        <v>45</v>
      </c>
      <c r="E678" s="3" t="s">
        <v>38</v>
      </c>
      <c r="F678" s="3" t="s">
        <v>142</v>
      </c>
      <c r="G678" s="3" t="s">
        <v>143</v>
      </c>
      <c r="H678" s="3">
        <v>1</v>
      </c>
      <c r="I678" s="7">
        <v>8827</v>
      </c>
      <c r="J678" s="9">
        <v>0</v>
      </c>
      <c r="K678" s="7">
        <v>8827</v>
      </c>
      <c r="L678" s="7">
        <v>1907.46</v>
      </c>
      <c r="M678" s="3" t="s">
        <v>58</v>
      </c>
      <c r="N678" s="3"/>
      <c r="O678" s="3"/>
      <c r="P678" s="3"/>
      <c r="Q678" s="3"/>
    </row>
    <row r="679" spans="1:17" ht="21" customHeight="1">
      <c r="A679" s="3" t="s">
        <v>1214</v>
      </c>
      <c r="B679" s="5">
        <v>45488</v>
      </c>
      <c r="C679" s="3" t="s">
        <v>240</v>
      </c>
      <c r="D679" s="3" t="s">
        <v>47</v>
      </c>
      <c r="E679" s="3" t="s">
        <v>41</v>
      </c>
      <c r="F679" s="3" t="s">
        <v>119</v>
      </c>
      <c r="G679" s="3" t="s">
        <v>120</v>
      </c>
      <c r="H679" s="3">
        <v>1</v>
      </c>
      <c r="I679" s="7">
        <v>1236.75</v>
      </c>
      <c r="J679" s="9">
        <v>0</v>
      </c>
      <c r="K679" s="7">
        <v>1236.75</v>
      </c>
      <c r="L679" s="7">
        <v>481.07</v>
      </c>
      <c r="M679" s="3" t="s">
        <v>56</v>
      </c>
      <c r="N679" s="3"/>
      <c r="O679" s="3"/>
      <c r="P679" s="3"/>
      <c r="Q679" s="3"/>
    </row>
    <row r="680" spans="1:17" ht="21" customHeight="1">
      <c r="A680" s="3" t="s">
        <v>1215</v>
      </c>
      <c r="B680" s="5">
        <v>45489</v>
      </c>
      <c r="C680" s="3" t="s">
        <v>291</v>
      </c>
      <c r="D680" s="3" t="s">
        <v>45</v>
      </c>
      <c r="E680" s="3" t="s">
        <v>41</v>
      </c>
      <c r="F680" s="3" t="s">
        <v>113</v>
      </c>
      <c r="G680" s="3" t="s">
        <v>114</v>
      </c>
      <c r="H680" s="3">
        <v>1</v>
      </c>
      <c r="I680" s="7">
        <v>12323.57</v>
      </c>
      <c r="J680" s="9">
        <v>0.05</v>
      </c>
      <c r="K680" s="7">
        <v>11707.39</v>
      </c>
      <c r="L680" s="7">
        <v>3789.04</v>
      </c>
      <c r="M680" s="3" t="s">
        <v>57</v>
      </c>
      <c r="N680" s="3"/>
      <c r="O680" s="3"/>
      <c r="P680" s="3"/>
      <c r="Q680" s="3"/>
    </row>
    <row r="681" spans="1:17" ht="21" customHeight="1">
      <c r="A681" s="3" t="s">
        <v>1216</v>
      </c>
      <c r="B681" s="5">
        <v>45489</v>
      </c>
      <c r="C681" s="3" t="s">
        <v>97</v>
      </c>
      <c r="D681" s="3" t="s">
        <v>45</v>
      </c>
      <c r="E681" s="3" t="s">
        <v>42</v>
      </c>
      <c r="F681" s="3" t="s">
        <v>90</v>
      </c>
      <c r="G681" s="3" t="s">
        <v>106</v>
      </c>
      <c r="H681" s="3">
        <v>5</v>
      </c>
      <c r="I681" s="7">
        <v>897.55</v>
      </c>
      <c r="J681" s="9">
        <v>0.4</v>
      </c>
      <c r="K681" s="7">
        <v>2692.65</v>
      </c>
      <c r="L681" s="7">
        <v>266.89999999999998</v>
      </c>
      <c r="M681" s="3" t="s">
        <v>56</v>
      </c>
      <c r="N681" s="3"/>
      <c r="O681" s="3"/>
      <c r="P681" s="3"/>
      <c r="Q681" s="3"/>
    </row>
    <row r="682" spans="1:17" ht="21" customHeight="1">
      <c r="A682" s="3" t="s">
        <v>1217</v>
      </c>
      <c r="B682" s="5">
        <v>45489</v>
      </c>
      <c r="C682" s="3" t="s">
        <v>1218</v>
      </c>
      <c r="D682" s="3" t="s">
        <v>45</v>
      </c>
      <c r="E682" s="3" t="s">
        <v>39</v>
      </c>
      <c r="F682" s="3" t="s">
        <v>164</v>
      </c>
      <c r="G682" s="3" t="s">
        <v>200</v>
      </c>
      <c r="H682" s="3">
        <v>2</v>
      </c>
      <c r="I682" s="7">
        <v>1294.72</v>
      </c>
      <c r="J682" s="9">
        <v>0.1</v>
      </c>
      <c r="K682" s="7">
        <v>2330.5</v>
      </c>
      <c r="L682" s="7">
        <v>768.41</v>
      </c>
      <c r="M682" s="3" t="s">
        <v>60</v>
      </c>
      <c r="N682" s="3"/>
      <c r="O682" s="3"/>
      <c r="P682" s="3"/>
      <c r="Q682" s="3"/>
    </row>
    <row r="683" spans="1:17" ht="21" customHeight="1">
      <c r="A683" s="3" t="s">
        <v>1219</v>
      </c>
      <c r="B683" s="5">
        <v>45489</v>
      </c>
      <c r="C683" s="3" t="s">
        <v>420</v>
      </c>
      <c r="D683" s="3" t="s">
        <v>45</v>
      </c>
      <c r="E683" s="3" t="s">
        <v>42</v>
      </c>
      <c r="F683" s="3" t="s">
        <v>90</v>
      </c>
      <c r="G683" s="3" t="s">
        <v>91</v>
      </c>
      <c r="H683" s="3">
        <v>1</v>
      </c>
      <c r="I683" s="7">
        <v>1251.1199999999999</v>
      </c>
      <c r="J683" s="9">
        <v>0.1</v>
      </c>
      <c r="K683" s="7">
        <v>1126.01</v>
      </c>
      <c r="L683" s="7">
        <v>512.63</v>
      </c>
      <c r="M683" s="3" t="s">
        <v>56</v>
      </c>
      <c r="N683" s="3"/>
      <c r="O683" s="3"/>
      <c r="P683" s="3"/>
      <c r="Q683" s="3"/>
    </row>
    <row r="684" spans="1:17" ht="21" customHeight="1">
      <c r="A684" s="3" t="s">
        <v>1220</v>
      </c>
      <c r="B684" s="5">
        <v>45489</v>
      </c>
      <c r="C684" s="3" t="s">
        <v>1221</v>
      </c>
      <c r="D684" s="3" t="s">
        <v>44</v>
      </c>
      <c r="E684" s="3" t="s">
        <v>41</v>
      </c>
      <c r="F684" s="3" t="s">
        <v>119</v>
      </c>
      <c r="G684" s="3" t="s">
        <v>168</v>
      </c>
      <c r="H684" s="3">
        <v>1</v>
      </c>
      <c r="I684" s="7">
        <v>10104.030000000001</v>
      </c>
      <c r="J684" s="9">
        <v>0.15</v>
      </c>
      <c r="K684" s="7">
        <v>8588.43</v>
      </c>
      <c r="L684" s="7">
        <v>1866.4</v>
      </c>
      <c r="M684" s="3" t="s">
        <v>60</v>
      </c>
      <c r="N684" s="3"/>
      <c r="O684" s="3"/>
      <c r="P684" s="3"/>
      <c r="Q684" s="3"/>
    </row>
    <row r="685" spans="1:17" ht="21" customHeight="1">
      <c r="A685" s="3" t="s">
        <v>1222</v>
      </c>
      <c r="B685" s="5">
        <v>45490</v>
      </c>
      <c r="C685" s="3" t="s">
        <v>1138</v>
      </c>
      <c r="D685" s="3" t="s">
        <v>46</v>
      </c>
      <c r="E685" s="3" t="s">
        <v>39</v>
      </c>
      <c r="F685" s="3" t="s">
        <v>109</v>
      </c>
      <c r="G685" s="3" t="s">
        <v>355</v>
      </c>
      <c r="H685" s="3">
        <v>1</v>
      </c>
      <c r="I685" s="7">
        <v>3496.38</v>
      </c>
      <c r="J685" s="9">
        <v>0.1</v>
      </c>
      <c r="K685" s="7">
        <v>3146.74</v>
      </c>
      <c r="L685" s="7">
        <v>879.18</v>
      </c>
      <c r="M685" s="3" t="s">
        <v>58</v>
      </c>
      <c r="N685" s="3"/>
      <c r="O685" s="3"/>
      <c r="P685" s="3"/>
      <c r="Q685" s="3"/>
    </row>
    <row r="686" spans="1:17" ht="21" customHeight="1">
      <c r="A686" s="3" t="s">
        <v>1223</v>
      </c>
      <c r="B686" s="5">
        <v>45491</v>
      </c>
      <c r="C686" s="3" t="s">
        <v>1224</v>
      </c>
      <c r="D686" s="3" t="s">
        <v>47</v>
      </c>
      <c r="E686" s="3" t="s">
        <v>38</v>
      </c>
      <c r="F686" s="3" t="s">
        <v>142</v>
      </c>
      <c r="G686" s="3" t="s">
        <v>143</v>
      </c>
      <c r="H686" s="3">
        <v>2</v>
      </c>
      <c r="I686" s="7">
        <v>9073.6299999999992</v>
      </c>
      <c r="J686" s="9">
        <v>0.1</v>
      </c>
      <c r="K686" s="7">
        <v>16332.53</v>
      </c>
      <c r="L686" s="7">
        <v>862.33</v>
      </c>
      <c r="M686" s="3" t="s">
        <v>56</v>
      </c>
      <c r="N686" s="3"/>
      <c r="O686" s="3"/>
      <c r="P686" s="3"/>
      <c r="Q686" s="3"/>
    </row>
    <row r="687" spans="1:17" ht="21" customHeight="1">
      <c r="A687" s="3" t="s">
        <v>1225</v>
      </c>
      <c r="B687" s="5">
        <v>45491</v>
      </c>
      <c r="C687" s="3" t="s">
        <v>361</v>
      </c>
      <c r="D687" s="3" t="s">
        <v>45</v>
      </c>
      <c r="E687" s="3" t="s">
        <v>40</v>
      </c>
      <c r="F687" s="3" t="s">
        <v>160</v>
      </c>
      <c r="G687" s="3" t="s">
        <v>161</v>
      </c>
      <c r="H687" s="3">
        <v>1</v>
      </c>
      <c r="I687" s="7">
        <v>13251.81</v>
      </c>
      <c r="J687" s="9">
        <v>0</v>
      </c>
      <c r="K687" s="7">
        <v>13251.81</v>
      </c>
      <c r="L687" s="7">
        <v>4637.8500000000004</v>
      </c>
      <c r="M687" s="3" t="s">
        <v>58</v>
      </c>
      <c r="N687" s="3"/>
      <c r="O687" s="3"/>
      <c r="P687" s="3"/>
      <c r="Q687" s="3"/>
    </row>
    <row r="688" spans="1:17" ht="21" customHeight="1">
      <c r="A688" s="3" t="s">
        <v>1226</v>
      </c>
      <c r="B688" s="5">
        <v>45491</v>
      </c>
      <c r="C688" s="3" t="s">
        <v>442</v>
      </c>
      <c r="D688" s="3" t="s">
        <v>47</v>
      </c>
      <c r="E688" s="3" t="s">
        <v>39</v>
      </c>
      <c r="F688" s="3" t="s">
        <v>164</v>
      </c>
      <c r="G688" s="3" t="s">
        <v>165</v>
      </c>
      <c r="H688" s="3">
        <v>2</v>
      </c>
      <c r="I688" s="7">
        <v>1900.97</v>
      </c>
      <c r="J688" s="9">
        <v>0</v>
      </c>
      <c r="K688" s="7">
        <v>3801.94</v>
      </c>
      <c r="L688" s="7">
        <v>1575.45</v>
      </c>
      <c r="M688" s="3" t="s">
        <v>58</v>
      </c>
      <c r="N688" s="3"/>
      <c r="O688" s="3"/>
      <c r="P688" s="3"/>
      <c r="Q688" s="3"/>
    </row>
    <row r="689" spans="1:17" ht="21" customHeight="1">
      <c r="A689" s="3" t="s">
        <v>1227</v>
      </c>
      <c r="B689" s="5">
        <v>45491</v>
      </c>
      <c r="C689" s="3" t="s">
        <v>1228</v>
      </c>
      <c r="D689" s="3" t="s">
        <v>45</v>
      </c>
      <c r="E689" s="3" t="s">
        <v>39</v>
      </c>
      <c r="F689" s="3" t="s">
        <v>109</v>
      </c>
      <c r="G689" s="3" t="s">
        <v>110</v>
      </c>
      <c r="H689" s="3">
        <v>1</v>
      </c>
      <c r="I689" s="7">
        <v>2982.16</v>
      </c>
      <c r="J689" s="9">
        <v>0.05</v>
      </c>
      <c r="K689" s="7">
        <v>2833.05</v>
      </c>
      <c r="L689" s="7">
        <v>1101.96</v>
      </c>
      <c r="M689" s="3" t="s">
        <v>57</v>
      </c>
      <c r="N689" s="3"/>
      <c r="O689" s="3"/>
      <c r="P689" s="3"/>
      <c r="Q689" s="3"/>
    </row>
    <row r="690" spans="1:17" ht="21" customHeight="1">
      <c r="A690" s="3" t="s">
        <v>1229</v>
      </c>
      <c r="B690" s="5">
        <v>45492</v>
      </c>
      <c r="C690" s="3" t="s">
        <v>1230</v>
      </c>
      <c r="D690" s="3" t="s">
        <v>44</v>
      </c>
      <c r="E690" s="3" t="s">
        <v>42</v>
      </c>
      <c r="F690" s="3" t="s">
        <v>126</v>
      </c>
      <c r="G690" s="3" t="s">
        <v>151</v>
      </c>
      <c r="H690" s="3">
        <v>1</v>
      </c>
      <c r="I690" s="7">
        <v>1431.51</v>
      </c>
      <c r="J690" s="9">
        <v>0.05</v>
      </c>
      <c r="K690" s="7">
        <v>1359.93</v>
      </c>
      <c r="L690" s="7">
        <v>640.71</v>
      </c>
      <c r="M690" s="3" t="s">
        <v>56</v>
      </c>
      <c r="N690" s="3"/>
      <c r="O690" s="3"/>
      <c r="P690" s="3"/>
      <c r="Q690" s="3"/>
    </row>
    <row r="691" spans="1:17" ht="21" customHeight="1">
      <c r="A691" s="3" t="s">
        <v>1231</v>
      </c>
      <c r="B691" s="5">
        <v>45493</v>
      </c>
      <c r="C691" s="3" t="s">
        <v>1232</v>
      </c>
      <c r="D691" s="3" t="s">
        <v>46</v>
      </c>
      <c r="E691" s="3" t="s">
        <v>39</v>
      </c>
      <c r="F691" s="3" t="s">
        <v>130</v>
      </c>
      <c r="G691" s="3" t="s">
        <v>193</v>
      </c>
      <c r="H691" s="3">
        <v>2</v>
      </c>
      <c r="I691" s="7">
        <v>1875.56</v>
      </c>
      <c r="J691" s="9">
        <v>0</v>
      </c>
      <c r="K691" s="7">
        <v>3751.12</v>
      </c>
      <c r="L691" s="7">
        <v>1587.01</v>
      </c>
      <c r="M691" s="3" t="s">
        <v>58</v>
      </c>
      <c r="N691" s="3"/>
      <c r="O691" s="3"/>
      <c r="P691" s="3"/>
      <c r="Q691" s="3"/>
    </row>
    <row r="692" spans="1:17" ht="21" customHeight="1">
      <c r="A692" s="3" t="s">
        <v>1233</v>
      </c>
      <c r="B692" s="5">
        <v>45493</v>
      </c>
      <c r="C692" s="3" t="s">
        <v>389</v>
      </c>
      <c r="D692" s="3" t="s">
        <v>46</v>
      </c>
      <c r="E692" s="3" t="s">
        <v>41</v>
      </c>
      <c r="F692" s="3" t="s">
        <v>119</v>
      </c>
      <c r="G692" s="3" t="s">
        <v>120</v>
      </c>
      <c r="H692" s="3">
        <v>1</v>
      </c>
      <c r="I692" s="7">
        <v>1263.19</v>
      </c>
      <c r="J692" s="9">
        <v>0.05</v>
      </c>
      <c r="K692" s="7">
        <v>1200.03</v>
      </c>
      <c r="L692" s="7">
        <v>365.73</v>
      </c>
      <c r="M692" s="3" t="s">
        <v>58</v>
      </c>
      <c r="N692" s="3"/>
      <c r="O692" s="3"/>
      <c r="P692" s="3"/>
      <c r="Q692" s="3"/>
    </row>
    <row r="693" spans="1:17" ht="21" customHeight="1">
      <c r="A693" s="3" t="s">
        <v>1234</v>
      </c>
      <c r="B693" s="5">
        <v>45493</v>
      </c>
      <c r="C693" s="3" t="s">
        <v>1099</v>
      </c>
      <c r="D693" s="3" t="s">
        <v>45</v>
      </c>
      <c r="E693" s="3" t="s">
        <v>41</v>
      </c>
      <c r="F693" s="3" t="s">
        <v>113</v>
      </c>
      <c r="G693" s="3" t="s">
        <v>114</v>
      </c>
      <c r="H693" s="3">
        <v>3</v>
      </c>
      <c r="I693" s="7">
        <v>11994.45</v>
      </c>
      <c r="J693" s="9">
        <v>0</v>
      </c>
      <c r="K693" s="7">
        <v>35983.35</v>
      </c>
      <c r="L693" s="7">
        <v>12864.84</v>
      </c>
      <c r="M693" s="3" t="s">
        <v>58</v>
      </c>
      <c r="N693" s="3"/>
      <c r="O693" s="3"/>
      <c r="P693" s="3"/>
      <c r="Q693" s="3"/>
    </row>
    <row r="694" spans="1:17" ht="21" customHeight="1">
      <c r="A694" s="3" t="s">
        <v>1235</v>
      </c>
      <c r="B694" s="5">
        <v>45493</v>
      </c>
      <c r="C694" s="3" t="s">
        <v>1197</v>
      </c>
      <c r="D694" s="3" t="s">
        <v>47</v>
      </c>
      <c r="E694" s="3" t="s">
        <v>38</v>
      </c>
      <c r="F694" s="3" t="s">
        <v>94</v>
      </c>
      <c r="G694" s="3" t="s">
        <v>213</v>
      </c>
      <c r="H694" s="3">
        <v>1</v>
      </c>
      <c r="I694" s="7">
        <v>53097.48</v>
      </c>
      <c r="J694" s="9">
        <v>0.2</v>
      </c>
      <c r="K694" s="7">
        <v>42477.98</v>
      </c>
      <c r="L694" s="7">
        <v>-2390.3200000000002</v>
      </c>
      <c r="M694" s="3" t="s">
        <v>56</v>
      </c>
      <c r="N694" s="3"/>
      <c r="O694" s="3"/>
      <c r="P694" s="3"/>
      <c r="Q694" s="3"/>
    </row>
    <row r="695" spans="1:17" ht="21" customHeight="1">
      <c r="A695" s="3" t="s">
        <v>1236</v>
      </c>
      <c r="B695" s="5">
        <v>45493</v>
      </c>
      <c r="C695" s="3" t="s">
        <v>1237</v>
      </c>
      <c r="D695" s="3" t="s">
        <v>44</v>
      </c>
      <c r="E695" s="3" t="s">
        <v>41</v>
      </c>
      <c r="F695" s="3" t="s">
        <v>119</v>
      </c>
      <c r="G695" s="3" t="s">
        <v>120</v>
      </c>
      <c r="H695" s="3">
        <v>1</v>
      </c>
      <c r="I695" s="7">
        <v>1261.07</v>
      </c>
      <c r="J695" s="9">
        <v>0</v>
      </c>
      <c r="K695" s="7">
        <v>1261.07</v>
      </c>
      <c r="L695" s="7">
        <v>442.06</v>
      </c>
      <c r="M695" s="3" t="s">
        <v>56</v>
      </c>
      <c r="N695" s="3"/>
      <c r="O695" s="3"/>
      <c r="P695" s="3"/>
      <c r="Q695" s="3"/>
    </row>
    <row r="696" spans="1:17" ht="21" customHeight="1">
      <c r="A696" s="3" t="s">
        <v>1238</v>
      </c>
      <c r="B696" s="5">
        <v>45494</v>
      </c>
      <c r="C696" s="3" t="s">
        <v>461</v>
      </c>
      <c r="D696" s="3" t="s">
        <v>44</v>
      </c>
      <c r="E696" s="3" t="s">
        <v>40</v>
      </c>
      <c r="F696" s="3" t="s">
        <v>160</v>
      </c>
      <c r="G696" s="3" t="s">
        <v>161</v>
      </c>
      <c r="H696" s="3">
        <v>1</v>
      </c>
      <c r="I696" s="7">
        <v>13466.45</v>
      </c>
      <c r="J696" s="9">
        <v>0</v>
      </c>
      <c r="K696" s="7">
        <v>13466.45</v>
      </c>
      <c r="L696" s="7">
        <v>3981.95</v>
      </c>
      <c r="M696" s="3" t="s">
        <v>56</v>
      </c>
      <c r="N696" s="3"/>
      <c r="O696" s="3"/>
      <c r="P696" s="3"/>
      <c r="Q696" s="3"/>
    </row>
    <row r="697" spans="1:17" ht="21" customHeight="1">
      <c r="A697" s="3" t="s">
        <v>1239</v>
      </c>
      <c r="B697" s="5">
        <v>45494</v>
      </c>
      <c r="C697" s="3" t="s">
        <v>1199</v>
      </c>
      <c r="D697" s="3" t="s">
        <v>45</v>
      </c>
      <c r="E697" s="3" t="s">
        <v>40</v>
      </c>
      <c r="F697" s="3" t="s">
        <v>221</v>
      </c>
      <c r="G697" s="3" t="s">
        <v>279</v>
      </c>
      <c r="H697" s="3">
        <v>1</v>
      </c>
      <c r="I697" s="7">
        <v>1549.64</v>
      </c>
      <c r="J697" s="9">
        <v>0.1</v>
      </c>
      <c r="K697" s="7">
        <v>1394.68</v>
      </c>
      <c r="L697" s="7">
        <v>260</v>
      </c>
      <c r="M697" s="3" t="s">
        <v>57</v>
      </c>
      <c r="N697" s="3"/>
      <c r="O697" s="3"/>
      <c r="P697" s="3"/>
      <c r="Q697" s="3"/>
    </row>
    <row r="698" spans="1:17" ht="21" customHeight="1">
      <c r="A698" s="3" t="s">
        <v>1240</v>
      </c>
      <c r="B698" s="5">
        <v>45495</v>
      </c>
      <c r="C698" s="3" t="s">
        <v>1241</v>
      </c>
      <c r="D698" s="3" t="s">
        <v>46</v>
      </c>
      <c r="E698" s="3" t="s">
        <v>42</v>
      </c>
      <c r="F698" s="3" t="s">
        <v>126</v>
      </c>
      <c r="G698" s="3" t="s">
        <v>127</v>
      </c>
      <c r="H698" s="3">
        <v>5</v>
      </c>
      <c r="I698" s="7">
        <v>992.94</v>
      </c>
      <c r="J698" s="9">
        <v>0.1</v>
      </c>
      <c r="K698" s="7">
        <v>4468.2299999999996</v>
      </c>
      <c r="L698" s="7">
        <v>1814.95</v>
      </c>
      <c r="M698" s="3" t="s">
        <v>56</v>
      </c>
      <c r="N698" s="3"/>
      <c r="O698" s="3"/>
      <c r="P698" s="3"/>
      <c r="Q698" s="3"/>
    </row>
    <row r="699" spans="1:17" ht="21" customHeight="1">
      <c r="A699" s="3" t="s">
        <v>1242</v>
      </c>
      <c r="B699" s="5">
        <v>45495</v>
      </c>
      <c r="C699" s="3" t="s">
        <v>1243</v>
      </c>
      <c r="D699" s="3" t="s">
        <v>44</v>
      </c>
      <c r="E699" s="3" t="s">
        <v>41</v>
      </c>
      <c r="F699" s="3" t="s">
        <v>119</v>
      </c>
      <c r="G699" s="3" t="s">
        <v>120</v>
      </c>
      <c r="H699" s="3">
        <v>1</v>
      </c>
      <c r="I699" s="7">
        <v>1253.21</v>
      </c>
      <c r="J699" s="9">
        <v>0.15</v>
      </c>
      <c r="K699" s="7">
        <v>1065.23</v>
      </c>
      <c r="L699" s="7">
        <v>201.15</v>
      </c>
      <c r="M699" s="3" t="s">
        <v>56</v>
      </c>
      <c r="N699" s="3"/>
      <c r="O699" s="3"/>
      <c r="P699" s="3"/>
      <c r="Q699" s="3"/>
    </row>
    <row r="700" spans="1:17" ht="21" customHeight="1">
      <c r="A700" s="3" t="s">
        <v>1244</v>
      </c>
      <c r="B700" s="5">
        <v>45495</v>
      </c>
      <c r="C700" s="3" t="s">
        <v>1245</v>
      </c>
      <c r="D700" s="3" t="s">
        <v>46</v>
      </c>
      <c r="E700" s="3" t="s">
        <v>42</v>
      </c>
      <c r="F700" s="3" t="s">
        <v>126</v>
      </c>
      <c r="G700" s="3" t="s">
        <v>151</v>
      </c>
      <c r="H700" s="3">
        <v>1</v>
      </c>
      <c r="I700" s="7">
        <v>1536.72</v>
      </c>
      <c r="J700" s="9">
        <v>0</v>
      </c>
      <c r="K700" s="7">
        <v>1536.72</v>
      </c>
      <c r="L700" s="7">
        <v>873.45</v>
      </c>
      <c r="M700" s="3" t="s">
        <v>58</v>
      </c>
      <c r="N700" s="3"/>
      <c r="O700" s="3"/>
      <c r="P700" s="3"/>
      <c r="Q700" s="3"/>
    </row>
    <row r="701" spans="1:17" ht="21" customHeight="1">
      <c r="A701" s="3" t="s">
        <v>1246</v>
      </c>
      <c r="B701" s="5">
        <v>45496</v>
      </c>
      <c r="C701" s="3" t="s">
        <v>1247</v>
      </c>
      <c r="D701" s="3" t="s">
        <v>44</v>
      </c>
      <c r="E701" s="3" t="s">
        <v>38</v>
      </c>
      <c r="F701" s="3" t="s">
        <v>94</v>
      </c>
      <c r="G701" s="3" t="s">
        <v>95</v>
      </c>
      <c r="H701" s="3">
        <v>1</v>
      </c>
      <c r="I701" s="7">
        <v>81513.460000000006</v>
      </c>
      <c r="J701" s="9">
        <v>0.1</v>
      </c>
      <c r="K701" s="7">
        <v>73362.11</v>
      </c>
      <c r="L701" s="7">
        <v>2474.4699999999998</v>
      </c>
      <c r="M701" s="3" t="s">
        <v>56</v>
      </c>
      <c r="N701" s="3"/>
      <c r="O701" s="3"/>
      <c r="P701" s="3"/>
      <c r="Q701" s="3"/>
    </row>
    <row r="702" spans="1:17" ht="21" customHeight="1">
      <c r="A702" s="3" t="s">
        <v>1248</v>
      </c>
      <c r="B702" s="5">
        <v>45496</v>
      </c>
      <c r="C702" s="3" t="s">
        <v>318</v>
      </c>
      <c r="D702" s="3" t="s">
        <v>45</v>
      </c>
      <c r="E702" s="3" t="s">
        <v>41</v>
      </c>
      <c r="F702" s="3" t="s">
        <v>113</v>
      </c>
      <c r="G702" s="3" t="s">
        <v>123</v>
      </c>
      <c r="H702" s="3">
        <v>1</v>
      </c>
      <c r="I702" s="7">
        <v>3332.28</v>
      </c>
      <c r="J702" s="9">
        <v>0</v>
      </c>
      <c r="K702" s="7">
        <v>3332.28</v>
      </c>
      <c r="L702" s="7">
        <v>1323.51</v>
      </c>
      <c r="M702" s="3" t="s">
        <v>56</v>
      </c>
      <c r="N702" s="3"/>
      <c r="O702" s="3"/>
      <c r="P702" s="3"/>
      <c r="Q702" s="3"/>
    </row>
    <row r="703" spans="1:17" ht="21" customHeight="1">
      <c r="A703" s="3" t="s">
        <v>1249</v>
      </c>
      <c r="B703" s="5">
        <v>45496</v>
      </c>
      <c r="C703" s="3" t="s">
        <v>518</v>
      </c>
      <c r="D703" s="3" t="s">
        <v>44</v>
      </c>
      <c r="E703" s="3" t="s">
        <v>38</v>
      </c>
      <c r="F703" s="3" t="s">
        <v>142</v>
      </c>
      <c r="G703" s="3" t="s">
        <v>245</v>
      </c>
      <c r="H703" s="3">
        <v>2</v>
      </c>
      <c r="I703" s="7">
        <v>5157.4399999999996</v>
      </c>
      <c r="J703" s="9">
        <v>0</v>
      </c>
      <c r="K703" s="7">
        <v>10314.879999999999</v>
      </c>
      <c r="L703" s="7">
        <v>2099.2399999999998</v>
      </c>
      <c r="M703" s="3" t="s">
        <v>57</v>
      </c>
      <c r="N703" s="3"/>
      <c r="O703" s="3"/>
      <c r="P703" s="3"/>
      <c r="Q703" s="3"/>
    </row>
    <row r="704" spans="1:17" ht="21" customHeight="1">
      <c r="A704" s="3" t="s">
        <v>1250</v>
      </c>
      <c r="B704" s="5">
        <v>45496</v>
      </c>
      <c r="C704" s="3" t="s">
        <v>1101</v>
      </c>
      <c r="D704" s="3" t="s">
        <v>45</v>
      </c>
      <c r="E704" s="3" t="s">
        <v>39</v>
      </c>
      <c r="F704" s="3" t="s">
        <v>130</v>
      </c>
      <c r="G704" s="3" t="s">
        <v>131</v>
      </c>
      <c r="H704" s="3">
        <v>1</v>
      </c>
      <c r="I704" s="7">
        <v>2302.91</v>
      </c>
      <c r="J704" s="9">
        <v>0.1</v>
      </c>
      <c r="K704" s="7">
        <v>2072.62</v>
      </c>
      <c r="L704" s="7">
        <v>597.35</v>
      </c>
      <c r="M704" s="3" t="s">
        <v>56</v>
      </c>
      <c r="N704" s="3"/>
      <c r="O704" s="3"/>
      <c r="P704" s="3"/>
      <c r="Q704" s="3"/>
    </row>
    <row r="705" spans="1:17" ht="21" customHeight="1">
      <c r="A705" s="3" t="s">
        <v>1251</v>
      </c>
      <c r="B705" s="5">
        <v>45497</v>
      </c>
      <c r="C705" s="3" t="s">
        <v>849</v>
      </c>
      <c r="D705" s="3" t="s">
        <v>45</v>
      </c>
      <c r="E705" s="3" t="s">
        <v>40</v>
      </c>
      <c r="F705" s="3" t="s">
        <v>221</v>
      </c>
      <c r="G705" s="3" t="s">
        <v>222</v>
      </c>
      <c r="H705" s="3">
        <v>1</v>
      </c>
      <c r="I705" s="7">
        <v>1014.09</v>
      </c>
      <c r="J705" s="9">
        <v>0.2</v>
      </c>
      <c r="K705" s="7">
        <v>811.27</v>
      </c>
      <c r="L705" s="7">
        <v>87.25</v>
      </c>
      <c r="M705" s="3" t="s">
        <v>57</v>
      </c>
      <c r="N705" s="3"/>
      <c r="O705" s="3"/>
      <c r="P705" s="3"/>
      <c r="Q705" s="3"/>
    </row>
    <row r="706" spans="1:17" ht="21" customHeight="1">
      <c r="A706" s="3" t="s">
        <v>1252</v>
      </c>
      <c r="B706" s="5">
        <v>45497</v>
      </c>
      <c r="C706" s="3" t="s">
        <v>1253</v>
      </c>
      <c r="D706" s="3" t="s">
        <v>46</v>
      </c>
      <c r="E706" s="3" t="s">
        <v>39</v>
      </c>
      <c r="F706" s="3" t="s">
        <v>109</v>
      </c>
      <c r="G706" s="3" t="s">
        <v>110</v>
      </c>
      <c r="H706" s="3">
        <v>5</v>
      </c>
      <c r="I706" s="7">
        <v>2931.8</v>
      </c>
      <c r="J706" s="9">
        <v>0</v>
      </c>
      <c r="K706" s="7">
        <v>14659</v>
      </c>
      <c r="L706" s="7">
        <v>6038.84</v>
      </c>
      <c r="M706" s="3" t="s">
        <v>56</v>
      </c>
      <c r="N706" s="3"/>
      <c r="O706" s="3"/>
      <c r="P706" s="3"/>
      <c r="Q706" s="3"/>
    </row>
    <row r="707" spans="1:17" ht="21" customHeight="1">
      <c r="A707" s="3" t="s">
        <v>1254</v>
      </c>
      <c r="B707" s="5">
        <v>45497</v>
      </c>
      <c r="C707" s="3" t="s">
        <v>420</v>
      </c>
      <c r="D707" s="3" t="s">
        <v>44</v>
      </c>
      <c r="E707" s="3" t="s">
        <v>42</v>
      </c>
      <c r="F707" s="3" t="s">
        <v>126</v>
      </c>
      <c r="G707" s="3" t="s">
        <v>151</v>
      </c>
      <c r="H707" s="3">
        <v>1</v>
      </c>
      <c r="I707" s="7">
        <v>1462.09</v>
      </c>
      <c r="J707" s="9">
        <v>0.05</v>
      </c>
      <c r="K707" s="7">
        <v>1388.99</v>
      </c>
      <c r="L707" s="7">
        <v>631.82000000000005</v>
      </c>
      <c r="M707" s="3" t="s">
        <v>56</v>
      </c>
      <c r="N707" s="3"/>
      <c r="O707" s="3"/>
      <c r="P707" s="3"/>
      <c r="Q707" s="3"/>
    </row>
    <row r="708" spans="1:17" ht="21" customHeight="1">
      <c r="A708" s="3" t="s">
        <v>1255</v>
      </c>
      <c r="B708" s="5">
        <v>45498</v>
      </c>
      <c r="C708" s="3" t="s">
        <v>1243</v>
      </c>
      <c r="D708" s="3" t="s">
        <v>46</v>
      </c>
      <c r="E708" s="3" t="s">
        <v>41</v>
      </c>
      <c r="F708" s="3" t="s">
        <v>119</v>
      </c>
      <c r="G708" s="3" t="s">
        <v>120</v>
      </c>
      <c r="H708" s="3">
        <v>1</v>
      </c>
      <c r="I708" s="7">
        <v>1298.71</v>
      </c>
      <c r="J708" s="9">
        <v>0.15</v>
      </c>
      <c r="K708" s="7">
        <v>1103.9000000000001</v>
      </c>
      <c r="L708" s="7">
        <v>238.69</v>
      </c>
      <c r="M708" s="3" t="s">
        <v>58</v>
      </c>
      <c r="N708" s="3"/>
      <c r="O708" s="3"/>
      <c r="P708" s="3"/>
      <c r="Q708" s="3"/>
    </row>
    <row r="709" spans="1:17" ht="21" customHeight="1">
      <c r="A709" s="3" t="s">
        <v>1256</v>
      </c>
      <c r="B709" s="5">
        <v>45498</v>
      </c>
      <c r="C709" s="3" t="s">
        <v>1257</v>
      </c>
      <c r="D709" s="3" t="s">
        <v>46</v>
      </c>
      <c r="E709" s="3" t="s">
        <v>40</v>
      </c>
      <c r="F709" s="3" t="s">
        <v>221</v>
      </c>
      <c r="G709" s="3" t="s">
        <v>222</v>
      </c>
      <c r="H709" s="3">
        <v>1</v>
      </c>
      <c r="I709" s="7">
        <v>980.05</v>
      </c>
      <c r="J709" s="9">
        <v>0.1</v>
      </c>
      <c r="K709" s="7">
        <v>882.04</v>
      </c>
      <c r="L709" s="7">
        <v>168.68</v>
      </c>
      <c r="M709" s="3" t="s">
        <v>57</v>
      </c>
      <c r="N709" s="3"/>
      <c r="O709" s="3"/>
      <c r="P709" s="3"/>
      <c r="Q709" s="3"/>
    </row>
    <row r="710" spans="1:17" ht="21" customHeight="1">
      <c r="A710" s="3" t="s">
        <v>1258</v>
      </c>
      <c r="B710" s="5">
        <v>45498</v>
      </c>
      <c r="C710" s="3" t="s">
        <v>1259</v>
      </c>
      <c r="D710" s="3" t="s">
        <v>44</v>
      </c>
      <c r="E710" s="3" t="s">
        <v>41</v>
      </c>
      <c r="F710" s="3" t="s">
        <v>119</v>
      </c>
      <c r="G710" s="3" t="s">
        <v>120</v>
      </c>
      <c r="H710" s="3">
        <v>2</v>
      </c>
      <c r="I710" s="7">
        <v>1299.68</v>
      </c>
      <c r="J710" s="9">
        <v>0.1</v>
      </c>
      <c r="K710" s="7">
        <v>2339.42</v>
      </c>
      <c r="L710" s="7">
        <v>536.26</v>
      </c>
      <c r="M710" s="3" t="s">
        <v>56</v>
      </c>
      <c r="N710" s="3"/>
      <c r="O710" s="3"/>
      <c r="P710" s="3"/>
      <c r="Q710" s="3"/>
    </row>
    <row r="711" spans="1:17" ht="21" customHeight="1">
      <c r="A711" s="3" t="s">
        <v>1260</v>
      </c>
      <c r="B711" s="5">
        <v>45499</v>
      </c>
      <c r="C711" s="3" t="s">
        <v>1261</v>
      </c>
      <c r="D711" s="3" t="s">
        <v>44</v>
      </c>
      <c r="E711" s="3" t="s">
        <v>38</v>
      </c>
      <c r="F711" s="3" t="s">
        <v>94</v>
      </c>
      <c r="G711" s="3" t="s">
        <v>95</v>
      </c>
      <c r="H711" s="3">
        <v>1</v>
      </c>
      <c r="I711" s="7">
        <v>80461.66</v>
      </c>
      <c r="J711" s="9">
        <v>0.15</v>
      </c>
      <c r="K711" s="7">
        <v>68392.41</v>
      </c>
      <c r="L711" s="7">
        <v>3061.7</v>
      </c>
      <c r="M711" s="3" t="s">
        <v>58</v>
      </c>
      <c r="N711" s="3"/>
      <c r="O711" s="3"/>
      <c r="P711" s="3"/>
      <c r="Q711" s="3"/>
    </row>
    <row r="712" spans="1:17" ht="21" customHeight="1">
      <c r="A712" s="3" t="s">
        <v>1262</v>
      </c>
      <c r="B712" s="5">
        <v>45499</v>
      </c>
      <c r="C712" s="3" t="s">
        <v>268</v>
      </c>
      <c r="D712" s="3" t="s">
        <v>45</v>
      </c>
      <c r="E712" s="3" t="s">
        <v>38</v>
      </c>
      <c r="F712" s="3" t="s">
        <v>94</v>
      </c>
      <c r="G712" s="3" t="s">
        <v>213</v>
      </c>
      <c r="H712" s="3">
        <v>1</v>
      </c>
      <c r="I712" s="7">
        <v>53228.37</v>
      </c>
      <c r="J712" s="9">
        <v>0.1</v>
      </c>
      <c r="K712" s="7">
        <v>47905.53</v>
      </c>
      <c r="L712" s="7">
        <v>2629</v>
      </c>
      <c r="M712" s="3" t="s">
        <v>56</v>
      </c>
      <c r="N712" s="3"/>
      <c r="O712" s="3"/>
      <c r="P712" s="3"/>
      <c r="Q712" s="3"/>
    </row>
    <row r="713" spans="1:17" ht="21" customHeight="1">
      <c r="A713" s="3" t="s">
        <v>1263</v>
      </c>
      <c r="B713" s="5">
        <v>45499</v>
      </c>
      <c r="C713" s="3" t="s">
        <v>1264</v>
      </c>
      <c r="D713" s="3" t="s">
        <v>44</v>
      </c>
      <c r="E713" s="3" t="s">
        <v>40</v>
      </c>
      <c r="F713" s="3" t="s">
        <v>221</v>
      </c>
      <c r="G713" s="3" t="s">
        <v>222</v>
      </c>
      <c r="H713" s="3">
        <v>2</v>
      </c>
      <c r="I713" s="7">
        <v>1011.44</v>
      </c>
      <c r="J713" s="9">
        <v>0.05</v>
      </c>
      <c r="K713" s="7">
        <v>1921.74</v>
      </c>
      <c r="L713" s="7">
        <v>508.8</v>
      </c>
      <c r="M713" s="3" t="s">
        <v>57</v>
      </c>
      <c r="N713" s="3"/>
      <c r="O713" s="3"/>
      <c r="P713" s="3"/>
      <c r="Q713" s="3"/>
    </row>
    <row r="714" spans="1:17" ht="21" customHeight="1">
      <c r="A714" s="3" t="s">
        <v>1265</v>
      </c>
      <c r="B714" s="5">
        <v>45499</v>
      </c>
      <c r="C714" s="3" t="s">
        <v>1266</v>
      </c>
      <c r="D714" s="3" t="s">
        <v>45</v>
      </c>
      <c r="E714" s="3" t="s">
        <v>40</v>
      </c>
      <c r="F714" s="3" t="s">
        <v>221</v>
      </c>
      <c r="G714" s="3" t="s">
        <v>222</v>
      </c>
      <c r="H714" s="3">
        <v>2</v>
      </c>
      <c r="I714" s="7">
        <v>956.1</v>
      </c>
      <c r="J714" s="9">
        <v>0.15</v>
      </c>
      <c r="K714" s="7">
        <v>1625.37</v>
      </c>
      <c r="L714" s="7">
        <v>293.83999999999997</v>
      </c>
      <c r="M714" s="3" t="s">
        <v>56</v>
      </c>
      <c r="N714" s="3"/>
      <c r="O714" s="3"/>
      <c r="P714" s="3"/>
      <c r="Q714" s="3"/>
    </row>
    <row r="715" spans="1:17" ht="21" customHeight="1">
      <c r="A715" s="3" t="s">
        <v>1267</v>
      </c>
      <c r="B715" s="5">
        <v>45499</v>
      </c>
      <c r="C715" s="3" t="s">
        <v>404</v>
      </c>
      <c r="D715" s="3" t="s">
        <v>44</v>
      </c>
      <c r="E715" s="3" t="s">
        <v>40</v>
      </c>
      <c r="F715" s="3" t="s">
        <v>102</v>
      </c>
      <c r="G715" s="3" t="s">
        <v>103</v>
      </c>
      <c r="H715" s="3">
        <v>4</v>
      </c>
      <c r="I715" s="7">
        <v>6489.17</v>
      </c>
      <c r="J715" s="9">
        <v>0.05</v>
      </c>
      <c r="K715" s="7">
        <v>24658.85</v>
      </c>
      <c r="L715" s="7">
        <v>7447.48</v>
      </c>
      <c r="M715" s="3" t="s">
        <v>59</v>
      </c>
      <c r="N715" s="3"/>
      <c r="O715" s="3"/>
      <c r="P715" s="3"/>
      <c r="Q715" s="3"/>
    </row>
    <row r="716" spans="1:17" ht="21" customHeight="1">
      <c r="A716" s="3" t="s">
        <v>1268</v>
      </c>
      <c r="B716" s="5">
        <v>45500</v>
      </c>
      <c r="C716" s="3" t="s">
        <v>1269</v>
      </c>
      <c r="D716" s="3" t="s">
        <v>45</v>
      </c>
      <c r="E716" s="3" t="s">
        <v>39</v>
      </c>
      <c r="F716" s="3" t="s">
        <v>109</v>
      </c>
      <c r="G716" s="3" t="s">
        <v>110</v>
      </c>
      <c r="H716" s="3">
        <v>1</v>
      </c>
      <c r="I716" s="7">
        <v>2882.01</v>
      </c>
      <c r="J716" s="9">
        <v>0.25</v>
      </c>
      <c r="K716" s="7">
        <v>2161.5100000000002</v>
      </c>
      <c r="L716" s="7">
        <v>203.21</v>
      </c>
      <c r="M716" s="3" t="s">
        <v>56</v>
      </c>
      <c r="N716" s="3"/>
      <c r="O716" s="3"/>
      <c r="P716" s="3"/>
      <c r="Q716" s="3"/>
    </row>
    <row r="717" spans="1:17" ht="21" customHeight="1">
      <c r="A717" s="3" t="s">
        <v>1270</v>
      </c>
      <c r="B717" s="5">
        <v>45500</v>
      </c>
      <c r="C717" s="3" t="s">
        <v>135</v>
      </c>
      <c r="D717" s="3" t="s">
        <v>45</v>
      </c>
      <c r="E717" s="3" t="s">
        <v>39</v>
      </c>
      <c r="F717" s="3" t="s">
        <v>130</v>
      </c>
      <c r="G717" s="3" t="s">
        <v>131</v>
      </c>
      <c r="H717" s="3">
        <v>1</v>
      </c>
      <c r="I717" s="7">
        <v>2110.9499999999998</v>
      </c>
      <c r="J717" s="9">
        <v>0.05</v>
      </c>
      <c r="K717" s="7">
        <v>2005.4</v>
      </c>
      <c r="L717" s="7">
        <v>775.28</v>
      </c>
      <c r="M717" s="3" t="s">
        <v>57</v>
      </c>
      <c r="N717" s="3"/>
      <c r="O717" s="3"/>
      <c r="P717" s="3"/>
      <c r="Q717" s="3"/>
    </row>
    <row r="718" spans="1:17" ht="21" customHeight="1">
      <c r="A718" s="3" t="s">
        <v>1271</v>
      </c>
      <c r="B718" s="5">
        <v>45500</v>
      </c>
      <c r="C718" s="3" t="s">
        <v>244</v>
      </c>
      <c r="D718" s="3" t="s">
        <v>47</v>
      </c>
      <c r="E718" s="3" t="s">
        <v>38</v>
      </c>
      <c r="F718" s="3" t="s">
        <v>142</v>
      </c>
      <c r="G718" s="3" t="s">
        <v>245</v>
      </c>
      <c r="H718" s="3">
        <v>1</v>
      </c>
      <c r="I718" s="7">
        <v>5218.38</v>
      </c>
      <c r="J718" s="9">
        <v>0.2</v>
      </c>
      <c r="K718" s="7">
        <v>4174.7</v>
      </c>
      <c r="L718" s="7">
        <v>-60.5</v>
      </c>
      <c r="M718" s="3" t="s">
        <v>56</v>
      </c>
      <c r="N718" s="3"/>
      <c r="O718" s="3"/>
      <c r="P718" s="3"/>
      <c r="Q718" s="3"/>
    </row>
    <row r="719" spans="1:17" ht="21" customHeight="1">
      <c r="A719" s="3" t="s">
        <v>1272</v>
      </c>
      <c r="B719" s="5">
        <v>45500</v>
      </c>
      <c r="C719" s="3" t="s">
        <v>914</v>
      </c>
      <c r="D719" s="3" t="s">
        <v>44</v>
      </c>
      <c r="E719" s="3" t="s">
        <v>38</v>
      </c>
      <c r="F719" s="3" t="s">
        <v>142</v>
      </c>
      <c r="G719" s="3" t="s">
        <v>245</v>
      </c>
      <c r="H719" s="3">
        <v>1</v>
      </c>
      <c r="I719" s="7">
        <v>5188.0600000000004</v>
      </c>
      <c r="J719" s="9">
        <v>0</v>
      </c>
      <c r="K719" s="7">
        <v>5188.0600000000004</v>
      </c>
      <c r="L719" s="7">
        <v>1059.8800000000001</v>
      </c>
      <c r="M719" s="3" t="s">
        <v>57</v>
      </c>
      <c r="N719" s="3"/>
      <c r="O719" s="3"/>
      <c r="P719" s="3"/>
      <c r="Q719" s="3"/>
    </row>
    <row r="720" spans="1:17" ht="21" customHeight="1">
      <c r="A720" s="3" t="s">
        <v>1273</v>
      </c>
      <c r="B720" s="5">
        <v>45501</v>
      </c>
      <c r="C720" s="3" t="s">
        <v>1274</v>
      </c>
      <c r="D720" s="3" t="s">
        <v>44</v>
      </c>
      <c r="E720" s="3" t="s">
        <v>40</v>
      </c>
      <c r="F720" s="3" t="s">
        <v>160</v>
      </c>
      <c r="G720" s="3" t="s">
        <v>173</v>
      </c>
      <c r="H720" s="3">
        <v>2</v>
      </c>
      <c r="I720" s="7">
        <v>8602.9699999999993</v>
      </c>
      <c r="J720" s="9">
        <v>0.1</v>
      </c>
      <c r="K720" s="7">
        <v>15485.35</v>
      </c>
      <c r="L720" s="7">
        <v>3173.91</v>
      </c>
      <c r="M720" s="3" t="s">
        <v>56</v>
      </c>
      <c r="N720" s="3"/>
      <c r="O720" s="3"/>
      <c r="P720" s="3"/>
      <c r="Q720" s="3"/>
    </row>
    <row r="721" spans="1:17" ht="21" customHeight="1">
      <c r="A721" s="3" t="s">
        <v>1275</v>
      </c>
      <c r="B721" s="5">
        <v>45501</v>
      </c>
      <c r="C721" s="3" t="s">
        <v>1276</v>
      </c>
      <c r="D721" s="3" t="s">
        <v>47</v>
      </c>
      <c r="E721" s="3" t="s">
        <v>42</v>
      </c>
      <c r="F721" s="3" t="s">
        <v>126</v>
      </c>
      <c r="G721" s="3" t="s">
        <v>151</v>
      </c>
      <c r="H721" s="3">
        <v>2</v>
      </c>
      <c r="I721" s="7">
        <v>1487.22</v>
      </c>
      <c r="J721" s="9">
        <v>0</v>
      </c>
      <c r="K721" s="7">
        <v>2974.44</v>
      </c>
      <c r="L721" s="7">
        <v>1564.68</v>
      </c>
      <c r="M721" s="3" t="s">
        <v>56</v>
      </c>
      <c r="N721" s="3"/>
      <c r="O721" s="3"/>
      <c r="P721" s="3"/>
      <c r="Q721" s="3"/>
    </row>
    <row r="722" spans="1:17" ht="21" customHeight="1">
      <c r="A722" s="3" t="s">
        <v>1277</v>
      </c>
      <c r="B722" s="5">
        <v>45501</v>
      </c>
      <c r="C722" s="3" t="s">
        <v>1278</v>
      </c>
      <c r="D722" s="3" t="s">
        <v>47</v>
      </c>
      <c r="E722" s="3" t="s">
        <v>38</v>
      </c>
      <c r="F722" s="3" t="s">
        <v>98</v>
      </c>
      <c r="G722" s="3" t="s">
        <v>99</v>
      </c>
      <c r="H722" s="3">
        <v>1</v>
      </c>
      <c r="I722" s="7">
        <v>24420.06</v>
      </c>
      <c r="J722" s="9">
        <v>0.1</v>
      </c>
      <c r="K722" s="7">
        <v>21978.05</v>
      </c>
      <c r="L722" s="7">
        <v>1927.69</v>
      </c>
      <c r="M722" s="3" t="s">
        <v>57</v>
      </c>
      <c r="N722" s="3"/>
      <c r="O722" s="3"/>
      <c r="P722" s="3"/>
      <c r="Q722" s="3"/>
    </row>
    <row r="723" spans="1:17" ht="21" customHeight="1">
      <c r="A723" s="3" t="s">
        <v>1279</v>
      </c>
      <c r="B723" s="5">
        <v>45501</v>
      </c>
      <c r="C723" s="3" t="s">
        <v>555</v>
      </c>
      <c r="D723" s="3" t="s">
        <v>45</v>
      </c>
      <c r="E723" s="3" t="s">
        <v>41</v>
      </c>
      <c r="F723" s="3" t="s">
        <v>119</v>
      </c>
      <c r="G723" s="3" t="s">
        <v>120</v>
      </c>
      <c r="H723" s="3">
        <v>1</v>
      </c>
      <c r="I723" s="7">
        <v>1291.08</v>
      </c>
      <c r="J723" s="9">
        <v>0</v>
      </c>
      <c r="K723" s="7">
        <v>1291.08</v>
      </c>
      <c r="L723" s="7">
        <v>489.24</v>
      </c>
      <c r="M723" s="3" t="s">
        <v>57</v>
      </c>
      <c r="N723" s="3"/>
      <c r="O723" s="3"/>
      <c r="P723" s="3"/>
      <c r="Q723" s="3"/>
    </row>
    <row r="724" spans="1:17" ht="21" customHeight="1">
      <c r="A724" s="3" t="s">
        <v>1280</v>
      </c>
      <c r="B724" s="5">
        <v>45502</v>
      </c>
      <c r="C724" s="3" t="s">
        <v>1281</v>
      </c>
      <c r="D724" s="3" t="s">
        <v>44</v>
      </c>
      <c r="E724" s="3" t="s">
        <v>39</v>
      </c>
      <c r="F724" s="3" t="s">
        <v>164</v>
      </c>
      <c r="G724" s="3" t="s">
        <v>200</v>
      </c>
      <c r="H724" s="3">
        <v>1</v>
      </c>
      <c r="I724" s="7">
        <v>1317.12</v>
      </c>
      <c r="J724" s="9">
        <v>0</v>
      </c>
      <c r="K724" s="7">
        <v>1317.12</v>
      </c>
      <c r="L724" s="7">
        <v>602.83000000000004</v>
      </c>
      <c r="M724" s="3" t="s">
        <v>56</v>
      </c>
      <c r="N724" s="3"/>
      <c r="O724" s="3"/>
      <c r="P724" s="3"/>
      <c r="Q724" s="3"/>
    </row>
    <row r="725" spans="1:17" ht="21" customHeight="1">
      <c r="A725" s="3" t="s">
        <v>1282</v>
      </c>
      <c r="B725" s="5">
        <v>45502</v>
      </c>
      <c r="C725" s="3" t="s">
        <v>1283</v>
      </c>
      <c r="D725" s="3" t="s">
        <v>45</v>
      </c>
      <c r="E725" s="3" t="s">
        <v>39</v>
      </c>
      <c r="F725" s="3" t="s">
        <v>164</v>
      </c>
      <c r="G725" s="3" t="s">
        <v>165</v>
      </c>
      <c r="H725" s="3">
        <v>1</v>
      </c>
      <c r="I725" s="7">
        <v>2097.71</v>
      </c>
      <c r="J725" s="9">
        <v>0</v>
      </c>
      <c r="K725" s="7">
        <v>2097.71</v>
      </c>
      <c r="L725" s="7">
        <v>893.54</v>
      </c>
      <c r="M725" s="3" t="s">
        <v>56</v>
      </c>
      <c r="N725" s="3"/>
      <c r="O725" s="3"/>
      <c r="P725" s="3"/>
      <c r="Q725" s="3"/>
    </row>
    <row r="726" spans="1:17" ht="21" customHeight="1">
      <c r="A726" s="3" t="s">
        <v>1284</v>
      </c>
      <c r="B726" s="5">
        <v>45502</v>
      </c>
      <c r="C726" s="3" t="s">
        <v>573</v>
      </c>
      <c r="D726" s="3" t="s">
        <v>47</v>
      </c>
      <c r="E726" s="3" t="s">
        <v>42</v>
      </c>
      <c r="F726" s="3" t="s">
        <v>126</v>
      </c>
      <c r="G726" s="3" t="s">
        <v>127</v>
      </c>
      <c r="H726" s="3">
        <v>3</v>
      </c>
      <c r="I726" s="7">
        <v>966.37</v>
      </c>
      <c r="J726" s="9">
        <v>0.1</v>
      </c>
      <c r="K726" s="7">
        <v>2609.1999999999998</v>
      </c>
      <c r="L726" s="7">
        <v>1181.8800000000001</v>
      </c>
      <c r="M726" s="3" t="s">
        <v>57</v>
      </c>
      <c r="N726" s="3"/>
      <c r="O726" s="3"/>
      <c r="P726" s="3"/>
      <c r="Q726" s="3"/>
    </row>
    <row r="727" spans="1:17" ht="21" customHeight="1">
      <c r="A727" s="3" t="s">
        <v>1285</v>
      </c>
      <c r="B727" s="5">
        <v>45502</v>
      </c>
      <c r="C727" s="3" t="s">
        <v>444</v>
      </c>
      <c r="D727" s="3" t="s">
        <v>45</v>
      </c>
      <c r="E727" s="3" t="s">
        <v>38</v>
      </c>
      <c r="F727" s="3" t="s">
        <v>94</v>
      </c>
      <c r="G727" s="3" t="s">
        <v>213</v>
      </c>
      <c r="H727" s="3">
        <v>1</v>
      </c>
      <c r="I727" s="7">
        <v>52998.03</v>
      </c>
      <c r="J727" s="9">
        <v>0.05</v>
      </c>
      <c r="K727" s="7">
        <v>50348.13</v>
      </c>
      <c r="L727" s="7">
        <v>4871.93</v>
      </c>
      <c r="M727" s="3" t="s">
        <v>59</v>
      </c>
      <c r="N727" s="3"/>
      <c r="O727" s="3"/>
      <c r="P727" s="3"/>
      <c r="Q727" s="3"/>
    </row>
    <row r="728" spans="1:17" ht="21" customHeight="1">
      <c r="A728" s="3" t="s">
        <v>1286</v>
      </c>
      <c r="B728" s="5">
        <v>45503</v>
      </c>
      <c r="C728" s="3" t="s">
        <v>1287</v>
      </c>
      <c r="D728" s="3" t="s">
        <v>44</v>
      </c>
      <c r="E728" s="3" t="s">
        <v>39</v>
      </c>
      <c r="F728" s="3" t="s">
        <v>109</v>
      </c>
      <c r="G728" s="3" t="s">
        <v>355</v>
      </c>
      <c r="H728" s="3">
        <v>4</v>
      </c>
      <c r="I728" s="7">
        <v>3590.49</v>
      </c>
      <c r="J728" s="9">
        <v>0</v>
      </c>
      <c r="K728" s="7">
        <v>14361.96</v>
      </c>
      <c r="L728" s="7">
        <v>5723.82</v>
      </c>
      <c r="M728" s="3" t="s">
        <v>56</v>
      </c>
      <c r="N728" s="3"/>
      <c r="O728" s="3"/>
      <c r="P728" s="3"/>
      <c r="Q728" s="3"/>
    </row>
    <row r="729" spans="1:17" ht="21" customHeight="1">
      <c r="A729" s="3" t="s">
        <v>1288</v>
      </c>
      <c r="B729" s="5">
        <v>45503</v>
      </c>
      <c r="C729" s="3" t="s">
        <v>1289</v>
      </c>
      <c r="D729" s="3" t="s">
        <v>46</v>
      </c>
      <c r="E729" s="3" t="s">
        <v>39</v>
      </c>
      <c r="F729" s="3" t="s">
        <v>130</v>
      </c>
      <c r="G729" s="3" t="s">
        <v>131</v>
      </c>
      <c r="H729" s="3">
        <v>1</v>
      </c>
      <c r="I729" s="7">
        <v>2117.4499999999998</v>
      </c>
      <c r="J729" s="9">
        <v>0.4</v>
      </c>
      <c r="K729" s="7">
        <v>1270.47</v>
      </c>
      <c r="L729" s="7">
        <v>-59.11</v>
      </c>
      <c r="M729" s="3" t="s">
        <v>56</v>
      </c>
      <c r="N729" s="3"/>
      <c r="O729" s="3"/>
      <c r="P729" s="3"/>
      <c r="Q729" s="3"/>
    </row>
    <row r="730" spans="1:17" ht="21" customHeight="1">
      <c r="A730" s="3" t="s">
        <v>1290</v>
      </c>
      <c r="B730" s="5">
        <v>45503</v>
      </c>
      <c r="C730" s="3" t="s">
        <v>257</v>
      </c>
      <c r="D730" s="3" t="s">
        <v>45</v>
      </c>
      <c r="E730" s="3" t="s">
        <v>41</v>
      </c>
      <c r="F730" s="3" t="s">
        <v>119</v>
      </c>
      <c r="G730" s="3" t="s">
        <v>168</v>
      </c>
      <c r="H730" s="3">
        <v>5</v>
      </c>
      <c r="I730" s="7">
        <v>9927.6200000000008</v>
      </c>
      <c r="J730" s="9">
        <v>0.05</v>
      </c>
      <c r="K730" s="7">
        <v>47156.19</v>
      </c>
      <c r="L730" s="7">
        <v>13835.09</v>
      </c>
      <c r="M730" s="3" t="s">
        <v>59</v>
      </c>
      <c r="N730" s="3"/>
      <c r="O730" s="3"/>
      <c r="P730" s="3"/>
      <c r="Q730" s="3"/>
    </row>
    <row r="731" spans="1:17" ht="21" customHeight="1">
      <c r="A731" s="3" t="s">
        <v>1291</v>
      </c>
      <c r="B731" s="5">
        <v>45504</v>
      </c>
      <c r="C731" s="3" t="s">
        <v>333</v>
      </c>
      <c r="D731" s="3" t="s">
        <v>47</v>
      </c>
      <c r="E731" s="3" t="s">
        <v>42</v>
      </c>
      <c r="F731" s="3" t="s">
        <v>126</v>
      </c>
      <c r="G731" s="3" t="s">
        <v>127</v>
      </c>
      <c r="H731" s="3">
        <v>4</v>
      </c>
      <c r="I731" s="7">
        <v>978.87</v>
      </c>
      <c r="J731" s="9">
        <v>0</v>
      </c>
      <c r="K731" s="7">
        <v>3915.48</v>
      </c>
      <c r="L731" s="7">
        <v>2291.8000000000002</v>
      </c>
      <c r="M731" s="3" t="s">
        <v>58</v>
      </c>
      <c r="N731" s="3"/>
      <c r="O731" s="3"/>
      <c r="P731" s="3"/>
      <c r="Q731" s="3"/>
    </row>
    <row r="732" spans="1:17" ht="21" customHeight="1">
      <c r="A732" s="3" t="s">
        <v>1292</v>
      </c>
      <c r="B732" s="5">
        <v>45504</v>
      </c>
      <c r="C732" s="3" t="s">
        <v>1293</v>
      </c>
      <c r="D732" s="3" t="s">
        <v>44</v>
      </c>
      <c r="E732" s="3" t="s">
        <v>38</v>
      </c>
      <c r="F732" s="3" t="s">
        <v>98</v>
      </c>
      <c r="G732" s="3" t="s">
        <v>362</v>
      </c>
      <c r="H732" s="3">
        <v>4</v>
      </c>
      <c r="I732" s="7">
        <v>31817.09</v>
      </c>
      <c r="J732" s="9">
        <v>0</v>
      </c>
      <c r="K732" s="7">
        <v>127268.36</v>
      </c>
      <c r="L732" s="7">
        <v>20485.060000000001</v>
      </c>
      <c r="M732" s="3" t="s">
        <v>56</v>
      </c>
      <c r="N732" s="3"/>
      <c r="O732" s="3"/>
      <c r="P732" s="3"/>
      <c r="Q732" s="3"/>
    </row>
    <row r="733" spans="1:17" ht="21" customHeight="1">
      <c r="A733" s="3" t="s">
        <v>1294</v>
      </c>
      <c r="B733" s="5">
        <v>45504</v>
      </c>
      <c r="C733" s="3" t="s">
        <v>1295</v>
      </c>
      <c r="D733" s="3" t="s">
        <v>46</v>
      </c>
      <c r="E733" s="3" t="s">
        <v>38</v>
      </c>
      <c r="F733" s="3" t="s">
        <v>94</v>
      </c>
      <c r="G733" s="3" t="s">
        <v>95</v>
      </c>
      <c r="H733" s="3">
        <v>1</v>
      </c>
      <c r="I733" s="7">
        <v>80886.02</v>
      </c>
      <c r="J733" s="9">
        <v>0.05</v>
      </c>
      <c r="K733" s="7">
        <v>76841.72</v>
      </c>
      <c r="L733" s="7">
        <v>9643.91</v>
      </c>
      <c r="M733" s="3" t="s">
        <v>58</v>
      </c>
      <c r="N733" s="3"/>
      <c r="O733" s="3"/>
      <c r="P733" s="3"/>
      <c r="Q733" s="3"/>
    </row>
    <row r="734" spans="1:17" ht="21" customHeight="1">
      <c r="A734" s="3" t="s">
        <v>1296</v>
      </c>
      <c r="B734" s="5">
        <v>45504</v>
      </c>
      <c r="C734" s="3" t="s">
        <v>471</v>
      </c>
      <c r="D734" s="3" t="s">
        <v>44</v>
      </c>
      <c r="E734" s="3" t="s">
        <v>41</v>
      </c>
      <c r="F734" s="3" t="s">
        <v>113</v>
      </c>
      <c r="G734" s="3" t="s">
        <v>123</v>
      </c>
      <c r="H734" s="3">
        <v>2</v>
      </c>
      <c r="I734" s="7">
        <v>3641.71</v>
      </c>
      <c r="J734" s="9">
        <v>0.1</v>
      </c>
      <c r="K734" s="7">
        <v>6555.08</v>
      </c>
      <c r="L734" s="7">
        <v>1552.77</v>
      </c>
      <c r="M734" s="3" t="s">
        <v>57</v>
      </c>
      <c r="N734" s="3"/>
      <c r="O734" s="3"/>
      <c r="P734" s="3"/>
      <c r="Q734" s="3"/>
    </row>
    <row r="735" spans="1:17" ht="21" customHeight="1">
      <c r="A735" s="3" t="s">
        <v>1297</v>
      </c>
      <c r="B735" s="5">
        <v>45505</v>
      </c>
      <c r="C735" s="3" t="s">
        <v>491</v>
      </c>
      <c r="D735" s="3" t="s">
        <v>45</v>
      </c>
      <c r="E735" s="3" t="s">
        <v>39</v>
      </c>
      <c r="F735" s="3" t="s">
        <v>164</v>
      </c>
      <c r="G735" s="3" t="s">
        <v>165</v>
      </c>
      <c r="H735" s="3">
        <v>2</v>
      </c>
      <c r="I735" s="7">
        <v>2096.31</v>
      </c>
      <c r="J735" s="9">
        <v>0.2</v>
      </c>
      <c r="K735" s="7">
        <v>3354.1</v>
      </c>
      <c r="L735" s="7">
        <v>639.29999999999995</v>
      </c>
      <c r="M735" s="3" t="s">
        <v>57</v>
      </c>
      <c r="N735" s="3"/>
      <c r="O735" s="3"/>
      <c r="P735" s="3"/>
      <c r="Q735" s="3"/>
    </row>
    <row r="736" spans="1:17" ht="21" customHeight="1">
      <c r="A736" s="3" t="s">
        <v>1298</v>
      </c>
      <c r="B736" s="5">
        <v>45505</v>
      </c>
      <c r="C736" s="3" t="s">
        <v>1299</v>
      </c>
      <c r="D736" s="3" t="s">
        <v>45</v>
      </c>
      <c r="E736" s="3" t="s">
        <v>38</v>
      </c>
      <c r="F736" s="3" t="s">
        <v>142</v>
      </c>
      <c r="G736" s="3" t="s">
        <v>143</v>
      </c>
      <c r="H736" s="3">
        <v>1</v>
      </c>
      <c r="I736" s="7">
        <v>8765.1</v>
      </c>
      <c r="J736" s="9">
        <v>0</v>
      </c>
      <c r="K736" s="7">
        <v>8765.1</v>
      </c>
      <c r="L736" s="7">
        <v>1767.66</v>
      </c>
      <c r="M736" s="3" t="s">
        <v>56</v>
      </c>
      <c r="N736" s="3"/>
      <c r="O736" s="3"/>
      <c r="P736" s="3"/>
      <c r="Q736" s="3"/>
    </row>
    <row r="737" spans="1:17" ht="21" customHeight="1">
      <c r="A737" s="3" t="s">
        <v>1300</v>
      </c>
      <c r="B737" s="5">
        <v>45505</v>
      </c>
      <c r="C737" s="3" t="s">
        <v>1301</v>
      </c>
      <c r="D737" s="3" t="s">
        <v>46</v>
      </c>
      <c r="E737" s="3" t="s">
        <v>42</v>
      </c>
      <c r="F737" s="3" t="s">
        <v>126</v>
      </c>
      <c r="G737" s="3" t="s">
        <v>127</v>
      </c>
      <c r="H737" s="3">
        <v>1</v>
      </c>
      <c r="I737" s="7">
        <v>1042.6099999999999</v>
      </c>
      <c r="J737" s="9">
        <v>0.15</v>
      </c>
      <c r="K737" s="7">
        <v>886.22</v>
      </c>
      <c r="L737" s="7">
        <v>350.88</v>
      </c>
      <c r="M737" s="3" t="s">
        <v>56</v>
      </c>
      <c r="N737" s="3"/>
      <c r="O737" s="3"/>
      <c r="P737" s="3"/>
      <c r="Q737" s="3"/>
    </row>
    <row r="738" spans="1:17" ht="21" customHeight="1">
      <c r="A738" s="3" t="s">
        <v>1302</v>
      </c>
      <c r="B738" s="5">
        <v>45505</v>
      </c>
      <c r="C738" s="3" t="s">
        <v>1303</v>
      </c>
      <c r="D738" s="3" t="s">
        <v>44</v>
      </c>
      <c r="E738" s="3" t="s">
        <v>38</v>
      </c>
      <c r="F738" s="3" t="s">
        <v>98</v>
      </c>
      <c r="G738" s="3" t="s">
        <v>362</v>
      </c>
      <c r="H738" s="3">
        <v>2</v>
      </c>
      <c r="I738" s="7">
        <v>32731.9</v>
      </c>
      <c r="J738" s="9">
        <v>0.25</v>
      </c>
      <c r="K738" s="7">
        <v>49097.85</v>
      </c>
      <c r="L738" s="7">
        <v>-7121.23</v>
      </c>
      <c r="M738" s="3" t="s">
        <v>56</v>
      </c>
      <c r="N738" s="3"/>
      <c r="O738" s="3"/>
      <c r="P738" s="3"/>
      <c r="Q738" s="3"/>
    </row>
    <row r="739" spans="1:17" ht="21" customHeight="1">
      <c r="A739" s="3" t="s">
        <v>1304</v>
      </c>
      <c r="B739" s="5">
        <v>45506</v>
      </c>
      <c r="C739" s="3" t="s">
        <v>1171</v>
      </c>
      <c r="D739" s="3" t="s">
        <v>45</v>
      </c>
      <c r="E739" s="3" t="s">
        <v>38</v>
      </c>
      <c r="F739" s="3" t="s">
        <v>94</v>
      </c>
      <c r="G739" s="3" t="s">
        <v>213</v>
      </c>
      <c r="H739" s="3">
        <v>1</v>
      </c>
      <c r="I739" s="7">
        <v>56069.39</v>
      </c>
      <c r="J739" s="9">
        <v>0</v>
      </c>
      <c r="K739" s="7">
        <v>56069.39</v>
      </c>
      <c r="L739" s="7">
        <v>9080.6299999999992</v>
      </c>
      <c r="M739" s="3" t="s">
        <v>57</v>
      </c>
      <c r="N739" s="3"/>
      <c r="O739" s="3"/>
      <c r="P739" s="3"/>
      <c r="Q739" s="3"/>
    </row>
    <row r="740" spans="1:17" ht="21" customHeight="1">
      <c r="A740" s="3" t="s">
        <v>1305</v>
      </c>
      <c r="B740" s="5">
        <v>45506</v>
      </c>
      <c r="C740" s="3" t="s">
        <v>150</v>
      </c>
      <c r="D740" s="3" t="s">
        <v>47</v>
      </c>
      <c r="E740" s="3" t="s">
        <v>41</v>
      </c>
      <c r="F740" s="3" t="s">
        <v>113</v>
      </c>
      <c r="G740" s="3" t="s">
        <v>123</v>
      </c>
      <c r="H740" s="3">
        <v>1</v>
      </c>
      <c r="I740" s="7">
        <v>3363.21</v>
      </c>
      <c r="J740" s="9">
        <v>0</v>
      </c>
      <c r="K740" s="7">
        <v>3363.21</v>
      </c>
      <c r="L740" s="7">
        <v>1147.77</v>
      </c>
      <c r="M740" s="3" t="s">
        <v>59</v>
      </c>
      <c r="N740" s="3"/>
      <c r="O740" s="3"/>
      <c r="P740" s="3"/>
      <c r="Q740" s="3"/>
    </row>
    <row r="741" spans="1:17" ht="21" customHeight="1">
      <c r="A741" s="3" t="s">
        <v>1306</v>
      </c>
      <c r="B741" s="5">
        <v>45506</v>
      </c>
      <c r="C741" s="3" t="s">
        <v>377</v>
      </c>
      <c r="D741" s="3" t="s">
        <v>46</v>
      </c>
      <c r="E741" s="3" t="s">
        <v>38</v>
      </c>
      <c r="F741" s="3" t="s">
        <v>142</v>
      </c>
      <c r="G741" s="3" t="s">
        <v>245</v>
      </c>
      <c r="H741" s="3">
        <v>1</v>
      </c>
      <c r="I741" s="7">
        <v>5096.45</v>
      </c>
      <c r="J741" s="9">
        <v>0.25</v>
      </c>
      <c r="K741" s="7">
        <v>3822.34</v>
      </c>
      <c r="L741" s="7">
        <v>-470.05</v>
      </c>
      <c r="M741" s="3" t="s">
        <v>56</v>
      </c>
      <c r="N741" s="3"/>
      <c r="O741" s="3"/>
      <c r="P741" s="3"/>
      <c r="Q741" s="3"/>
    </row>
    <row r="742" spans="1:17" ht="21" customHeight="1">
      <c r="A742" s="3" t="s">
        <v>1307</v>
      </c>
      <c r="B742" s="5">
        <v>45506</v>
      </c>
      <c r="C742" s="3" t="s">
        <v>1308</v>
      </c>
      <c r="D742" s="3" t="s">
        <v>44</v>
      </c>
      <c r="E742" s="3" t="s">
        <v>42</v>
      </c>
      <c r="F742" s="3" t="s">
        <v>126</v>
      </c>
      <c r="G742" s="3" t="s">
        <v>127</v>
      </c>
      <c r="H742" s="3">
        <v>3</v>
      </c>
      <c r="I742" s="7">
        <v>974.76</v>
      </c>
      <c r="J742" s="9">
        <v>0.05</v>
      </c>
      <c r="K742" s="7">
        <v>2778.07</v>
      </c>
      <c r="L742" s="7">
        <v>1413.09</v>
      </c>
      <c r="M742" s="3" t="s">
        <v>57</v>
      </c>
      <c r="N742" s="3"/>
      <c r="O742" s="3"/>
      <c r="P742" s="3"/>
      <c r="Q742" s="3"/>
    </row>
    <row r="743" spans="1:17" ht="21" customHeight="1">
      <c r="A743" s="3" t="s">
        <v>1309</v>
      </c>
      <c r="B743" s="5">
        <v>45506</v>
      </c>
      <c r="C743" s="3" t="s">
        <v>137</v>
      </c>
      <c r="D743" s="3" t="s">
        <v>44</v>
      </c>
      <c r="E743" s="3" t="s">
        <v>38</v>
      </c>
      <c r="F743" s="3" t="s">
        <v>142</v>
      </c>
      <c r="G743" s="3" t="s">
        <v>143</v>
      </c>
      <c r="H743" s="3">
        <v>1</v>
      </c>
      <c r="I743" s="7">
        <v>8820.2199999999993</v>
      </c>
      <c r="J743" s="9">
        <v>0.05</v>
      </c>
      <c r="K743" s="7">
        <v>8379.2099999999991</v>
      </c>
      <c r="L743" s="7">
        <v>788.87</v>
      </c>
      <c r="M743" s="3" t="s">
        <v>59</v>
      </c>
      <c r="N743" s="3"/>
      <c r="O743" s="3"/>
      <c r="P743" s="3"/>
      <c r="Q743" s="3"/>
    </row>
    <row r="744" spans="1:17" ht="21" customHeight="1">
      <c r="A744" s="3" t="s">
        <v>1310</v>
      </c>
      <c r="B744" s="5">
        <v>45507</v>
      </c>
      <c r="C744" s="3" t="s">
        <v>322</v>
      </c>
      <c r="D744" s="3" t="s">
        <v>46</v>
      </c>
      <c r="E744" s="3" t="s">
        <v>42</v>
      </c>
      <c r="F744" s="3" t="s">
        <v>126</v>
      </c>
      <c r="G744" s="3" t="s">
        <v>127</v>
      </c>
      <c r="H744" s="3">
        <v>1</v>
      </c>
      <c r="I744" s="7">
        <v>956.04</v>
      </c>
      <c r="J744" s="9">
        <v>0.1</v>
      </c>
      <c r="K744" s="7">
        <v>860.44</v>
      </c>
      <c r="L744" s="7">
        <v>346.05</v>
      </c>
      <c r="M744" s="3" t="s">
        <v>58</v>
      </c>
      <c r="N744" s="3"/>
      <c r="O744" s="3"/>
      <c r="P744" s="3"/>
      <c r="Q744" s="3"/>
    </row>
    <row r="745" spans="1:17" ht="21" customHeight="1">
      <c r="A745" s="3" t="s">
        <v>1311</v>
      </c>
      <c r="B745" s="5">
        <v>45507</v>
      </c>
      <c r="C745" s="3" t="s">
        <v>1312</v>
      </c>
      <c r="D745" s="3" t="s">
        <v>45</v>
      </c>
      <c r="E745" s="3" t="s">
        <v>40</v>
      </c>
      <c r="F745" s="3" t="s">
        <v>221</v>
      </c>
      <c r="G745" s="3" t="s">
        <v>279</v>
      </c>
      <c r="H745" s="3">
        <v>1</v>
      </c>
      <c r="I745" s="7">
        <v>1441.9</v>
      </c>
      <c r="J745" s="9">
        <v>0</v>
      </c>
      <c r="K745" s="7">
        <v>1441.9</v>
      </c>
      <c r="L745" s="7">
        <v>443.98</v>
      </c>
      <c r="M745" s="3" t="s">
        <v>56</v>
      </c>
      <c r="N745" s="3"/>
      <c r="O745" s="3"/>
      <c r="P745" s="3"/>
      <c r="Q745" s="3"/>
    </row>
    <row r="746" spans="1:17" ht="21" customHeight="1">
      <c r="A746" s="3" t="s">
        <v>1313</v>
      </c>
      <c r="B746" s="5">
        <v>45507</v>
      </c>
      <c r="C746" s="3" t="s">
        <v>1314</v>
      </c>
      <c r="D746" s="3" t="s">
        <v>47</v>
      </c>
      <c r="E746" s="3" t="s">
        <v>38</v>
      </c>
      <c r="F746" s="3" t="s">
        <v>94</v>
      </c>
      <c r="G746" s="3" t="s">
        <v>213</v>
      </c>
      <c r="H746" s="3">
        <v>4</v>
      </c>
      <c r="I746" s="7">
        <v>55380.11</v>
      </c>
      <c r="J746" s="9">
        <v>0</v>
      </c>
      <c r="K746" s="7">
        <v>221520.44</v>
      </c>
      <c r="L746" s="7">
        <v>38413.22</v>
      </c>
      <c r="M746" s="3" t="s">
        <v>56</v>
      </c>
      <c r="N746" s="3"/>
      <c r="O746" s="3"/>
      <c r="P746" s="3"/>
      <c r="Q746" s="3"/>
    </row>
    <row r="747" spans="1:17" ht="21" customHeight="1">
      <c r="A747" s="3" t="s">
        <v>1315</v>
      </c>
      <c r="B747" s="5">
        <v>45508</v>
      </c>
      <c r="C747" s="3" t="s">
        <v>1316</v>
      </c>
      <c r="D747" s="3" t="s">
        <v>47</v>
      </c>
      <c r="E747" s="3" t="s">
        <v>40</v>
      </c>
      <c r="F747" s="3" t="s">
        <v>221</v>
      </c>
      <c r="G747" s="3" t="s">
        <v>222</v>
      </c>
      <c r="H747" s="3">
        <v>2</v>
      </c>
      <c r="I747" s="7">
        <v>1029.75</v>
      </c>
      <c r="J747" s="9">
        <v>0.05</v>
      </c>
      <c r="K747" s="7">
        <v>1956.52</v>
      </c>
      <c r="L747" s="7">
        <v>508.32</v>
      </c>
      <c r="M747" s="3" t="s">
        <v>58</v>
      </c>
      <c r="N747" s="3"/>
      <c r="O747" s="3"/>
      <c r="P747" s="3"/>
      <c r="Q747" s="3"/>
    </row>
    <row r="748" spans="1:17" ht="21" customHeight="1">
      <c r="A748" s="3" t="s">
        <v>1317</v>
      </c>
      <c r="B748" s="5">
        <v>45508</v>
      </c>
      <c r="C748" s="3" t="s">
        <v>170</v>
      </c>
      <c r="D748" s="3" t="s">
        <v>45</v>
      </c>
      <c r="E748" s="3" t="s">
        <v>38</v>
      </c>
      <c r="F748" s="3" t="s">
        <v>94</v>
      </c>
      <c r="G748" s="3" t="s">
        <v>95</v>
      </c>
      <c r="H748" s="3">
        <v>2</v>
      </c>
      <c r="I748" s="7">
        <v>80070.740000000005</v>
      </c>
      <c r="J748" s="9">
        <v>0.05</v>
      </c>
      <c r="K748" s="7">
        <v>152134.41</v>
      </c>
      <c r="L748" s="7">
        <v>15911.17</v>
      </c>
      <c r="M748" s="3" t="s">
        <v>56</v>
      </c>
      <c r="N748" s="3"/>
      <c r="O748" s="3"/>
      <c r="P748" s="3"/>
      <c r="Q748" s="3"/>
    </row>
    <row r="749" spans="1:17" ht="21" customHeight="1">
      <c r="A749" s="3" t="s">
        <v>1318</v>
      </c>
      <c r="B749" s="5">
        <v>45509</v>
      </c>
      <c r="C749" s="3" t="s">
        <v>516</v>
      </c>
      <c r="D749" s="3" t="s">
        <v>45</v>
      </c>
      <c r="E749" s="3" t="s">
        <v>39</v>
      </c>
      <c r="F749" s="3" t="s">
        <v>130</v>
      </c>
      <c r="G749" s="3" t="s">
        <v>193</v>
      </c>
      <c r="H749" s="3">
        <v>1</v>
      </c>
      <c r="I749" s="7">
        <v>1772.37</v>
      </c>
      <c r="J749" s="9">
        <v>0.1</v>
      </c>
      <c r="K749" s="7">
        <v>1595.13</v>
      </c>
      <c r="L749" s="7">
        <v>437.81</v>
      </c>
      <c r="M749" s="3" t="s">
        <v>56</v>
      </c>
      <c r="N749" s="3"/>
      <c r="O749" s="3"/>
      <c r="P749" s="3"/>
      <c r="Q749" s="3"/>
    </row>
    <row r="750" spans="1:17" ht="21" customHeight="1">
      <c r="A750" s="3" t="s">
        <v>1319</v>
      </c>
      <c r="B750" s="5">
        <v>45509</v>
      </c>
      <c r="C750" s="3" t="s">
        <v>1035</v>
      </c>
      <c r="D750" s="3" t="s">
        <v>47</v>
      </c>
      <c r="E750" s="3" t="s">
        <v>39</v>
      </c>
      <c r="F750" s="3" t="s">
        <v>109</v>
      </c>
      <c r="G750" s="3" t="s">
        <v>355</v>
      </c>
      <c r="H750" s="3">
        <v>1</v>
      </c>
      <c r="I750" s="7">
        <v>3527.55</v>
      </c>
      <c r="J750" s="9">
        <v>0.15</v>
      </c>
      <c r="K750" s="7">
        <v>2998.42</v>
      </c>
      <c r="L750" s="7">
        <v>710.47</v>
      </c>
      <c r="M750" s="3" t="s">
        <v>56</v>
      </c>
      <c r="N750" s="3"/>
      <c r="O750" s="3"/>
      <c r="P750" s="3"/>
      <c r="Q750" s="3"/>
    </row>
    <row r="751" spans="1:17" ht="21" customHeight="1">
      <c r="A751" s="3" t="s">
        <v>1320</v>
      </c>
      <c r="B751" s="5">
        <v>45509</v>
      </c>
      <c r="C751" s="3" t="s">
        <v>236</v>
      </c>
      <c r="D751" s="3" t="s">
        <v>44</v>
      </c>
      <c r="E751" s="3" t="s">
        <v>39</v>
      </c>
      <c r="F751" s="3" t="s">
        <v>109</v>
      </c>
      <c r="G751" s="3" t="s">
        <v>110</v>
      </c>
      <c r="H751" s="3">
        <v>1</v>
      </c>
      <c r="I751" s="7">
        <v>3042.81</v>
      </c>
      <c r="J751" s="9">
        <v>0</v>
      </c>
      <c r="K751" s="7">
        <v>3042.81</v>
      </c>
      <c r="L751" s="7">
        <v>1290.08</v>
      </c>
      <c r="M751" s="3" t="s">
        <v>59</v>
      </c>
      <c r="N751" s="3"/>
      <c r="O751" s="3"/>
      <c r="P751" s="3"/>
      <c r="Q751" s="3"/>
    </row>
    <row r="752" spans="1:17" ht="21" customHeight="1">
      <c r="A752" s="3" t="s">
        <v>1321</v>
      </c>
      <c r="B752" s="5">
        <v>45509</v>
      </c>
      <c r="C752" s="3" t="s">
        <v>944</v>
      </c>
      <c r="D752" s="3" t="s">
        <v>47</v>
      </c>
      <c r="E752" s="3" t="s">
        <v>38</v>
      </c>
      <c r="F752" s="3" t="s">
        <v>94</v>
      </c>
      <c r="G752" s="3" t="s">
        <v>213</v>
      </c>
      <c r="H752" s="3">
        <v>4</v>
      </c>
      <c r="I752" s="7">
        <v>52499.75</v>
      </c>
      <c r="J752" s="9">
        <v>0.05</v>
      </c>
      <c r="K752" s="7">
        <v>199499.05</v>
      </c>
      <c r="L752" s="7">
        <v>26389.11</v>
      </c>
      <c r="M752" s="3" t="s">
        <v>56</v>
      </c>
      <c r="N752" s="3"/>
      <c r="O752" s="3"/>
      <c r="P752" s="3"/>
      <c r="Q752" s="3"/>
    </row>
    <row r="753" spans="1:17" ht="21" customHeight="1">
      <c r="A753" s="3" t="s">
        <v>1322</v>
      </c>
      <c r="B753" s="5">
        <v>45510</v>
      </c>
      <c r="C753" s="3" t="s">
        <v>157</v>
      </c>
      <c r="D753" s="3" t="s">
        <v>47</v>
      </c>
      <c r="E753" s="3" t="s">
        <v>42</v>
      </c>
      <c r="F753" s="3" t="s">
        <v>90</v>
      </c>
      <c r="G753" s="3" t="s">
        <v>106</v>
      </c>
      <c r="H753" s="3">
        <v>1</v>
      </c>
      <c r="I753" s="7">
        <v>901.74</v>
      </c>
      <c r="J753" s="9">
        <v>0</v>
      </c>
      <c r="K753" s="7">
        <v>901.74</v>
      </c>
      <c r="L753" s="7">
        <v>481.77</v>
      </c>
      <c r="M753" s="3" t="s">
        <v>56</v>
      </c>
      <c r="N753" s="3"/>
      <c r="O753" s="3"/>
      <c r="P753" s="3"/>
      <c r="Q753" s="3"/>
    </row>
    <row r="754" spans="1:17" ht="21" customHeight="1">
      <c r="A754" s="3" t="s">
        <v>1323</v>
      </c>
      <c r="B754" s="5">
        <v>45510</v>
      </c>
      <c r="C754" s="3" t="s">
        <v>1324</v>
      </c>
      <c r="D754" s="3" t="s">
        <v>46</v>
      </c>
      <c r="E754" s="3" t="s">
        <v>42</v>
      </c>
      <c r="F754" s="3" t="s">
        <v>90</v>
      </c>
      <c r="G754" s="3" t="s">
        <v>106</v>
      </c>
      <c r="H754" s="3">
        <v>2</v>
      </c>
      <c r="I754" s="7">
        <v>911.3</v>
      </c>
      <c r="J754" s="9">
        <v>0.05</v>
      </c>
      <c r="K754" s="7">
        <v>1731.47</v>
      </c>
      <c r="L754" s="7">
        <v>852.38</v>
      </c>
      <c r="M754" s="3" t="s">
        <v>58</v>
      </c>
      <c r="N754" s="3"/>
      <c r="O754" s="3"/>
      <c r="P754" s="3"/>
      <c r="Q754" s="3"/>
    </row>
    <row r="755" spans="1:17" ht="21" customHeight="1">
      <c r="A755" s="3" t="s">
        <v>1325</v>
      </c>
      <c r="B755" s="5">
        <v>45510</v>
      </c>
      <c r="C755" s="3" t="s">
        <v>1326</v>
      </c>
      <c r="D755" s="3" t="s">
        <v>45</v>
      </c>
      <c r="E755" s="3" t="s">
        <v>41</v>
      </c>
      <c r="F755" s="3" t="s">
        <v>113</v>
      </c>
      <c r="G755" s="3" t="s">
        <v>123</v>
      </c>
      <c r="H755" s="3">
        <v>1</v>
      </c>
      <c r="I755" s="7">
        <v>3391.4</v>
      </c>
      <c r="J755" s="9">
        <v>0.4</v>
      </c>
      <c r="K755" s="7">
        <v>2034.84</v>
      </c>
      <c r="L755" s="7">
        <v>-243.78</v>
      </c>
      <c r="M755" s="3" t="s">
        <v>58</v>
      </c>
      <c r="N755" s="3"/>
      <c r="O755" s="3"/>
      <c r="P755" s="3"/>
      <c r="Q755" s="3"/>
    </row>
    <row r="756" spans="1:17" ht="21" customHeight="1">
      <c r="A756" s="3" t="s">
        <v>1327</v>
      </c>
      <c r="B756" s="5">
        <v>45511</v>
      </c>
      <c r="C756" s="3" t="s">
        <v>475</v>
      </c>
      <c r="D756" s="3" t="s">
        <v>44</v>
      </c>
      <c r="E756" s="3" t="s">
        <v>40</v>
      </c>
      <c r="F756" s="3" t="s">
        <v>221</v>
      </c>
      <c r="G756" s="3" t="s">
        <v>279</v>
      </c>
      <c r="H756" s="3">
        <v>2</v>
      </c>
      <c r="I756" s="7">
        <v>1474.39</v>
      </c>
      <c r="J756" s="9">
        <v>0</v>
      </c>
      <c r="K756" s="7">
        <v>2948.78</v>
      </c>
      <c r="L756" s="7">
        <v>1065.81</v>
      </c>
      <c r="M756" s="3" t="s">
        <v>56</v>
      </c>
      <c r="N756" s="3"/>
      <c r="O756" s="3"/>
      <c r="P756" s="3"/>
      <c r="Q756" s="3"/>
    </row>
    <row r="757" spans="1:17" ht="21" customHeight="1">
      <c r="A757" s="3" t="s">
        <v>1328</v>
      </c>
      <c r="B757" s="5">
        <v>45511</v>
      </c>
      <c r="C757" s="3" t="s">
        <v>1197</v>
      </c>
      <c r="D757" s="3" t="s">
        <v>45</v>
      </c>
      <c r="E757" s="3" t="s">
        <v>39</v>
      </c>
      <c r="F757" s="3" t="s">
        <v>164</v>
      </c>
      <c r="G757" s="3" t="s">
        <v>200</v>
      </c>
      <c r="H757" s="3">
        <v>1</v>
      </c>
      <c r="I757" s="7">
        <v>1348.76</v>
      </c>
      <c r="J757" s="9">
        <v>0.15</v>
      </c>
      <c r="K757" s="7">
        <v>1146.45</v>
      </c>
      <c r="L757" s="7">
        <v>279.12</v>
      </c>
      <c r="M757" s="3" t="s">
        <v>56</v>
      </c>
      <c r="N757" s="3"/>
      <c r="O757" s="3"/>
      <c r="P757" s="3"/>
      <c r="Q757" s="3"/>
    </row>
    <row r="758" spans="1:17" ht="21" customHeight="1">
      <c r="A758" s="3" t="s">
        <v>1329</v>
      </c>
      <c r="B758" s="5">
        <v>45511</v>
      </c>
      <c r="C758" s="3" t="s">
        <v>224</v>
      </c>
      <c r="D758" s="3" t="s">
        <v>44</v>
      </c>
      <c r="E758" s="3" t="s">
        <v>39</v>
      </c>
      <c r="F758" s="3" t="s">
        <v>109</v>
      </c>
      <c r="G758" s="3" t="s">
        <v>110</v>
      </c>
      <c r="H758" s="3">
        <v>1</v>
      </c>
      <c r="I758" s="7">
        <v>3093.13</v>
      </c>
      <c r="J758" s="9">
        <v>0</v>
      </c>
      <c r="K758" s="7">
        <v>3093.13</v>
      </c>
      <c r="L758" s="7">
        <v>1356.91</v>
      </c>
      <c r="M758" s="3" t="s">
        <v>56</v>
      </c>
      <c r="N758" s="3"/>
      <c r="O758" s="3"/>
      <c r="P758" s="3"/>
      <c r="Q758" s="3"/>
    </row>
    <row r="759" spans="1:17" ht="21" customHeight="1">
      <c r="A759" s="3" t="s">
        <v>1330</v>
      </c>
      <c r="B759" s="5">
        <v>45511</v>
      </c>
      <c r="C759" s="3" t="s">
        <v>1331</v>
      </c>
      <c r="D759" s="3" t="s">
        <v>46</v>
      </c>
      <c r="E759" s="3" t="s">
        <v>38</v>
      </c>
      <c r="F759" s="3" t="s">
        <v>142</v>
      </c>
      <c r="G759" s="3" t="s">
        <v>143</v>
      </c>
      <c r="H759" s="3">
        <v>1</v>
      </c>
      <c r="I759" s="7">
        <v>9114.83</v>
      </c>
      <c r="J759" s="9">
        <v>0.05</v>
      </c>
      <c r="K759" s="7">
        <v>8659.09</v>
      </c>
      <c r="L759" s="7">
        <v>1280.33</v>
      </c>
      <c r="M759" s="3" t="s">
        <v>57</v>
      </c>
      <c r="N759" s="3"/>
      <c r="O759" s="3"/>
      <c r="P759" s="3"/>
      <c r="Q759" s="3"/>
    </row>
    <row r="760" spans="1:17" ht="21" customHeight="1">
      <c r="A760" s="3" t="s">
        <v>1332</v>
      </c>
      <c r="B760" s="5">
        <v>45511</v>
      </c>
      <c r="C760" s="3" t="s">
        <v>391</v>
      </c>
      <c r="D760" s="3" t="s">
        <v>44</v>
      </c>
      <c r="E760" s="3" t="s">
        <v>41</v>
      </c>
      <c r="F760" s="3" t="s">
        <v>119</v>
      </c>
      <c r="G760" s="3" t="s">
        <v>168</v>
      </c>
      <c r="H760" s="3">
        <v>2</v>
      </c>
      <c r="I760" s="7">
        <v>10258.93</v>
      </c>
      <c r="J760" s="9">
        <v>0.25</v>
      </c>
      <c r="K760" s="7">
        <v>15388.4</v>
      </c>
      <c r="L760" s="7">
        <v>1955.75</v>
      </c>
      <c r="M760" s="3" t="s">
        <v>57</v>
      </c>
      <c r="N760" s="3"/>
      <c r="O760" s="3"/>
      <c r="P760" s="3"/>
      <c r="Q760" s="3"/>
    </row>
    <row r="761" spans="1:17" ht="21" customHeight="1">
      <c r="A761" s="3" t="s">
        <v>1333</v>
      </c>
      <c r="B761" s="5">
        <v>45511</v>
      </c>
      <c r="C761" s="3" t="s">
        <v>157</v>
      </c>
      <c r="D761" s="3" t="s">
        <v>44</v>
      </c>
      <c r="E761" s="3" t="s">
        <v>39</v>
      </c>
      <c r="F761" s="3" t="s">
        <v>130</v>
      </c>
      <c r="G761" s="3" t="s">
        <v>193</v>
      </c>
      <c r="H761" s="3">
        <v>2</v>
      </c>
      <c r="I761" s="7">
        <v>1871.17</v>
      </c>
      <c r="J761" s="9">
        <v>0.15</v>
      </c>
      <c r="K761" s="7">
        <v>3180.99</v>
      </c>
      <c r="L761" s="7">
        <v>789.14</v>
      </c>
      <c r="M761" s="3" t="s">
        <v>57</v>
      </c>
      <c r="N761" s="3"/>
      <c r="O761" s="3"/>
      <c r="P761" s="3"/>
      <c r="Q761" s="3"/>
    </row>
    <row r="762" spans="1:17" ht="21" customHeight="1">
      <c r="A762" s="3" t="s">
        <v>1334</v>
      </c>
      <c r="B762" s="5">
        <v>45511</v>
      </c>
      <c r="C762" s="3" t="s">
        <v>673</v>
      </c>
      <c r="D762" s="3" t="s">
        <v>47</v>
      </c>
      <c r="E762" s="3" t="s">
        <v>39</v>
      </c>
      <c r="F762" s="3" t="s">
        <v>109</v>
      </c>
      <c r="G762" s="3" t="s">
        <v>110</v>
      </c>
      <c r="H762" s="3">
        <v>1</v>
      </c>
      <c r="I762" s="7">
        <v>2958.1</v>
      </c>
      <c r="J762" s="9">
        <v>0.1</v>
      </c>
      <c r="K762" s="7">
        <v>2662.29</v>
      </c>
      <c r="L762" s="7">
        <v>815.62</v>
      </c>
      <c r="M762" s="3" t="s">
        <v>56</v>
      </c>
      <c r="N762" s="3"/>
      <c r="O762" s="3"/>
      <c r="P762" s="3"/>
      <c r="Q762" s="3"/>
    </row>
    <row r="763" spans="1:17" ht="21" customHeight="1">
      <c r="A763" s="3" t="s">
        <v>1335</v>
      </c>
      <c r="B763" s="5">
        <v>45512</v>
      </c>
      <c r="C763" s="3" t="s">
        <v>343</v>
      </c>
      <c r="D763" s="3" t="s">
        <v>44</v>
      </c>
      <c r="E763" s="3" t="s">
        <v>40</v>
      </c>
      <c r="F763" s="3" t="s">
        <v>102</v>
      </c>
      <c r="G763" s="3" t="s">
        <v>103</v>
      </c>
      <c r="H763" s="3">
        <v>1</v>
      </c>
      <c r="I763" s="7">
        <v>6699.85</v>
      </c>
      <c r="J763" s="9">
        <v>0</v>
      </c>
      <c r="K763" s="7">
        <v>6699.85</v>
      </c>
      <c r="L763" s="7">
        <v>2173.1</v>
      </c>
      <c r="M763" s="3" t="s">
        <v>56</v>
      </c>
      <c r="N763" s="3"/>
      <c r="O763" s="3"/>
      <c r="P763" s="3"/>
      <c r="Q763" s="3"/>
    </row>
    <row r="764" spans="1:17" ht="21" customHeight="1">
      <c r="A764" s="3" t="s">
        <v>1336</v>
      </c>
      <c r="B764" s="5">
        <v>45512</v>
      </c>
      <c r="C764" s="3" t="s">
        <v>684</v>
      </c>
      <c r="D764" s="3" t="s">
        <v>45</v>
      </c>
      <c r="E764" s="3" t="s">
        <v>38</v>
      </c>
      <c r="F764" s="3" t="s">
        <v>142</v>
      </c>
      <c r="G764" s="3" t="s">
        <v>143</v>
      </c>
      <c r="H764" s="3">
        <v>2</v>
      </c>
      <c r="I764" s="7">
        <v>9203.9599999999991</v>
      </c>
      <c r="J764" s="9">
        <v>0.25</v>
      </c>
      <c r="K764" s="7">
        <v>13805.94</v>
      </c>
      <c r="L764" s="7">
        <v>-1248.21</v>
      </c>
      <c r="M764" s="3" t="s">
        <v>58</v>
      </c>
      <c r="N764" s="3"/>
      <c r="O764" s="3"/>
      <c r="P764" s="3"/>
      <c r="Q764" s="3"/>
    </row>
    <row r="765" spans="1:17" ht="21" customHeight="1">
      <c r="A765" s="3" t="s">
        <v>1337</v>
      </c>
      <c r="B765" s="5">
        <v>45512</v>
      </c>
      <c r="C765" s="3" t="s">
        <v>543</v>
      </c>
      <c r="D765" s="3" t="s">
        <v>44</v>
      </c>
      <c r="E765" s="3" t="s">
        <v>42</v>
      </c>
      <c r="F765" s="3" t="s">
        <v>126</v>
      </c>
      <c r="G765" s="3" t="s">
        <v>151</v>
      </c>
      <c r="H765" s="3">
        <v>3</v>
      </c>
      <c r="I765" s="7">
        <v>1537.45</v>
      </c>
      <c r="J765" s="9">
        <v>0.1</v>
      </c>
      <c r="K765" s="7">
        <v>4151.12</v>
      </c>
      <c r="L765" s="7">
        <v>1774.95</v>
      </c>
      <c r="M765" s="3" t="s">
        <v>58</v>
      </c>
      <c r="N765" s="3"/>
      <c r="O765" s="3"/>
      <c r="P765" s="3"/>
      <c r="Q765" s="3"/>
    </row>
    <row r="766" spans="1:17" ht="21" customHeight="1">
      <c r="A766" s="3" t="s">
        <v>1338</v>
      </c>
      <c r="B766" s="5">
        <v>45512</v>
      </c>
      <c r="C766" s="3" t="s">
        <v>343</v>
      </c>
      <c r="D766" s="3" t="s">
        <v>47</v>
      </c>
      <c r="E766" s="3" t="s">
        <v>38</v>
      </c>
      <c r="F766" s="3" t="s">
        <v>94</v>
      </c>
      <c r="G766" s="3" t="s">
        <v>95</v>
      </c>
      <c r="H766" s="3">
        <v>1</v>
      </c>
      <c r="I766" s="7">
        <v>80501.100000000006</v>
      </c>
      <c r="J766" s="9">
        <v>0</v>
      </c>
      <c r="K766" s="7">
        <v>80501.100000000006</v>
      </c>
      <c r="L766" s="7">
        <v>15710.38</v>
      </c>
      <c r="M766" s="3" t="s">
        <v>56</v>
      </c>
      <c r="N766" s="3"/>
      <c r="O766" s="3"/>
      <c r="P766" s="3"/>
      <c r="Q766" s="3"/>
    </row>
    <row r="767" spans="1:17" ht="21" customHeight="1">
      <c r="A767" s="3" t="s">
        <v>1339</v>
      </c>
      <c r="B767" s="5">
        <v>45512</v>
      </c>
      <c r="C767" s="3" t="s">
        <v>1072</v>
      </c>
      <c r="D767" s="3" t="s">
        <v>46</v>
      </c>
      <c r="E767" s="3" t="s">
        <v>39</v>
      </c>
      <c r="F767" s="3" t="s">
        <v>164</v>
      </c>
      <c r="G767" s="3" t="s">
        <v>165</v>
      </c>
      <c r="H767" s="3">
        <v>1</v>
      </c>
      <c r="I767" s="7">
        <v>2016.01</v>
      </c>
      <c r="J767" s="9">
        <v>0.15</v>
      </c>
      <c r="K767" s="7">
        <v>1713.61</v>
      </c>
      <c r="L767" s="7">
        <v>466.14</v>
      </c>
      <c r="M767" s="3" t="s">
        <v>56</v>
      </c>
      <c r="N767" s="3"/>
      <c r="O767" s="3"/>
      <c r="P767" s="3"/>
      <c r="Q767" s="3"/>
    </row>
    <row r="768" spans="1:17" ht="21" customHeight="1">
      <c r="A768" s="3" t="s">
        <v>1340</v>
      </c>
      <c r="B768" s="5">
        <v>45512</v>
      </c>
      <c r="C768" s="3" t="s">
        <v>1341</v>
      </c>
      <c r="D768" s="3" t="s">
        <v>47</v>
      </c>
      <c r="E768" s="3" t="s">
        <v>42</v>
      </c>
      <c r="F768" s="3" t="s">
        <v>90</v>
      </c>
      <c r="G768" s="3" t="s">
        <v>106</v>
      </c>
      <c r="H768" s="3">
        <v>4</v>
      </c>
      <c r="I768" s="7">
        <v>891.7</v>
      </c>
      <c r="J768" s="9">
        <v>0.15</v>
      </c>
      <c r="K768" s="7">
        <v>3031.78</v>
      </c>
      <c r="L768" s="7">
        <v>1078.42</v>
      </c>
      <c r="M768" s="3" t="s">
        <v>60</v>
      </c>
      <c r="N768" s="3"/>
      <c r="O768" s="3"/>
      <c r="P768" s="3"/>
      <c r="Q768" s="3"/>
    </row>
    <row r="769" spans="1:17" ht="21" customHeight="1">
      <c r="A769" s="3" t="s">
        <v>1342</v>
      </c>
      <c r="B769" s="5">
        <v>45513</v>
      </c>
      <c r="C769" s="3" t="s">
        <v>1269</v>
      </c>
      <c r="D769" s="3" t="s">
        <v>44</v>
      </c>
      <c r="E769" s="3" t="s">
        <v>42</v>
      </c>
      <c r="F769" s="3" t="s">
        <v>90</v>
      </c>
      <c r="G769" s="3" t="s">
        <v>106</v>
      </c>
      <c r="H769" s="3">
        <v>2</v>
      </c>
      <c r="I769" s="7">
        <v>905.5</v>
      </c>
      <c r="J769" s="9">
        <v>0</v>
      </c>
      <c r="K769" s="7">
        <v>1811</v>
      </c>
      <c r="L769" s="7">
        <v>931.71</v>
      </c>
      <c r="M769" s="3" t="s">
        <v>56</v>
      </c>
      <c r="N769" s="3"/>
      <c r="O769" s="3"/>
      <c r="P769" s="3"/>
      <c r="Q769" s="3"/>
    </row>
    <row r="770" spans="1:17" ht="21" customHeight="1">
      <c r="A770" s="3" t="s">
        <v>1343</v>
      </c>
      <c r="B770" s="5">
        <v>45513</v>
      </c>
      <c r="C770" s="3" t="s">
        <v>312</v>
      </c>
      <c r="D770" s="3" t="s">
        <v>46</v>
      </c>
      <c r="E770" s="3" t="s">
        <v>41</v>
      </c>
      <c r="F770" s="3" t="s">
        <v>119</v>
      </c>
      <c r="G770" s="3" t="s">
        <v>120</v>
      </c>
      <c r="H770" s="3">
        <v>2</v>
      </c>
      <c r="I770" s="7">
        <v>1353.19</v>
      </c>
      <c r="J770" s="9">
        <v>0.15</v>
      </c>
      <c r="K770" s="7">
        <v>2300.42</v>
      </c>
      <c r="L770" s="7">
        <v>473.43</v>
      </c>
      <c r="M770" s="3" t="s">
        <v>57</v>
      </c>
      <c r="N770" s="3"/>
      <c r="O770" s="3"/>
      <c r="P770" s="3"/>
      <c r="Q770" s="3"/>
    </row>
    <row r="771" spans="1:17" ht="21" customHeight="1">
      <c r="A771" s="3" t="s">
        <v>1344</v>
      </c>
      <c r="B771" s="5">
        <v>45513</v>
      </c>
      <c r="C771" s="3" t="s">
        <v>950</v>
      </c>
      <c r="D771" s="3" t="s">
        <v>46</v>
      </c>
      <c r="E771" s="3" t="s">
        <v>39</v>
      </c>
      <c r="F771" s="3" t="s">
        <v>109</v>
      </c>
      <c r="G771" s="3" t="s">
        <v>355</v>
      </c>
      <c r="H771" s="3">
        <v>1</v>
      </c>
      <c r="I771" s="7">
        <v>3520.54</v>
      </c>
      <c r="J771" s="9">
        <v>0.15</v>
      </c>
      <c r="K771" s="7">
        <v>2992.46</v>
      </c>
      <c r="L771" s="7">
        <v>825.89</v>
      </c>
      <c r="M771" s="3" t="s">
        <v>59</v>
      </c>
      <c r="N771" s="3"/>
      <c r="O771" s="3"/>
      <c r="P771" s="3"/>
      <c r="Q771" s="3"/>
    </row>
    <row r="772" spans="1:17" ht="21" customHeight="1">
      <c r="A772" s="3" t="s">
        <v>1345</v>
      </c>
      <c r="B772" s="5">
        <v>45513</v>
      </c>
      <c r="C772" s="3" t="s">
        <v>402</v>
      </c>
      <c r="D772" s="3" t="s">
        <v>46</v>
      </c>
      <c r="E772" s="3" t="s">
        <v>39</v>
      </c>
      <c r="F772" s="3" t="s">
        <v>130</v>
      </c>
      <c r="G772" s="3" t="s">
        <v>131</v>
      </c>
      <c r="H772" s="3">
        <v>3</v>
      </c>
      <c r="I772" s="7">
        <v>2232.91</v>
      </c>
      <c r="J772" s="9">
        <v>0</v>
      </c>
      <c r="K772" s="7">
        <v>6698.73</v>
      </c>
      <c r="L772" s="7">
        <v>2831.22</v>
      </c>
      <c r="M772" s="3" t="s">
        <v>56</v>
      </c>
      <c r="N772" s="3"/>
      <c r="O772" s="3"/>
      <c r="P772" s="3"/>
      <c r="Q772" s="3"/>
    </row>
    <row r="773" spans="1:17" ht="21" customHeight="1">
      <c r="A773" s="3" t="s">
        <v>1346</v>
      </c>
      <c r="B773" s="5">
        <v>45514</v>
      </c>
      <c r="C773" s="3" t="s">
        <v>666</v>
      </c>
      <c r="D773" s="3" t="s">
        <v>45</v>
      </c>
      <c r="E773" s="3" t="s">
        <v>38</v>
      </c>
      <c r="F773" s="3" t="s">
        <v>142</v>
      </c>
      <c r="G773" s="3" t="s">
        <v>245</v>
      </c>
      <c r="H773" s="3">
        <v>1</v>
      </c>
      <c r="I773" s="7">
        <v>5063.03</v>
      </c>
      <c r="J773" s="9">
        <v>0.15</v>
      </c>
      <c r="K773" s="7">
        <v>4303.58</v>
      </c>
      <c r="L773" s="7">
        <v>-87.75</v>
      </c>
      <c r="M773" s="3" t="s">
        <v>57</v>
      </c>
      <c r="N773" s="3"/>
      <c r="O773" s="3"/>
      <c r="P773" s="3"/>
      <c r="Q773" s="3"/>
    </row>
    <row r="774" spans="1:17" ht="21" customHeight="1">
      <c r="A774" s="3" t="s">
        <v>1347</v>
      </c>
      <c r="B774" s="5">
        <v>45515</v>
      </c>
      <c r="C774" s="3" t="s">
        <v>593</v>
      </c>
      <c r="D774" s="3" t="s">
        <v>46</v>
      </c>
      <c r="E774" s="3" t="s">
        <v>40</v>
      </c>
      <c r="F774" s="3" t="s">
        <v>160</v>
      </c>
      <c r="G774" s="3" t="s">
        <v>173</v>
      </c>
      <c r="H774" s="3">
        <v>1</v>
      </c>
      <c r="I774" s="7">
        <v>9141.15</v>
      </c>
      <c r="J774" s="9">
        <v>0</v>
      </c>
      <c r="K774" s="7">
        <v>9141.15</v>
      </c>
      <c r="L774" s="7">
        <v>2854.57</v>
      </c>
      <c r="M774" s="3" t="s">
        <v>56</v>
      </c>
      <c r="N774" s="3"/>
      <c r="O774" s="3"/>
      <c r="P774" s="3"/>
      <c r="Q774" s="3"/>
    </row>
    <row r="775" spans="1:17" ht="21" customHeight="1">
      <c r="A775" s="3" t="s">
        <v>1348</v>
      </c>
      <c r="B775" s="5">
        <v>45515</v>
      </c>
      <c r="C775" s="3" t="s">
        <v>935</v>
      </c>
      <c r="D775" s="3" t="s">
        <v>45</v>
      </c>
      <c r="E775" s="3" t="s">
        <v>40</v>
      </c>
      <c r="F775" s="3" t="s">
        <v>221</v>
      </c>
      <c r="G775" s="3" t="s">
        <v>279</v>
      </c>
      <c r="H775" s="3">
        <v>1</v>
      </c>
      <c r="I775" s="7">
        <v>1425.38</v>
      </c>
      <c r="J775" s="9">
        <v>0</v>
      </c>
      <c r="K775" s="7">
        <v>1425.38</v>
      </c>
      <c r="L775" s="7">
        <v>417.58</v>
      </c>
      <c r="M775" s="3" t="s">
        <v>57</v>
      </c>
      <c r="N775" s="3"/>
      <c r="O775" s="3"/>
      <c r="P775" s="3"/>
      <c r="Q775" s="3"/>
    </row>
    <row r="776" spans="1:17" ht="21" customHeight="1">
      <c r="A776" s="3" t="s">
        <v>1349</v>
      </c>
      <c r="B776" s="5">
        <v>45515</v>
      </c>
      <c r="C776" s="3" t="s">
        <v>1350</v>
      </c>
      <c r="D776" s="3" t="s">
        <v>46</v>
      </c>
      <c r="E776" s="3" t="s">
        <v>39</v>
      </c>
      <c r="F776" s="3" t="s">
        <v>130</v>
      </c>
      <c r="G776" s="3" t="s">
        <v>193</v>
      </c>
      <c r="H776" s="3">
        <v>1</v>
      </c>
      <c r="I776" s="7">
        <v>1888.22</v>
      </c>
      <c r="J776" s="9">
        <v>0.05</v>
      </c>
      <c r="K776" s="7">
        <v>1793.81</v>
      </c>
      <c r="L776" s="7">
        <v>588.91999999999996</v>
      </c>
      <c r="M776" s="3" t="s">
        <v>60</v>
      </c>
      <c r="N776" s="3"/>
      <c r="O776" s="3"/>
      <c r="P776" s="3"/>
      <c r="Q776" s="3"/>
    </row>
    <row r="777" spans="1:17" ht="21" customHeight="1">
      <c r="A777" s="3" t="s">
        <v>1351</v>
      </c>
      <c r="B777" s="5">
        <v>45515</v>
      </c>
      <c r="C777" s="3" t="s">
        <v>1037</v>
      </c>
      <c r="D777" s="3" t="s">
        <v>44</v>
      </c>
      <c r="E777" s="3" t="s">
        <v>42</v>
      </c>
      <c r="F777" s="3" t="s">
        <v>90</v>
      </c>
      <c r="G777" s="3" t="s">
        <v>106</v>
      </c>
      <c r="H777" s="3">
        <v>1</v>
      </c>
      <c r="I777" s="7">
        <v>860.58</v>
      </c>
      <c r="J777" s="9">
        <v>0.1</v>
      </c>
      <c r="K777" s="7">
        <v>774.52</v>
      </c>
      <c r="L777" s="7">
        <v>364.2</v>
      </c>
      <c r="M777" s="3" t="s">
        <v>60</v>
      </c>
      <c r="N777" s="3"/>
      <c r="O777" s="3"/>
      <c r="P777" s="3"/>
      <c r="Q777" s="3"/>
    </row>
    <row r="778" spans="1:17" ht="21" customHeight="1">
      <c r="A778" s="3" t="s">
        <v>1352</v>
      </c>
      <c r="B778" s="5">
        <v>45515</v>
      </c>
      <c r="C778" s="3" t="s">
        <v>830</v>
      </c>
      <c r="D778" s="3" t="s">
        <v>44</v>
      </c>
      <c r="E778" s="3" t="s">
        <v>41</v>
      </c>
      <c r="F778" s="3" t="s">
        <v>113</v>
      </c>
      <c r="G778" s="3" t="s">
        <v>114</v>
      </c>
      <c r="H778" s="3">
        <v>1</v>
      </c>
      <c r="I778" s="7">
        <v>11688.99</v>
      </c>
      <c r="J778" s="9">
        <v>0.1</v>
      </c>
      <c r="K778" s="7">
        <v>10520.09</v>
      </c>
      <c r="L778" s="7">
        <v>2770.13</v>
      </c>
      <c r="M778" s="3" t="s">
        <v>57</v>
      </c>
      <c r="N778" s="3"/>
      <c r="O778" s="3"/>
      <c r="P778" s="3"/>
      <c r="Q778" s="3"/>
    </row>
    <row r="779" spans="1:17" ht="21" customHeight="1">
      <c r="A779" s="3" t="s">
        <v>1353</v>
      </c>
      <c r="B779" s="5">
        <v>45516</v>
      </c>
      <c r="C779" s="3" t="s">
        <v>948</v>
      </c>
      <c r="D779" s="3" t="s">
        <v>45</v>
      </c>
      <c r="E779" s="3" t="s">
        <v>40</v>
      </c>
      <c r="F779" s="3" t="s">
        <v>160</v>
      </c>
      <c r="G779" s="3" t="s">
        <v>173</v>
      </c>
      <c r="H779" s="3">
        <v>2</v>
      </c>
      <c r="I779" s="7">
        <v>9116.01</v>
      </c>
      <c r="J779" s="9">
        <v>0.05</v>
      </c>
      <c r="K779" s="7">
        <v>17320.419999999998</v>
      </c>
      <c r="L779" s="7">
        <v>4855.3900000000003</v>
      </c>
      <c r="M779" s="3" t="s">
        <v>56</v>
      </c>
      <c r="N779" s="3"/>
      <c r="O779" s="3"/>
      <c r="P779" s="3"/>
      <c r="Q779" s="3"/>
    </row>
    <row r="780" spans="1:17" ht="21" customHeight="1">
      <c r="A780" s="3" t="s">
        <v>1354</v>
      </c>
      <c r="B780" s="5">
        <v>45516</v>
      </c>
      <c r="C780" s="3" t="s">
        <v>1355</v>
      </c>
      <c r="D780" s="3" t="s">
        <v>44</v>
      </c>
      <c r="E780" s="3" t="s">
        <v>40</v>
      </c>
      <c r="F780" s="3" t="s">
        <v>160</v>
      </c>
      <c r="G780" s="3" t="s">
        <v>173</v>
      </c>
      <c r="H780" s="3">
        <v>3</v>
      </c>
      <c r="I780" s="7">
        <v>8688.5499999999993</v>
      </c>
      <c r="J780" s="9">
        <v>0</v>
      </c>
      <c r="K780" s="7">
        <v>26065.65</v>
      </c>
      <c r="L780" s="7">
        <v>9629.02</v>
      </c>
      <c r="M780" s="3" t="s">
        <v>56</v>
      </c>
      <c r="N780" s="3"/>
      <c r="O780" s="3"/>
      <c r="P780" s="3"/>
      <c r="Q780" s="3"/>
    </row>
    <row r="781" spans="1:17" ht="21" customHeight="1">
      <c r="A781" s="3" t="s">
        <v>1356</v>
      </c>
      <c r="B781" s="5">
        <v>45517</v>
      </c>
      <c r="C781" s="3" t="s">
        <v>1357</v>
      </c>
      <c r="D781" s="3" t="s">
        <v>46</v>
      </c>
      <c r="E781" s="3" t="s">
        <v>38</v>
      </c>
      <c r="F781" s="3" t="s">
        <v>94</v>
      </c>
      <c r="G781" s="3" t="s">
        <v>213</v>
      </c>
      <c r="H781" s="3">
        <v>2</v>
      </c>
      <c r="I781" s="7">
        <v>53656.95</v>
      </c>
      <c r="J781" s="9">
        <v>0</v>
      </c>
      <c r="K781" s="7">
        <v>107313.9</v>
      </c>
      <c r="L781" s="7">
        <v>15158.2</v>
      </c>
      <c r="M781" s="3" t="s">
        <v>59</v>
      </c>
      <c r="N781" s="3"/>
      <c r="O781" s="3"/>
      <c r="P781" s="3"/>
      <c r="Q781" s="3"/>
    </row>
    <row r="782" spans="1:17" ht="21" customHeight="1">
      <c r="A782" s="3" t="s">
        <v>1358</v>
      </c>
      <c r="B782" s="5">
        <v>45517</v>
      </c>
      <c r="C782" s="3" t="s">
        <v>925</v>
      </c>
      <c r="D782" s="3" t="s">
        <v>47</v>
      </c>
      <c r="E782" s="3" t="s">
        <v>41</v>
      </c>
      <c r="F782" s="3" t="s">
        <v>113</v>
      </c>
      <c r="G782" s="3" t="s">
        <v>123</v>
      </c>
      <c r="H782" s="3">
        <v>2</v>
      </c>
      <c r="I782" s="7">
        <v>3399.6</v>
      </c>
      <c r="J782" s="9">
        <v>0</v>
      </c>
      <c r="K782" s="7">
        <v>6799.2</v>
      </c>
      <c r="L782" s="7">
        <v>2617.23</v>
      </c>
      <c r="M782" s="3" t="s">
        <v>56</v>
      </c>
      <c r="N782" s="3"/>
      <c r="O782" s="3"/>
      <c r="P782" s="3"/>
      <c r="Q782" s="3"/>
    </row>
    <row r="783" spans="1:17" ht="21" customHeight="1">
      <c r="A783" s="3" t="s">
        <v>1359</v>
      </c>
      <c r="B783" s="5">
        <v>45517</v>
      </c>
      <c r="C783" s="3" t="s">
        <v>1360</v>
      </c>
      <c r="D783" s="3" t="s">
        <v>45</v>
      </c>
      <c r="E783" s="3" t="s">
        <v>42</v>
      </c>
      <c r="F783" s="3" t="s">
        <v>126</v>
      </c>
      <c r="G783" s="3" t="s">
        <v>127</v>
      </c>
      <c r="H783" s="3">
        <v>1</v>
      </c>
      <c r="I783" s="7">
        <v>963.25</v>
      </c>
      <c r="J783" s="9">
        <v>0</v>
      </c>
      <c r="K783" s="7">
        <v>963.25</v>
      </c>
      <c r="L783" s="7">
        <v>529.19000000000005</v>
      </c>
      <c r="M783" s="3" t="s">
        <v>56</v>
      </c>
      <c r="N783" s="3"/>
      <c r="O783" s="3"/>
      <c r="P783" s="3"/>
      <c r="Q783" s="3"/>
    </row>
    <row r="784" spans="1:17" ht="21" customHeight="1">
      <c r="A784" s="3" t="s">
        <v>1361</v>
      </c>
      <c r="B784" s="5">
        <v>45517</v>
      </c>
      <c r="C784" s="3" t="s">
        <v>1266</v>
      </c>
      <c r="D784" s="3" t="s">
        <v>46</v>
      </c>
      <c r="E784" s="3" t="s">
        <v>40</v>
      </c>
      <c r="F784" s="3" t="s">
        <v>221</v>
      </c>
      <c r="G784" s="3" t="s">
        <v>222</v>
      </c>
      <c r="H784" s="3">
        <v>1</v>
      </c>
      <c r="I784" s="7">
        <v>976.87</v>
      </c>
      <c r="J784" s="9">
        <v>0.05</v>
      </c>
      <c r="K784" s="7">
        <v>928.03</v>
      </c>
      <c r="L784" s="7">
        <v>239.62</v>
      </c>
      <c r="M784" s="3" t="s">
        <v>56</v>
      </c>
      <c r="N784" s="3"/>
      <c r="O784" s="3"/>
      <c r="P784" s="3"/>
      <c r="Q784" s="3"/>
    </row>
    <row r="785" spans="1:17" ht="21" customHeight="1">
      <c r="A785" s="3" t="s">
        <v>1362</v>
      </c>
      <c r="B785" s="5">
        <v>45517</v>
      </c>
      <c r="C785" s="3" t="s">
        <v>281</v>
      </c>
      <c r="D785" s="3" t="s">
        <v>47</v>
      </c>
      <c r="E785" s="3" t="s">
        <v>42</v>
      </c>
      <c r="F785" s="3" t="s">
        <v>126</v>
      </c>
      <c r="G785" s="3" t="s">
        <v>151</v>
      </c>
      <c r="H785" s="3">
        <v>4</v>
      </c>
      <c r="I785" s="7">
        <v>1539.34</v>
      </c>
      <c r="J785" s="9">
        <v>0.4</v>
      </c>
      <c r="K785" s="7">
        <v>3694.42</v>
      </c>
      <c r="L785" s="7">
        <v>435</v>
      </c>
      <c r="M785" s="3" t="s">
        <v>59</v>
      </c>
      <c r="N785" s="3"/>
      <c r="O785" s="3"/>
      <c r="P785" s="3"/>
      <c r="Q785" s="3"/>
    </row>
    <row r="786" spans="1:17" ht="21" customHeight="1">
      <c r="A786" s="3" t="s">
        <v>1363</v>
      </c>
      <c r="B786" s="5">
        <v>45517</v>
      </c>
      <c r="C786" s="3" t="s">
        <v>502</v>
      </c>
      <c r="D786" s="3" t="s">
        <v>44</v>
      </c>
      <c r="E786" s="3" t="s">
        <v>42</v>
      </c>
      <c r="F786" s="3" t="s">
        <v>126</v>
      </c>
      <c r="G786" s="3" t="s">
        <v>151</v>
      </c>
      <c r="H786" s="3">
        <v>4</v>
      </c>
      <c r="I786" s="7">
        <v>1506.68</v>
      </c>
      <c r="J786" s="9">
        <v>0</v>
      </c>
      <c r="K786" s="7">
        <v>6026.72</v>
      </c>
      <c r="L786" s="7">
        <v>3449.41</v>
      </c>
      <c r="M786" s="3" t="s">
        <v>56</v>
      </c>
      <c r="N786" s="3"/>
      <c r="O786" s="3"/>
      <c r="P786" s="3"/>
      <c r="Q786" s="3"/>
    </row>
    <row r="787" spans="1:17" ht="21" customHeight="1">
      <c r="A787" s="3" t="s">
        <v>1364</v>
      </c>
      <c r="B787" s="5">
        <v>45518</v>
      </c>
      <c r="C787" s="3" t="s">
        <v>1365</v>
      </c>
      <c r="D787" s="3" t="s">
        <v>46</v>
      </c>
      <c r="E787" s="3" t="s">
        <v>42</v>
      </c>
      <c r="F787" s="3" t="s">
        <v>126</v>
      </c>
      <c r="G787" s="3" t="s">
        <v>127</v>
      </c>
      <c r="H787" s="3">
        <v>2</v>
      </c>
      <c r="I787" s="7">
        <v>1015.13</v>
      </c>
      <c r="J787" s="9">
        <v>0.1</v>
      </c>
      <c r="K787" s="7">
        <v>1827.23</v>
      </c>
      <c r="L787" s="7">
        <v>805.47</v>
      </c>
      <c r="M787" s="3" t="s">
        <v>56</v>
      </c>
      <c r="N787" s="3"/>
      <c r="O787" s="3"/>
      <c r="P787" s="3"/>
      <c r="Q787" s="3"/>
    </row>
    <row r="788" spans="1:17" ht="21" customHeight="1">
      <c r="A788" s="3" t="s">
        <v>1366</v>
      </c>
      <c r="B788" s="5">
        <v>45518</v>
      </c>
      <c r="C788" s="3" t="s">
        <v>1367</v>
      </c>
      <c r="D788" s="3" t="s">
        <v>47</v>
      </c>
      <c r="E788" s="3" t="s">
        <v>40</v>
      </c>
      <c r="F788" s="3" t="s">
        <v>221</v>
      </c>
      <c r="G788" s="3" t="s">
        <v>222</v>
      </c>
      <c r="H788" s="3">
        <v>1</v>
      </c>
      <c r="I788" s="7">
        <v>1024.3499999999999</v>
      </c>
      <c r="J788" s="9">
        <v>0.3</v>
      </c>
      <c r="K788" s="7">
        <v>717.04</v>
      </c>
      <c r="L788" s="7">
        <v>10.74</v>
      </c>
      <c r="M788" s="3" t="s">
        <v>56</v>
      </c>
      <c r="N788" s="3"/>
      <c r="O788" s="3"/>
      <c r="P788" s="3"/>
      <c r="Q788" s="3"/>
    </row>
    <row r="789" spans="1:17" ht="21" customHeight="1">
      <c r="A789" s="3" t="s">
        <v>1368</v>
      </c>
      <c r="B789" s="5">
        <v>45519</v>
      </c>
      <c r="C789" s="3" t="s">
        <v>1109</v>
      </c>
      <c r="D789" s="3" t="s">
        <v>46</v>
      </c>
      <c r="E789" s="3" t="s">
        <v>38</v>
      </c>
      <c r="F789" s="3" t="s">
        <v>94</v>
      </c>
      <c r="G789" s="3" t="s">
        <v>95</v>
      </c>
      <c r="H789" s="3">
        <v>2</v>
      </c>
      <c r="I789" s="7">
        <v>75797.37</v>
      </c>
      <c r="J789" s="9">
        <v>0.1</v>
      </c>
      <c r="K789" s="7">
        <v>136435.26999999999</v>
      </c>
      <c r="L789" s="7">
        <v>4523.18</v>
      </c>
      <c r="M789" s="3" t="s">
        <v>56</v>
      </c>
      <c r="N789" s="3"/>
      <c r="O789" s="3"/>
      <c r="P789" s="3"/>
      <c r="Q789" s="3"/>
    </row>
    <row r="790" spans="1:17" ht="21" customHeight="1">
      <c r="A790" s="3" t="s">
        <v>1369</v>
      </c>
      <c r="B790" s="5">
        <v>45519</v>
      </c>
      <c r="C790" s="3" t="s">
        <v>89</v>
      </c>
      <c r="D790" s="3" t="s">
        <v>47</v>
      </c>
      <c r="E790" s="3" t="s">
        <v>40</v>
      </c>
      <c r="F790" s="3" t="s">
        <v>221</v>
      </c>
      <c r="G790" s="3" t="s">
        <v>279</v>
      </c>
      <c r="H790" s="3">
        <v>1</v>
      </c>
      <c r="I790" s="7">
        <v>1561.61</v>
      </c>
      <c r="J790" s="9">
        <v>0</v>
      </c>
      <c r="K790" s="7">
        <v>1561.61</v>
      </c>
      <c r="L790" s="7">
        <v>576.34</v>
      </c>
      <c r="M790" s="3" t="s">
        <v>57</v>
      </c>
      <c r="N790" s="3"/>
      <c r="O790" s="3"/>
      <c r="P790" s="3"/>
      <c r="Q790" s="3"/>
    </row>
    <row r="791" spans="1:17" ht="21" customHeight="1">
      <c r="A791" s="3" t="s">
        <v>1370</v>
      </c>
      <c r="B791" s="5">
        <v>45519</v>
      </c>
      <c r="C791" s="3" t="s">
        <v>839</v>
      </c>
      <c r="D791" s="3" t="s">
        <v>45</v>
      </c>
      <c r="E791" s="3" t="s">
        <v>39</v>
      </c>
      <c r="F791" s="3" t="s">
        <v>130</v>
      </c>
      <c r="G791" s="3" t="s">
        <v>131</v>
      </c>
      <c r="H791" s="3">
        <v>1</v>
      </c>
      <c r="I791" s="7">
        <v>2238.4299999999998</v>
      </c>
      <c r="J791" s="9">
        <v>0.05</v>
      </c>
      <c r="K791" s="7">
        <v>2126.5100000000002</v>
      </c>
      <c r="L791" s="7">
        <v>821.31</v>
      </c>
      <c r="M791" s="3" t="s">
        <v>57</v>
      </c>
      <c r="N791" s="3"/>
      <c r="O791" s="3"/>
      <c r="P791" s="3"/>
      <c r="Q791" s="3"/>
    </row>
    <row r="792" spans="1:17" ht="21" customHeight="1">
      <c r="A792" s="3" t="s">
        <v>1371</v>
      </c>
      <c r="B792" s="5">
        <v>45519</v>
      </c>
      <c r="C792" s="3" t="s">
        <v>1372</v>
      </c>
      <c r="D792" s="3" t="s">
        <v>47</v>
      </c>
      <c r="E792" s="3" t="s">
        <v>40</v>
      </c>
      <c r="F792" s="3" t="s">
        <v>221</v>
      </c>
      <c r="G792" s="3" t="s">
        <v>222</v>
      </c>
      <c r="H792" s="3">
        <v>1</v>
      </c>
      <c r="I792" s="7">
        <v>1020.65</v>
      </c>
      <c r="J792" s="9">
        <v>0.1</v>
      </c>
      <c r="K792" s="7">
        <v>918.59</v>
      </c>
      <c r="L792" s="7">
        <v>171.34</v>
      </c>
      <c r="M792" s="3" t="s">
        <v>57</v>
      </c>
      <c r="N792" s="3"/>
      <c r="O792" s="3"/>
      <c r="P792" s="3"/>
      <c r="Q792" s="3"/>
    </row>
    <row r="793" spans="1:17" ht="21" customHeight="1">
      <c r="A793" s="3" t="s">
        <v>1373</v>
      </c>
      <c r="B793" s="5">
        <v>45519</v>
      </c>
      <c r="C793" s="3" t="s">
        <v>711</v>
      </c>
      <c r="D793" s="3" t="s">
        <v>47</v>
      </c>
      <c r="E793" s="3" t="s">
        <v>41</v>
      </c>
      <c r="F793" s="3" t="s">
        <v>113</v>
      </c>
      <c r="G793" s="3" t="s">
        <v>114</v>
      </c>
      <c r="H793" s="3">
        <v>1</v>
      </c>
      <c r="I793" s="7">
        <v>11469.32</v>
      </c>
      <c r="J793" s="9">
        <v>0</v>
      </c>
      <c r="K793" s="7">
        <v>11469.32</v>
      </c>
      <c r="L793" s="7">
        <v>4026.14</v>
      </c>
      <c r="M793" s="3" t="s">
        <v>58</v>
      </c>
      <c r="N793" s="3"/>
      <c r="O793" s="3"/>
      <c r="P793" s="3"/>
      <c r="Q793" s="3"/>
    </row>
    <row r="794" spans="1:17" ht="21" customHeight="1">
      <c r="A794" s="3" t="s">
        <v>1374</v>
      </c>
      <c r="B794" s="5">
        <v>45519</v>
      </c>
      <c r="C794" s="3" t="s">
        <v>387</v>
      </c>
      <c r="D794" s="3" t="s">
        <v>47</v>
      </c>
      <c r="E794" s="3" t="s">
        <v>42</v>
      </c>
      <c r="F794" s="3" t="s">
        <v>90</v>
      </c>
      <c r="G794" s="3" t="s">
        <v>106</v>
      </c>
      <c r="H794" s="3">
        <v>1</v>
      </c>
      <c r="I794" s="7">
        <v>922.2</v>
      </c>
      <c r="J794" s="9">
        <v>0</v>
      </c>
      <c r="K794" s="7">
        <v>922.2</v>
      </c>
      <c r="L794" s="7">
        <v>483.62</v>
      </c>
      <c r="M794" s="3" t="s">
        <v>56</v>
      </c>
      <c r="N794" s="3"/>
      <c r="O794" s="3"/>
      <c r="P794" s="3"/>
      <c r="Q794" s="3"/>
    </row>
    <row r="795" spans="1:17" ht="21" customHeight="1">
      <c r="A795" s="3" t="s">
        <v>1375</v>
      </c>
      <c r="B795" s="5">
        <v>45519</v>
      </c>
      <c r="C795" s="3" t="s">
        <v>1376</v>
      </c>
      <c r="D795" s="3" t="s">
        <v>44</v>
      </c>
      <c r="E795" s="3" t="s">
        <v>42</v>
      </c>
      <c r="F795" s="3" t="s">
        <v>90</v>
      </c>
      <c r="G795" s="3" t="s">
        <v>106</v>
      </c>
      <c r="H795" s="3">
        <v>1</v>
      </c>
      <c r="I795" s="7">
        <v>909.71</v>
      </c>
      <c r="J795" s="9">
        <v>0</v>
      </c>
      <c r="K795" s="7">
        <v>909.71</v>
      </c>
      <c r="L795" s="7">
        <v>473.74</v>
      </c>
      <c r="M795" s="3" t="s">
        <v>57</v>
      </c>
      <c r="N795" s="3"/>
      <c r="O795" s="3"/>
      <c r="P795" s="3"/>
      <c r="Q795" s="3"/>
    </row>
    <row r="796" spans="1:17" ht="21" customHeight="1">
      <c r="A796" s="3" t="s">
        <v>1377</v>
      </c>
      <c r="B796" s="5">
        <v>45519</v>
      </c>
      <c r="C796" s="3" t="s">
        <v>533</v>
      </c>
      <c r="D796" s="3" t="s">
        <v>46</v>
      </c>
      <c r="E796" s="3" t="s">
        <v>40</v>
      </c>
      <c r="F796" s="3" t="s">
        <v>221</v>
      </c>
      <c r="G796" s="3" t="s">
        <v>279</v>
      </c>
      <c r="H796" s="3">
        <v>1</v>
      </c>
      <c r="I796" s="7">
        <v>1436.49</v>
      </c>
      <c r="J796" s="9">
        <v>0.1</v>
      </c>
      <c r="K796" s="7">
        <v>1292.8399999999999</v>
      </c>
      <c r="L796" s="7">
        <v>315.08999999999997</v>
      </c>
      <c r="M796" s="3" t="s">
        <v>56</v>
      </c>
      <c r="N796" s="3"/>
      <c r="O796" s="3"/>
      <c r="P796" s="3"/>
      <c r="Q796" s="3"/>
    </row>
    <row r="797" spans="1:17" ht="21" customHeight="1">
      <c r="A797" s="3" t="s">
        <v>1378</v>
      </c>
      <c r="B797" s="5">
        <v>45519</v>
      </c>
      <c r="C797" s="3" t="s">
        <v>1232</v>
      </c>
      <c r="D797" s="3" t="s">
        <v>46</v>
      </c>
      <c r="E797" s="3" t="s">
        <v>40</v>
      </c>
      <c r="F797" s="3" t="s">
        <v>160</v>
      </c>
      <c r="G797" s="3" t="s">
        <v>161</v>
      </c>
      <c r="H797" s="3">
        <v>4</v>
      </c>
      <c r="I797" s="7">
        <v>12971.69</v>
      </c>
      <c r="J797" s="9">
        <v>0.05</v>
      </c>
      <c r="K797" s="7">
        <v>49292.42</v>
      </c>
      <c r="L797" s="7">
        <v>12975.73</v>
      </c>
      <c r="M797" s="3" t="s">
        <v>58</v>
      </c>
      <c r="N797" s="3"/>
      <c r="O797" s="3"/>
      <c r="P797" s="3"/>
      <c r="Q797" s="3"/>
    </row>
    <row r="798" spans="1:17" ht="21" customHeight="1">
      <c r="A798" s="3" t="s">
        <v>1379</v>
      </c>
      <c r="B798" s="5">
        <v>45520</v>
      </c>
      <c r="C798" s="3" t="s">
        <v>533</v>
      </c>
      <c r="D798" s="3" t="s">
        <v>47</v>
      </c>
      <c r="E798" s="3" t="s">
        <v>42</v>
      </c>
      <c r="F798" s="3" t="s">
        <v>126</v>
      </c>
      <c r="G798" s="3" t="s">
        <v>151</v>
      </c>
      <c r="H798" s="3">
        <v>3</v>
      </c>
      <c r="I798" s="7">
        <v>1497.75</v>
      </c>
      <c r="J798" s="9">
        <v>0</v>
      </c>
      <c r="K798" s="7">
        <v>4493.25</v>
      </c>
      <c r="L798" s="7">
        <v>2378.15</v>
      </c>
      <c r="M798" s="3" t="s">
        <v>56</v>
      </c>
      <c r="N798" s="3"/>
      <c r="O798" s="3"/>
      <c r="P798" s="3"/>
      <c r="Q798" s="3"/>
    </row>
    <row r="799" spans="1:17" ht="21" customHeight="1">
      <c r="A799" s="3" t="s">
        <v>1380</v>
      </c>
      <c r="B799" s="5">
        <v>45520</v>
      </c>
      <c r="C799" s="3" t="s">
        <v>1381</v>
      </c>
      <c r="D799" s="3" t="s">
        <v>45</v>
      </c>
      <c r="E799" s="3" t="s">
        <v>39</v>
      </c>
      <c r="F799" s="3" t="s">
        <v>109</v>
      </c>
      <c r="G799" s="3" t="s">
        <v>110</v>
      </c>
      <c r="H799" s="3">
        <v>2</v>
      </c>
      <c r="I799" s="7">
        <v>3064.21</v>
      </c>
      <c r="J799" s="9">
        <v>0.05</v>
      </c>
      <c r="K799" s="7">
        <v>5822</v>
      </c>
      <c r="L799" s="7">
        <v>2220.4</v>
      </c>
      <c r="M799" s="3" t="s">
        <v>57</v>
      </c>
      <c r="N799" s="3"/>
      <c r="O799" s="3"/>
      <c r="P799" s="3"/>
      <c r="Q799" s="3"/>
    </row>
    <row r="800" spans="1:17" ht="21" customHeight="1">
      <c r="A800" s="3" t="s">
        <v>1382</v>
      </c>
      <c r="B800" s="5">
        <v>45520</v>
      </c>
      <c r="C800" s="3" t="s">
        <v>163</v>
      </c>
      <c r="D800" s="3" t="s">
        <v>46</v>
      </c>
      <c r="E800" s="3" t="s">
        <v>41</v>
      </c>
      <c r="F800" s="3" t="s">
        <v>119</v>
      </c>
      <c r="G800" s="3" t="s">
        <v>168</v>
      </c>
      <c r="H800" s="3">
        <v>1</v>
      </c>
      <c r="I800" s="7">
        <v>9887.81</v>
      </c>
      <c r="J800" s="9">
        <v>0.05</v>
      </c>
      <c r="K800" s="7">
        <v>9393.42</v>
      </c>
      <c r="L800" s="7">
        <v>3060.33</v>
      </c>
      <c r="M800" s="3" t="s">
        <v>56</v>
      </c>
      <c r="N800" s="3"/>
      <c r="O800" s="3"/>
      <c r="P800" s="3"/>
      <c r="Q800" s="3"/>
    </row>
    <row r="801" spans="1:17" ht="21" customHeight="1">
      <c r="A801" s="3" t="s">
        <v>1383</v>
      </c>
      <c r="B801" s="5">
        <v>45520</v>
      </c>
      <c r="C801" s="3" t="s">
        <v>1384</v>
      </c>
      <c r="D801" s="3" t="s">
        <v>44</v>
      </c>
      <c r="E801" s="3" t="s">
        <v>39</v>
      </c>
      <c r="F801" s="3" t="s">
        <v>130</v>
      </c>
      <c r="G801" s="3" t="s">
        <v>193</v>
      </c>
      <c r="H801" s="3">
        <v>2</v>
      </c>
      <c r="I801" s="7">
        <v>1782.42</v>
      </c>
      <c r="J801" s="9">
        <v>0.05</v>
      </c>
      <c r="K801" s="7">
        <v>3386.6</v>
      </c>
      <c r="L801" s="7">
        <v>1097.21</v>
      </c>
      <c r="M801" s="3" t="s">
        <v>59</v>
      </c>
      <c r="N801" s="3"/>
      <c r="O801" s="3"/>
      <c r="P801" s="3"/>
      <c r="Q801" s="3"/>
    </row>
    <row r="802" spans="1:17" ht="21" customHeight="1">
      <c r="A802" s="3" t="s">
        <v>1385</v>
      </c>
      <c r="B802" s="5">
        <v>45521</v>
      </c>
      <c r="C802" s="3" t="s">
        <v>456</v>
      </c>
      <c r="D802" s="3" t="s">
        <v>46</v>
      </c>
      <c r="E802" s="3" t="s">
        <v>40</v>
      </c>
      <c r="F802" s="3" t="s">
        <v>221</v>
      </c>
      <c r="G802" s="3" t="s">
        <v>279</v>
      </c>
      <c r="H802" s="3">
        <v>1</v>
      </c>
      <c r="I802" s="7">
        <v>1429.35</v>
      </c>
      <c r="J802" s="9">
        <v>0.3</v>
      </c>
      <c r="K802" s="7">
        <v>1000.54</v>
      </c>
      <c r="L802" s="7">
        <v>9.25</v>
      </c>
      <c r="M802" s="3" t="s">
        <v>57</v>
      </c>
      <c r="N802" s="3"/>
      <c r="O802" s="3"/>
      <c r="P802" s="3"/>
      <c r="Q802" s="3"/>
    </row>
    <row r="803" spans="1:17" ht="21" customHeight="1">
      <c r="A803" s="3" t="s">
        <v>1386</v>
      </c>
      <c r="B803" s="5">
        <v>45521</v>
      </c>
      <c r="C803" s="3" t="s">
        <v>1387</v>
      </c>
      <c r="D803" s="3" t="s">
        <v>47</v>
      </c>
      <c r="E803" s="3" t="s">
        <v>40</v>
      </c>
      <c r="F803" s="3" t="s">
        <v>160</v>
      </c>
      <c r="G803" s="3" t="s">
        <v>173</v>
      </c>
      <c r="H803" s="3">
        <v>3</v>
      </c>
      <c r="I803" s="7">
        <v>8922.06</v>
      </c>
      <c r="J803" s="9">
        <v>0</v>
      </c>
      <c r="K803" s="7">
        <v>26766.18</v>
      </c>
      <c r="L803" s="7">
        <v>8151.67</v>
      </c>
      <c r="M803" s="3" t="s">
        <v>60</v>
      </c>
      <c r="N803" s="3"/>
      <c r="O803" s="3"/>
      <c r="P803" s="3"/>
      <c r="Q803" s="3"/>
    </row>
    <row r="804" spans="1:17" ht="21" customHeight="1">
      <c r="A804" s="3" t="s">
        <v>1388</v>
      </c>
      <c r="B804" s="5">
        <v>45521</v>
      </c>
      <c r="C804" s="3" t="s">
        <v>1301</v>
      </c>
      <c r="D804" s="3" t="s">
        <v>45</v>
      </c>
      <c r="E804" s="3" t="s">
        <v>38</v>
      </c>
      <c r="F804" s="3" t="s">
        <v>94</v>
      </c>
      <c r="G804" s="3" t="s">
        <v>95</v>
      </c>
      <c r="H804" s="3">
        <v>3</v>
      </c>
      <c r="I804" s="7">
        <v>76010.61</v>
      </c>
      <c r="J804" s="9">
        <v>0.05</v>
      </c>
      <c r="K804" s="7">
        <v>216630.24</v>
      </c>
      <c r="L804" s="7">
        <v>26854.27</v>
      </c>
      <c r="M804" s="3" t="s">
        <v>57</v>
      </c>
      <c r="N804" s="3"/>
      <c r="O804" s="3"/>
      <c r="P804" s="3"/>
      <c r="Q804" s="3"/>
    </row>
    <row r="805" spans="1:17" ht="21" customHeight="1">
      <c r="A805" s="3" t="s">
        <v>1389</v>
      </c>
      <c r="B805" s="5">
        <v>45521</v>
      </c>
      <c r="C805" s="3" t="s">
        <v>186</v>
      </c>
      <c r="D805" s="3" t="s">
        <v>47</v>
      </c>
      <c r="E805" s="3" t="s">
        <v>42</v>
      </c>
      <c r="F805" s="3" t="s">
        <v>90</v>
      </c>
      <c r="G805" s="3" t="s">
        <v>106</v>
      </c>
      <c r="H805" s="3">
        <v>3</v>
      </c>
      <c r="I805" s="7">
        <v>880.73</v>
      </c>
      <c r="J805" s="9">
        <v>0</v>
      </c>
      <c r="K805" s="7">
        <v>2642.19</v>
      </c>
      <c r="L805" s="7">
        <v>1455.64</v>
      </c>
      <c r="M805" s="3" t="s">
        <v>56</v>
      </c>
      <c r="N805" s="3"/>
      <c r="O805" s="3"/>
      <c r="P805" s="3"/>
      <c r="Q805" s="3"/>
    </row>
    <row r="806" spans="1:17" ht="21" customHeight="1">
      <c r="A806" s="3" t="s">
        <v>1390</v>
      </c>
      <c r="B806" s="5">
        <v>45521</v>
      </c>
      <c r="C806" s="3" t="s">
        <v>1391</v>
      </c>
      <c r="D806" s="3" t="s">
        <v>46</v>
      </c>
      <c r="E806" s="3" t="s">
        <v>42</v>
      </c>
      <c r="F806" s="3" t="s">
        <v>126</v>
      </c>
      <c r="G806" s="3" t="s">
        <v>127</v>
      </c>
      <c r="H806" s="3">
        <v>1</v>
      </c>
      <c r="I806" s="7">
        <v>1014.69</v>
      </c>
      <c r="J806" s="9">
        <v>0.1</v>
      </c>
      <c r="K806" s="7">
        <v>913.22</v>
      </c>
      <c r="L806" s="7">
        <v>371.69</v>
      </c>
      <c r="M806" s="3" t="s">
        <v>57</v>
      </c>
      <c r="N806" s="3"/>
      <c r="O806" s="3"/>
      <c r="P806" s="3"/>
      <c r="Q806" s="3"/>
    </row>
    <row r="807" spans="1:17" ht="21" customHeight="1">
      <c r="A807" s="3" t="s">
        <v>1392</v>
      </c>
      <c r="B807" s="5">
        <v>45521</v>
      </c>
      <c r="C807" s="3" t="s">
        <v>1088</v>
      </c>
      <c r="D807" s="3" t="s">
        <v>44</v>
      </c>
      <c r="E807" s="3" t="s">
        <v>39</v>
      </c>
      <c r="F807" s="3" t="s">
        <v>109</v>
      </c>
      <c r="G807" s="3" t="s">
        <v>110</v>
      </c>
      <c r="H807" s="3">
        <v>1</v>
      </c>
      <c r="I807" s="7">
        <v>2925.68</v>
      </c>
      <c r="J807" s="9">
        <v>0</v>
      </c>
      <c r="K807" s="7">
        <v>2925.68</v>
      </c>
      <c r="L807" s="7">
        <v>1254.26</v>
      </c>
      <c r="M807" s="3" t="s">
        <v>57</v>
      </c>
      <c r="N807" s="3"/>
      <c r="O807" s="3"/>
      <c r="P807" s="3"/>
      <c r="Q807" s="3"/>
    </row>
    <row r="808" spans="1:17" ht="21" customHeight="1">
      <c r="A808" s="3" t="s">
        <v>1393</v>
      </c>
      <c r="B808" s="5">
        <v>45521</v>
      </c>
      <c r="C808" s="3" t="s">
        <v>1394</v>
      </c>
      <c r="D808" s="3" t="s">
        <v>44</v>
      </c>
      <c r="E808" s="3" t="s">
        <v>41</v>
      </c>
      <c r="F808" s="3" t="s">
        <v>119</v>
      </c>
      <c r="G808" s="3" t="s">
        <v>120</v>
      </c>
      <c r="H808" s="3">
        <v>2</v>
      </c>
      <c r="I808" s="7">
        <v>1324.7</v>
      </c>
      <c r="J808" s="9">
        <v>0.2</v>
      </c>
      <c r="K808" s="7">
        <v>2119.52</v>
      </c>
      <c r="L808" s="7">
        <v>304.08</v>
      </c>
      <c r="M808" s="3" t="s">
        <v>57</v>
      </c>
      <c r="N808" s="3"/>
      <c r="O808" s="3"/>
      <c r="P808" s="3"/>
      <c r="Q808" s="3"/>
    </row>
    <row r="809" spans="1:17" ht="21" customHeight="1">
      <c r="A809" s="3" t="s">
        <v>1395</v>
      </c>
      <c r="B809" s="5">
        <v>45522</v>
      </c>
      <c r="C809" s="3" t="s">
        <v>432</v>
      </c>
      <c r="D809" s="3" t="s">
        <v>47</v>
      </c>
      <c r="E809" s="3" t="s">
        <v>39</v>
      </c>
      <c r="F809" s="3" t="s">
        <v>130</v>
      </c>
      <c r="G809" s="3" t="s">
        <v>193</v>
      </c>
      <c r="H809" s="3">
        <v>1</v>
      </c>
      <c r="I809" s="7">
        <v>1841.7</v>
      </c>
      <c r="J809" s="9">
        <v>0.1</v>
      </c>
      <c r="K809" s="7">
        <v>1657.53</v>
      </c>
      <c r="L809" s="7">
        <v>539</v>
      </c>
      <c r="M809" s="3" t="s">
        <v>58</v>
      </c>
      <c r="N809" s="3"/>
      <c r="O809" s="3"/>
      <c r="P809" s="3"/>
      <c r="Q809" s="3"/>
    </row>
    <row r="810" spans="1:17" ht="21" customHeight="1">
      <c r="A810" s="3" t="s">
        <v>1396</v>
      </c>
      <c r="B810" s="5">
        <v>45522</v>
      </c>
      <c r="C810" s="3" t="s">
        <v>805</v>
      </c>
      <c r="D810" s="3" t="s">
        <v>47</v>
      </c>
      <c r="E810" s="3" t="s">
        <v>41</v>
      </c>
      <c r="F810" s="3" t="s">
        <v>119</v>
      </c>
      <c r="G810" s="3" t="s">
        <v>120</v>
      </c>
      <c r="H810" s="3">
        <v>4</v>
      </c>
      <c r="I810" s="7">
        <v>1256.69</v>
      </c>
      <c r="J810" s="9">
        <v>0.1</v>
      </c>
      <c r="K810" s="7">
        <v>4524.08</v>
      </c>
      <c r="L810" s="7">
        <v>1121.9100000000001</v>
      </c>
      <c r="M810" s="3" t="s">
        <v>57</v>
      </c>
      <c r="N810" s="3"/>
      <c r="O810" s="3"/>
      <c r="P810" s="3"/>
      <c r="Q810" s="3"/>
    </row>
    <row r="811" spans="1:17" ht="21" customHeight="1">
      <c r="A811" s="3" t="s">
        <v>1397</v>
      </c>
      <c r="B811" s="5">
        <v>45522</v>
      </c>
      <c r="C811" s="3" t="s">
        <v>700</v>
      </c>
      <c r="D811" s="3" t="s">
        <v>46</v>
      </c>
      <c r="E811" s="3" t="s">
        <v>42</v>
      </c>
      <c r="F811" s="3" t="s">
        <v>126</v>
      </c>
      <c r="G811" s="3" t="s">
        <v>151</v>
      </c>
      <c r="H811" s="3">
        <v>2</v>
      </c>
      <c r="I811" s="7">
        <v>1448.86</v>
      </c>
      <c r="J811" s="9">
        <v>0.4</v>
      </c>
      <c r="K811" s="7">
        <v>1738.63</v>
      </c>
      <c r="L811" s="7">
        <v>208.52</v>
      </c>
      <c r="M811" s="3" t="s">
        <v>56</v>
      </c>
      <c r="N811" s="3"/>
      <c r="O811" s="3"/>
      <c r="P811" s="3"/>
      <c r="Q811" s="3"/>
    </row>
    <row r="812" spans="1:17" ht="21" customHeight="1">
      <c r="A812" s="3" t="s">
        <v>1398</v>
      </c>
      <c r="B812" s="5">
        <v>45523</v>
      </c>
      <c r="C812" s="3" t="s">
        <v>105</v>
      </c>
      <c r="D812" s="3" t="s">
        <v>47</v>
      </c>
      <c r="E812" s="3" t="s">
        <v>39</v>
      </c>
      <c r="F812" s="3" t="s">
        <v>130</v>
      </c>
      <c r="G812" s="3" t="s">
        <v>193</v>
      </c>
      <c r="H812" s="3">
        <v>3</v>
      </c>
      <c r="I812" s="7">
        <v>1760.75</v>
      </c>
      <c r="J812" s="9">
        <v>0.1</v>
      </c>
      <c r="K812" s="7">
        <v>4754.03</v>
      </c>
      <c r="L812" s="7">
        <v>1277.9000000000001</v>
      </c>
      <c r="M812" s="3" t="s">
        <v>56</v>
      </c>
      <c r="N812" s="3"/>
      <c r="O812" s="3"/>
      <c r="P812" s="3"/>
      <c r="Q812" s="3"/>
    </row>
    <row r="813" spans="1:17" ht="21" customHeight="1">
      <c r="A813" s="3" t="s">
        <v>1399</v>
      </c>
      <c r="B813" s="5">
        <v>45523</v>
      </c>
      <c r="C813" s="3" t="s">
        <v>268</v>
      </c>
      <c r="D813" s="3" t="s">
        <v>45</v>
      </c>
      <c r="E813" s="3" t="s">
        <v>39</v>
      </c>
      <c r="F813" s="3" t="s">
        <v>109</v>
      </c>
      <c r="G813" s="3" t="s">
        <v>110</v>
      </c>
      <c r="H813" s="3">
        <v>2</v>
      </c>
      <c r="I813" s="7">
        <v>2911.75</v>
      </c>
      <c r="J813" s="9">
        <v>0</v>
      </c>
      <c r="K813" s="7">
        <v>5823.5</v>
      </c>
      <c r="L813" s="7">
        <v>2274.7199999999998</v>
      </c>
      <c r="M813" s="3" t="s">
        <v>57</v>
      </c>
      <c r="N813" s="3"/>
      <c r="O813" s="3"/>
      <c r="P813" s="3"/>
      <c r="Q813" s="3"/>
    </row>
    <row r="814" spans="1:17" ht="21" customHeight="1">
      <c r="A814" s="3" t="s">
        <v>1400</v>
      </c>
      <c r="B814" s="5">
        <v>45523</v>
      </c>
      <c r="C814" s="3" t="s">
        <v>647</v>
      </c>
      <c r="D814" s="3" t="s">
        <v>44</v>
      </c>
      <c r="E814" s="3" t="s">
        <v>42</v>
      </c>
      <c r="F814" s="3" t="s">
        <v>90</v>
      </c>
      <c r="G814" s="3" t="s">
        <v>106</v>
      </c>
      <c r="H814" s="3">
        <v>1</v>
      </c>
      <c r="I814" s="7">
        <v>915.07</v>
      </c>
      <c r="J814" s="9">
        <v>0</v>
      </c>
      <c r="K814" s="7">
        <v>915.07</v>
      </c>
      <c r="L814" s="7">
        <v>502.75</v>
      </c>
      <c r="M814" s="3" t="s">
        <v>57</v>
      </c>
      <c r="N814" s="3"/>
      <c r="O814" s="3"/>
      <c r="P814" s="3"/>
      <c r="Q814" s="3"/>
    </row>
    <row r="815" spans="1:17" ht="21" customHeight="1">
      <c r="A815" s="3" t="s">
        <v>1401</v>
      </c>
      <c r="B815" s="5">
        <v>45523</v>
      </c>
      <c r="C815" s="3" t="s">
        <v>962</v>
      </c>
      <c r="D815" s="3" t="s">
        <v>44</v>
      </c>
      <c r="E815" s="3" t="s">
        <v>38</v>
      </c>
      <c r="F815" s="3" t="s">
        <v>142</v>
      </c>
      <c r="G815" s="3" t="s">
        <v>143</v>
      </c>
      <c r="H815" s="3">
        <v>1</v>
      </c>
      <c r="I815" s="7">
        <v>9267.82</v>
      </c>
      <c r="J815" s="9">
        <v>0.4</v>
      </c>
      <c r="K815" s="7">
        <v>5560.69</v>
      </c>
      <c r="L815" s="7">
        <v>-1480.37</v>
      </c>
      <c r="M815" s="3" t="s">
        <v>56</v>
      </c>
      <c r="N815" s="3"/>
      <c r="O815" s="3"/>
      <c r="P815" s="3"/>
      <c r="Q815" s="3"/>
    </row>
    <row r="816" spans="1:17" ht="21" customHeight="1">
      <c r="A816" s="3" t="s">
        <v>1402</v>
      </c>
      <c r="B816" s="5">
        <v>45524</v>
      </c>
      <c r="C816" s="3" t="s">
        <v>1134</v>
      </c>
      <c r="D816" s="3" t="s">
        <v>44</v>
      </c>
      <c r="E816" s="3" t="s">
        <v>38</v>
      </c>
      <c r="F816" s="3" t="s">
        <v>94</v>
      </c>
      <c r="G816" s="3" t="s">
        <v>95</v>
      </c>
      <c r="H816" s="3">
        <v>4</v>
      </c>
      <c r="I816" s="7">
        <v>77087.28</v>
      </c>
      <c r="J816" s="9">
        <v>0.05</v>
      </c>
      <c r="K816" s="7">
        <v>292931.65999999997</v>
      </c>
      <c r="L816" s="7">
        <v>42603.65</v>
      </c>
      <c r="M816" s="3" t="s">
        <v>57</v>
      </c>
      <c r="N816" s="3"/>
      <c r="O816" s="3"/>
      <c r="P816" s="3"/>
      <c r="Q816" s="3"/>
    </row>
    <row r="817" spans="1:17" ht="21" customHeight="1">
      <c r="A817" s="3" t="s">
        <v>1403</v>
      </c>
      <c r="B817" s="5">
        <v>45524</v>
      </c>
      <c r="C817" s="3" t="s">
        <v>1404</v>
      </c>
      <c r="D817" s="3" t="s">
        <v>46</v>
      </c>
      <c r="E817" s="3" t="s">
        <v>42</v>
      </c>
      <c r="F817" s="3" t="s">
        <v>90</v>
      </c>
      <c r="G817" s="3" t="s">
        <v>106</v>
      </c>
      <c r="H817" s="3">
        <v>1</v>
      </c>
      <c r="I817" s="7">
        <v>892.9</v>
      </c>
      <c r="J817" s="9">
        <v>0.1</v>
      </c>
      <c r="K817" s="7">
        <v>803.61</v>
      </c>
      <c r="L817" s="7">
        <v>370.31</v>
      </c>
      <c r="M817" s="3" t="s">
        <v>60</v>
      </c>
      <c r="N817" s="3"/>
      <c r="O817" s="3"/>
      <c r="P817" s="3"/>
      <c r="Q817" s="3"/>
    </row>
    <row r="818" spans="1:17" ht="21" customHeight="1">
      <c r="A818" s="3" t="s">
        <v>1405</v>
      </c>
      <c r="B818" s="5">
        <v>45524</v>
      </c>
      <c r="C818" s="3" t="s">
        <v>573</v>
      </c>
      <c r="D818" s="3" t="s">
        <v>44</v>
      </c>
      <c r="E818" s="3" t="s">
        <v>41</v>
      </c>
      <c r="F818" s="3" t="s">
        <v>119</v>
      </c>
      <c r="G818" s="3" t="s">
        <v>168</v>
      </c>
      <c r="H818" s="3">
        <v>2</v>
      </c>
      <c r="I818" s="7">
        <v>10014.719999999999</v>
      </c>
      <c r="J818" s="9">
        <v>0</v>
      </c>
      <c r="K818" s="7">
        <v>20029.439999999999</v>
      </c>
      <c r="L818" s="7">
        <v>7986.05</v>
      </c>
      <c r="M818" s="3" t="s">
        <v>57</v>
      </c>
      <c r="N818" s="3"/>
      <c r="O818" s="3"/>
      <c r="P818" s="3"/>
      <c r="Q818" s="3"/>
    </row>
    <row r="819" spans="1:17" ht="21" customHeight="1">
      <c r="A819" s="3" t="s">
        <v>1406</v>
      </c>
      <c r="B819" s="5">
        <v>45524</v>
      </c>
      <c r="C819" s="3" t="s">
        <v>293</v>
      </c>
      <c r="D819" s="3" t="s">
        <v>47</v>
      </c>
      <c r="E819" s="3" t="s">
        <v>42</v>
      </c>
      <c r="F819" s="3" t="s">
        <v>90</v>
      </c>
      <c r="G819" s="3" t="s">
        <v>91</v>
      </c>
      <c r="H819" s="3">
        <v>1</v>
      </c>
      <c r="I819" s="7">
        <v>1243.48</v>
      </c>
      <c r="J819" s="9">
        <v>0.1</v>
      </c>
      <c r="K819" s="7">
        <v>1119.1300000000001</v>
      </c>
      <c r="L819" s="7">
        <v>484.01</v>
      </c>
      <c r="M819" s="3" t="s">
        <v>56</v>
      </c>
      <c r="N819" s="3"/>
      <c r="O819" s="3"/>
      <c r="P819" s="3"/>
      <c r="Q819" s="3"/>
    </row>
    <row r="820" spans="1:17" ht="21" customHeight="1">
      <c r="A820" s="3" t="s">
        <v>1407</v>
      </c>
      <c r="B820" s="5">
        <v>45524</v>
      </c>
      <c r="C820" s="3" t="s">
        <v>657</v>
      </c>
      <c r="D820" s="3" t="s">
        <v>46</v>
      </c>
      <c r="E820" s="3" t="s">
        <v>42</v>
      </c>
      <c r="F820" s="3" t="s">
        <v>90</v>
      </c>
      <c r="G820" s="3" t="s">
        <v>106</v>
      </c>
      <c r="H820" s="3">
        <v>1</v>
      </c>
      <c r="I820" s="7">
        <v>883.85</v>
      </c>
      <c r="J820" s="9">
        <v>0.2</v>
      </c>
      <c r="K820" s="7">
        <v>707.08</v>
      </c>
      <c r="L820" s="7">
        <v>218.82</v>
      </c>
      <c r="M820" s="3" t="s">
        <v>56</v>
      </c>
      <c r="N820" s="3"/>
      <c r="O820" s="3"/>
      <c r="P820" s="3"/>
      <c r="Q820" s="3"/>
    </row>
    <row r="821" spans="1:17" ht="21" customHeight="1">
      <c r="A821" s="3" t="s">
        <v>1408</v>
      </c>
      <c r="B821" s="5">
        <v>45524</v>
      </c>
      <c r="C821" s="3" t="s">
        <v>270</v>
      </c>
      <c r="D821" s="3" t="s">
        <v>46</v>
      </c>
      <c r="E821" s="3" t="s">
        <v>42</v>
      </c>
      <c r="F821" s="3" t="s">
        <v>126</v>
      </c>
      <c r="G821" s="3" t="s">
        <v>151</v>
      </c>
      <c r="H821" s="3">
        <v>5</v>
      </c>
      <c r="I821" s="7">
        <v>1533.04</v>
      </c>
      <c r="J821" s="9">
        <v>0.05</v>
      </c>
      <c r="K821" s="7">
        <v>7281.94</v>
      </c>
      <c r="L821" s="7">
        <v>3632.59</v>
      </c>
      <c r="M821" s="3" t="s">
        <v>59</v>
      </c>
      <c r="N821" s="3"/>
      <c r="O821" s="3"/>
      <c r="P821" s="3"/>
      <c r="Q821" s="3"/>
    </row>
    <row r="822" spans="1:17" ht="21" customHeight="1">
      <c r="A822" s="3" t="s">
        <v>1409</v>
      </c>
      <c r="B822" s="5">
        <v>45525</v>
      </c>
      <c r="C822" s="3" t="s">
        <v>1316</v>
      </c>
      <c r="D822" s="3" t="s">
        <v>46</v>
      </c>
      <c r="E822" s="3" t="s">
        <v>42</v>
      </c>
      <c r="F822" s="3" t="s">
        <v>90</v>
      </c>
      <c r="G822" s="3" t="s">
        <v>106</v>
      </c>
      <c r="H822" s="3">
        <v>1</v>
      </c>
      <c r="I822" s="7">
        <v>915.58</v>
      </c>
      <c r="J822" s="9">
        <v>0</v>
      </c>
      <c r="K822" s="7">
        <v>915.58</v>
      </c>
      <c r="L822" s="7">
        <v>529.98</v>
      </c>
      <c r="M822" s="3" t="s">
        <v>56</v>
      </c>
      <c r="N822" s="3"/>
      <c r="O822" s="3"/>
      <c r="P822" s="3"/>
      <c r="Q822" s="3"/>
    </row>
    <row r="823" spans="1:17" ht="21" customHeight="1">
      <c r="A823" s="3" t="s">
        <v>1410</v>
      </c>
      <c r="B823" s="5">
        <v>45525</v>
      </c>
      <c r="C823" s="3" t="s">
        <v>1230</v>
      </c>
      <c r="D823" s="3" t="s">
        <v>45</v>
      </c>
      <c r="E823" s="3" t="s">
        <v>42</v>
      </c>
      <c r="F823" s="3" t="s">
        <v>126</v>
      </c>
      <c r="G823" s="3" t="s">
        <v>127</v>
      </c>
      <c r="H823" s="3">
        <v>1</v>
      </c>
      <c r="I823" s="7">
        <v>1021.61</v>
      </c>
      <c r="J823" s="9">
        <v>0</v>
      </c>
      <c r="K823" s="7">
        <v>1021.61</v>
      </c>
      <c r="L823" s="7">
        <v>566.32000000000005</v>
      </c>
      <c r="M823" s="3" t="s">
        <v>58</v>
      </c>
      <c r="N823" s="3"/>
      <c r="O823" s="3"/>
      <c r="P823" s="3"/>
      <c r="Q823" s="3"/>
    </row>
    <row r="824" spans="1:17" ht="21" customHeight="1">
      <c r="A824" s="3" t="s">
        <v>1411</v>
      </c>
      <c r="B824" s="5">
        <v>45526</v>
      </c>
      <c r="C824" s="3" t="s">
        <v>1109</v>
      </c>
      <c r="D824" s="3" t="s">
        <v>46</v>
      </c>
      <c r="E824" s="3" t="s">
        <v>39</v>
      </c>
      <c r="F824" s="3" t="s">
        <v>130</v>
      </c>
      <c r="G824" s="3" t="s">
        <v>193</v>
      </c>
      <c r="H824" s="3">
        <v>2</v>
      </c>
      <c r="I824" s="7">
        <v>1741.65</v>
      </c>
      <c r="J824" s="9">
        <v>0.05</v>
      </c>
      <c r="K824" s="7">
        <v>3309.14</v>
      </c>
      <c r="L824" s="7">
        <v>1329.96</v>
      </c>
      <c r="M824" s="3" t="s">
        <v>57</v>
      </c>
      <c r="N824" s="3"/>
      <c r="O824" s="3"/>
      <c r="P824" s="3"/>
      <c r="Q824" s="3"/>
    </row>
    <row r="825" spans="1:17" ht="21" customHeight="1">
      <c r="A825" s="3" t="s">
        <v>1412</v>
      </c>
      <c r="B825" s="5">
        <v>45526</v>
      </c>
      <c r="C825" s="3" t="s">
        <v>997</v>
      </c>
      <c r="D825" s="3" t="s">
        <v>44</v>
      </c>
      <c r="E825" s="3" t="s">
        <v>40</v>
      </c>
      <c r="F825" s="3" t="s">
        <v>102</v>
      </c>
      <c r="G825" s="3" t="s">
        <v>146</v>
      </c>
      <c r="H825" s="3">
        <v>2</v>
      </c>
      <c r="I825" s="7">
        <v>7888.69</v>
      </c>
      <c r="J825" s="9">
        <v>0.05</v>
      </c>
      <c r="K825" s="7">
        <v>14988.51</v>
      </c>
      <c r="L825" s="7">
        <v>3722.77</v>
      </c>
      <c r="M825" s="3" t="s">
        <v>57</v>
      </c>
      <c r="N825" s="3"/>
      <c r="O825" s="3"/>
      <c r="P825" s="3"/>
      <c r="Q825" s="3"/>
    </row>
    <row r="826" spans="1:17" ht="21" customHeight="1">
      <c r="A826" s="3" t="s">
        <v>1413</v>
      </c>
      <c r="B826" s="5">
        <v>45526</v>
      </c>
      <c r="C826" s="3" t="s">
        <v>387</v>
      </c>
      <c r="D826" s="3" t="s">
        <v>44</v>
      </c>
      <c r="E826" s="3" t="s">
        <v>38</v>
      </c>
      <c r="F826" s="3" t="s">
        <v>94</v>
      </c>
      <c r="G826" s="3" t="s">
        <v>213</v>
      </c>
      <c r="H826" s="3">
        <v>1</v>
      </c>
      <c r="I826" s="7">
        <v>52482.52</v>
      </c>
      <c r="J826" s="9">
        <v>0</v>
      </c>
      <c r="K826" s="7">
        <v>52482.52</v>
      </c>
      <c r="L826" s="7">
        <v>9249.36</v>
      </c>
      <c r="M826" s="3" t="s">
        <v>57</v>
      </c>
      <c r="N826" s="3"/>
      <c r="O826" s="3"/>
      <c r="P826" s="3"/>
      <c r="Q826" s="3"/>
    </row>
    <row r="827" spans="1:17" ht="21" customHeight="1">
      <c r="A827" s="3" t="s">
        <v>1414</v>
      </c>
      <c r="B827" s="5">
        <v>45526</v>
      </c>
      <c r="C827" s="3" t="s">
        <v>1415</v>
      </c>
      <c r="D827" s="3" t="s">
        <v>44</v>
      </c>
      <c r="E827" s="3" t="s">
        <v>38</v>
      </c>
      <c r="F827" s="3" t="s">
        <v>142</v>
      </c>
      <c r="G827" s="3" t="s">
        <v>143</v>
      </c>
      <c r="H827" s="3">
        <v>5</v>
      </c>
      <c r="I827" s="7">
        <v>8734.5499999999993</v>
      </c>
      <c r="J827" s="9">
        <v>0</v>
      </c>
      <c r="K827" s="7">
        <v>43672.75</v>
      </c>
      <c r="L827" s="7">
        <v>6408.74</v>
      </c>
      <c r="M827" s="3" t="s">
        <v>56</v>
      </c>
      <c r="N827" s="3"/>
      <c r="O827" s="3"/>
      <c r="P827" s="3"/>
      <c r="Q827" s="3"/>
    </row>
    <row r="828" spans="1:17" ht="21" customHeight="1">
      <c r="A828" s="3" t="s">
        <v>1416</v>
      </c>
      <c r="B828" s="5">
        <v>45527</v>
      </c>
      <c r="C828" s="3" t="s">
        <v>1417</v>
      </c>
      <c r="D828" s="3" t="s">
        <v>44</v>
      </c>
      <c r="E828" s="3" t="s">
        <v>40</v>
      </c>
      <c r="F828" s="3" t="s">
        <v>160</v>
      </c>
      <c r="G828" s="3" t="s">
        <v>173</v>
      </c>
      <c r="H828" s="3">
        <v>2</v>
      </c>
      <c r="I828" s="7">
        <v>8875.08</v>
      </c>
      <c r="J828" s="9">
        <v>0</v>
      </c>
      <c r="K828" s="7">
        <v>17750.16</v>
      </c>
      <c r="L828" s="7">
        <v>5835.05</v>
      </c>
      <c r="M828" s="3" t="s">
        <v>58</v>
      </c>
      <c r="N828" s="3"/>
      <c r="O828" s="3"/>
      <c r="P828" s="3"/>
      <c r="Q828" s="3"/>
    </row>
    <row r="829" spans="1:17" ht="21" customHeight="1">
      <c r="A829" s="3" t="s">
        <v>1418</v>
      </c>
      <c r="B829" s="5">
        <v>45527</v>
      </c>
      <c r="C829" s="3" t="s">
        <v>412</v>
      </c>
      <c r="D829" s="3" t="s">
        <v>45</v>
      </c>
      <c r="E829" s="3" t="s">
        <v>39</v>
      </c>
      <c r="F829" s="3" t="s">
        <v>164</v>
      </c>
      <c r="G829" s="3" t="s">
        <v>200</v>
      </c>
      <c r="H829" s="3">
        <v>3</v>
      </c>
      <c r="I829" s="7">
        <v>1349.23</v>
      </c>
      <c r="J829" s="9">
        <v>0.1</v>
      </c>
      <c r="K829" s="7">
        <v>3642.92</v>
      </c>
      <c r="L829" s="7">
        <v>1203.73</v>
      </c>
      <c r="M829" s="3" t="s">
        <v>56</v>
      </c>
      <c r="N829" s="3"/>
      <c r="O829" s="3"/>
      <c r="P829" s="3"/>
      <c r="Q829" s="3"/>
    </row>
    <row r="830" spans="1:17" ht="21" customHeight="1">
      <c r="A830" s="3" t="s">
        <v>1419</v>
      </c>
      <c r="B830" s="5">
        <v>45527</v>
      </c>
      <c r="C830" s="3" t="s">
        <v>327</v>
      </c>
      <c r="D830" s="3" t="s">
        <v>47</v>
      </c>
      <c r="E830" s="3" t="s">
        <v>41</v>
      </c>
      <c r="F830" s="3" t="s">
        <v>119</v>
      </c>
      <c r="G830" s="3" t="s">
        <v>168</v>
      </c>
      <c r="H830" s="3">
        <v>1</v>
      </c>
      <c r="I830" s="7">
        <v>10040.85</v>
      </c>
      <c r="J830" s="9">
        <v>0.1</v>
      </c>
      <c r="K830" s="7">
        <v>9036.77</v>
      </c>
      <c r="L830" s="7">
        <v>2599.59</v>
      </c>
      <c r="M830" s="3" t="s">
        <v>60</v>
      </c>
      <c r="N830" s="3"/>
      <c r="O830" s="3"/>
      <c r="P830" s="3"/>
      <c r="Q830" s="3"/>
    </row>
    <row r="831" spans="1:17" ht="21" customHeight="1">
      <c r="A831" s="3" t="s">
        <v>1420</v>
      </c>
      <c r="B831" s="5">
        <v>45528</v>
      </c>
      <c r="C831" s="3" t="s">
        <v>1421</v>
      </c>
      <c r="D831" s="3" t="s">
        <v>44</v>
      </c>
      <c r="E831" s="3" t="s">
        <v>40</v>
      </c>
      <c r="F831" s="3" t="s">
        <v>221</v>
      </c>
      <c r="G831" s="3" t="s">
        <v>222</v>
      </c>
      <c r="H831" s="3">
        <v>5</v>
      </c>
      <c r="I831" s="7">
        <v>963.77</v>
      </c>
      <c r="J831" s="9">
        <v>0.05</v>
      </c>
      <c r="K831" s="7">
        <v>4577.91</v>
      </c>
      <c r="L831" s="7">
        <v>1230.8699999999999</v>
      </c>
      <c r="M831" s="3" t="s">
        <v>57</v>
      </c>
      <c r="N831" s="3"/>
      <c r="O831" s="3"/>
      <c r="P831" s="3"/>
      <c r="Q831" s="3"/>
    </row>
    <row r="832" spans="1:17" ht="21" customHeight="1">
      <c r="A832" s="3" t="s">
        <v>1422</v>
      </c>
      <c r="B832" s="5">
        <v>45528</v>
      </c>
      <c r="C832" s="3" t="s">
        <v>347</v>
      </c>
      <c r="D832" s="3" t="s">
        <v>45</v>
      </c>
      <c r="E832" s="3" t="s">
        <v>40</v>
      </c>
      <c r="F832" s="3" t="s">
        <v>160</v>
      </c>
      <c r="G832" s="3" t="s">
        <v>161</v>
      </c>
      <c r="H832" s="3">
        <v>1</v>
      </c>
      <c r="I832" s="7">
        <v>13558.2</v>
      </c>
      <c r="J832" s="9">
        <v>0.4</v>
      </c>
      <c r="K832" s="7">
        <v>8134.92</v>
      </c>
      <c r="L832" s="7">
        <v>-1108</v>
      </c>
      <c r="M832" s="3" t="s">
        <v>56</v>
      </c>
      <c r="N832" s="3"/>
      <c r="O832" s="3"/>
      <c r="P832" s="3"/>
      <c r="Q832" s="3"/>
    </row>
    <row r="833" spans="1:17" ht="21" customHeight="1">
      <c r="A833" s="3" t="s">
        <v>1423</v>
      </c>
      <c r="B833" s="5">
        <v>45528</v>
      </c>
      <c r="C833" s="3" t="s">
        <v>1424</v>
      </c>
      <c r="D833" s="3" t="s">
        <v>45</v>
      </c>
      <c r="E833" s="3" t="s">
        <v>39</v>
      </c>
      <c r="F833" s="3" t="s">
        <v>130</v>
      </c>
      <c r="G833" s="3" t="s">
        <v>131</v>
      </c>
      <c r="H833" s="3">
        <v>5</v>
      </c>
      <c r="I833" s="7">
        <v>2199.04</v>
      </c>
      <c r="J833" s="9">
        <v>0.25</v>
      </c>
      <c r="K833" s="7">
        <v>8246.4</v>
      </c>
      <c r="L833" s="7">
        <v>940.41</v>
      </c>
      <c r="M833" s="3" t="s">
        <v>56</v>
      </c>
      <c r="N833" s="3"/>
      <c r="O833" s="3"/>
      <c r="P833" s="3"/>
      <c r="Q833" s="3"/>
    </row>
    <row r="834" spans="1:17" ht="21" customHeight="1">
      <c r="A834" s="3" t="s">
        <v>1425</v>
      </c>
      <c r="B834" s="5">
        <v>45528</v>
      </c>
      <c r="C834" s="3" t="s">
        <v>89</v>
      </c>
      <c r="D834" s="3" t="s">
        <v>45</v>
      </c>
      <c r="E834" s="3" t="s">
        <v>40</v>
      </c>
      <c r="F834" s="3" t="s">
        <v>102</v>
      </c>
      <c r="G834" s="3" t="s">
        <v>103</v>
      </c>
      <c r="H834" s="3">
        <v>5</v>
      </c>
      <c r="I834" s="7">
        <v>6414.15</v>
      </c>
      <c r="J834" s="9">
        <v>0</v>
      </c>
      <c r="K834" s="7">
        <v>32070.75</v>
      </c>
      <c r="L834" s="7">
        <v>11709.85</v>
      </c>
      <c r="M834" s="3" t="s">
        <v>56</v>
      </c>
      <c r="N834" s="3"/>
      <c r="O834" s="3"/>
      <c r="P834" s="3"/>
      <c r="Q834" s="3"/>
    </row>
    <row r="835" spans="1:17" ht="21" customHeight="1">
      <c r="A835" s="3" t="s">
        <v>1426</v>
      </c>
      <c r="B835" s="5">
        <v>45528</v>
      </c>
      <c r="C835" s="3" t="s">
        <v>1427</v>
      </c>
      <c r="D835" s="3" t="s">
        <v>46</v>
      </c>
      <c r="E835" s="3" t="s">
        <v>41</v>
      </c>
      <c r="F835" s="3" t="s">
        <v>119</v>
      </c>
      <c r="G835" s="3" t="s">
        <v>120</v>
      </c>
      <c r="H835" s="3">
        <v>1</v>
      </c>
      <c r="I835" s="7">
        <v>1262.56</v>
      </c>
      <c r="J835" s="9">
        <v>0.1</v>
      </c>
      <c r="K835" s="7">
        <v>1136.3</v>
      </c>
      <c r="L835" s="7">
        <v>326.51</v>
      </c>
      <c r="M835" s="3" t="s">
        <v>56</v>
      </c>
      <c r="N835" s="3"/>
      <c r="O835" s="3"/>
      <c r="P835" s="3"/>
      <c r="Q835" s="3"/>
    </row>
    <row r="836" spans="1:17" ht="21" customHeight="1">
      <c r="A836" s="3" t="s">
        <v>1428</v>
      </c>
      <c r="B836" s="5">
        <v>45528</v>
      </c>
      <c r="C836" s="3" t="s">
        <v>750</v>
      </c>
      <c r="D836" s="3" t="s">
        <v>44</v>
      </c>
      <c r="E836" s="3" t="s">
        <v>42</v>
      </c>
      <c r="F836" s="3" t="s">
        <v>90</v>
      </c>
      <c r="G836" s="3" t="s">
        <v>106</v>
      </c>
      <c r="H836" s="3">
        <v>3</v>
      </c>
      <c r="I836" s="7">
        <v>928.12</v>
      </c>
      <c r="J836" s="9">
        <v>0.05</v>
      </c>
      <c r="K836" s="7">
        <v>2645.14</v>
      </c>
      <c r="L836" s="7">
        <v>1401.59</v>
      </c>
      <c r="M836" s="3" t="s">
        <v>57</v>
      </c>
      <c r="N836" s="3"/>
      <c r="O836" s="3"/>
      <c r="P836" s="3"/>
      <c r="Q836" s="3"/>
    </row>
    <row r="837" spans="1:17" ht="21" customHeight="1">
      <c r="A837" s="3" t="s">
        <v>1429</v>
      </c>
      <c r="B837" s="5">
        <v>45529</v>
      </c>
      <c r="C837" s="3" t="s">
        <v>673</v>
      </c>
      <c r="D837" s="3" t="s">
        <v>45</v>
      </c>
      <c r="E837" s="3" t="s">
        <v>42</v>
      </c>
      <c r="F837" s="3" t="s">
        <v>90</v>
      </c>
      <c r="G837" s="3" t="s">
        <v>106</v>
      </c>
      <c r="H837" s="3">
        <v>1</v>
      </c>
      <c r="I837" s="7">
        <v>888.44</v>
      </c>
      <c r="J837" s="9">
        <v>0.1</v>
      </c>
      <c r="K837" s="7">
        <v>799.6</v>
      </c>
      <c r="L837" s="7">
        <v>359.54</v>
      </c>
      <c r="M837" s="3" t="s">
        <v>57</v>
      </c>
      <c r="N837" s="3"/>
      <c r="O837" s="3"/>
      <c r="P837" s="3"/>
      <c r="Q837" s="3"/>
    </row>
    <row r="838" spans="1:17" ht="21" customHeight="1">
      <c r="A838" s="3" t="s">
        <v>1430</v>
      </c>
      <c r="B838" s="5">
        <v>45530</v>
      </c>
      <c r="C838" s="3" t="s">
        <v>1431</v>
      </c>
      <c r="D838" s="3" t="s">
        <v>44</v>
      </c>
      <c r="E838" s="3" t="s">
        <v>39</v>
      </c>
      <c r="F838" s="3" t="s">
        <v>130</v>
      </c>
      <c r="G838" s="3" t="s">
        <v>193</v>
      </c>
      <c r="H838" s="3">
        <v>1</v>
      </c>
      <c r="I838" s="7">
        <v>1713.03</v>
      </c>
      <c r="J838" s="9">
        <v>0.3</v>
      </c>
      <c r="K838" s="7">
        <v>1199.1199999999999</v>
      </c>
      <c r="L838" s="7">
        <v>135.24</v>
      </c>
      <c r="M838" s="3" t="s">
        <v>56</v>
      </c>
      <c r="N838" s="3"/>
      <c r="O838" s="3"/>
      <c r="P838" s="3"/>
      <c r="Q838" s="3"/>
    </row>
    <row r="839" spans="1:17" ht="21" customHeight="1">
      <c r="A839" s="3" t="s">
        <v>1432</v>
      </c>
      <c r="B839" s="5">
        <v>45530</v>
      </c>
      <c r="C839" s="3" t="s">
        <v>1433</v>
      </c>
      <c r="D839" s="3" t="s">
        <v>45</v>
      </c>
      <c r="E839" s="3" t="s">
        <v>39</v>
      </c>
      <c r="F839" s="3" t="s">
        <v>130</v>
      </c>
      <c r="G839" s="3" t="s">
        <v>193</v>
      </c>
      <c r="H839" s="3">
        <v>1</v>
      </c>
      <c r="I839" s="7">
        <v>1838</v>
      </c>
      <c r="J839" s="9">
        <v>0.1</v>
      </c>
      <c r="K839" s="7">
        <v>1654.2</v>
      </c>
      <c r="L839" s="7">
        <v>466.65</v>
      </c>
      <c r="M839" s="3" t="s">
        <v>56</v>
      </c>
      <c r="N839" s="3"/>
      <c r="O839" s="3"/>
      <c r="P839" s="3"/>
      <c r="Q839" s="3"/>
    </row>
    <row r="840" spans="1:17" ht="21" customHeight="1">
      <c r="A840" s="3" t="s">
        <v>1434</v>
      </c>
      <c r="B840" s="5">
        <v>45530</v>
      </c>
      <c r="C840" s="3" t="s">
        <v>816</v>
      </c>
      <c r="D840" s="3" t="s">
        <v>45</v>
      </c>
      <c r="E840" s="3" t="s">
        <v>38</v>
      </c>
      <c r="F840" s="3" t="s">
        <v>94</v>
      </c>
      <c r="G840" s="3" t="s">
        <v>213</v>
      </c>
      <c r="H840" s="3">
        <v>2</v>
      </c>
      <c r="I840" s="7">
        <v>52876.15</v>
      </c>
      <c r="J840" s="9">
        <v>0.1</v>
      </c>
      <c r="K840" s="7">
        <v>95177.07</v>
      </c>
      <c r="L840" s="7">
        <v>4421.58</v>
      </c>
      <c r="M840" s="3" t="s">
        <v>57</v>
      </c>
      <c r="N840" s="3"/>
      <c r="O840" s="3"/>
      <c r="P840" s="3"/>
      <c r="Q840" s="3"/>
    </row>
    <row r="841" spans="1:17" ht="21" customHeight="1">
      <c r="A841" s="3" t="s">
        <v>1435</v>
      </c>
      <c r="B841" s="5">
        <v>45530</v>
      </c>
      <c r="C841" s="3" t="s">
        <v>825</v>
      </c>
      <c r="D841" s="3" t="s">
        <v>44</v>
      </c>
      <c r="E841" s="3" t="s">
        <v>42</v>
      </c>
      <c r="F841" s="3" t="s">
        <v>90</v>
      </c>
      <c r="G841" s="3" t="s">
        <v>106</v>
      </c>
      <c r="H841" s="3">
        <v>2</v>
      </c>
      <c r="I841" s="7">
        <v>902.28</v>
      </c>
      <c r="J841" s="9">
        <v>0.1</v>
      </c>
      <c r="K841" s="7">
        <v>1624.1</v>
      </c>
      <c r="L841" s="7">
        <v>662.27</v>
      </c>
      <c r="M841" s="3" t="s">
        <v>56</v>
      </c>
      <c r="N841" s="3"/>
      <c r="O841" s="3"/>
      <c r="P841" s="3"/>
      <c r="Q841" s="3"/>
    </row>
    <row r="842" spans="1:17" ht="21" customHeight="1">
      <c r="A842" s="3" t="s">
        <v>1436</v>
      </c>
      <c r="B842" s="5">
        <v>45531</v>
      </c>
      <c r="C842" s="3" t="s">
        <v>893</v>
      </c>
      <c r="D842" s="3" t="s">
        <v>45</v>
      </c>
      <c r="E842" s="3" t="s">
        <v>38</v>
      </c>
      <c r="F842" s="3" t="s">
        <v>142</v>
      </c>
      <c r="G842" s="3" t="s">
        <v>143</v>
      </c>
      <c r="H842" s="3">
        <v>1</v>
      </c>
      <c r="I842" s="7">
        <v>9362.3799999999992</v>
      </c>
      <c r="J842" s="9">
        <v>0.05</v>
      </c>
      <c r="K842" s="7">
        <v>8894.26</v>
      </c>
      <c r="L842" s="7">
        <v>851.55</v>
      </c>
      <c r="M842" s="3" t="s">
        <v>56</v>
      </c>
      <c r="N842" s="3"/>
      <c r="O842" s="3"/>
      <c r="P842" s="3"/>
      <c r="Q842" s="3"/>
    </row>
    <row r="843" spans="1:17" ht="21" customHeight="1">
      <c r="A843" s="3" t="s">
        <v>1437</v>
      </c>
      <c r="B843" s="5">
        <v>45531</v>
      </c>
      <c r="C843" s="3" t="s">
        <v>1241</v>
      </c>
      <c r="D843" s="3" t="s">
        <v>46</v>
      </c>
      <c r="E843" s="3" t="s">
        <v>41</v>
      </c>
      <c r="F843" s="3" t="s">
        <v>113</v>
      </c>
      <c r="G843" s="3" t="s">
        <v>123</v>
      </c>
      <c r="H843" s="3">
        <v>3</v>
      </c>
      <c r="I843" s="7">
        <v>3521.95</v>
      </c>
      <c r="J843" s="9">
        <v>0.4</v>
      </c>
      <c r="K843" s="7">
        <v>6339.51</v>
      </c>
      <c r="L843" s="7">
        <v>-307.17</v>
      </c>
      <c r="M843" s="3" t="s">
        <v>57</v>
      </c>
      <c r="N843" s="3"/>
      <c r="O843" s="3"/>
      <c r="P843" s="3"/>
      <c r="Q843" s="3"/>
    </row>
    <row r="844" spans="1:17" ht="21" customHeight="1">
      <c r="A844" s="3" t="s">
        <v>1438</v>
      </c>
      <c r="B844" s="5">
        <v>45531</v>
      </c>
      <c r="C844" s="3" t="s">
        <v>339</v>
      </c>
      <c r="D844" s="3" t="s">
        <v>46</v>
      </c>
      <c r="E844" s="3" t="s">
        <v>38</v>
      </c>
      <c r="F844" s="3" t="s">
        <v>94</v>
      </c>
      <c r="G844" s="3" t="s">
        <v>95</v>
      </c>
      <c r="H844" s="3">
        <v>1</v>
      </c>
      <c r="I844" s="7">
        <v>76314.350000000006</v>
      </c>
      <c r="J844" s="9">
        <v>0.15</v>
      </c>
      <c r="K844" s="7">
        <v>64867.199999999997</v>
      </c>
      <c r="L844" s="7">
        <v>2614.21</v>
      </c>
      <c r="M844" s="3" t="s">
        <v>57</v>
      </c>
      <c r="N844" s="3"/>
      <c r="O844" s="3"/>
      <c r="P844" s="3"/>
      <c r="Q844" s="3"/>
    </row>
    <row r="845" spans="1:17" ht="21" customHeight="1">
      <c r="A845" s="3" t="s">
        <v>1439</v>
      </c>
      <c r="B845" s="5">
        <v>45532</v>
      </c>
      <c r="C845" s="3" t="s">
        <v>1232</v>
      </c>
      <c r="D845" s="3" t="s">
        <v>45</v>
      </c>
      <c r="E845" s="3" t="s">
        <v>40</v>
      </c>
      <c r="F845" s="3" t="s">
        <v>102</v>
      </c>
      <c r="G845" s="3" t="s">
        <v>146</v>
      </c>
      <c r="H845" s="3">
        <v>1</v>
      </c>
      <c r="I845" s="7">
        <v>8063.47</v>
      </c>
      <c r="J845" s="9">
        <v>0</v>
      </c>
      <c r="K845" s="7">
        <v>8063.47</v>
      </c>
      <c r="L845" s="7">
        <v>2952.22</v>
      </c>
      <c r="M845" s="3" t="s">
        <v>57</v>
      </c>
      <c r="N845" s="3"/>
      <c r="O845" s="3"/>
      <c r="P845" s="3"/>
      <c r="Q845" s="3"/>
    </row>
    <row r="846" spans="1:17" ht="21" customHeight="1">
      <c r="A846" s="3" t="s">
        <v>1440</v>
      </c>
      <c r="B846" s="5">
        <v>45532</v>
      </c>
      <c r="C846" s="3" t="s">
        <v>1441</v>
      </c>
      <c r="D846" s="3" t="s">
        <v>44</v>
      </c>
      <c r="E846" s="3" t="s">
        <v>42</v>
      </c>
      <c r="F846" s="3" t="s">
        <v>126</v>
      </c>
      <c r="G846" s="3" t="s">
        <v>151</v>
      </c>
      <c r="H846" s="3">
        <v>2</v>
      </c>
      <c r="I846" s="7">
        <v>1571.24</v>
      </c>
      <c r="J846" s="9">
        <v>0.15</v>
      </c>
      <c r="K846" s="7">
        <v>2671.11</v>
      </c>
      <c r="L846" s="7">
        <v>1073.18</v>
      </c>
      <c r="M846" s="3" t="s">
        <v>56</v>
      </c>
      <c r="N846" s="3"/>
      <c r="O846" s="3"/>
      <c r="P846" s="3"/>
      <c r="Q846" s="3"/>
    </row>
    <row r="847" spans="1:17" ht="21" customHeight="1">
      <c r="A847" s="3" t="s">
        <v>1442</v>
      </c>
      <c r="B847" s="5">
        <v>45532</v>
      </c>
      <c r="C847" s="3" t="s">
        <v>188</v>
      </c>
      <c r="D847" s="3" t="s">
        <v>44</v>
      </c>
      <c r="E847" s="3" t="s">
        <v>38</v>
      </c>
      <c r="F847" s="3" t="s">
        <v>142</v>
      </c>
      <c r="G847" s="3" t="s">
        <v>245</v>
      </c>
      <c r="H847" s="3">
        <v>2</v>
      </c>
      <c r="I847" s="7">
        <v>4997.34</v>
      </c>
      <c r="J847" s="9">
        <v>0.15</v>
      </c>
      <c r="K847" s="7">
        <v>8495.48</v>
      </c>
      <c r="L847" s="7">
        <v>353.89</v>
      </c>
      <c r="M847" s="3" t="s">
        <v>56</v>
      </c>
      <c r="N847" s="3"/>
      <c r="O847" s="3"/>
      <c r="P847" s="3"/>
      <c r="Q847" s="3"/>
    </row>
    <row r="848" spans="1:17" ht="21" customHeight="1">
      <c r="A848" s="3" t="s">
        <v>1443</v>
      </c>
      <c r="B848" s="5">
        <v>45532</v>
      </c>
      <c r="C848" s="3" t="s">
        <v>739</v>
      </c>
      <c r="D848" s="3" t="s">
        <v>46</v>
      </c>
      <c r="E848" s="3" t="s">
        <v>39</v>
      </c>
      <c r="F848" s="3" t="s">
        <v>130</v>
      </c>
      <c r="G848" s="3" t="s">
        <v>193</v>
      </c>
      <c r="H848" s="3">
        <v>2</v>
      </c>
      <c r="I848" s="7">
        <v>1772.42</v>
      </c>
      <c r="J848" s="9">
        <v>0.3</v>
      </c>
      <c r="K848" s="7">
        <v>2481.39</v>
      </c>
      <c r="L848" s="7">
        <v>264.17</v>
      </c>
      <c r="M848" s="3" t="s">
        <v>56</v>
      </c>
      <c r="N848" s="3"/>
      <c r="O848" s="3"/>
      <c r="P848" s="3"/>
      <c r="Q848" s="3"/>
    </row>
    <row r="849" spans="1:17" ht="21" customHeight="1">
      <c r="A849" s="3" t="s">
        <v>1444</v>
      </c>
      <c r="B849" s="5">
        <v>45532</v>
      </c>
      <c r="C849" s="3" t="s">
        <v>607</v>
      </c>
      <c r="D849" s="3" t="s">
        <v>45</v>
      </c>
      <c r="E849" s="3" t="s">
        <v>41</v>
      </c>
      <c r="F849" s="3" t="s">
        <v>119</v>
      </c>
      <c r="G849" s="3" t="s">
        <v>120</v>
      </c>
      <c r="H849" s="3">
        <v>1</v>
      </c>
      <c r="I849" s="7">
        <v>1327.89</v>
      </c>
      <c r="J849" s="9">
        <v>0</v>
      </c>
      <c r="K849" s="7">
        <v>1327.89</v>
      </c>
      <c r="L849" s="7">
        <v>514.09</v>
      </c>
      <c r="M849" s="3" t="s">
        <v>57</v>
      </c>
      <c r="N849" s="3"/>
      <c r="O849" s="3"/>
      <c r="P849" s="3"/>
      <c r="Q849" s="3"/>
    </row>
    <row r="850" spans="1:17" ht="21" customHeight="1">
      <c r="A850" s="3" t="s">
        <v>1445</v>
      </c>
      <c r="B850" s="5">
        <v>45533</v>
      </c>
      <c r="C850" s="3" t="s">
        <v>762</v>
      </c>
      <c r="D850" s="3" t="s">
        <v>46</v>
      </c>
      <c r="E850" s="3" t="s">
        <v>42</v>
      </c>
      <c r="F850" s="3" t="s">
        <v>90</v>
      </c>
      <c r="G850" s="3" t="s">
        <v>91</v>
      </c>
      <c r="H850" s="3">
        <v>1</v>
      </c>
      <c r="I850" s="7">
        <v>1182.27</v>
      </c>
      <c r="J850" s="9">
        <v>0</v>
      </c>
      <c r="K850" s="7">
        <v>1182.27</v>
      </c>
      <c r="L850" s="7">
        <v>607.88</v>
      </c>
      <c r="M850" s="3" t="s">
        <v>60</v>
      </c>
      <c r="N850" s="3"/>
      <c r="O850" s="3"/>
      <c r="P850" s="3"/>
      <c r="Q850" s="3"/>
    </row>
    <row r="851" spans="1:17" ht="21" customHeight="1">
      <c r="A851" s="3" t="s">
        <v>1446</v>
      </c>
      <c r="B851" s="5">
        <v>45533</v>
      </c>
      <c r="C851" s="3" t="s">
        <v>1447</v>
      </c>
      <c r="D851" s="3" t="s">
        <v>47</v>
      </c>
      <c r="E851" s="3" t="s">
        <v>38</v>
      </c>
      <c r="F851" s="3" t="s">
        <v>142</v>
      </c>
      <c r="G851" s="3" t="s">
        <v>245</v>
      </c>
      <c r="H851" s="3">
        <v>3</v>
      </c>
      <c r="I851" s="7">
        <v>5203.8500000000004</v>
      </c>
      <c r="J851" s="9">
        <v>0.05</v>
      </c>
      <c r="K851" s="7">
        <v>14830.97</v>
      </c>
      <c r="L851" s="7">
        <v>1689.81</v>
      </c>
      <c r="M851" s="3" t="s">
        <v>56</v>
      </c>
      <c r="N851" s="3"/>
      <c r="O851" s="3"/>
      <c r="P851" s="3"/>
      <c r="Q851" s="3"/>
    </row>
    <row r="852" spans="1:17" ht="21" customHeight="1">
      <c r="A852" s="3" t="s">
        <v>1448</v>
      </c>
      <c r="B852" s="5">
        <v>45533</v>
      </c>
      <c r="C852" s="3" t="s">
        <v>803</v>
      </c>
      <c r="D852" s="3" t="s">
        <v>47</v>
      </c>
      <c r="E852" s="3" t="s">
        <v>42</v>
      </c>
      <c r="F852" s="3" t="s">
        <v>90</v>
      </c>
      <c r="G852" s="3" t="s">
        <v>106</v>
      </c>
      <c r="H852" s="3">
        <v>4</v>
      </c>
      <c r="I852" s="7">
        <v>868.87</v>
      </c>
      <c r="J852" s="9">
        <v>0.1</v>
      </c>
      <c r="K852" s="7">
        <v>3127.93</v>
      </c>
      <c r="L852" s="7">
        <v>1285.3699999999999</v>
      </c>
      <c r="M852" s="3" t="s">
        <v>56</v>
      </c>
      <c r="N852" s="3"/>
      <c r="O852" s="3"/>
      <c r="P852" s="3"/>
      <c r="Q852" s="3"/>
    </row>
    <row r="853" spans="1:17" ht="21" customHeight="1">
      <c r="A853" s="3" t="s">
        <v>1449</v>
      </c>
      <c r="B853" s="5">
        <v>45533</v>
      </c>
      <c r="C853" s="3" t="s">
        <v>916</v>
      </c>
      <c r="D853" s="3" t="s">
        <v>46</v>
      </c>
      <c r="E853" s="3" t="s">
        <v>39</v>
      </c>
      <c r="F853" s="3" t="s">
        <v>109</v>
      </c>
      <c r="G853" s="3" t="s">
        <v>110</v>
      </c>
      <c r="H853" s="3">
        <v>2</v>
      </c>
      <c r="I853" s="7">
        <v>3135.56</v>
      </c>
      <c r="J853" s="9">
        <v>0.2</v>
      </c>
      <c r="K853" s="7">
        <v>5016.8999999999996</v>
      </c>
      <c r="L853" s="7">
        <v>1046.6500000000001</v>
      </c>
      <c r="M853" s="3" t="s">
        <v>57</v>
      </c>
      <c r="N853" s="3"/>
      <c r="O853" s="3"/>
      <c r="P853" s="3"/>
      <c r="Q853" s="3"/>
    </row>
    <row r="854" spans="1:17" ht="21" customHeight="1">
      <c r="A854" s="3" t="s">
        <v>1450</v>
      </c>
      <c r="B854" s="5">
        <v>45533</v>
      </c>
      <c r="C854" s="3" t="s">
        <v>1451</v>
      </c>
      <c r="D854" s="3" t="s">
        <v>44</v>
      </c>
      <c r="E854" s="3" t="s">
        <v>41</v>
      </c>
      <c r="F854" s="3" t="s">
        <v>119</v>
      </c>
      <c r="G854" s="3" t="s">
        <v>168</v>
      </c>
      <c r="H854" s="3">
        <v>4</v>
      </c>
      <c r="I854" s="7">
        <v>9683.27</v>
      </c>
      <c r="J854" s="9">
        <v>0.15</v>
      </c>
      <c r="K854" s="7">
        <v>32923.120000000003</v>
      </c>
      <c r="L854" s="7">
        <v>7766.85</v>
      </c>
      <c r="M854" s="3" t="s">
        <v>56</v>
      </c>
      <c r="N854" s="3"/>
      <c r="O854" s="3"/>
      <c r="P854" s="3"/>
      <c r="Q854" s="3"/>
    </row>
    <row r="855" spans="1:17" ht="21" customHeight="1">
      <c r="A855" s="3" t="s">
        <v>1452</v>
      </c>
      <c r="B855" s="5">
        <v>45534</v>
      </c>
      <c r="C855" s="3" t="s">
        <v>314</v>
      </c>
      <c r="D855" s="3" t="s">
        <v>47</v>
      </c>
      <c r="E855" s="3" t="s">
        <v>38</v>
      </c>
      <c r="F855" s="3" t="s">
        <v>142</v>
      </c>
      <c r="G855" s="3" t="s">
        <v>245</v>
      </c>
      <c r="H855" s="3">
        <v>1</v>
      </c>
      <c r="I855" s="7">
        <v>4973.87</v>
      </c>
      <c r="J855" s="9">
        <v>0.4</v>
      </c>
      <c r="K855" s="7">
        <v>2984.32</v>
      </c>
      <c r="L855" s="7">
        <v>-871.76</v>
      </c>
      <c r="M855" s="3" t="s">
        <v>57</v>
      </c>
      <c r="N855" s="3"/>
      <c r="O855" s="3"/>
      <c r="P855" s="3"/>
      <c r="Q855" s="3"/>
    </row>
    <row r="856" spans="1:17" ht="21" customHeight="1">
      <c r="A856" s="3" t="s">
        <v>1453</v>
      </c>
      <c r="B856" s="5">
        <v>45534</v>
      </c>
      <c r="C856" s="3" t="s">
        <v>1454</v>
      </c>
      <c r="D856" s="3" t="s">
        <v>44</v>
      </c>
      <c r="E856" s="3" t="s">
        <v>40</v>
      </c>
      <c r="F856" s="3" t="s">
        <v>160</v>
      </c>
      <c r="G856" s="3" t="s">
        <v>173</v>
      </c>
      <c r="H856" s="3">
        <v>1</v>
      </c>
      <c r="I856" s="7">
        <v>9078.75</v>
      </c>
      <c r="J856" s="9">
        <v>0</v>
      </c>
      <c r="K856" s="7">
        <v>9078.75</v>
      </c>
      <c r="L856" s="7">
        <v>2959.55</v>
      </c>
      <c r="M856" s="3" t="s">
        <v>56</v>
      </c>
      <c r="N856" s="3"/>
      <c r="O856" s="3"/>
      <c r="P856" s="3"/>
      <c r="Q856" s="3"/>
    </row>
    <row r="857" spans="1:17" ht="21" customHeight="1">
      <c r="A857" s="3" t="s">
        <v>1455</v>
      </c>
      <c r="B857" s="5">
        <v>45535</v>
      </c>
      <c r="C857" s="3" t="s">
        <v>349</v>
      </c>
      <c r="D857" s="3" t="s">
        <v>47</v>
      </c>
      <c r="E857" s="3" t="s">
        <v>41</v>
      </c>
      <c r="F857" s="3" t="s">
        <v>113</v>
      </c>
      <c r="G857" s="3" t="s">
        <v>123</v>
      </c>
      <c r="H857" s="3">
        <v>1</v>
      </c>
      <c r="I857" s="7">
        <v>3493.72</v>
      </c>
      <c r="J857" s="9">
        <v>0.15</v>
      </c>
      <c r="K857" s="7">
        <v>2969.66</v>
      </c>
      <c r="L857" s="7">
        <v>687.33</v>
      </c>
      <c r="M857" s="3" t="s">
        <v>56</v>
      </c>
      <c r="N857" s="3"/>
      <c r="O857" s="3"/>
      <c r="P857" s="3"/>
      <c r="Q857" s="3"/>
    </row>
    <row r="858" spans="1:17" ht="21" customHeight="1">
      <c r="A858" s="3" t="s">
        <v>1456</v>
      </c>
      <c r="B858" s="5">
        <v>45535</v>
      </c>
      <c r="C858" s="3" t="s">
        <v>626</v>
      </c>
      <c r="D858" s="3" t="s">
        <v>44</v>
      </c>
      <c r="E858" s="3" t="s">
        <v>39</v>
      </c>
      <c r="F858" s="3" t="s">
        <v>164</v>
      </c>
      <c r="G858" s="3" t="s">
        <v>165</v>
      </c>
      <c r="H858" s="3">
        <v>1</v>
      </c>
      <c r="I858" s="7">
        <v>2088.89</v>
      </c>
      <c r="J858" s="9">
        <v>0.2</v>
      </c>
      <c r="K858" s="7">
        <v>1671.11</v>
      </c>
      <c r="L858" s="7">
        <v>375.21</v>
      </c>
      <c r="M858" s="3" t="s">
        <v>59</v>
      </c>
      <c r="N858" s="3"/>
      <c r="O858" s="3"/>
      <c r="P858" s="3"/>
      <c r="Q858" s="3"/>
    </row>
    <row r="859" spans="1:17" ht="21" customHeight="1">
      <c r="A859" s="3" t="s">
        <v>1457</v>
      </c>
      <c r="B859" s="5">
        <v>45535</v>
      </c>
      <c r="C859" s="3" t="s">
        <v>891</v>
      </c>
      <c r="D859" s="3" t="s">
        <v>47</v>
      </c>
      <c r="E859" s="3" t="s">
        <v>39</v>
      </c>
      <c r="F859" s="3" t="s">
        <v>109</v>
      </c>
      <c r="G859" s="3" t="s">
        <v>110</v>
      </c>
      <c r="H859" s="3">
        <v>2</v>
      </c>
      <c r="I859" s="7">
        <v>3038.55</v>
      </c>
      <c r="J859" s="9">
        <v>0.15</v>
      </c>
      <c r="K859" s="7">
        <v>5165.53</v>
      </c>
      <c r="L859" s="7">
        <v>1400.04</v>
      </c>
      <c r="M859" s="3" t="s">
        <v>56</v>
      </c>
      <c r="N859" s="3"/>
      <c r="O859" s="3"/>
      <c r="P859" s="3"/>
      <c r="Q859" s="3"/>
    </row>
    <row r="860" spans="1:17" ht="21" customHeight="1">
      <c r="A860" s="3" t="s">
        <v>1458</v>
      </c>
      <c r="B860" s="5">
        <v>45536</v>
      </c>
      <c r="C860" s="3" t="s">
        <v>1459</v>
      </c>
      <c r="D860" s="3" t="s">
        <v>47</v>
      </c>
      <c r="E860" s="3" t="s">
        <v>38</v>
      </c>
      <c r="F860" s="3" t="s">
        <v>94</v>
      </c>
      <c r="G860" s="3" t="s">
        <v>213</v>
      </c>
      <c r="H860" s="3">
        <v>2</v>
      </c>
      <c r="I860" s="7">
        <v>55833.64</v>
      </c>
      <c r="J860" s="9">
        <v>0.15</v>
      </c>
      <c r="K860" s="7">
        <v>94917.19</v>
      </c>
      <c r="L860" s="7">
        <v>2642.37</v>
      </c>
      <c r="M860" s="3" t="s">
        <v>56</v>
      </c>
      <c r="N860" s="3"/>
      <c r="O860" s="3"/>
      <c r="P860" s="3"/>
      <c r="Q860" s="3"/>
    </row>
    <row r="861" spans="1:17" ht="21" customHeight="1">
      <c r="A861" s="3" t="s">
        <v>1460</v>
      </c>
      <c r="B861" s="5">
        <v>45536</v>
      </c>
      <c r="C861" s="3" t="s">
        <v>1197</v>
      </c>
      <c r="D861" s="3" t="s">
        <v>46</v>
      </c>
      <c r="E861" s="3" t="s">
        <v>41</v>
      </c>
      <c r="F861" s="3" t="s">
        <v>113</v>
      </c>
      <c r="G861" s="3" t="s">
        <v>114</v>
      </c>
      <c r="H861" s="3">
        <v>1</v>
      </c>
      <c r="I861" s="7">
        <v>12330.07</v>
      </c>
      <c r="J861" s="9">
        <v>0.05</v>
      </c>
      <c r="K861" s="7">
        <v>11713.57</v>
      </c>
      <c r="L861" s="7">
        <v>3783.21</v>
      </c>
      <c r="M861" s="3" t="s">
        <v>59</v>
      </c>
      <c r="N861" s="3"/>
      <c r="O861" s="3"/>
      <c r="P861" s="3"/>
      <c r="Q861" s="3"/>
    </row>
    <row r="862" spans="1:17" ht="21" customHeight="1">
      <c r="A862" s="3" t="s">
        <v>1461</v>
      </c>
      <c r="B862" s="5">
        <v>45536</v>
      </c>
      <c r="C862" s="3" t="s">
        <v>1016</v>
      </c>
      <c r="D862" s="3" t="s">
        <v>46</v>
      </c>
      <c r="E862" s="3" t="s">
        <v>40</v>
      </c>
      <c r="F862" s="3" t="s">
        <v>160</v>
      </c>
      <c r="G862" s="3" t="s">
        <v>161</v>
      </c>
      <c r="H862" s="3">
        <v>3</v>
      </c>
      <c r="I862" s="7">
        <v>12722.18</v>
      </c>
      <c r="J862" s="9">
        <v>0</v>
      </c>
      <c r="K862" s="7">
        <v>38166.54</v>
      </c>
      <c r="L862" s="7">
        <v>11558.61</v>
      </c>
      <c r="M862" s="3" t="s">
        <v>56</v>
      </c>
      <c r="N862" s="3"/>
      <c r="O862" s="3"/>
      <c r="P862" s="3"/>
      <c r="Q862" s="3"/>
    </row>
    <row r="863" spans="1:17" ht="21" customHeight="1">
      <c r="A863" s="3" t="s">
        <v>1462</v>
      </c>
      <c r="B863" s="5">
        <v>45536</v>
      </c>
      <c r="C863" s="3" t="s">
        <v>539</v>
      </c>
      <c r="D863" s="3" t="s">
        <v>46</v>
      </c>
      <c r="E863" s="3" t="s">
        <v>41</v>
      </c>
      <c r="F863" s="3" t="s">
        <v>113</v>
      </c>
      <c r="G863" s="3" t="s">
        <v>123</v>
      </c>
      <c r="H863" s="3">
        <v>2</v>
      </c>
      <c r="I863" s="7">
        <v>3601.73</v>
      </c>
      <c r="J863" s="9">
        <v>0.1</v>
      </c>
      <c r="K863" s="7">
        <v>6483.11</v>
      </c>
      <c r="L863" s="7">
        <v>1953.53</v>
      </c>
      <c r="M863" s="3" t="s">
        <v>56</v>
      </c>
      <c r="N863" s="3"/>
      <c r="O863" s="3"/>
      <c r="P863" s="3"/>
      <c r="Q863" s="3"/>
    </row>
    <row r="864" spans="1:17" ht="21" customHeight="1">
      <c r="A864" s="3" t="s">
        <v>1463</v>
      </c>
      <c r="B864" s="5">
        <v>45536</v>
      </c>
      <c r="C864" s="3" t="s">
        <v>711</v>
      </c>
      <c r="D864" s="3" t="s">
        <v>47</v>
      </c>
      <c r="E864" s="3" t="s">
        <v>39</v>
      </c>
      <c r="F864" s="3" t="s">
        <v>130</v>
      </c>
      <c r="G864" s="3" t="s">
        <v>193</v>
      </c>
      <c r="H864" s="3">
        <v>4</v>
      </c>
      <c r="I864" s="7">
        <v>1785.23</v>
      </c>
      <c r="J864" s="9">
        <v>0.1</v>
      </c>
      <c r="K864" s="7">
        <v>6426.83</v>
      </c>
      <c r="L864" s="7">
        <v>1836.56</v>
      </c>
      <c r="M864" s="3" t="s">
        <v>57</v>
      </c>
      <c r="N864" s="3"/>
      <c r="O864" s="3"/>
      <c r="P864" s="3"/>
      <c r="Q864" s="3"/>
    </row>
    <row r="865" spans="1:17" ht="21" customHeight="1">
      <c r="A865" s="3" t="s">
        <v>1464</v>
      </c>
      <c r="B865" s="5">
        <v>45537</v>
      </c>
      <c r="C865" s="3" t="s">
        <v>1278</v>
      </c>
      <c r="D865" s="3" t="s">
        <v>47</v>
      </c>
      <c r="E865" s="3" t="s">
        <v>40</v>
      </c>
      <c r="F865" s="3" t="s">
        <v>160</v>
      </c>
      <c r="G865" s="3" t="s">
        <v>161</v>
      </c>
      <c r="H865" s="3">
        <v>2</v>
      </c>
      <c r="I865" s="7">
        <v>12494.47</v>
      </c>
      <c r="J865" s="9">
        <v>0.05</v>
      </c>
      <c r="K865" s="7">
        <v>23739.49</v>
      </c>
      <c r="L865" s="7">
        <v>6208.79</v>
      </c>
      <c r="M865" s="3" t="s">
        <v>58</v>
      </c>
      <c r="N865" s="3"/>
      <c r="O865" s="3"/>
      <c r="P865" s="3"/>
      <c r="Q865" s="3"/>
    </row>
    <row r="866" spans="1:17" ht="21" customHeight="1">
      <c r="A866" s="3" t="s">
        <v>1465</v>
      </c>
      <c r="B866" s="5">
        <v>45537</v>
      </c>
      <c r="C866" s="3" t="s">
        <v>1466</v>
      </c>
      <c r="D866" s="3" t="s">
        <v>44</v>
      </c>
      <c r="E866" s="3" t="s">
        <v>41</v>
      </c>
      <c r="F866" s="3" t="s">
        <v>113</v>
      </c>
      <c r="G866" s="3" t="s">
        <v>114</v>
      </c>
      <c r="H866" s="3">
        <v>1</v>
      </c>
      <c r="I866" s="7">
        <v>12174.17</v>
      </c>
      <c r="J866" s="9">
        <v>0.15</v>
      </c>
      <c r="K866" s="7">
        <v>10348.040000000001</v>
      </c>
      <c r="L866" s="7">
        <v>2419.1</v>
      </c>
      <c r="M866" s="3" t="s">
        <v>56</v>
      </c>
      <c r="N866" s="3"/>
      <c r="O866" s="3"/>
      <c r="P866" s="3"/>
      <c r="Q866" s="3"/>
    </row>
    <row r="867" spans="1:17" ht="21" customHeight="1">
      <c r="A867" s="3" t="s">
        <v>1467</v>
      </c>
      <c r="B867" s="5">
        <v>45538</v>
      </c>
      <c r="C867" s="3" t="s">
        <v>1468</v>
      </c>
      <c r="D867" s="3" t="s">
        <v>44</v>
      </c>
      <c r="E867" s="3" t="s">
        <v>39</v>
      </c>
      <c r="F867" s="3" t="s">
        <v>164</v>
      </c>
      <c r="G867" s="3" t="s">
        <v>200</v>
      </c>
      <c r="H867" s="3">
        <v>1</v>
      </c>
      <c r="I867" s="7">
        <v>1357.65</v>
      </c>
      <c r="J867" s="9">
        <v>0.1</v>
      </c>
      <c r="K867" s="7">
        <v>1221.8900000000001</v>
      </c>
      <c r="L867" s="7">
        <v>380.23</v>
      </c>
      <c r="M867" s="3" t="s">
        <v>57</v>
      </c>
      <c r="N867" s="3"/>
      <c r="O867" s="3"/>
      <c r="P867" s="3"/>
      <c r="Q867" s="3"/>
    </row>
    <row r="868" spans="1:17" ht="21" customHeight="1">
      <c r="A868" s="3" t="s">
        <v>1469</v>
      </c>
      <c r="B868" s="5">
        <v>45538</v>
      </c>
      <c r="C868" s="3" t="s">
        <v>1243</v>
      </c>
      <c r="D868" s="3" t="s">
        <v>46</v>
      </c>
      <c r="E868" s="3" t="s">
        <v>40</v>
      </c>
      <c r="F868" s="3" t="s">
        <v>160</v>
      </c>
      <c r="G868" s="3" t="s">
        <v>173</v>
      </c>
      <c r="H868" s="3">
        <v>1</v>
      </c>
      <c r="I868" s="7">
        <v>8874.7800000000007</v>
      </c>
      <c r="J868" s="9">
        <v>0.15</v>
      </c>
      <c r="K868" s="7">
        <v>7543.56</v>
      </c>
      <c r="L868" s="7">
        <v>1161.45</v>
      </c>
      <c r="M868" s="3" t="s">
        <v>56</v>
      </c>
      <c r="N868" s="3"/>
      <c r="O868" s="3"/>
      <c r="P868" s="3"/>
      <c r="Q868" s="3"/>
    </row>
    <row r="869" spans="1:17" ht="21" customHeight="1">
      <c r="A869" s="3" t="s">
        <v>1470</v>
      </c>
      <c r="B869" s="5">
        <v>45538</v>
      </c>
      <c r="C869" s="3" t="s">
        <v>1140</v>
      </c>
      <c r="D869" s="3" t="s">
        <v>45</v>
      </c>
      <c r="E869" s="3" t="s">
        <v>40</v>
      </c>
      <c r="F869" s="3" t="s">
        <v>160</v>
      </c>
      <c r="G869" s="3" t="s">
        <v>161</v>
      </c>
      <c r="H869" s="3">
        <v>1</v>
      </c>
      <c r="I869" s="7">
        <v>12902.03</v>
      </c>
      <c r="J869" s="9">
        <v>0.15</v>
      </c>
      <c r="K869" s="7">
        <v>10966.73</v>
      </c>
      <c r="L869" s="7">
        <v>1702.42</v>
      </c>
      <c r="M869" s="3" t="s">
        <v>58</v>
      </c>
      <c r="N869" s="3"/>
      <c r="O869" s="3"/>
      <c r="P869" s="3"/>
      <c r="Q869" s="3"/>
    </row>
    <row r="870" spans="1:17" ht="21" customHeight="1">
      <c r="A870" s="3" t="s">
        <v>1471</v>
      </c>
      <c r="B870" s="5">
        <v>45538</v>
      </c>
      <c r="C870" s="3" t="s">
        <v>577</v>
      </c>
      <c r="D870" s="3" t="s">
        <v>44</v>
      </c>
      <c r="E870" s="3" t="s">
        <v>39</v>
      </c>
      <c r="F870" s="3" t="s">
        <v>164</v>
      </c>
      <c r="G870" s="3" t="s">
        <v>165</v>
      </c>
      <c r="H870" s="3">
        <v>2</v>
      </c>
      <c r="I870" s="7">
        <v>1983.71</v>
      </c>
      <c r="J870" s="9">
        <v>0.1</v>
      </c>
      <c r="K870" s="7">
        <v>3570.68</v>
      </c>
      <c r="L870" s="7">
        <v>994.07</v>
      </c>
      <c r="M870" s="3" t="s">
        <v>60</v>
      </c>
      <c r="N870" s="3"/>
      <c r="O870" s="3"/>
      <c r="P870" s="3"/>
      <c r="Q870" s="3"/>
    </row>
    <row r="871" spans="1:17" ht="21" customHeight="1">
      <c r="A871" s="3" t="s">
        <v>1472</v>
      </c>
      <c r="B871" s="5">
        <v>45538</v>
      </c>
      <c r="C871" s="3" t="s">
        <v>899</v>
      </c>
      <c r="D871" s="3" t="s">
        <v>45</v>
      </c>
      <c r="E871" s="3" t="s">
        <v>41</v>
      </c>
      <c r="F871" s="3" t="s">
        <v>113</v>
      </c>
      <c r="G871" s="3" t="s">
        <v>123</v>
      </c>
      <c r="H871" s="3">
        <v>1</v>
      </c>
      <c r="I871" s="7">
        <v>3517.74</v>
      </c>
      <c r="J871" s="9">
        <v>0.1</v>
      </c>
      <c r="K871" s="7">
        <v>3165.97</v>
      </c>
      <c r="L871" s="7">
        <v>854.4</v>
      </c>
      <c r="M871" s="3" t="s">
        <v>58</v>
      </c>
      <c r="N871" s="3"/>
      <c r="O871" s="3"/>
      <c r="P871" s="3"/>
      <c r="Q871" s="3"/>
    </row>
    <row r="872" spans="1:17" ht="21" customHeight="1">
      <c r="A872" s="3" t="s">
        <v>1473</v>
      </c>
      <c r="B872" s="5">
        <v>45539</v>
      </c>
      <c r="C872" s="3" t="s">
        <v>999</v>
      </c>
      <c r="D872" s="3" t="s">
        <v>44</v>
      </c>
      <c r="E872" s="3" t="s">
        <v>39</v>
      </c>
      <c r="F872" s="3" t="s">
        <v>130</v>
      </c>
      <c r="G872" s="3" t="s">
        <v>193</v>
      </c>
      <c r="H872" s="3">
        <v>1</v>
      </c>
      <c r="I872" s="7">
        <v>1851.87</v>
      </c>
      <c r="J872" s="9">
        <v>0.05</v>
      </c>
      <c r="K872" s="7">
        <v>1759.28</v>
      </c>
      <c r="L872" s="7">
        <v>631.70000000000005</v>
      </c>
      <c r="M872" s="3" t="s">
        <v>59</v>
      </c>
      <c r="N872" s="3"/>
      <c r="O872" s="3"/>
      <c r="P872" s="3"/>
      <c r="Q872" s="3"/>
    </row>
    <row r="873" spans="1:17" ht="21" customHeight="1">
      <c r="A873" s="3" t="s">
        <v>1474</v>
      </c>
      <c r="B873" s="5">
        <v>45539</v>
      </c>
      <c r="C873" s="3" t="s">
        <v>148</v>
      </c>
      <c r="D873" s="3" t="s">
        <v>46</v>
      </c>
      <c r="E873" s="3" t="s">
        <v>38</v>
      </c>
      <c r="F873" s="3" t="s">
        <v>94</v>
      </c>
      <c r="G873" s="3" t="s">
        <v>95</v>
      </c>
      <c r="H873" s="3">
        <v>1</v>
      </c>
      <c r="I873" s="7">
        <v>81630.42</v>
      </c>
      <c r="J873" s="9">
        <v>0</v>
      </c>
      <c r="K873" s="7">
        <v>81630.42</v>
      </c>
      <c r="L873" s="7">
        <v>12632.98</v>
      </c>
      <c r="M873" s="3" t="s">
        <v>58</v>
      </c>
      <c r="N873" s="3"/>
      <c r="O873" s="3"/>
      <c r="P873" s="3"/>
      <c r="Q873" s="3"/>
    </row>
    <row r="874" spans="1:17" ht="21" customHeight="1">
      <c r="A874" s="3" t="s">
        <v>1475</v>
      </c>
      <c r="B874" s="5">
        <v>45539</v>
      </c>
      <c r="C874" s="3" t="s">
        <v>1476</v>
      </c>
      <c r="D874" s="3" t="s">
        <v>44</v>
      </c>
      <c r="E874" s="3" t="s">
        <v>38</v>
      </c>
      <c r="F874" s="3" t="s">
        <v>94</v>
      </c>
      <c r="G874" s="3" t="s">
        <v>95</v>
      </c>
      <c r="H874" s="3">
        <v>1</v>
      </c>
      <c r="I874" s="7">
        <v>81295.25</v>
      </c>
      <c r="J874" s="9">
        <v>0.2</v>
      </c>
      <c r="K874" s="7">
        <v>65036.2</v>
      </c>
      <c r="L874" s="7">
        <v>-3980.51</v>
      </c>
      <c r="M874" s="3" t="s">
        <v>58</v>
      </c>
      <c r="N874" s="3"/>
      <c r="O874" s="3"/>
      <c r="P874" s="3"/>
      <c r="Q874" s="3"/>
    </row>
    <row r="875" spans="1:17" ht="21" customHeight="1">
      <c r="A875" s="3" t="s">
        <v>1477</v>
      </c>
      <c r="B875" s="5">
        <v>45540</v>
      </c>
      <c r="C875" s="3" t="s">
        <v>1289</v>
      </c>
      <c r="D875" s="3" t="s">
        <v>46</v>
      </c>
      <c r="E875" s="3" t="s">
        <v>41</v>
      </c>
      <c r="F875" s="3" t="s">
        <v>113</v>
      </c>
      <c r="G875" s="3" t="s">
        <v>114</v>
      </c>
      <c r="H875" s="3">
        <v>3</v>
      </c>
      <c r="I875" s="7">
        <v>11509.2</v>
      </c>
      <c r="J875" s="9">
        <v>0.05</v>
      </c>
      <c r="K875" s="7">
        <v>32801.22</v>
      </c>
      <c r="L875" s="7">
        <v>11276.93</v>
      </c>
      <c r="M875" s="3" t="s">
        <v>56</v>
      </c>
      <c r="N875" s="3"/>
      <c r="O875" s="3"/>
      <c r="P875" s="3"/>
      <c r="Q875" s="3"/>
    </row>
    <row r="876" spans="1:17" ht="21" customHeight="1">
      <c r="A876" s="3" t="s">
        <v>1478</v>
      </c>
      <c r="B876" s="5">
        <v>45540</v>
      </c>
      <c r="C876" s="3" t="s">
        <v>1479</v>
      </c>
      <c r="D876" s="3" t="s">
        <v>44</v>
      </c>
      <c r="E876" s="3" t="s">
        <v>38</v>
      </c>
      <c r="F876" s="3" t="s">
        <v>98</v>
      </c>
      <c r="G876" s="3" t="s">
        <v>99</v>
      </c>
      <c r="H876" s="3">
        <v>1</v>
      </c>
      <c r="I876" s="7">
        <v>23887.5</v>
      </c>
      <c r="J876" s="9">
        <v>0</v>
      </c>
      <c r="K876" s="7">
        <v>23887.5</v>
      </c>
      <c r="L876" s="7">
        <v>4159.24</v>
      </c>
      <c r="M876" s="3" t="s">
        <v>56</v>
      </c>
      <c r="N876" s="3"/>
      <c r="O876" s="3"/>
      <c r="P876" s="3"/>
      <c r="Q876" s="3"/>
    </row>
    <row r="877" spans="1:17" ht="21" customHeight="1">
      <c r="A877" s="3" t="s">
        <v>1480</v>
      </c>
      <c r="B877" s="5">
        <v>45540</v>
      </c>
      <c r="C877" s="3" t="s">
        <v>276</v>
      </c>
      <c r="D877" s="3" t="s">
        <v>44</v>
      </c>
      <c r="E877" s="3" t="s">
        <v>42</v>
      </c>
      <c r="F877" s="3" t="s">
        <v>90</v>
      </c>
      <c r="G877" s="3" t="s">
        <v>91</v>
      </c>
      <c r="H877" s="3">
        <v>1</v>
      </c>
      <c r="I877" s="7">
        <v>1149.9000000000001</v>
      </c>
      <c r="J877" s="9">
        <v>0.2</v>
      </c>
      <c r="K877" s="7">
        <v>919.92</v>
      </c>
      <c r="L877" s="7">
        <v>279.05</v>
      </c>
      <c r="M877" s="3" t="s">
        <v>56</v>
      </c>
      <c r="N877" s="3"/>
      <c r="O877" s="3"/>
      <c r="P877" s="3"/>
      <c r="Q877" s="3"/>
    </row>
    <row r="878" spans="1:17" ht="21" customHeight="1">
      <c r="A878" s="3" t="s">
        <v>1481</v>
      </c>
      <c r="B878" s="5">
        <v>45541</v>
      </c>
      <c r="C878" s="3" t="s">
        <v>324</v>
      </c>
      <c r="D878" s="3" t="s">
        <v>45</v>
      </c>
      <c r="E878" s="3" t="s">
        <v>42</v>
      </c>
      <c r="F878" s="3" t="s">
        <v>126</v>
      </c>
      <c r="G878" s="3" t="s">
        <v>151</v>
      </c>
      <c r="H878" s="3">
        <v>1</v>
      </c>
      <c r="I878" s="7">
        <v>1546.64</v>
      </c>
      <c r="J878" s="9">
        <v>0.1</v>
      </c>
      <c r="K878" s="7">
        <v>1391.98</v>
      </c>
      <c r="L878" s="7">
        <v>570.91999999999996</v>
      </c>
      <c r="M878" s="3" t="s">
        <v>56</v>
      </c>
      <c r="N878" s="3"/>
      <c r="O878" s="3"/>
      <c r="P878" s="3"/>
      <c r="Q878" s="3"/>
    </row>
    <row r="879" spans="1:17" ht="21" customHeight="1">
      <c r="A879" s="3" t="s">
        <v>1482</v>
      </c>
      <c r="B879" s="5">
        <v>45542</v>
      </c>
      <c r="C879" s="3" t="s">
        <v>432</v>
      </c>
      <c r="D879" s="3" t="s">
        <v>44</v>
      </c>
      <c r="E879" s="3" t="s">
        <v>40</v>
      </c>
      <c r="F879" s="3" t="s">
        <v>102</v>
      </c>
      <c r="G879" s="3" t="s">
        <v>146</v>
      </c>
      <c r="H879" s="3">
        <v>1</v>
      </c>
      <c r="I879" s="7">
        <v>7884.58</v>
      </c>
      <c r="J879" s="9">
        <v>0.15</v>
      </c>
      <c r="K879" s="7">
        <v>6701.89</v>
      </c>
      <c r="L879" s="7">
        <v>1278.0999999999999</v>
      </c>
      <c r="M879" s="3" t="s">
        <v>58</v>
      </c>
      <c r="N879" s="3"/>
      <c r="O879" s="3"/>
      <c r="P879" s="3"/>
      <c r="Q879" s="3"/>
    </row>
    <row r="880" spans="1:17" ht="21" customHeight="1">
      <c r="A880" s="3" t="s">
        <v>1483</v>
      </c>
      <c r="B880" s="5">
        <v>45542</v>
      </c>
      <c r="C880" s="3" t="s">
        <v>442</v>
      </c>
      <c r="D880" s="3" t="s">
        <v>44</v>
      </c>
      <c r="E880" s="3" t="s">
        <v>42</v>
      </c>
      <c r="F880" s="3" t="s">
        <v>90</v>
      </c>
      <c r="G880" s="3" t="s">
        <v>106</v>
      </c>
      <c r="H880" s="3">
        <v>1</v>
      </c>
      <c r="I880" s="7">
        <v>876.05</v>
      </c>
      <c r="J880" s="9">
        <v>0.1</v>
      </c>
      <c r="K880" s="7">
        <v>788.44</v>
      </c>
      <c r="L880" s="7">
        <v>361.72</v>
      </c>
      <c r="M880" s="3" t="s">
        <v>60</v>
      </c>
      <c r="N880" s="3"/>
      <c r="O880" s="3"/>
      <c r="P880" s="3"/>
      <c r="Q880" s="3"/>
    </row>
    <row r="881" spans="1:17" ht="21" customHeight="1">
      <c r="A881" s="3" t="s">
        <v>1484</v>
      </c>
      <c r="B881" s="5">
        <v>45542</v>
      </c>
      <c r="C881" s="3" t="s">
        <v>671</v>
      </c>
      <c r="D881" s="3" t="s">
        <v>47</v>
      </c>
      <c r="E881" s="3" t="s">
        <v>38</v>
      </c>
      <c r="F881" s="3" t="s">
        <v>98</v>
      </c>
      <c r="G881" s="3" t="s">
        <v>182</v>
      </c>
      <c r="H881" s="3">
        <v>3</v>
      </c>
      <c r="I881" s="7">
        <v>71001.039999999994</v>
      </c>
      <c r="J881" s="9">
        <v>0.1</v>
      </c>
      <c r="K881" s="7">
        <v>191702.81</v>
      </c>
      <c r="L881" s="7">
        <v>18477.8</v>
      </c>
      <c r="M881" s="3" t="s">
        <v>56</v>
      </c>
      <c r="N881" s="3"/>
      <c r="O881" s="3"/>
      <c r="P881" s="3"/>
      <c r="Q881" s="3"/>
    </row>
    <row r="882" spans="1:17" ht="21" customHeight="1">
      <c r="A882" s="3" t="s">
        <v>1485</v>
      </c>
      <c r="B882" s="5">
        <v>45542</v>
      </c>
      <c r="C882" s="3" t="s">
        <v>1459</v>
      </c>
      <c r="D882" s="3" t="s">
        <v>47</v>
      </c>
      <c r="E882" s="3" t="s">
        <v>39</v>
      </c>
      <c r="F882" s="3" t="s">
        <v>109</v>
      </c>
      <c r="G882" s="3" t="s">
        <v>355</v>
      </c>
      <c r="H882" s="3">
        <v>1</v>
      </c>
      <c r="I882" s="7">
        <v>3611.34</v>
      </c>
      <c r="J882" s="9">
        <v>0.05</v>
      </c>
      <c r="K882" s="7">
        <v>3430.77</v>
      </c>
      <c r="L882" s="7">
        <v>1276.02</v>
      </c>
      <c r="M882" s="3" t="s">
        <v>56</v>
      </c>
      <c r="N882" s="3"/>
      <c r="O882" s="3"/>
      <c r="P882" s="3"/>
      <c r="Q882" s="3"/>
    </row>
    <row r="883" spans="1:17" ht="21" customHeight="1">
      <c r="A883" s="3" t="s">
        <v>1486</v>
      </c>
      <c r="B883" s="5">
        <v>45542</v>
      </c>
      <c r="C883" s="3" t="s">
        <v>112</v>
      </c>
      <c r="D883" s="3" t="s">
        <v>44</v>
      </c>
      <c r="E883" s="3" t="s">
        <v>42</v>
      </c>
      <c r="F883" s="3" t="s">
        <v>90</v>
      </c>
      <c r="G883" s="3" t="s">
        <v>106</v>
      </c>
      <c r="H883" s="3">
        <v>1</v>
      </c>
      <c r="I883" s="7">
        <v>940.09</v>
      </c>
      <c r="J883" s="9">
        <v>0</v>
      </c>
      <c r="K883" s="7">
        <v>940.09</v>
      </c>
      <c r="L883" s="7">
        <v>498.04</v>
      </c>
      <c r="M883" s="3" t="s">
        <v>60</v>
      </c>
      <c r="N883" s="3"/>
      <c r="O883" s="3"/>
      <c r="P883" s="3"/>
      <c r="Q883" s="3"/>
    </row>
    <row r="884" spans="1:17" ht="21" customHeight="1">
      <c r="A884" s="3" t="s">
        <v>1487</v>
      </c>
      <c r="B884" s="5">
        <v>45542</v>
      </c>
      <c r="C884" s="3" t="s">
        <v>1488</v>
      </c>
      <c r="D884" s="3" t="s">
        <v>47</v>
      </c>
      <c r="E884" s="3" t="s">
        <v>42</v>
      </c>
      <c r="F884" s="3" t="s">
        <v>90</v>
      </c>
      <c r="G884" s="3" t="s">
        <v>91</v>
      </c>
      <c r="H884" s="3">
        <v>1</v>
      </c>
      <c r="I884" s="7">
        <v>1207.29</v>
      </c>
      <c r="J884" s="9">
        <v>0</v>
      </c>
      <c r="K884" s="7">
        <v>1207.29</v>
      </c>
      <c r="L884" s="7">
        <v>615.95000000000005</v>
      </c>
      <c r="M884" s="3" t="s">
        <v>58</v>
      </c>
      <c r="N884" s="3"/>
      <c r="O884" s="3"/>
      <c r="P884" s="3"/>
      <c r="Q884" s="3"/>
    </row>
    <row r="885" spans="1:17" ht="21" customHeight="1">
      <c r="A885" s="3" t="s">
        <v>1489</v>
      </c>
      <c r="B885" s="5">
        <v>45543</v>
      </c>
      <c r="C885" s="3" t="s">
        <v>1243</v>
      </c>
      <c r="D885" s="3" t="s">
        <v>46</v>
      </c>
      <c r="E885" s="3" t="s">
        <v>40</v>
      </c>
      <c r="F885" s="3" t="s">
        <v>160</v>
      </c>
      <c r="G885" s="3" t="s">
        <v>173</v>
      </c>
      <c r="H885" s="3">
        <v>1</v>
      </c>
      <c r="I885" s="7">
        <v>9056.42</v>
      </c>
      <c r="J885" s="9">
        <v>0</v>
      </c>
      <c r="K885" s="7">
        <v>9056.42</v>
      </c>
      <c r="L885" s="7">
        <v>2846.55</v>
      </c>
      <c r="M885" s="3" t="s">
        <v>57</v>
      </c>
      <c r="N885" s="3"/>
      <c r="O885" s="3"/>
      <c r="P885" s="3"/>
      <c r="Q885" s="3"/>
    </row>
    <row r="886" spans="1:17" ht="21" customHeight="1">
      <c r="A886" s="3" t="s">
        <v>1490</v>
      </c>
      <c r="B886" s="5">
        <v>45543</v>
      </c>
      <c r="C886" s="3" t="s">
        <v>210</v>
      </c>
      <c r="D886" s="3" t="s">
        <v>45</v>
      </c>
      <c r="E886" s="3" t="s">
        <v>39</v>
      </c>
      <c r="F886" s="3" t="s">
        <v>164</v>
      </c>
      <c r="G886" s="3" t="s">
        <v>200</v>
      </c>
      <c r="H886" s="3">
        <v>1</v>
      </c>
      <c r="I886" s="7">
        <v>1274.8499999999999</v>
      </c>
      <c r="J886" s="9">
        <v>0.15</v>
      </c>
      <c r="K886" s="7">
        <v>1083.6199999999999</v>
      </c>
      <c r="L886" s="7">
        <v>265.5</v>
      </c>
      <c r="M886" s="3" t="s">
        <v>57</v>
      </c>
      <c r="N886" s="3"/>
      <c r="O886" s="3"/>
      <c r="P886" s="3"/>
      <c r="Q886" s="3"/>
    </row>
    <row r="887" spans="1:17" ht="21" customHeight="1">
      <c r="A887" s="3" t="s">
        <v>1491</v>
      </c>
      <c r="B887" s="5">
        <v>45543</v>
      </c>
      <c r="C887" s="3" t="s">
        <v>1142</v>
      </c>
      <c r="D887" s="3" t="s">
        <v>44</v>
      </c>
      <c r="E887" s="3" t="s">
        <v>39</v>
      </c>
      <c r="F887" s="3" t="s">
        <v>109</v>
      </c>
      <c r="G887" s="3" t="s">
        <v>110</v>
      </c>
      <c r="H887" s="3">
        <v>1</v>
      </c>
      <c r="I887" s="7">
        <v>3074.57</v>
      </c>
      <c r="J887" s="9">
        <v>0.05</v>
      </c>
      <c r="K887" s="7">
        <v>2920.84</v>
      </c>
      <c r="L887" s="7">
        <v>1140.3399999999999</v>
      </c>
      <c r="M887" s="3" t="s">
        <v>56</v>
      </c>
      <c r="N887" s="3"/>
      <c r="O887" s="3"/>
      <c r="P887" s="3"/>
      <c r="Q887" s="3"/>
    </row>
    <row r="888" spans="1:17" ht="21" customHeight="1">
      <c r="A888" s="3" t="s">
        <v>1492</v>
      </c>
      <c r="B888" s="5">
        <v>45543</v>
      </c>
      <c r="C888" s="3" t="s">
        <v>137</v>
      </c>
      <c r="D888" s="3" t="s">
        <v>44</v>
      </c>
      <c r="E888" s="3" t="s">
        <v>40</v>
      </c>
      <c r="F888" s="3" t="s">
        <v>221</v>
      </c>
      <c r="G888" s="3" t="s">
        <v>279</v>
      </c>
      <c r="H888" s="3">
        <v>1</v>
      </c>
      <c r="I888" s="7">
        <v>1433.32</v>
      </c>
      <c r="J888" s="9">
        <v>0.05</v>
      </c>
      <c r="K888" s="7">
        <v>1361.65</v>
      </c>
      <c r="L888" s="7">
        <v>330.63</v>
      </c>
      <c r="M888" s="3" t="s">
        <v>56</v>
      </c>
      <c r="N888" s="3"/>
      <c r="O888" s="3"/>
      <c r="P888" s="3"/>
      <c r="Q888" s="3"/>
    </row>
    <row r="889" spans="1:17" ht="21" customHeight="1">
      <c r="A889" s="3" t="s">
        <v>1493</v>
      </c>
      <c r="B889" s="5">
        <v>45544</v>
      </c>
      <c r="C889" s="3" t="s">
        <v>844</v>
      </c>
      <c r="D889" s="3" t="s">
        <v>46</v>
      </c>
      <c r="E889" s="3" t="s">
        <v>42</v>
      </c>
      <c r="F889" s="3" t="s">
        <v>90</v>
      </c>
      <c r="G889" s="3" t="s">
        <v>106</v>
      </c>
      <c r="H889" s="3">
        <v>5</v>
      </c>
      <c r="I889" s="7">
        <v>870.76</v>
      </c>
      <c r="J889" s="9">
        <v>0</v>
      </c>
      <c r="K889" s="7">
        <v>4353.8</v>
      </c>
      <c r="L889" s="7">
        <v>2427.69</v>
      </c>
      <c r="M889" s="3" t="s">
        <v>56</v>
      </c>
      <c r="N889" s="3"/>
      <c r="O889" s="3"/>
      <c r="P889" s="3"/>
      <c r="Q889" s="3"/>
    </row>
    <row r="890" spans="1:17" ht="21" customHeight="1">
      <c r="A890" s="3" t="s">
        <v>1494</v>
      </c>
      <c r="B890" s="5">
        <v>45544</v>
      </c>
      <c r="C890" s="3" t="s">
        <v>179</v>
      </c>
      <c r="D890" s="3" t="s">
        <v>47</v>
      </c>
      <c r="E890" s="3" t="s">
        <v>39</v>
      </c>
      <c r="F890" s="3" t="s">
        <v>164</v>
      </c>
      <c r="G890" s="3" t="s">
        <v>200</v>
      </c>
      <c r="H890" s="3">
        <v>3</v>
      </c>
      <c r="I890" s="7">
        <v>1363.39</v>
      </c>
      <c r="J890" s="9">
        <v>0.05</v>
      </c>
      <c r="K890" s="7">
        <v>3885.66</v>
      </c>
      <c r="L890" s="7">
        <v>1437.02</v>
      </c>
      <c r="M890" s="3" t="s">
        <v>56</v>
      </c>
      <c r="N890" s="3"/>
      <c r="O890" s="3"/>
      <c r="P890" s="3"/>
      <c r="Q890" s="3"/>
    </row>
    <row r="891" spans="1:17" ht="21" customHeight="1">
      <c r="A891" s="3" t="s">
        <v>1495</v>
      </c>
      <c r="B891" s="5">
        <v>45544</v>
      </c>
      <c r="C891" s="3" t="s">
        <v>1283</v>
      </c>
      <c r="D891" s="3" t="s">
        <v>46</v>
      </c>
      <c r="E891" s="3" t="s">
        <v>40</v>
      </c>
      <c r="F891" s="3" t="s">
        <v>102</v>
      </c>
      <c r="G891" s="3" t="s">
        <v>103</v>
      </c>
      <c r="H891" s="3">
        <v>1</v>
      </c>
      <c r="I891" s="7">
        <v>6621.5</v>
      </c>
      <c r="J891" s="9">
        <v>0.05</v>
      </c>
      <c r="K891" s="7">
        <v>6290.42</v>
      </c>
      <c r="L891" s="7">
        <v>1813</v>
      </c>
      <c r="M891" s="3" t="s">
        <v>59</v>
      </c>
      <c r="N891" s="3"/>
      <c r="O891" s="3"/>
      <c r="P891" s="3"/>
      <c r="Q891" s="3"/>
    </row>
    <row r="892" spans="1:17" ht="21" customHeight="1">
      <c r="A892" s="3" t="s">
        <v>1496</v>
      </c>
      <c r="B892" s="5">
        <v>45544</v>
      </c>
      <c r="C892" s="3" t="s">
        <v>623</v>
      </c>
      <c r="D892" s="3" t="s">
        <v>44</v>
      </c>
      <c r="E892" s="3" t="s">
        <v>39</v>
      </c>
      <c r="F892" s="3" t="s">
        <v>130</v>
      </c>
      <c r="G892" s="3" t="s">
        <v>131</v>
      </c>
      <c r="H892" s="3">
        <v>2</v>
      </c>
      <c r="I892" s="7">
        <v>2131.63</v>
      </c>
      <c r="J892" s="9">
        <v>0</v>
      </c>
      <c r="K892" s="7">
        <v>4263.26</v>
      </c>
      <c r="L892" s="7">
        <v>1884.62</v>
      </c>
      <c r="M892" s="3" t="s">
        <v>56</v>
      </c>
      <c r="N892" s="3"/>
      <c r="O892" s="3"/>
      <c r="P892" s="3"/>
      <c r="Q892" s="3"/>
    </row>
    <row r="893" spans="1:17" ht="21" customHeight="1">
      <c r="A893" s="3" t="s">
        <v>1497</v>
      </c>
      <c r="B893" s="5">
        <v>45544</v>
      </c>
      <c r="C893" s="3" t="s">
        <v>1208</v>
      </c>
      <c r="D893" s="3" t="s">
        <v>47</v>
      </c>
      <c r="E893" s="3" t="s">
        <v>40</v>
      </c>
      <c r="F893" s="3" t="s">
        <v>221</v>
      </c>
      <c r="G893" s="3" t="s">
        <v>279</v>
      </c>
      <c r="H893" s="3">
        <v>1</v>
      </c>
      <c r="I893" s="7">
        <v>1502.78</v>
      </c>
      <c r="J893" s="9">
        <v>0</v>
      </c>
      <c r="K893" s="7">
        <v>1502.78</v>
      </c>
      <c r="L893" s="7">
        <v>441.68</v>
      </c>
      <c r="M893" s="3" t="s">
        <v>58</v>
      </c>
      <c r="N893" s="3"/>
      <c r="O893" s="3"/>
      <c r="P893" s="3"/>
      <c r="Q893" s="3"/>
    </row>
    <row r="894" spans="1:17" ht="21" customHeight="1">
      <c r="A894" s="3" t="s">
        <v>1498</v>
      </c>
      <c r="B894" s="5">
        <v>45545</v>
      </c>
      <c r="C894" s="3" t="s">
        <v>715</v>
      </c>
      <c r="D894" s="3" t="s">
        <v>47</v>
      </c>
      <c r="E894" s="3" t="s">
        <v>39</v>
      </c>
      <c r="F894" s="3" t="s">
        <v>109</v>
      </c>
      <c r="G894" s="3" t="s">
        <v>110</v>
      </c>
      <c r="H894" s="3">
        <v>2</v>
      </c>
      <c r="I894" s="7">
        <v>3050.49</v>
      </c>
      <c r="J894" s="9">
        <v>0.05</v>
      </c>
      <c r="K894" s="7">
        <v>5795.93</v>
      </c>
      <c r="L894" s="7">
        <v>2042.33</v>
      </c>
      <c r="M894" s="3" t="s">
        <v>57</v>
      </c>
      <c r="N894" s="3"/>
      <c r="O894" s="3"/>
      <c r="P894" s="3"/>
      <c r="Q894" s="3"/>
    </row>
    <row r="895" spans="1:17" ht="21" customHeight="1">
      <c r="A895" s="3" t="s">
        <v>1499</v>
      </c>
      <c r="B895" s="5">
        <v>45545</v>
      </c>
      <c r="C895" s="3" t="s">
        <v>357</v>
      </c>
      <c r="D895" s="3" t="s">
        <v>47</v>
      </c>
      <c r="E895" s="3" t="s">
        <v>40</v>
      </c>
      <c r="F895" s="3" t="s">
        <v>160</v>
      </c>
      <c r="G895" s="3" t="s">
        <v>161</v>
      </c>
      <c r="H895" s="3">
        <v>1</v>
      </c>
      <c r="I895" s="7">
        <v>12380.28</v>
      </c>
      <c r="J895" s="9">
        <v>0.05</v>
      </c>
      <c r="K895" s="7">
        <v>11761.27</v>
      </c>
      <c r="L895" s="7">
        <v>3484.6</v>
      </c>
      <c r="M895" s="3" t="s">
        <v>58</v>
      </c>
      <c r="N895" s="3"/>
      <c r="O895" s="3"/>
      <c r="P895" s="3"/>
      <c r="Q895" s="3"/>
    </row>
    <row r="896" spans="1:17" ht="21" customHeight="1">
      <c r="A896" s="3" t="s">
        <v>1500</v>
      </c>
      <c r="B896" s="5">
        <v>45545</v>
      </c>
      <c r="C896" s="3" t="s">
        <v>1501</v>
      </c>
      <c r="D896" s="3" t="s">
        <v>44</v>
      </c>
      <c r="E896" s="3" t="s">
        <v>40</v>
      </c>
      <c r="F896" s="3" t="s">
        <v>221</v>
      </c>
      <c r="G896" s="3" t="s">
        <v>279</v>
      </c>
      <c r="H896" s="3">
        <v>2</v>
      </c>
      <c r="I896" s="7">
        <v>1446.91</v>
      </c>
      <c r="J896" s="9">
        <v>0</v>
      </c>
      <c r="K896" s="7">
        <v>2893.82</v>
      </c>
      <c r="L896" s="7">
        <v>957.56</v>
      </c>
      <c r="M896" s="3" t="s">
        <v>58</v>
      </c>
      <c r="N896" s="3"/>
      <c r="O896" s="3"/>
      <c r="P896" s="3"/>
      <c r="Q896" s="3"/>
    </row>
    <row r="897" spans="1:17" ht="21" customHeight="1">
      <c r="A897" s="3" t="s">
        <v>1502</v>
      </c>
      <c r="B897" s="5">
        <v>45546</v>
      </c>
      <c r="C897" s="3" t="s">
        <v>1261</v>
      </c>
      <c r="D897" s="3" t="s">
        <v>44</v>
      </c>
      <c r="E897" s="3" t="s">
        <v>38</v>
      </c>
      <c r="F897" s="3" t="s">
        <v>142</v>
      </c>
      <c r="G897" s="3" t="s">
        <v>143</v>
      </c>
      <c r="H897" s="3">
        <v>1</v>
      </c>
      <c r="I897" s="7">
        <v>8774.1</v>
      </c>
      <c r="J897" s="9">
        <v>0.2</v>
      </c>
      <c r="K897" s="7">
        <v>7019.28</v>
      </c>
      <c r="L897" s="7">
        <v>-417.46</v>
      </c>
      <c r="M897" s="3" t="s">
        <v>60</v>
      </c>
      <c r="N897" s="3"/>
      <c r="O897" s="3"/>
      <c r="P897" s="3"/>
      <c r="Q897" s="3"/>
    </row>
    <row r="898" spans="1:17" ht="21" customHeight="1">
      <c r="A898" s="3" t="s">
        <v>1503</v>
      </c>
      <c r="B898" s="5">
        <v>45546</v>
      </c>
      <c r="C898" s="3" t="s">
        <v>1264</v>
      </c>
      <c r="D898" s="3" t="s">
        <v>47</v>
      </c>
      <c r="E898" s="3" t="s">
        <v>38</v>
      </c>
      <c r="F898" s="3" t="s">
        <v>142</v>
      </c>
      <c r="G898" s="3" t="s">
        <v>143</v>
      </c>
      <c r="H898" s="3">
        <v>3</v>
      </c>
      <c r="I898" s="7">
        <v>9290.6299999999992</v>
      </c>
      <c r="J898" s="9">
        <v>0</v>
      </c>
      <c r="K898" s="7">
        <v>27871.89</v>
      </c>
      <c r="L898" s="7">
        <v>5139.6099999999997</v>
      </c>
      <c r="M898" s="3" t="s">
        <v>56</v>
      </c>
      <c r="N898" s="3"/>
      <c r="O898" s="3"/>
      <c r="P898" s="3"/>
      <c r="Q898" s="3"/>
    </row>
    <row r="899" spans="1:17" ht="21" customHeight="1">
      <c r="A899" s="3" t="s">
        <v>1504</v>
      </c>
      <c r="B899" s="5">
        <v>45546</v>
      </c>
      <c r="C899" s="3" t="s">
        <v>112</v>
      </c>
      <c r="D899" s="3" t="s">
        <v>46</v>
      </c>
      <c r="E899" s="3" t="s">
        <v>41</v>
      </c>
      <c r="F899" s="3" t="s">
        <v>113</v>
      </c>
      <c r="G899" s="3" t="s">
        <v>114</v>
      </c>
      <c r="H899" s="3">
        <v>1</v>
      </c>
      <c r="I899" s="7">
        <v>12107.88</v>
      </c>
      <c r="J899" s="9">
        <v>0</v>
      </c>
      <c r="K899" s="7">
        <v>12107.88</v>
      </c>
      <c r="L899" s="7">
        <v>4840.04</v>
      </c>
      <c r="M899" s="3" t="s">
        <v>57</v>
      </c>
      <c r="N899" s="3"/>
      <c r="O899" s="3"/>
      <c r="P899" s="3"/>
      <c r="Q899" s="3"/>
    </row>
    <row r="900" spans="1:17" ht="21" customHeight="1">
      <c r="A900" s="3" t="s">
        <v>1505</v>
      </c>
      <c r="B900" s="5">
        <v>45546</v>
      </c>
      <c r="C900" s="3" t="s">
        <v>1165</v>
      </c>
      <c r="D900" s="3" t="s">
        <v>45</v>
      </c>
      <c r="E900" s="3" t="s">
        <v>39</v>
      </c>
      <c r="F900" s="3" t="s">
        <v>109</v>
      </c>
      <c r="G900" s="3" t="s">
        <v>110</v>
      </c>
      <c r="H900" s="3">
        <v>1</v>
      </c>
      <c r="I900" s="7">
        <v>3086.01</v>
      </c>
      <c r="J900" s="9">
        <v>0.15</v>
      </c>
      <c r="K900" s="7">
        <v>2623.11</v>
      </c>
      <c r="L900" s="7">
        <v>633.16999999999996</v>
      </c>
      <c r="M900" s="3" t="s">
        <v>56</v>
      </c>
      <c r="N900" s="3"/>
      <c r="O900" s="3"/>
      <c r="P900" s="3"/>
      <c r="Q900" s="3"/>
    </row>
    <row r="901" spans="1:17" ht="21" customHeight="1">
      <c r="A901" s="3" t="s">
        <v>1506</v>
      </c>
      <c r="B901" s="5">
        <v>45546</v>
      </c>
      <c r="C901" s="3" t="s">
        <v>623</v>
      </c>
      <c r="D901" s="3" t="s">
        <v>44</v>
      </c>
      <c r="E901" s="3" t="s">
        <v>42</v>
      </c>
      <c r="F901" s="3" t="s">
        <v>126</v>
      </c>
      <c r="G901" s="3" t="s">
        <v>127</v>
      </c>
      <c r="H901" s="3">
        <v>1</v>
      </c>
      <c r="I901" s="7">
        <v>955.38</v>
      </c>
      <c r="J901" s="9">
        <v>0.1</v>
      </c>
      <c r="K901" s="7">
        <v>859.84</v>
      </c>
      <c r="L901" s="7">
        <v>360.27</v>
      </c>
      <c r="M901" s="3" t="s">
        <v>58</v>
      </c>
      <c r="N901" s="3"/>
      <c r="O901" s="3"/>
      <c r="P901" s="3"/>
      <c r="Q901" s="3"/>
    </row>
    <row r="902" spans="1:17" ht="21" customHeight="1">
      <c r="A902" s="3" t="s">
        <v>1507</v>
      </c>
      <c r="B902" s="5">
        <v>45546</v>
      </c>
      <c r="C902" s="3" t="s">
        <v>616</v>
      </c>
      <c r="D902" s="3" t="s">
        <v>45</v>
      </c>
      <c r="E902" s="3" t="s">
        <v>38</v>
      </c>
      <c r="F902" s="3" t="s">
        <v>142</v>
      </c>
      <c r="G902" s="3" t="s">
        <v>245</v>
      </c>
      <c r="H902" s="3">
        <v>4</v>
      </c>
      <c r="I902" s="7">
        <v>5107.3900000000003</v>
      </c>
      <c r="J902" s="9">
        <v>0.15</v>
      </c>
      <c r="K902" s="7">
        <v>17365.13</v>
      </c>
      <c r="L902" s="7">
        <v>-121.3</v>
      </c>
      <c r="M902" s="3" t="s">
        <v>57</v>
      </c>
      <c r="N902" s="3"/>
      <c r="O902" s="3"/>
      <c r="P902" s="3"/>
      <c r="Q902" s="3"/>
    </row>
    <row r="903" spans="1:17" ht="21" customHeight="1">
      <c r="A903" s="3" t="s">
        <v>1508</v>
      </c>
      <c r="B903" s="5">
        <v>45547</v>
      </c>
      <c r="C903" s="3" t="s">
        <v>1276</v>
      </c>
      <c r="D903" s="3" t="s">
        <v>44</v>
      </c>
      <c r="E903" s="3" t="s">
        <v>42</v>
      </c>
      <c r="F903" s="3" t="s">
        <v>126</v>
      </c>
      <c r="G903" s="3" t="s">
        <v>151</v>
      </c>
      <c r="H903" s="3">
        <v>1</v>
      </c>
      <c r="I903" s="7">
        <v>1436.31</v>
      </c>
      <c r="J903" s="9">
        <v>0</v>
      </c>
      <c r="K903" s="7">
        <v>1436.31</v>
      </c>
      <c r="L903" s="7">
        <v>798.22</v>
      </c>
      <c r="M903" s="3" t="s">
        <v>58</v>
      </c>
      <c r="N903" s="3"/>
      <c r="O903" s="3"/>
      <c r="P903" s="3"/>
      <c r="Q903" s="3"/>
    </row>
    <row r="904" spans="1:17" ht="21" customHeight="1">
      <c r="A904" s="3" t="s">
        <v>1509</v>
      </c>
      <c r="B904" s="5">
        <v>45547</v>
      </c>
      <c r="C904" s="3" t="s">
        <v>962</v>
      </c>
      <c r="D904" s="3" t="s">
        <v>46</v>
      </c>
      <c r="E904" s="3" t="s">
        <v>39</v>
      </c>
      <c r="F904" s="3" t="s">
        <v>164</v>
      </c>
      <c r="G904" s="3" t="s">
        <v>200</v>
      </c>
      <c r="H904" s="3">
        <v>3</v>
      </c>
      <c r="I904" s="7">
        <v>1352.44</v>
      </c>
      <c r="J904" s="9">
        <v>0.1</v>
      </c>
      <c r="K904" s="7">
        <v>3651.59</v>
      </c>
      <c r="L904" s="7">
        <v>1174.53</v>
      </c>
      <c r="M904" s="3" t="s">
        <v>58</v>
      </c>
      <c r="N904" s="3"/>
      <c r="O904" s="3"/>
      <c r="P904" s="3"/>
      <c r="Q904" s="3"/>
    </row>
    <row r="905" spans="1:17" ht="21" customHeight="1">
      <c r="A905" s="3" t="s">
        <v>1510</v>
      </c>
      <c r="B905" s="5">
        <v>45548</v>
      </c>
      <c r="C905" s="3" t="s">
        <v>541</v>
      </c>
      <c r="D905" s="3" t="s">
        <v>47</v>
      </c>
      <c r="E905" s="3" t="s">
        <v>38</v>
      </c>
      <c r="F905" s="3" t="s">
        <v>142</v>
      </c>
      <c r="G905" s="3" t="s">
        <v>245</v>
      </c>
      <c r="H905" s="3">
        <v>1</v>
      </c>
      <c r="I905" s="7">
        <v>5216.33</v>
      </c>
      <c r="J905" s="9">
        <v>0</v>
      </c>
      <c r="K905" s="7">
        <v>5216.33</v>
      </c>
      <c r="L905" s="7">
        <v>824.38</v>
      </c>
      <c r="M905" s="3" t="s">
        <v>57</v>
      </c>
      <c r="N905" s="3"/>
      <c r="O905" s="3"/>
      <c r="P905" s="3"/>
      <c r="Q905" s="3"/>
    </row>
    <row r="906" spans="1:17" ht="21" customHeight="1">
      <c r="A906" s="3" t="s">
        <v>1511</v>
      </c>
      <c r="B906" s="5">
        <v>45548</v>
      </c>
      <c r="C906" s="3" t="s">
        <v>1140</v>
      </c>
      <c r="D906" s="3" t="s">
        <v>45</v>
      </c>
      <c r="E906" s="3" t="s">
        <v>42</v>
      </c>
      <c r="F906" s="3" t="s">
        <v>90</v>
      </c>
      <c r="G906" s="3" t="s">
        <v>91</v>
      </c>
      <c r="H906" s="3">
        <v>1</v>
      </c>
      <c r="I906" s="7">
        <v>1206.03</v>
      </c>
      <c r="J906" s="9">
        <v>0.05</v>
      </c>
      <c r="K906" s="7">
        <v>1145.73</v>
      </c>
      <c r="L906" s="7">
        <v>564.55999999999995</v>
      </c>
      <c r="M906" s="3" t="s">
        <v>56</v>
      </c>
      <c r="N906" s="3"/>
      <c r="O906" s="3"/>
      <c r="P906" s="3"/>
      <c r="Q906" s="3"/>
    </row>
    <row r="907" spans="1:17" ht="21" customHeight="1">
      <c r="A907" s="3" t="s">
        <v>1512</v>
      </c>
      <c r="B907" s="5">
        <v>45548</v>
      </c>
      <c r="C907" s="3" t="s">
        <v>1129</v>
      </c>
      <c r="D907" s="3" t="s">
        <v>45</v>
      </c>
      <c r="E907" s="3" t="s">
        <v>39</v>
      </c>
      <c r="F907" s="3" t="s">
        <v>130</v>
      </c>
      <c r="G907" s="3" t="s">
        <v>131</v>
      </c>
      <c r="H907" s="3">
        <v>1</v>
      </c>
      <c r="I907" s="7">
        <v>2227.73</v>
      </c>
      <c r="J907" s="9">
        <v>0.2</v>
      </c>
      <c r="K907" s="7">
        <v>1782.18</v>
      </c>
      <c r="L907" s="7">
        <v>343.46</v>
      </c>
      <c r="M907" s="3" t="s">
        <v>57</v>
      </c>
      <c r="N907" s="3"/>
      <c r="O907" s="3"/>
      <c r="P907" s="3"/>
      <c r="Q907" s="3"/>
    </row>
    <row r="908" spans="1:17" ht="21" customHeight="1">
      <c r="A908" s="3" t="s">
        <v>1513</v>
      </c>
      <c r="B908" s="5">
        <v>45548</v>
      </c>
      <c r="C908" s="3" t="s">
        <v>1160</v>
      </c>
      <c r="D908" s="3" t="s">
        <v>45</v>
      </c>
      <c r="E908" s="3" t="s">
        <v>38</v>
      </c>
      <c r="F908" s="3" t="s">
        <v>98</v>
      </c>
      <c r="G908" s="3" t="s">
        <v>362</v>
      </c>
      <c r="H908" s="3">
        <v>1</v>
      </c>
      <c r="I908" s="7">
        <v>32265.54</v>
      </c>
      <c r="J908" s="9">
        <v>0.15</v>
      </c>
      <c r="K908" s="7">
        <v>27425.71</v>
      </c>
      <c r="L908" s="7">
        <v>10.68</v>
      </c>
      <c r="M908" s="3" t="s">
        <v>56</v>
      </c>
      <c r="N908" s="3"/>
      <c r="O908" s="3"/>
      <c r="P908" s="3"/>
      <c r="Q908" s="3"/>
    </row>
    <row r="909" spans="1:17" ht="21" customHeight="1">
      <c r="A909" s="3" t="s">
        <v>1514</v>
      </c>
      <c r="B909" s="5">
        <v>45548</v>
      </c>
      <c r="C909" s="3" t="s">
        <v>1140</v>
      </c>
      <c r="D909" s="3" t="s">
        <v>44</v>
      </c>
      <c r="E909" s="3" t="s">
        <v>39</v>
      </c>
      <c r="F909" s="3" t="s">
        <v>164</v>
      </c>
      <c r="G909" s="3" t="s">
        <v>200</v>
      </c>
      <c r="H909" s="3">
        <v>5</v>
      </c>
      <c r="I909" s="7">
        <v>1260.97</v>
      </c>
      <c r="J909" s="9">
        <v>0.15</v>
      </c>
      <c r="K909" s="7">
        <v>5359.12</v>
      </c>
      <c r="L909" s="7">
        <v>1507.77</v>
      </c>
      <c r="M909" s="3" t="s">
        <v>56</v>
      </c>
      <c r="N909" s="3"/>
      <c r="O909" s="3"/>
      <c r="P909" s="3"/>
      <c r="Q909" s="3"/>
    </row>
    <row r="910" spans="1:17" ht="21" customHeight="1">
      <c r="A910" s="3" t="s">
        <v>1515</v>
      </c>
      <c r="B910" s="5">
        <v>45549</v>
      </c>
      <c r="C910" s="3" t="s">
        <v>283</v>
      </c>
      <c r="D910" s="3" t="s">
        <v>44</v>
      </c>
      <c r="E910" s="3" t="s">
        <v>42</v>
      </c>
      <c r="F910" s="3" t="s">
        <v>126</v>
      </c>
      <c r="G910" s="3" t="s">
        <v>127</v>
      </c>
      <c r="H910" s="3">
        <v>1</v>
      </c>
      <c r="I910" s="7">
        <v>1009.14</v>
      </c>
      <c r="J910" s="9">
        <v>0</v>
      </c>
      <c r="K910" s="7">
        <v>1009.14</v>
      </c>
      <c r="L910" s="7">
        <v>541.38</v>
      </c>
      <c r="M910" s="3" t="s">
        <v>60</v>
      </c>
      <c r="N910" s="3"/>
      <c r="O910" s="3"/>
      <c r="P910" s="3"/>
      <c r="Q910" s="3"/>
    </row>
    <row r="911" spans="1:17" ht="21" customHeight="1">
      <c r="A911" s="3" t="s">
        <v>1516</v>
      </c>
      <c r="B911" s="5">
        <v>45549</v>
      </c>
      <c r="C911" s="3" t="s">
        <v>475</v>
      </c>
      <c r="D911" s="3" t="s">
        <v>46</v>
      </c>
      <c r="E911" s="3" t="s">
        <v>41</v>
      </c>
      <c r="F911" s="3" t="s">
        <v>113</v>
      </c>
      <c r="G911" s="3" t="s">
        <v>114</v>
      </c>
      <c r="H911" s="3">
        <v>5</v>
      </c>
      <c r="I911" s="7">
        <v>11823.74</v>
      </c>
      <c r="J911" s="9">
        <v>0.25</v>
      </c>
      <c r="K911" s="7">
        <v>44339.02</v>
      </c>
      <c r="L911" s="7">
        <v>4475.6400000000003</v>
      </c>
      <c r="M911" s="3" t="s">
        <v>58</v>
      </c>
      <c r="N911" s="3"/>
      <c r="O911" s="3"/>
      <c r="P911" s="3"/>
      <c r="Q911" s="3"/>
    </row>
    <row r="912" spans="1:17" ht="21" customHeight="1">
      <c r="A912" s="3" t="s">
        <v>1517</v>
      </c>
      <c r="B912" s="5">
        <v>45549</v>
      </c>
      <c r="C912" s="3" t="s">
        <v>112</v>
      </c>
      <c r="D912" s="3" t="s">
        <v>45</v>
      </c>
      <c r="E912" s="3" t="s">
        <v>38</v>
      </c>
      <c r="F912" s="3" t="s">
        <v>98</v>
      </c>
      <c r="G912" s="3" t="s">
        <v>362</v>
      </c>
      <c r="H912" s="3">
        <v>2</v>
      </c>
      <c r="I912" s="7">
        <v>33732.400000000001</v>
      </c>
      <c r="J912" s="9">
        <v>0</v>
      </c>
      <c r="K912" s="7">
        <v>67464.800000000003</v>
      </c>
      <c r="L912" s="7">
        <v>14005.91</v>
      </c>
      <c r="M912" s="3" t="s">
        <v>56</v>
      </c>
      <c r="N912" s="3"/>
      <c r="O912" s="3"/>
      <c r="P912" s="3"/>
      <c r="Q912" s="3"/>
    </row>
    <row r="913" spans="1:17" ht="21" customHeight="1">
      <c r="A913" s="3" t="s">
        <v>1518</v>
      </c>
      <c r="B913" s="5">
        <v>45549</v>
      </c>
      <c r="C913" s="3" t="s">
        <v>218</v>
      </c>
      <c r="D913" s="3" t="s">
        <v>47</v>
      </c>
      <c r="E913" s="3" t="s">
        <v>41</v>
      </c>
      <c r="F913" s="3" t="s">
        <v>113</v>
      </c>
      <c r="G913" s="3" t="s">
        <v>114</v>
      </c>
      <c r="H913" s="3">
        <v>1</v>
      </c>
      <c r="I913" s="7">
        <v>12533.88</v>
      </c>
      <c r="J913" s="9">
        <v>0.2</v>
      </c>
      <c r="K913" s="7">
        <v>10027.1</v>
      </c>
      <c r="L913" s="7">
        <v>1304.55</v>
      </c>
      <c r="M913" s="3" t="s">
        <v>56</v>
      </c>
      <c r="N913" s="3"/>
      <c r="O913" s="3"/>
      <c r="P913" s="3"/>
      <c r="Q913" s="3"/>
    </row>
    <row r="914" spans="1:17" ht="21" customHeight="1">
      <c r="A914" s="3" t="s">
        <v>1519</v>
      </c>
      <c r="B914" s="5">
        <v>45549</v>
      </c>
      <c r="C914" s="3" t="s">
        <v>613</v>
      </c>
      <c r="D914" s="3" t="s">
        <v>44</v>
      </c>
      <c r="E914" s="3" t="s">
        <v>40</v>
      </c>
      <c r="F914" s="3" t="s">
        <v>102</v>
      </c>
      <c r="G914" s="3" t="s">
        <v>146</v>
      </c>
      <c r="H914" s="3">
        <v>1</v>
      </c>
      <c r="I914" s="7">
        <v>7740.53</v>
      </c>
      <c r="J914" s="9">
        <v>0</v>
      </c>
      <c r="K914" s="7">
        <v>7740.53</v>
      </c>
      <c r="L914" s="7">
        <v>2683.88</v>
      </c>
      <c r="M914" s="3" t="s">
        <v>56</v>
      </c>
      <c r="N914" s="3"/>
      <c r="O914" s="3"/>
      <c r="P914" s="3"/>
      <c r="Q914" s="3"/>
    </row>
    <row r="915" spans="1:17" ht="21" customHeight="1">
      <c r="A915" s="3" t="s">
        <v>1520</v>
      </c>
      <c r="B915" s="5">
        <v>45549</v>
      </c>
      <c r="C915" s="3" t="s">
        <v>992</v>
      </c>
      <c r="D915" s="3" t="s">
        <v>46</v>
      </c>
      <c r="E915" s="3" t="s">
        <v>41</v>
      </c>
      <c r="F915" s="3" t="s">
        <v>113</v>
      </c>
      <c r="G915" s="3" t="s">
        <v>123</v>
      </c>
      <c r="H915" s="3">
        <v>3</v>
      </c>
      <c r="I915" s="7">
        <v>3533.38</v>
      </c>
      <c r="J915" s="9">
        <v>0.25</v>
      </c>
      <c r="K915" s="7">
        <v>7950.1</v>
      </c>
      <c r="L915" s="7">
        <v>641.59</v>
      </c>
      <c r="M915" s="3" t="s">
        <v>57</v>
      </c>
      <c r="N915" s="3"/>
      <c r="O915" s="3"/>
      <c r="P915" s="3"/>
      <c r="Q915" s="3"/>
    </row>
    <row r="916" spans="1:17" ht="21" customHeight="1">
      <c r="A916" s="3" t="s">
        <v>1521</v>
      </c>
      <c r="B916" s="5">
        <v>45549</v>
      </c>
      <c r="C916" s="3" t="s">
        <v>1522</v>
      </c>
      <c r="D916" s="3" t="s">
        <v>45</v>
      </c>
      <c r="E916" s="3" t="s">
        <v>41</v>
      </c>
      <c r="F916" s="3" t="s">
        <v>119</v>
      </c>
      <c r="G916" s="3" t="s">
        <v>168</v>
      </c>
      <c r="H916" s="3">
        <v>3</v>
      </c>
      <c r="I916" s="7">
        <v>9817.52</v>
      </c>
      <c r="J916" s="9">
        <v>0</v>
      </c>
      <c r="K916" s="7">
        <v>29452.560000000001</v>
      </c>
      <c r="L916" s="7">
        <v>11587.3</v>
      </c>
      <c r="M916" s="3" t="s">
        <v>59</v>
      </c>
      <c r="N916" s="3"/>
      <c r="O916" s="3"/>
      <c r="P916" s="3"/>
      <c r="Q916" s="3"/>
    </row>
    <row r="917" spans="1:17" ht="21" customHeight="1">
      <c r="A917" s="3" t="s">
        <v>1523</v>
      </c>
      <c r="B917" s="5">
        <v>45550</v>
      </c>
      <c r="C917" s="3" t="s">
        <v>896</v>
      </c>
      <c r="D917" s="3" t="s">
        <v>46</v>
      </c>
      <c r="E917" s="3" t="s">
        <v>42</v>
      </c>
      <c r="F917" s="3" t="s">
        <v>90</v>
      </c>
      <c r="G917" s="3" t="s">
        <v>106</v>
      </c>
      <c r="H917" s="3">
        <v>1</v>
      </c>
      <c r="I917" s="7">
        <v>888</v>
      </c>
      <c r="J917" s="9">
        <v>0.1</v>
      </c>
      <c r="K917" s="7">
        <v>799.2</v>
      </c>
      <c r="L917" s="7">
        <v>378.91</v>
      </c>
      <c r="M917" s="3" t="s">
        <v>56</v>
      </c>
      <c r="N917" s="3"/>
      <c r="O917" s="3"/>
      <c r="P917" s="3"/>
      <c r="Q917" s="3"/>
    </row>
    <row r="918" spans="1:17" ht="21" customHeight="1">
      <c r="A918" s="3" t="s">
        <v>1524</v>
      </c>
      <c r="B918" s="5">
        <v>45550</v>
      </c>
      <c r="C918" s="3" t="s">
        <v>573</v>
      </c>
      <c r="D918" s="3" t="s">
        <v>47</v>
      </c>
      <c r="E918" s="3" t="s">
        <v>39</v>
      </c>
      <c r="F918" s="3" t="s">
        <v>130</v>
      </c>
      <c r="G918" s="3" t="s">
        <v>193</v>
      </c>
      <c r="H918" s="3">
        <v>1</v>
      </c>
      <c r="I918" s="7">
        <v>1859.82</v>
      </c>
      <c r="J918" s="9">
        <v>0.05</v>
      </c>
      <c r="K918" s="7">
        <v>1766.83</v>
      </c>
      <c r="L918" s="7">
        <v>643.78</v>
      </c>
      <c r="M918" s="3" t="s">
        <v>58</v>
      </c>
      <c r="N918" s="3"/>
      <c r="O918" s="3"/>
      <c r="P918" s="3"/>
      <c r="Q918" s="3"/>
    </row>
    <row r="919" spans="1:17" ht="21" customHeight="1">
      <c r="A919" s="3" t="s">
        <v>1525</v>
      </c>
      <c r="B919" s="5">
        <v>45550</v>
      </c>
      <c r="C919" s="3" t="s">
        <v>487</v>
      </c>
      <c r="D919" s="3" t="s">
        <v>45</v>
      </c>
      <c r="E919" s="3" t="s">
        <v>41</v>
      </c>
      <c r="F919" s="3" t="s">
        <v>119</v>
      </c>
      <c r="G919" s="3" t="s">
        <v>168</v>
      </c>
      <c r="H919" s="3">
        <v>1</v>
      </c>
      <c r="I919" s="7">
        <v>10400.69</v>
      </c>
      <c r="J919" s="9">
        <v>0.1</v>
      </c>
      <c r="K919" s="7">
        <v>9360.6200000000008</v>
      </c>
      <c r="L919" s="7">
        <v>2119.6799999999998</v>
      </c>
      <c r="M919" s="3" t="s">
        <v>56</v>
      </c>
      <c r="N919" s="3"/>
      <c r="O919" s="3"/>
      <c r="P919" s="3"/>
      <c r="Q919" s="3"/>
    </row>
    <row r="920" spans="1:17" ht="21" customHeight="1">
      <c r="A920" s="3" t="s">
        <v>1526</v>
      </c>
      <c r="B920" s="5">
        <v>45551</v>
      </c>
      <c r="C920" s="3" t="s">
        <v>645</v>
      </c>
      <c r="D920" s="3" t="s">
        <v>44</v>
      </c>
      <c r="E920" s="3" t="s">
        <v>40</v>
      </c>
      <c r="F920" s="3" t="s">
        <v>102</v>
      </c>
      <c r="G920" s="3" t="s">
        <v>146</v>
      </c>
      <c r="H920" s="3">
        <v>2</v>
      </c>
      <c r="I920" s="7">
        <v>7818.98</v>
      </c>
      <c r="J920" s="9">
        <v>0</v>
      </c>
      <c r="K920" s="7">
        <v>15637.96</v>
      </c>
      <c r="L920" s="7">
        <v>5133.92</v>
      </c>
      <c r="M920" s="3" t="s">
        <v>57</v>
      </c>
      <c r="N920" s="3"/>
      <c r="O920" s="3"/>
      <c r="P920" s="3"/>
      <c r="Q920" s="3"/>
    </row>
    <row r="921" spans="1:17" ht="21" customHeight="1">
      <c r="A921" s="3" t="s">
        <v>1527</v>
      </c>
      <c r="B921" s="5">
        <v>45551</v>
      </c>
      <c r="C921" s="3" t="s">
        <v>1205</v>
      </c>
      <c r="D921" s="3" t="s">
        <v>46</v>
      </c>
      <c r="E921" s="3" t="s">
        <v>41</v>
      </c>
      <c r="F921" s="3" t="s">
        <v>113</v>
      </c>
      <c r="G921" s="3" t="s">
        <v>114</v>
      </c>
      <c r="H921" s="3">
        <v>1</v>
      </c>
      <c r="I921" s="7">
        <v>11746.83</v>
      </c>
      <c r="J921" s="9">
        <v>0.15</v>
      </c>
      <c r="K921" s="7">
        <v>9984.81</v>
      </c>
      <c r="L921" s="7">
        <v>2424.83</v>
      </c>
      <c r="M921" s="3" t="s">
        <v>56</v>
      </c>
      <c r="N921" s="3"/>
      <c r="O921" s="3"/>
      <c r="P921" s="3"/>
      <c r="Q921" s="3"/>
    </row>
    <row r="922" spans="1:17" ht="21" customHeight="1">
      <c r="A922" s="3" t="s">
        <v>1528</v>
      </c>
      <c r="B922" s="5">
        <v>45551</v>
      </c>
      <c r="C922" s="3" t="s">
        <v>1350</v>
      </c>
      <c r="D922" s="3" t="s">
        <v>45</v>
      </c>
      <c r="E922" s="3" t="s">
        <v>42</v>
      </c>
      <c r="F922" s="3" t="s">
        <v>90</v>
      </c>
      <c r="G922" s="3" t="s">
        <v>91</v>
      </c>
      <c r="H922" s="3">
        <v>5</v>
      </c>
      <c r="I922" s="7">
        <v>1208.45</v>
      </c>
      <c r="J922" s="9">
        <v>0.05</v>
      </c>
      <c r="K922" s="7">
        <v>5740.14</v>
      </c>
      <c r="L922" s="7">
        <v>2658.42</v>
      </c>
      <c r="M922" s="3" t="s">
        <v>56</v>
      </c>
      <c r="N922" s="3"/>
      <c r="O922" s="3"/>
      <c r="P922" s="3"/>
      <c r="Q922" s="3"/>
    </row>
    <row r="923" spans="1:17" ht="21" customHeight="1">
      <c r="A923" s="3" t="s">
        <v>1529</v>
      </c>
      <c r="B923" s="5">
        <v>45551</v>
      </c>
      <c r="C923" s="3" t="s">
        <v>896</v>
      </c>
      <c r="D923" s="3" t="s">
        <v>44</v>
      </c>
      <c r="E923" s="3" t="s">
        <v>39</v>
      </c>
      <c r="F923" s="3" t="s">
        <v>109</v>
      </c>
      <c r="G923" s="3" t="s">
        <v>355</v>
      </c>
      <c r="H923" s="3">
        <v>1</v>
      </c>
      <c r="I923" s="7">
        <v>3354.07</v>
      </c>
      <c r="J923" s="9">
        <v>0.15</v>
      </c>
      <c r="K923" s="7">
        <v>2850.96</v>
      </c>
      <c r="L923" s="7">
        <v>638.75</v>
      </c>
      <c r="M923" s="3" t="s">
        <v>56</v>
      </c>
      <c r="N923" s="3"/>
      <c r="O923" s="3"/>
      <c r="P923" s="3"/>
      <c r="Q923" s="3"/>
    </row>
    <row r="924" spans="1:17" ht="21" customHeight="1">
      <c r="A924" s="3" t="s">
        <v>1530</v>
      </c>
      <c r="B924" s="5">
        <v>45552</v>
      </c>
      <c r="C924" s="3" t="s">
        <v>412</v>
      </c>
      <c r="D924" s="3" t="s">
        <v>45</v>
      </c>
      <c r="E924" s="3" t="s">
        <v>39</v>
      </c>
      <c r="F924" s="3" t="s">
        <v>109</v>
      </c>
      <c r="G924" s="3" t="s">
        <v>355</v>
      </c>
      <c r="H924" s="3">
        <v>1</v>
      </c>
      <c r="I924" s="7">
        <v>3574.94</v>
      </c>
      <c r="J924" s="9">
        <v>0.05</v>
      </c>
      <c r="K924" s="7">
        <v>3396.19</v>
      </c>
      <c r="L924" s="7">
        <v>1348.62</v>
      </c>
      <c r="M924" s="3" t="s">
        <v>56</v>
      </c>
      <c r="N924" s="3"/>
      <c r="O924" s="3"/>
      <c r="P924" s="3"/>
      <c r="Q924" s="3"/>
    </row>
    <row r="925" spans="1:17" ht="21" customHeight="1">
      <c r="A925" s="3" t="s">
        <v>1531</v>
      </c>
      <c r="B925" s="5">
        <v>45553</v>
      </c>
      <c r="C925" s="3" t="s">
        <v>899</v>
      </c>
      <c r="D925" s="3" t="s">
        <v>47</v>
      </c>
      <c r="E925" s="3" t="s">
        <v>42</v>
      </c>
      <c r="F925" s="3" t="s">
        <v>126</v>
      </c>
      <c r="G925" s="3" t="s">
        <v>127</v>
      </c>
      <c r="H925" s="3">
        <v>1</v>
      </c>
      <c r="I925" s="7">
        <v>954.52</v>
      </c>
      <c r="J925" s="9">
        <v>0.4</v>
      </c>
      <c r="K925" s="7">
        <v>572.71</v>
      </c>
      <c r="L925" s="7">
        <v>38</v>
      </c>
      <c r="M925" s="3" t="s">
        <v>58</v>
      </c>
      <c r="N925" s="3"/>
      <c r="O925" s="3"/>
      <c r="P925" s="3"/>
      <c r="Q925" s="3"/>
    </row>
    <row r="926" spans="1:17" ht="21" customHeight="1">
      <c r="A926" s="3" t="s">
        <v>1532</v>
      </c>
      <c r="B926" s="5">
        <v>45553</v>
      </c>
      <c r="C926" s="3" t="s">
        <v>937</v>
      </c>
      <c r="D926" s="3" t="s">
        <v>47</v>
      </c>
      <c r="E926" s="3" t="s">
        <v>42</v>
      </c>
      <c r="F926" s="3" t="s">
        <v>126</v>
      </c>
      <c r="G926" s="3" t="s">
        <v>127</v>
      </c>
      <c r="H926" s="3">
        <v>1</v>
      </c>
      <c r="I926" s="7">
        <v>965.93</v>
      </c>
      <c r="J926" s="9">
        <v>0</v>
      </c>
      <c r="K926" s="7">
        <v>965.93</v>
      </c>
      <c r="L926" s="7">
        <v>503.03</v>
      </c>
      <c r="M926" s="3" t="s">
        <v>56</v>
      </c>
      <c r="N926" s="3"/>
      <c r="O926" s="3"/>
      <c r="P926" s="3"/>
      <c r="Q926" s="3"/>
    </row>
    <row r="927" spans="1:17" ht="21" customHeight="1">
      <c r="A927" s="3" t="s">
        <v>1533</v>
      </c>
      <c r="B927" s="5">
        <v>45553</v>
      </c>
      <c r="C927" s="3" t="s">
        <v>663</v>
      </c>
      <c r="D927" s="3" t="s">
        <v>45</v>
      </c>
      <c r="E927" s="3" t="s">
        <v>38</v>
      </c>
      <c r="F927" s="3" t="s">
        <v>94</v>
      </c>
      <c r="G927" s="3" t="s">
        <v>95</v>
      </c>
      <c r="H927" s="3">
        <v>1</v>
      </c>
      <c r="I927" s="7">
        <v>79419.64</v>
      </c>
      <c r="J927" s="9">
        <v>0.1</v>
      </c>
      <c r="K927" s="7">
        <v>71477.679999999993</v>
      </c>
      <c r="L927" s="7">
        <v>5190.93</v>
      </c>
      <c r="M927" s="3" t="s">
        <v>57</v>
      </c>
      <c r="N927" s="3"/>
      <c r="O927" s="3"/>
      <c r="P927" s="3"/>
      <c r="Q927" s="3"/>
    </row>
    <row r="928" spans="1:17" ht="21" customHeight="1">
      <c r="A928" s="3" t="s">
        <v>1534</v>
      </c>
      <c r="B928" s="5">
        <v>45554</v>
      </c>
      <c r="C928" s="3" t="s">
        <v>1424</v>
      </c>
      <c r="D928" s="3" t="s">
        <v>44</v>
      </c>
      <c r="E928" s="3" t="s">
        <v>39</v>
      </c>
      <c r="F928" s="3" t="s">
        <v>109</v>
      </c>
      <c r="G928" s="3" t="s">
        <v>355</v>
      </c>
      <c r="H928" s="3">
        <v>4</v>
      </c>
      <c r="I928" s="7">
        <v>3563.48</v>
      </c>
      <c r="J928" s="9">
        <v>0.05</v>
      </c>
      <c r="K928" s="7">
        <v>13541.22</v>
      </c>
      <c r="L928" s="7">
        <v>4863.37</v>
      </c>
      <c r="M928" s="3" t="s">
        <v>56</v>
      </c>
      <c r="N928" s="3"/>
      <c r="O928" s="3"/>
      <c r="P928" s="3"/>
      <c r="Q928" s="3"/>
    </row>
    <row r="929" spans="1:17" ht="21" customHeight="1">
      <c r="A929" s="3" t="s">
        <v>1535</v>
      </c>
      <c r="B929" s="5">
        <v>45554</v>
      </c>
      <c r="C929" s="3" t="s">
        <v>932</v>
      </c>
      <c r="D929" s="3" t="s">
        <v>46</v>
      </c>
      <c r="E929" s="3" t="s">
        <v>38</v>
      </c>
      <c r="F929" s="3" t="s">
        <v>94</v>
      </c>
      <c r="G929" s="3" t="s">
        <v>95</v>
      </c>
      <c r="H929" s="3">
        <v>1</v>
      </c>
      <c r="I929" s="7">
        <v>82639.91</v>
      </c>
      <c r="J929" s="9">
        <v>0</v>
      </c>
      <c r="K929" s="7">
        <v>82639.91</v>
      </c>
      <c r="L929" s="7">
        <v>16456.32</v>
      </c>
      <c r="M929" s="3" t="s">
        <v>59</v>
      </c>
      <c r="N929" s="3"/>
      <c r="O929" s="3"/>
      <c r="P929" s="3"/>
      <c r="Q929" s="3"/>
    </row>
    <row r="930" spans="1:17" ht="21" customHeight="1">
      <c r="A930" s="3" t="s">
        <v>1536</v>
      </c>
      <c r="B930" s="5">
        <v>45555</v>
      </c>
      <c r="C930" s="3" t="s">
        <v>232</v>
      </c>
      <c r="D930" s="3" t="s">
        <v>44</v>
      </c>
      <c r="E930" s="3" t="s">
        <v>42</v>
      </c>
      <c r="F930" s="3" t="s">
        <v>126</v>
      </c>
      <c r="G930" s="3" t="s">
        <v>127</v>
      </c>
      <c r="H930" s="3">
        <v>3</v>
      </c>
      <c r="I930" s="7">
        <v>968.31</v>
      </c>
      <c r="J930" s="9">
        <v>0.05</v>
      </c>
      <c r="K930" s="7">
        <v>2759.68</v>
      </c>
      <c r="L930" s="7">
        <v>1273.6199999999999</v>
      </c>
      <c r="M930" s="3" t="s">
        <v>57</v>
      </c>
      <c r="N930" s="3"/>
      <c r="O930" s="3"/>
      <c r="P930" s="3"/>
      <c r="Q930" s="3"/>
    </row>
    <row r="931" spans="1:17" ht="21" customHeight="1">
      <c r="A931" s="3" t="s">
        <v>1537</v>
      </c>
      <c r="B931" s="5">
        <v>45556</v>
      </c>
      <c r="C931" s="3" t="s">
        <v>224</v>
      </c>
      <c r="D931" s="3" t="s">
        <v>45</v>
      </c>
      <c r="E931" s="3" t="s">
        <v>39</v>
      </c>
      <c r="F931" s="3" t="s">
        <v>164</v>
      </c>
      <c r="G931" s="3" t="s">
        <v>165</v>
      </c>
      <c r="H931" s="3">
        <v>3</v>
      </c>
      <c r="I931" s="7">
        <v>1983.68</v>
      </c>
      <c r="J931" s="9">
        <v>0</v>
      </c>
      <c r="K931" s="7">
        <v>5951.04</v>
      </c>
      <c r="L931" s="7">
        <v>2731.9</v>
      </c>
      <c r="M931" s="3" t="s">
        <v>60</v>
      </c>
      <c r="N931" s="3"/>
      <c r="O931" s="3"/>
      <c r="P931" s="3"/>
      <c r="Q931" s="3"/>
    </row>
    <row r="932" spans="1:17" ht="21" customHeight="1">
      <c r="A932" s="3" t="s">
        <v>1538</v>
      </c>
      <c r="B932" s="5">
        <v>45556</v>
      </c>
      <c r="C932" s="3" t="s">
        <v>620</v>
      </c>
      <c r="D932" s="3" t="s">
        <v>44</v>
      </c>
      <c r="E932" s="3" t="s">
        <v>42</v>
      </c>
      <c r="F932" s="3" t="s">
        <v>126</v>
      </c>
      <c r="G932" s="3" t="s">
        <v>127</v>
      </c>
      <c r="H932" s="3">
        <v>1</v>
      </c>
      <c r="I932" s="7">
        <v>1001.13</v>
      </c>
      <c r="J932" s="9">
        <v>0.1</v>
      </c>
      <c r="K932" s="7">
        <v>901.02</v>
      </c>
      <c r="L932" s="7">
        <v>410.47</v>
      </c>
      <c r="M932" s="3" t="s">
        <v>56</v>
      </c>
      <c r="N932" s="3"/>
      <c r="O932" s="3"/>
      <c r="P932" s="3"/>
      <c r="Q932" s="3"/>
    </row>
    <row r="933" spans="1:17" ht="21" customHeight="1">
      <c r="A933" s="3" t="s">
        <v>1539</v>
      </c>
      <c r="B933" s="5">
        <v>45556</v>
      </c>
      <c r="C933" s="3" t="s">
        <v>1082</v>
      </c>
      <c r="D933" s="3" t="s">
        <v>44</v>
      </c>
      <c r="E933" s="3" t="s">
        <v>38</v>
      </c>
      <c r="F933" s="3" t="s">
        <v>142</v>
      </c>
      <c r="G933" s="3" t="s">
        <v>143</v>
      </c>
      <c r="H933" s="3">
        <v>1</v>
      </c>
      <c r="I933" s="7">
        <v>9400.8799999999992</v>
      </c>
      <c r="J933" s="9">
        <v>0.1</v>
      </c>
      <c r="K933" s="7">
        <v>8460.7900000000009</v>
      </c>
      <c r="L933" s="7">
        <v>225.52</v>
      </c>
      <c r="M933" s="3" t="s">
        <v>58</v>
      </c>
      <c r="N933" s="3"/>
      <c r="O933" s="3"/>
      <c r="P933" s="3"/>
      <c r="Q933" s="3"/>
    </row>
    <row r="934" spans="1:17" ht="21" customHeight="1">
      <c r="A934" s="3" t="s">
        <v>1540</v>
      </c>
      <c r="B934" s="5">
        <v>45556</v>
      </c>
      <c r="C934" s="3" t="s">
        <v>739</v>
      </c>
      <c r="D934" s="3" t="s">
        <v>44</v>
      </c>
      <c r="E934" s="3" t="s">
        <v>39</v>
      </c>
      <c r="F934" s="3" t="s">
        <v>164</v>
      </c>
      <c r="G934" s="3" t="s">
        <v>165</v>
      </c>
      <c r="H934" s="3">
        <v>1</v>
      </c>
      <c r="I934" s="7">
        <v>2038.32</v>
      </c>
      <c r="J934" s="9">
        <v>0.05</v>
      </c>
      <c r="K934" s="7">
        <v>1936.4</v>
      </c>
      <c r="L934" s="7">
        <v>659.8</v>
      </c>
      <c r="M934" s="3" t="s">
        <v>57</v>
      </c>
      <c r="N934" s="3"/>
      <c r="O934" s="3"/>
      <c r="P934" s="3"/>
      <c r="Q934" s="3"/>
    </row>
    <row r="935" spans="1:17" ht="21" customHeight="1">
      <c r="A935" s="3" t="s">
        <v>1541</v>
      </c>
      <c r="B935" s="5">
        <v>45556</v>
      </c>
      <c r="C935" s="3" t="s">
        <v>773</v>
      </c>
      <c r="D935" s="3" t="s">
        <v>44</v>
      </c>
      <c r="E935" s="3" t="s">
        <v>38</v>
      </c>
      <c r="F935" s="3" t="s">
        <v>94</v>
      </c>
      <c r="G935" s="3" t="s">
        <v>213</v>
      </c>
      <c r="H935" s="3">
        <v>1</v>
      </c>
      <c r="I935" s="7">
        <v>55488.98</v>
      </c>
      <c r="J935" s="9">
        <v>0.25</v>
      </c>
      <c r="K935" s="7">
        <v>41616.74</v>
      </c>
      <c r="L935" s="7">
        <v>-3631.54</v>
      </c>
      <c r="M935" s="3" t="s">
        <v>58</v>
      </c>
      <c r="N935" s="3"/>
      <c r="O935" s="3"/>
      <c r="P935" s="3"/>
      <c r="Q935" s="3"/>
    </row>
    <row r="936" spans="1:17" ht="21" customHeight="1">
      <c r="A936" s="3" t="s">
        <v>1542</v>
      </c>
      <c r="B936" s="5">
        <v>45556</v>
      </c>
      <c r="C936" s="3" t="s">
        <v>108</v>
      </c>
      <c r="D936" s="3" t="s">
        <v>45</v>
      </c>
      <c r="E936" s="3" t="s">
        <v>39</v>
      </c>
      <c r="F936" s="3" t="s">
        <v>164</v>
      </c>
      <c r="G936" s="3" t="s">
        <v>200</v>
      </c>
      <c r="H936" s="3">
        <v>4</v>
      </c>
      <c r="I936" s="7">
        <v>1235.55</v>
      </c>
      <c r="J936" s="9">
        <v>0.15</v>
      </c>
      <c r="K936" s="7">
        <v>4200.87</v>
      </c>
      <c r="L936" s="7">
        <v>1118.8399999999999</v>
      </c>
      <c r="M936" s="3" t="s">
        <v>56</v>
      </c>
      <c r="N936" s="3"/>
      <c r="O936" s="3"/>
      <c r="P936" s="3"/>
      <c r="Q936" s="3"/>
    </row>
    <row r="937" spans="1:17" ht="21" customHeight="1">
      <c r="A937" s="3" t="s">
        <v>1543</v>
      </c>
      <c r="B937" s="5">
        <v>45557</v>
      </c>
      <c r="C937" s="3" t="s">
        <v>1331</v>
      </c>
      <c r="D937" s="3" t="s">
        <v>44</v>
      </c>
      <c r="E937" s="3" t="s">
        <v>41</v>
      </c>
      <c r="F937" s="3" t="s">
        <v>119</v>
      </c>
      <c r="G937" s="3" t="s">
        <v>168</v>
      </c>
      <c r="H937" s="3">
        <v>1</v>
      </c>
      <c r="I937" s="7">
        <v>10173.09</v>
      </c>
      <c r="J937" s="9">
        <v>0</v>
      </c>
      <c r="K937" s="7">
        <v>10173.09</v>
      </c>
      <c r="L937" s="7">
        <v>3767.65</v>
      </c>
      <c r="M937" s="3" t="s">
        <v>56</v>
      </c>
      <c r="N937" s="3"/>
      <c r="O937" s="3"/>
      <c r="P937" s="3"/>
      <c r="Q937" s="3"/>
    </row>
    <row r="938" spans="1:17" ht="21" customHeight="1">
      <c r="A938" s="3" t="s">
        <v>1544</v>
      </c>
      <c r="B938" s="5">
        <v>45557</v>
      </c>
      <c r="C938" s="3" t="s">
        <v>611</v>
      </c>
      <c r="D938" s="3" t="s">
        <v>45</v>
      </c>
      <c r="E938" s="3" t="s">
        <v>42</v>
      </c>
      <c r="F938" s="3" t="s">
        <v>90</v>
      </c>
      <c r="G938" s="3" t="s">
        <v>91</v>
      </c>
      <c r="H938" s="3">
        <v>2</v>
      </c>
      <c r="I938" s="7">
        <v>1233.55</v>
      </c>
      <c r="J938" s="9">
        <v>0.1</v>
      </c>
      <c r="K938" s="7">
        <v>2220.39</v>
      </c>
      <c r="L938" s="7">
        <v>1002.6</v>
      </c>
      <c r="M938" s="3" t="s">
        <v>58</v>
      </c>
      <c r="N938" s="3"/>
      <c r="O938" s="3"/>
      <c r="P938" s="3"/>
      <c r="Q938" s="3"/>
    </row>
    <row r="939" spans="1:17" ht="21" customHeight="1">
      <c r="A939" s="3" t="s">
        <v>1545</v>
      </c>
      <c r="B939" s="5">
        <v>45557</v>
      </c>
      <c r="C939" s="3" t="s">
        <v>396</v>
      </c>
      <c r="D939" s="3" t="s">
        <v>45</v>
      </c>
      <c r="E939" s="3" t="s">
        <v>38</v>
      </c>
      <c r="F939" s="3" t="s">
        <v>98</v>
      </c>
      <c r="G939" s="3" t="s">
        <v>99</v>
      </c>
      <c r="H939" s="3">
        <v>1</v>
      </c>
      <c r="I939" s="7">
        <v>25933.4</v>
      </c>
      <c r="J939" s="9">
        <v>0</v>
      </c>
      <c r="K939" s="7">
        <v>25933.4</v>
      </c>
      <c r="L939" s="7">
        <v>4567.2299999999996</v>
      </c>
      <c r="M939" s="3" t="s">
        <v>56</v>
      </c>
      <c r="N939" s="3"/>
      <c r="O939" s="3"/>
      <c r="P939" s="3"/>
      <c r="Q939" s="3"/>
    </row>
    <row r="940" spans="1:17" ht="21" customHeight="1">
      <c r="A940" s="3" t="s">
        <v>1546</v>
      </c>
      <c r="B940" s="5">
        <v>45557</v>
      </c>
      <c r="C940" s="3" t="s">
        <v>1387</v>
      </c>
      <c r="D940" s="3" t="s">
        <v>45</v>
      </c>
      <c r="E940" s="3" t="s">
        <v>40</v>
      </c>
      <c r="F940" s="3" t="s">
        <v>221</v>
      </c>
      <c r="G940" s="3" t="s">
        <v>222</v>
      </c>
      <c r="H940" s="3">
        <v>2</v>
      </c>
      <c r="I940" s="7">
        <v>981.14</v>
      </c>
      <c r="J940" s="9">
        <v>0</v>
      </c>
      <c r="K940" s="7">
        <v>1962.28</v>
      </c>
      <c r="L940" s="7">
        <v>604.79999999999995</v>
      </c>
      <c r="M940" s="3" t="s">
        <v>56</v>
      </c>
      <c r="N940" s="3"/>
      <c r="O940" s="3"/>
      <c r="P940" s="3"/>
      <c r="Q940" s="3"/>
    </row>
    <row r="941" spans="1:17" ht="21" customHeight="1">
      <c r="A941" s="3" t="s">
        <v>1547</v>
      </c>
      <c r="B941" s="5">
        <v>45557</v>
      </c>
      <c r="C941" s="3" t="s">
        <v>309</v>
      </c>
      <c r="D941" s="3" t="s">
        <v>44</v>
      </c>
      <c r="E941" s="3" t="s">
        <v>38</v>
      </c>
      <c r="F941" s="3" t="s">
        <v>142</v>
      </c>
      <c r="G941" s="3" t="s">
        <v>143</v>
      </c>
      <c r="H941" s="3">
        <v>3</v>
      </c>
      <c r="I941" s="7">
        <v>8703.41</v>
      </c>
      <c r="J941" s="9">
        <v>0.1</v>
      </c>
      <c r="K941" s="7">
        <v>23499.21</v>
      </c>
      <c r="L941" s="7">
        <v>754.84</v>
      </c>
      <c r="M941" s="3" t="s">
        <v>56</v>
      </c>
      <c r="N941" s="3"/>
      <c r="O941" s="3"/>
      <c r="P941" s="3"/>
      <c r="Q941" s="3"/>
    </row>
    <row r="942" spans="1:17" ht="21" customHeight="1">
      <c r="A942" s="3" t="s">
        <v>1548</v>
      </c>
      <c r="B942" s="5">
        <v>45557</v>
      </c>
      <c r="C942" s="3" t="s">
        <v>668</v>
      </c>
      <c r="D942" s="3" t="s">
        <v>47</v>
      </c>
      <c r="E942" s="3" t="s">
        <v>38</v>
      </c>
      <c r="F942" s="3" t="s">
        <v>94</v>
      </c>
      <c r="G942" s="3" t="s">
        <v>213</v>
      </c>
      <c r="H942" s="3">
        <v>1</v>
      </c>
      <c r="I942" s="7">
        <v>52987.8</v>
      </c>
      <c r="J942" s="9">
        <v>0</v>
      </c>
      <c r="K942" s="7">
        <v>52987.8</v>
      </c>
      <c r="L942" s="7">
        <v>11052.05</v>
      </c>
      <c r="M942" s="3" t="s">
        <v>56</v>
      </c>
      <c r="N942" s="3"/>
      <c r="O942" s="3"/>
      <c r="P942" s="3"/>
      <c r="Q942" s="3"/>
    </row>
    <row r="943" spans="1:17" ht="21" customHeight="1">
      <c r="A943" s="3" t="s">
        <v>1549</v>
      </c>
      <c r="B943" s="5">
        <v>45557</v>
      </c>
      <c r="C943" s="3" t="s">
        <v>865</v>
      </c>
      <c r="D943" s="3" t="s">
        <v>44</v>
      </c>
      <c r="E943" s="3" t="s">
        <v>42</v>
      </c>
      <c r="F943" s="3" t="s">
        <v>126</v>
      </c>
      <c r="G943" s="3" t="s">
        <v>151</v>
      </c>
      <c r="H943" s="3">
        <v>1</v>
      </c>
      <c r="I943" s="7">
        <v>1531.22</v>
      </c>
      <c r="J943" s="9">
        <v>0</v>
      </c>
      <c r="K943" s="7">
        <v>1531.22</v>
      </c>
      <c r="L943" s="7">
        <v>823.81</v>
      </c>
      <c r="M943" s="3" t="s">
        <v>60</v>
      </c>
      <c r="N943" s="3"/>
      <c r="O943" s="3"/>
      <c r="P943" s="3"/>
      <c r="Q943" s="3"/>
    </row>
    <row r="944" spans="1:17" ht="21" customHeight="1">
      <c r="A944" s="3" t="s">
        <v>1550</v>
      </c>
      <c r="B944" s="5">
        <v>45558</v>
      </c>
      <c r="C944" s="3" t="s">
        <v>585</v>
      </c>
      <c r="D944" s="3" t="s">
        <v>44</v>
      </c>
      <c r="E944" s="3" t="s">
        <v>39</v>
      </c>
      <c r="F944" s="3" t="s">
        <v>109</v>
      </c>
      <c r="G944" s="3" t="s">
        <v>110</v>
      </c>
      <c r="H944" s="3">
        <v>3</v>
      </c>
      <c r="I944" s="7">
        <v>2891.04</v>
      </c>
      <c r="J944" s="9">
        <v>0.2</v>
      </c>
      <c r="K944" s="7">
        <v>6938.5</v>
      </c>
      <c r="L944" s="7">
        <v>1339.75</v>
      </c>
      <c r="M944" s="3" t="s">
        <v>59</v>
      </c>
      <c r="N944" s="3"/>
      <c r="O944" s="3"/>
      <c r="P944" s="3"/>
      <c r="Q944" s="3"/>
    </row>
    <row r="945" spans="1:17" ht="21" customHeight="1">
      <c r="A945" s="3" t="s">
        <v>1551</v>
      </c>
      <c r="B945" s="5">
        <v>45558</v>
      </c>
      <c r="C945" s="3" t="s">
        <v>940</v>
      </c>
      <c r="D945" s="3" t="s">
        <v>45</v>
      </c>
      <c r="E945" s="3" t="s">
        <v>42</v>
      </c>
      <c r="F945" s="3" t="s">
        <v>90</v>
      </c>
      <c r="G945" s="3" t="s">
        <v>106</v>
      </c>
      <c r="H945" s="3">
        <v>5</v>
      </c>
      <c r="I945" s="7">
        <v>917.09</v>
      </c>
      <c r="J945" s="9">
        <v>0</v>
      </c>
      <c r="K945" s="7">
        <v>4585.45</v>
      </c>
      <c r="L945" s="7">
        <v>2400.4899999999998</v>
      </c>
      <c r="M945" s="3" t="s">
        <v>57</v>
      </c>
      <c r="N945" s="3"/>
      <c r="O945" s="3"/>
      <c r="P945" s="3"/>
      <c r="Q945" s="3"/>
    </row>
    <row r="946" spans="1:17" ht="21" customHeight="1">
      <c r="A946" s="3" t="s">
        <v>1552</v>
      </c>
      <c r="B946" s="5">
        <v>45558</v>
      </c>
      <c r="C946" s="3" t="s">
        <v>1553</v>
      </c>
      <c r="D946" s="3" t="s">
        <v>44</v>
      </c>
      <c r="E946" s="3" t="s">
        <v>40</v>
      </c>
      <c r="F946" s="3" t="s">
        <v>221</v>
      </c>
      <c r="G946" s="3" t="s">
        <v>279</v>
      </c>
      <c r="H946" s="3">
        <v>1</v>
      </c>
      <c r="I946" s="7">
        <v>1560.34</v>
      </c>
      <c r="J946" s="9">
        <v>0.15</v>
      </c>
      <c r="K946" s="7">
        <v>1326.29</v>
      </c>
      <c r="L946" s="7">
        <v>165.33</v>
      </c>
      <c r="M946" s="3" t="s">
        <v>56</v>
      </c>
      <c r="N946" s="3"/>
      <c r="O946" s="3"/>
      <c r="P946" s="3"/>
      <c r="Q946" s="3"/>
    </row>
    <row r="947" spans="1:17" ht="21" customHeight="1">
      <c r="A947" s="3" t="s">
        <v>1554</v>
      </c>
      <c r="B947" s="5">
        <v>45558</v>
      </c>
      <c r="C947" s="3" t="s">
        <v>1555</v>
      </c>
      <c r="D947" s="3" t="s">
        <v>47</v>
      </c>
      <c r="E947" s="3" t="s">
        <v>38</v>
      </c>
      <c r="F947" s="3" t="s">
        <v>142</v>
      </c>
      <c r="G947" s="3" t="s">
        <v>143</v>
      </c>
      <c r="H947" s="3">
        <v>4</v>
      </c>
      <c r="I947" s="7">
        <v>9282.76</v>
      </c>
      <c r="J947" s="9">
        <v>0.05</v>
      </c>
      <c r="K947" s="7">
        <v>35274.49</v>
      </c>
      <c r="L947" s="7">
        <v>5312.76</v>
      </c>
      <c r="M947" s="3" t="s">
        <v>59</v>
      </c>
      <c r="N947" s="3"/>
      <c r="O947" s="3"/>
      <c r="P947" s="3"/>
      <c r="Q947" s="3"/>
    </row>
    <row r="948" spans="1:17" ht="21" customHeight="1">
      <c r="A948" s="3" t="s">
        <v>1556</v>
      </c>
      <c r="B948" s="5">
        <v>45558</v>
      </c>
      <c r="C948" s="3" t="s">
        <v>985</v>
      </c>
      <c r="D948" s="3" t="s">
        <v>46</v>
      </c>
      <c r="E948" s="3" t="s">
        <v>40</v>
      </c>
      <c r="F948" s="3" t="s">
        <v>102</v>
      </c>
      <c r="G948" s="3" t="s">
        <v>103</v>
      </c>
      <c r="H948" s="3">
        <v>2</v>
      </c>
      <c r="I948" s="7">
        <v>6714.57</v>
      </c>
      <c r="J948" s="9">
        <v>0.3</v>
      </c>
      <c r="K948" s="7">
        <v>9400.4</v>
      </c>
      <c r="L948" s="7">
        <v>-158.84</v>
      </c>
      <c r="M948" s="3" t="s">
        <v>57</v>
      </c>
      <c r="N948" s="3"/>
      <c r="O948" s="3"/>
      <c r="P948" s="3"/>
      <c r="Q948" s="3"/>
    </row>
    <row r="949" spans="1:17" ht="21" customHeight="1">
      <c r="A949" s="3" t="s">
        <v>1557</v>
      </c>
      <c r="B949" s="5">
        <v>45558</v>
      </c>
      <c r="C949" s="3" t="s">
        <v>272</v>
      </c>
      <c r="D949" s="3" t="s">
        <v>46</v>
      </c>
      <c r="E949" s="3" t="s">
        <v>39</v>
      </c>
      <c r="F949" s="3" t="s">
        <v>164</v>
      </c>
      <c r="G949" s="3" t="s">
        <v>200</v>
      </c>
      <c r="H949" s="3">
        <v>3</v>
      </c>
      <c r="I949" s="7">
        <v>1248.73</v>
      </c>
      <c r="J949" s="9">
        <v>0</v>
      </c>
      <c r="K949" s="7">
        <v>3746.19</v>
      </c>
      <c r="L949" s="7">
        <v>1476.34</v>
      </c>
      <c r="M949" s="3" t="s">
        <v>57</v>
      </c>
      <c r="N949" s="3"/>
      <c r="O949" s="3"/>
      <c r="P949" s="3"/>
      <c r="Q949" s="3"/>
    </row>
    <row r="950" spans="1:17" ht="21" customHeight="1">
      <c r="A950" s="3" t="s">
        <v>1558</v>
      </c>
      <c r="B950" s="5">
        <v>45559</v>
      </c>
      <c r="C950" s="3" t="s">
        <v>1559</v>
      </c>
      <c r="D950" s="3" t="s">
        <v>45</v>
      </c>
      <c r="E950" s="3" t="s">
        <v>42</v>
      </c>
      <c r="F950" s="3" t="s">
        <v>90</v>
      </c>
      <c r="G950" s="3" t="s">
        <v>106</v>
      </c>
      <c r="H950" s="3">
        <v>1</v>
      </c>
      <c r="I950" s="7">
        <v>858.27</v>
      </c>
      <c r="J950" s="9">
        <v>0</v>
      </c>
      <c r="K950" s="7">
        <v>858.27</v>
      </c>
      <c r="L950" s="7">
        <v>446.12</v>
      </c>
      <c r="M950" s="3" t="s">
        <v>58</v>
      </c>
      <c r="N950" s="3"/>
      <c r="O950" s="3"/>
      <c r="P950" s="3"/>
      <c r="Q950" s="3"/>
    </row>
    <row r="951" spans="1:17" ht="21" customHeight="1">
      <c r="A951" s="3" t="s">
        <v>1560</v>
      </c>
      <c r="B951" s="5">
        <v>45559</v>
      </c>
      <c r="C951" s="3" t="s">
        <v>384</v>
      </c>
      <c r="D951" s="3" t="s">
        <v>47</v>
      </c>
      <c r="E951" s="3" t="s">
        <v>40</v>
      </c>
      <c r="F951" s="3" t="s">
        <v>102</v>
      </c>
      <c r="G951" s="3" t="s">
        <v>146</v>
      </c>
      <c r="H951" s="3">
        <v>3</v>
      </c>
      <c r="I951" s="7">
        <v>7736.83</v>
      </c>
      <c r="J951" s="9">
        <v>0.05</v>
      </c>
      <c r="K951" s="7">
        <v>22049.97</v>
      </c>
      <c r="L951" s="7">
        <v>5574.85</v>
      </c>
      <c r="M951" s="3" t="s">
        <v>60</v>
      </c>
      <c r="N951" s="3"/>
      <c r="O951" s="3"/>
      <c r="P951" s="3"/>
      <c r="Q951" s="3"/>
    </row>
    <row r="952" spans="1:17" ht="21" customHeight="1">
      <c r="A952" s="3" t="s">
        <v>1561</v>
      </c>
      <c r="B952" s="5">
        <v>45559</v>
      </c>
      <c r="C952" s="3" t="s">
        <v>1109</v>
      </c>
      <c r="D952" s="3" t="s">
        <v>47</v>
      </c>
      <c r="E952" s="3" t="s">
        <v>39</v>
      </c>
      <c r="F952" s="3" t="s">
        <v>130</v>
      </c>
      <c r="G952" s="3" t="s">
        <v>193</v>
      </c>
      <c r="H952" s="3">
        <v>1</v>
      </c>
      <c r="I952" s="7">
        <v>1887.75</v>
      </c>
      <c r="J952" s="9">
        <v>0.25</v>
      </c>
      <c r="K952" s="7">
        <v>1415.81</v>
      </c>
      <c r="L952" s="7">
        <v>179.45</v>
      </c>
      <c r="M952" s="3" t="s">
        <v>56</v>
      </c>
      <c r="N952" s="3"/>
      <c r="O952" s="3"/>
      <c r="P952" s="3"/>
      <c r="Q952" s="3"/>
    </row>
    <row r="953" spans="1:17" ht="21" customHeight="1">
      <c r="A953" s="3" t="s">
        <v>1562</v>
      </c>
      <c r="B953" s="5">
        <v>45560</v>
      </c>
      <c r="C953" s="3" t="s">
        <v>680</v>
      </c>
      <c r="D953" s="3" t="s">
        <v>47</v>
      </c>
      <c r="E953" s="3" t="s">
        <v>42</v>
      </c>
      <c r="F953" s="3" t="s">
        <v>126</v>
      </c>
      <c r="G953" s="3" t="s">
        <v>151</v>
      </c>
      <c r="H953" s="3">
        <v>1</v>
      </c>
      <c r="I953" s="7">
        <v>1502.02</v>
      </c>
      <c r="J953" s="9">
        <v>0</v>
      </c>
      <c r="K953" s="7">
        <v>1502.02</v>
      </c>
      <c r="L953" s="7">
        <v>879.62</v>
      </c>
      <c r="M953" s="3" t="s">
        <v>56</v>
      </c>
      <c r="N953" s="3"/>
      <c r="O953" s="3"/>
      <c r="P953" s="3"/>
      <c r="Q953" s="3"/>
    </row>
    <row r="954" spans="1:17" ht="21" customHeight="1">
      <c r="A954" s="3" t="s">
        <v>1563</v>
      </c>
      <c r="B954" s="5">
        <v>45560</v>
      </c>
      <c r="C954" s="3" t="s">
        <v>1559</v>
      </c>
      <c r="D954" s="3" t="s">
        <v>46</v>
      </c>
      <c r="E954" s="3" t="s">
        <v>39</v>
      </c>
      <c r="F954" s="3" t="s">
        <v>109</v>
      </c>
      <c r="G954" s="3" t="s">
        <v>110</v>
      </c>
      <c r="H954" s="3">
        <v>2</v>
      </c>
      <c r="I954" s="7">
        <v>2996.9</v>
      </c>
      <c r="J954" s="9">
        <v>0.3</v>
      </c>
      <c r="K954" s="7">
        <v>4195.66</v>
      </c>
      <c r="L954" s="7">
        <v>413.27</v>
      </c>
      <c r="M954" s="3" t="s">
        <v>59</v>
      </c>
      <c r="N954" s="3"/>
      <c r="O954" s="3"/>
      <c r="P954" s="3"/>
      <c r="Q954" s="3"/>
    </row>
    <row r="955" spans="1:17" ht="21" customHeight="1">
      <c r="A955" s="3" t="s">
        <v>1564</v>
      </c>
      <c r="B955" s="5">
        <v>45560</v>
      </c>
      <c r="C955" s="3" t="s">
        <v>1208</v>
      </c>
      <c r="D955" s="3" t="s">
        <v>44</v>
      </c>
      <c r="E955" s="3" t="s">
        <v>42</v>
      </c>
      <c r="F955" s="3" t="s">
        <v>90</v>
      </c>
      <c r="G955" s="3" t="s">
        <v>106</v>
      </c>
      <c r="H955" s="3">
        <v>5</v>
      </c>
      <c r="I955" s="7">
        <v>920.65</v>
      </c>
      <c r="J955" s="9">
        <v>0</v>
      </c>
      <c r="K955" s="7">
        <v>4603.25</v>
      </c>
      <c r="L955" s="7">
        <v>2583.0100000000002</v>
      </c>
      <c r="M955" s="3" t="s">
        <v>56</v>
      </c>
      <c r="N955" s="3"/>
      <c r="O955" s="3"/>
      <c r="P955" s="3"/>
      <c r="Q955" s="3"/>
    </row>
    <row r="956" spans="1:17" ht="21" customHeight="1">
      <c r="A956" s="3" t="s">
        <v>1565</v>
      </c>
      <c r="B956" s="5">
        <v>45561</v>
      </c>
      <c r="C956" s="3" t="s">
        <v>830</v>
      </c>
      <c r="D956" s="3" t="s">
        <v>47</v>
      </c>
      <c r="E956" s="3" t="s">
        <v>41</v>
      </c>
      <c r="F956" s="3" t="s">
        <v>113</v>
      </c>
      <c r="G956" s="3" t="s">
        <v>114</v>
      </c>
      <c r="H956" s="3">
        <v>3</v>
      </c>
      <c r="I956" s="7">
        <v>12177.21</v>
      </c>
      <c r="J956" s="9">
        <v>0</v>
      </c>
      <c r="K956" s="7">
        <v>36531.629999999997</v>
      </c>
      <c r="L956" s="7">
        <v>12722.43</v>
      </c>
      <c r="M956" s="3" t="s">
        <v>57</v>
      </c>
      <c r="N956" s="3"/>
      <c r="O956" s="3"/>
      <c r="P956" s="3"/>
      <c r="Q956" s="3"/>
    </row>
    <row r="957" spans="1:17" ht="21" customHeight="1">
      <c r="A957" s="3" t="s">
        <v>1566</v>
      </c>
      <c r="B957" s="5">
        <v>45561</v>
      </c>
      <c r="C957" s="3" t="s">
        <v>1567</v>
      </c>
      <c r="D957" s="3" t="s">
        <v>47</v>
      </c>
      <c r="E957" s="3" t="s">
        <v>38</v>
      </c>
      <c r="F957" s="3" t="s">
        <v>142</v>
      </c>
      <c r="G957" s="3" t="s">
        <v>143</v>
      </c>
      <c r="H957" s="3">
        <v>2</v>
      </c>
      <c r="I957" s="7">
        <v>9379.5</v>
      </c>
      <c r="J957" s="9">
        <v>0.2</v>
      </c>
      <c r="K957" s="7">
        <v>15007.2</v>
      </c>
      <c r="L957" s="7">
        <v>-242.41</v>
      </c>
      <c r="M957" s="3" t="s">
        <v>57</v>
      </c>
      <c r="N957" s="3"/>
      <c r="O957" s="3"/>
      <c r="P957" s="3"/>
      <c r="Q957" s="3"/>
    </row>
    <row r="958" spans="1:17" ht="21" customHeight="1">
      <c r="A958" s="3" t="s">
        <v>1568</v>
      </c>
      <c r="B958" s="5">
        <v>45562</v>
      </c>
      <c r="C958" s="3" t="s">
        <v>642</v>
      </c>
      <c r="D958" s="3" t="s">
        <v>44</v>
      </c>
      <c r="E958" s="3" t="s">
        <v>41</v>
      </c>
      <c r="F958" s="3" t="s">
        <v>119</v>
      </c>
      <c r="G958" s="3" t="s">
        <v>120</v>
      </c>
      <c r="H958" s="3">
        <v>3</v>
      </c>
      <c r="I958" s="7">
        <v>1337.27</v>
      </c>
      <c r="J958" s="9">
        <v>0.1</v>
      </c>
      <c r="K958" s="7">
        <v>3610.63</v>
      </c>
      <c r="L958" s="7">
        <v>1049.3800000000001</v>
      </c>
      <c r="M958" s="3" t="s">
        <v>57</v>
      </c>
      <c r="N958" s="3"/>
      <c r="O958" s="3"/>
      <c r="P958" s="3"/>
      <c r="Q958" s="3"/>
    </row>
    <row r="959" spans="1:17" ht="21" customHeight="1">
      <c r="A959" s="3" t="s">
        <v>1569</v>
      </c>
      <c r="B959" s="5">
        <v>45562</v>
      </c>
      <c r="C959" s="3" t="s">
        <v>805</v>
      </c>
      <c r="D959" s="3" t="s">
        <v>45</v>
      </c>
      <c r="E959" s="3" t="s">
        <v>41</v>
      </c>
      <c r="F959" s="3" t="s">
        <v>119</v>
      </c>
      <c r="G959" s="3" t="s">
        <v>120</v>
      </c>
      <c r="H959" s="3">
        <v>1</v>
      </c>
      <c r="I959" s="7">
        <v>1295.92</v>
      </c>
      <c r="J959" s="9">
        <v>0.2</v>
      </c>
      <c r="K959" s="7">
        <v>1036.74</v>
      </c>
      <c r="L959" s="7">
        <v>151.05000000000001</v>
      </c>
      <c r="M959" s="3" t="s">
        <v>57</v>
      </c>
      <c r="N959" s="3"/>
      <c r="O959" s="3"/>
      <c r="P959" s="3"/>
      <c r="Q959" s="3"/>
    </row>
    <row r="960" spans="1:17" ht="21" customHeight="1">
      <c r="A960" s="3" t="s">
        <v>1570</v>
      </c>
      <c r="B960" s="5">
        <v>45562</v>
      </c>
      <c r="C960" s="3" t="s">
        <v>1060</v>
      </c>
      <c r="D960" s="3" t="s">
        <v>45</v>
      </c>
      <c r="E960" s="3" t="s">
        <v>42</v>
      </c>
      <c r="F960" s="3" t="s">
        <v>90</v>
      </c>
      <c r="G960" s="3" t="s">
        <v>91</v>
      </c>
      <c r="H960" s="3">
        <v>1</v>
      </c>
      <c r="I960" s="7">
        <v>1205.44</v>
      </c>
      <c r="J960" s="9">
        <v>0.2</v>
      </c>
      <c r="K960" s="7">
        <v>964.35</v>
      </c>
      <c r="L960" s="7">
        <v>285.05</v>
      </c>
      <c r="M960" s="3" t="s">
        <v>57</v>
      </c>
      <c r="N960" s="3"/>
      <c r="O960" s="3"/>
      <c r="P960" s="3"/>
      <c r="Q960" s="3"/>
    </row>
    <row r="961" spans="1:17" ht="21" customHeight="1">
      <c r="A961" s="3" t="s">
        <v>1571</v>
      </c>
      <c r="B961" s="5">
        <v>45563</v>
      </c>
      <c r="C961" s="3" t="s">
        <v>657</v>
      </c>
      <c r="D961" s="3" t="s">
        <v>46</v>
      </c>
      <c r="E961" s="3" t="s">
        <v>42</v>
      </c>
      <c r="F961" s="3" t="s">
        <v>90</v>
      </c>
      <c r="G961" s="3" t="s">
        <v>91</v>
      </c>
      <c r="H961" s="3">
        <v>2</v>
      </c>
      <c r="I961" s="7">
        <v>1176.98</v>
      </c>
      <c r="J961" s="9">
        <v>0.1</v>
      </c>
      <c r="K961" s="7">
        <v>2118.56</v>
      </c>
      <c r="L961" s="7">
        <v>881.03</v>
      </c>
      <c r="M961" s="3" t="s">
        <v>56</v>
      </c>
      <c r="N961" s="3"/>
      <c r="O961" s="3"/>
      <c r="P961" s="3"/>
      <c r="Q961" s="3"/>
    </row>
    <row r="962" spans="1:17" ht="21" customHeight="1">
      <c r="A962" s="3" t="s">
        <v>1572</v>
      </c>
      <c r="B962" s="5">
        <v>45563</v>
      </c>
      <c r="C962" s="3" t="s">
        <v>1237</v>
      </c>
      <c r="D962" s="3" t="s">
        <v>45</v>
      </c>
      <c r="E962" s="3" t="s">
        <v>42</v>
      </c>
      <c r="F962" s="3" t="s">
        <v>126</v>
      </c>
      <c r="G962" s="3" t="s">
        <v>127</v>
      </c>
      <c r="H962" s="3">
        <v>1</v>
      </c>
      <c r="I962" s="7">
        <v>1046.3900000000001</v>
      </c>
      <c r="J962" s="9">
        <v>0.05</v>
      </c>
      <c r="K962" s="7">
        <v>994.07</v>
      </c>
      <c r="L962" s="7">
        <v>482.36</v>
      </c>
      <c r="M962" s="3" t="s">
        <v>59</v>
      </c>
      <c r="N962" s="3"/>
      <c r="O962" s="3"/>
      <c r="P962" s="3"/>
      <c r="Q962" s="3"/>
    </row>
    <row r="963" spans="1:17" ht="21" customHeight="1">
      <c r="A963" s="3" t="s">
        <v>1573</v>
      </c>
      <c r="B963" s="5">
        <v>45563</v>
      </c>
      <c r="C963" s="3" t="s">
        <v>461</v>
      </c>
      <c r="D963" s="3" t="s">
        <v>45</v>
      </c>
      <c r="E963" s="3" t="s">
        <v>39</v>
      </c>
      <c r="F963" s="3" t="s">
        <v>164</v>
      </c>
      <c r="G963" s="3" t="s">
        <v>200</v>
      </c>
      <c r="H963" s="3">
        <v>5</v>
      </c>
      <c r="I963" s="7">
        <v>1249.05</v>
      </c>
      <c r="J963" s="9">
        <v>0.05</v>
      </c>
      <c r="K963" s="7">
        <v>5932.99</v>
      </c>
      <c r="L963" s="7">
        <v>2285.92</v>
      </c>
      <c r="M963" s="3" t="s">
        <v>59</v>
      </c>
      <c r="N963" s="3"/>
      <c r="O963" s="3"/>
      <c r="P963" s="3"/>
      <c r="Q963" s="3"/>
    </row>
    <row r="964" spans="1:17" ht="21" customHeight="1">
      <c r="A964" s="3" t="s">
        <v>1574</v>
      </c>
      <c r="B964" s="5">
        <v>45564</v>
      </c>
      <c r="C964" s="3" t="s">
        <v>1575</v>
      </c>
      <c r="D964" s="3" t="s">
        <v>47</v>
      </c>
      <c r="E964" s="3" t="s">
        <v>39</v>
      </c>
      <c r="F964" s="3" t="s">
        <v>109</v>
      </c>
      <c r="G964" s="3" t="s">
        <v>110</v>
      </c>
      <c r="H964" s="3">
        <v>1</v>
      </c>
      <c r="I964" s="7">
        <v>3080.98</v>
      </c>
      <c r="J964" s="9">
        <v>0.1</v>
      </c>
      <c r="K964" s="7">
        <v>2772.88</v>
      </c>
      <c r="L964" s="7">
        <v>940.74</v>
      </c>
      <c r="M964" s="3" t="s">
        <v>57</v>
      </c>
      <c r="N964" s="3"/>
      <c r="O964" s="3"/>
      <c r="P964" s="3"/>
      <c r="Q964" s="3"/>
    </row>
    <row r="965" spans="1:17" ht="21" customHeight="1">
      <c r="A965" s="3" t="s">
        <v>1576</v>
      </c>
      <c r="B965" s="5">
        <v>45564</v>
      </c>
      <c r="C965" s="3" t="s">
        <v>333</v>
      </c>
      <c r="D965" s="3" t="s">
        <v>47</v>
      </c>
      <c r="E965" s="3" t="s">
        <v>38</v>
      </c>
      <c r="F965" s="3" t="s">
        <v>98</v>
      </c>
      <c r="G965" s="3" t="s">
        <v>362</v>
      </c>
      <c r="H965" s="3">
        <v>1</v>
      </c>
      <c r="I965" s="7">
        <v>31453.35</v>
      </c>
      <c r="J965" s="9">
        <v>0.05</v>
      </c>
      <c r="K965" s="7">
        <v>29880.68</v>
      </c>
      <c r="L965" s="7">
        <v>4057.69</v>
      </c>
      <c r="M965" s="3" t="s">
        <v>60</v>
      </c>
      <c r="N965" s="3"/>
      <c r="O965" s="3"/>
      <c r="P965" s="3"/>
      <c r="Q965" s="3"/>
    </row>
    <row r="966" spans="1:17" ht="21" customHeight="1">
      <c r="A966" s="3" t="s">
        <v>1577</v>
      </c>
      <c r="B966" s="5">
        <v>45564</v>
      </c>
      <c r="C966" s="3" t="s">
        <v>1578</v>
      </c>
      <c r="D966" s="3" t="s">
        <v>44</v>
      </c>
      <c r="E966" s="3" t="s">
        <v>42</v>
      </c>
      <c r="F966" s="3" t="s">
        <v>126</v>
      </c>
      <c r="G966" s="3" t="s">
        <v>151</v>
      </c>
      <c r="H966" s="3">
        <v>1</v>
      </c>
      <c r="I966" s="7">
        <v>1461.37</v>
      </c>
      <c r="J966" s="9">
        <v>0</v>
      </c>
      <c r="K966" s="7">
        <v>1461.37</v>
      </c>
      <c r="L966" s="7">
        <v>758.29</v>
      </c>
      <c r="M966" s="3" t="s">
        <v>59</v>
      </c>
      <c r="N966" s="3"/>
      <c r="O966" s="3"/>
      <c r="P966" s="3"/>
      <c r="Q966" s="3"/>
    </row>
    <row r="967" spans="1:17" ht="21" customHeight="1">
      <c r="A967" s="3" t="s">
        <v>1579</v>
      </c>
      <c r="B967" s="5">
        <v>45564</v>
      </c>
      <c r="C967" s="3" t="s">
        <v>1099</v>
      </c>
      <c r="D967" s="3" t="s">
        <v>45</v>
      </c>
      <c r="E967" s="3" t="s">
        <v>38</v>
      </c>
      <c r="F967" s="3" t="s">
        <v>94</v>
      </c>
      <c r="G967" s="3" t="s">
        <v>213</v>
      </c>
      <c r="H967" s="3">
        <v>1</v>
      </c>
      <c r="I967" s="7">
        <v>54018.12</v>
      </c>
      <c r="J967" s="9">
        <v>0</v>
      </c>
      <c r="K967" s="7">
        <v>54018.12</v>
      </c>
      <c r="L967" s="7">
        <v>9849.6</v>
      </c>
      <c r="M967" s="3" t="s">
        <v>59</v>
      </c>
      <c r="N967" s="3"/>
      <c r="O967" s="3"/>
      <c r="P967" s="3"/>
      <c r="Q967" s="3"/>
    </row>
    <row r="968" spans="1:17" ht="21" customHeight="1">
      <c r="A968" s="3" t="s">
        <v>1580</v>
      </c>
      <c r="B968" s="5">
        <v>45564</v>
      </c>
      <c r="C968" s="3" t="s">
        <v>726</v>
      </c>
      <c r="D968" s="3" t="s">
        <v>47</v>
      </c>
      <c r="E968" s="3" t="s">
        <v>42</v>
      </c>
      <c r="F968" s="3" t="s">
        <v>126</v>
      </c>
      <c r="G968" s="3" t="s">
        <v>151</v>
      </c>
      <c r="H968" s="3">
        <v>3</v>
      </c>
      <c r="I968" s="7">
        <v>1506.02</v>
      </c>
      <c r="J968" s="9">
        <v>0.05</v>
      </c>
      <c r="K968" s="7">
        <v>4292.16</v>
      </c>
      <c r="L968" s="7">
        <v>2189.5500000000002</v>
      </c>
      <c r="M968" s="3" t="s">
        <v>57</v>
      </c>
      <c r="N968" s="3"/>
      <c r="O968" s="3"/>
      <c r="P968" s="3"/>
      <c r="Q968" s="3"/>
    </row>
    <row r="969" spans="1:17" ht="21" customHeight="1">
      <c r="A969" s="3" t="s">
        <v>1581</v>
      </c>
      <c r="B969" s="5">
        <v>45564</v>
      </c>
      <c r="C969" s="3" t="s">
        <v>914</v>
      </c>
      <c r="D969" s="3" t="s">
        <v>46</v>
      </c>
      <c r="E969" s="3" t="s">
        <v>38</v>
      </c>
      <c r="F969" s="3" t="s">
        <v>98</v>
      </c>
      <c r="G969" s="3" t="s">
        <v>99</v>
      </c>
      <c r="H969" s="3">
        <v>1</v>
      </c>
      <c r="I969" s="7">
        <v>24090.81</v>
      </c>
      <c r="J969" s="9">
        <v>0.4</v>
      </c>
      <c r="K969" s="7">
        <v>14454.49</v>
      </c>
      <c r="L969" s="7">
        <v>-4199.96</v>
      </c>
      <c r="M969" s="3" t="s">
        <v>60</v>
      </c>
      <c r="N969" s="3"/>
      <c r="O969" s="3"/>
      <c r="P969" s="3"/>
      <c r="Q969" s="3"/>
    </row>
    <row r="970" spans="1:17" ht="21" customHeight="1">
      <c r="A970" s="3" t="s">
        <v>1582</v>
      </c>
      <c r="B970" s="5">
        <v>45564</v>
      </c>
      <c r="C970" s="3" t="s">
        <v>1417</v>
      </c>
      <c r="D970" s="3" t="s">
        <v>44</v>
      </c>
      <c r="E970" s="3" t="s">
        <v>42</v>
      </c>
      <c r="F970" s="3" t="s">
        <v>90</v>
      </c>
      <c r="G970" s="3" t="s">
        <v>106</v>
      </c>
      <c r="H970" s="3">
        <v>5</v>
      </c>
      <c r="I970" s="7">
        <v>893.36</v>
      </c>
      <c r="J970" s="9">
        <v>0.05</v>
      </c>
      <c r="K970" s="7">
        <v>4243.46</v>
      </c>
      <c r="L970" s="7">
        <v>2189.62</v>
      </c>
      <c r="M970" s="3" t="s">
        <v>58</v>
      </c>
      <c r="N970" s="3"/>
      <c r="O970" s="3"/>
      <c r="P970" s="3"/>
      <c r="Q970" s="3"/>
    </row>
    <row r="971" spans="1:17" ht="21" customHeight="1">
      <c r="A971" s="3" t="s">
        <v>1583</v>
      </c>
      <c r="B971" s="5">
        <v>45565</v>
      </c>
      <c r="C971" s="3" t="s">
        <v>1160</v>
      </c>
      <c r="D971" s="3" t="s">
        <v>46</v>
      </c>
      <c r="E971" s="3" t="s">
        <v>42</v>
      </c>
      <c r="F971" s="3" t="s">
        <v>90</v>
      </c>
      <c r="G971" s="3" t="s">
        <v>91</v>
      </c>
      <c r="H971" s="3">
        <v>3</v>
      </c>
      <c r="I971" s="7">
        <v>1237.18</v>
      </c>
      <c r="J971" s="9">
        <v>0.3</v>
      </c>
      <c r="K971" s="7">
        <v>2598.08</v>
      </c>
      <c r="L971" s="7">
        <v>556.21</v>
      </c>
      <c r="M971" s="3" t="s">
        <v>56</v>
      </c>
      <c r="N971" s="3"/>
      <c r="O971" s="3"/>
      <c r="P971" s="3"/>
      <c r="Q971" s="3"/>
    </row>
    <row r="972" spans="1:17" ht="21" customHeight="1">
      <c r="A972" s="3" t="s">
        <v>1584</v>
      </c>
      <c r="B972" s="5">
        <v>45565</v>
      </c>
      <c r="C972" s="3" t="s">
        <v>1341</v>
      </c>
      <c r="D972" s="3" t="s">
        <v>46</v>
      </c>
      <c r="E972" s="3" t="s">
        <v>39</v>
      </c>
      <c r="F972" s="3" t="s">
        <v>164</v>
      </c>
      <c r="G972" s="3" t="s">
        <v>200</v>
      </c>
      <c r="H972" s="3">
        <v>1</v>
      </c>
      <c r="I972" s="7">
        <v>1238.3599999999999</v>
      </c>
      <c r="J972" s="9">
        <v>0.1</v>
      </c>
      <c r="K972" s="7">
        <v>1114.52</v>
      </c>
      <c r="L972" s="7">
        <v>349.64</v>
      </c>
      <c r="M972" s="3" t="s">
        <v>56</v>
      </c>
      <c r="N972" s="3"/>
      <c r="O972" s="3"/>
      <c r="P972" s="3"/>
      <c r="Q972" s="3"/>
    </row>
    <row r="973" spans="1:17" ht="21" customHeight="1">
      <c r="A973" s="3" t="s">
        <v>1585</v>
      </c>
      <c r="B973" s="5">
        <v>45566</v>
      </c>
      <c r="C973" s="3" t="s">
        <v>844</v>
      </c>
      <c r="D973" s="3" t="s">
        <v>46</v>
      </c>
      <c r="E973" s="3" t="s">
        <v>40</v>
      </c>
      <c r="F973" s="3" t="s">
        <v>160</v>
      </c>
      <c r="G973" s="3" t="s">
        <v>173</v>
      </c>
      <c r="H973" s="3">
        <v>2</v>
      </c>
      <c r="I973" s="7">
        <v>9311.39</v>
      </c>
      <c r="J973" s="9">
        <v>0.25</v>
      </c>
      <c r="K973" s="7">
        <v>13967.08</v>
      </c>
      <c r="L973" s="7">
        <v>138.22999999999999</v>
      </c>
      <c r="M973" s="3" t="s">
        <v>56</v>
      </c>
      <c r="N973" s="3"/>
      <c r="O973" s="3"/>
      <c r="P973" s="3"/>
      <c r="Q973" s="3"/>
    </row>
    <row r="974" spans="1:17" ht="21" customHeight="1">
      <c r="A974" s="3" t="s">
        <v>1586</v>
      </c>
      <c r="B974" s="5">
        <v>45566</v>
      </c>
      <c r="C974" s="3" t="s">
        <v>702</v>
      </c>
      <c r="D974" s="3" t="s">
        <v>44</v>
      </c>
      <c r="E974" s="3" t="s">
        <v>38</v>
      </c>
      <c r="F974" s="3" t="s">
        <v>94</v>
      </c>
      <c r="G974" s="3" t="s">
        <v>213</v>
      </c>
      <c r="H974" s="3">
        <v>3</v>
      </c>
      <c r="I974" s="7">
        <v>54474.09</v>
      </c>
      <c r="J974" s="9">
        <v>0.1</v>
      </c>
      <c r="K974" s="7">
        <v>147080.04</v>
      </c>
      <c r="L974" s="7">
        <v>8299.85</v>
      </c>
      <c r="M974" s="3" t="s">
        <v>58</v>
      </c>
      <c r="N974" s="3"/>
      <c r="O974" s="3"/>
      <c r="P974" s="3"/>
      <c r="Q974" s="3"/>
    </row>
    <row r="975" spans="1:17" ht="21" customHeight="1">
      <c r="A975" s="3" t="s">
        <v>1587</v>
      </c>
      <c r="B975" s="5">
        <v>45566</v>
      </c>
      <c r="C975" s="3" t="s">
        <v>1567</v>
      </c>
      <c r="D975" s="3" t="s">
        <v>46</v>
      </c>
      <c r="E975" s="3" t="s">
        <v>41</v>
      </c>
      <c r="F975" s="3" t="s">
        <v>119</v>
      </c>
      <c r="G975" s="3" t="s">
        <v>120</v>
      </c>
      <c r="H975" s="3">
        <v>2</v>
      </c>
      <c r="I975" s="7">
        <v>1350.93</v>
      </c>
      <c r="J975" s="9">
        <v>0</v>
      </c>
      <c r="K975" s="7">
        <v>2701.86</v>
      </c>
      <c r="L975" s="7">
        <v>956.65</v>
      </c>
      <c r="M975" s="3" t="s">
        <v>59</v>
      </c>
      <c r="N975" s="3"/>
      <c r="O975" s="3"/>
      <c r="P975" s="3"/>
      <c r="Q975" s="3"/>
    </row>
    <row r="976" spans="1:17" ht="21" customHeight="1">
      <c r="A976" s="3" t="s">
        <v>1588</v>
      </c>
      <c r="B976" s="5">
        <v>45566</v>
      </c>
      <c r="C976" s="3" t="s">
        <v>1146</v>
      </c>
      <c r="D976" s="3" t="s">
        <v>47</v>
      </c>
      <c r="E976" s="3" t="s">
        <v>41</v>
      </c>
      <c r="F976" s="3" t="s">
        <v>119</v>
      </c>
      <c r="G976" s="3" t="s">
        <v>120</v>
      </c>
      <c r="H976" s="3">
        <v>1</v>
      </c>
      <c r="I976" s="7">
        <v>1282.33</v>
      </c>
      <c r="J976" s="9">
        <v>0.05</v>
      </c>
      <c r="K976" s="7">
        <v>1218.21</v>
      </c>
      <c r="L976" s="7">
        <v>359.74</v>
      </c>
      <c r="M976" s="3" t="s">
        <v>56</v>
      </c>
      <c r="N976" s="3"/>
      <c r="O976" s="3"/>
      <c r="P976" s="3"/>
      <c r="Q976" s="3"/>
    </row>
    <row r="977" spans="1:17" ht="21" customHeight="1">
      <c r="A977" s="3" t="s">
        <v>1589</v>
      </c>
      <c r="B977" s="5">
        <v>45567</v>
      </c>
      <c r="C977" s="3" t="s">
        <v>341</v>
      </c>
      <c r="D977" s="3" t="s">
        <v>44</v>
      </c>
      <c r="E977" s="3" t="s">
        <v>38</v>
      </c>
      <c r="F977" s="3" t="s">
        <v>98</v>
      </c>
      <c r="G977" s="3" t="s">
        <v>362</v>
      </c>
      <c r="H977" s="3">
        <v>4</v>
      </c>
      <c r="I977" s="7">
        <v>33932.83</v>
      </c>
      <c r="J977" s="9">
        <v>0.1</v>
      </c>
      <c r="K977" s="7">
        <v>122158.19</v>
      </c>
      <c r="L977" s="7">
        <v>10097.75</v>
      </c>
      <c r="M977" s="3" t="s">
        <v>56</v>
      </c>
      <c r="N977" s="3"/>
      <c r="O977" s="3"/>
      <c r="P977" s="3"/>
      <c r="Q977" s="3"/>
    </row>
    <row r="978" spans="1:17" ht="21" customHeight="1">
      <c r="A978" s="3" t="s">
        <v>1590</v>
      </c>
      <c r="B978" s="5">
        <v>45567</v>
      </c>
      <c r="C978" s="3" t="s">
        <v>739</v>
      </c>
      <c r="D978" s="3" t="s">
        <v>45</v>
      </c>
      <c r="E978" s="3" t="s">
        <v>41</v>
      </c>
      <c r="F978" s="3" t="s">
        <v>119</v>
      </c>
      <c r="G978" s="3" t="s">
        <v>168</v>
      </c>
      <c r="H978" s="3">
        <v>3</v>
      </c>
      <c r="I978" s="7">
        <v>9944.7800000000007</v>
      </c>
      <c r="J978" s="9">
        <v>0.05</v>
      </c>
      <c r="K978" s="7">
        <v>28342.62</v>
      </c>
      <c r="L978" s="7">
        <v>8603.7900000000009</v>
      </c>
      <c r="M978" s="3" t="s">
        <v>56</v>
      </c>
      <c r="N978" s="3"/>
      <c r="O978" s="3"/>
      <c r="P978" s="3"/>
      <c r="Q978" s="3"/>
    </row>
    <row r="979" spans="1:17" ht="21" customHeight="1">
      <c r="A979" s="3" t="s">
        <v>1591</v>
      </c>
      <c r="B979" s="5">
        <v>45567</v>
      </c>
      <c r="C979" s="3" t="s">
        <v>1376</v>
      </c>
      <c r="D979" s="3" t="s">
        <v>46</v>
      </c>
      <c r="E979" s="3" t="s">
        <v>41</v>
      </c>
      <c r="F979" s="3" t="s">
        <v>113</v>
      </c>
      <c r="G979" s="3" t="s">
        <v>123</v>
      </c>
      <c r="H979" s="3">
        <v>3</v>
      </c>
      <c r="I979" s="7">
        <v>3352.41</v>
      </c>
      <c r="J979" s="9">
        <v>0</v>
      </c>
      <c r="K979" s="7">
        <v>10057.23</v>
      </c>
      <c r="L979" s="7">
        <v>4087.82</v>
      </c>
      <c r="M979" s="3" t="s">
        <v>57</v>
      </c>
      <c r="N979" s="3"/>
      <c r="O979" s="3"/>
      <c r="P979" s="3"/>
      <c r="Q979" s="3"/>
    </row>
    <row r="980" spans="1:17" ht="21" customHeight="1">
      <c r="A980" s="3" t="s">
        <v>1592</v>
      </c>
      <c r="B980" s="5">
        <v>45567</v>
      </c>
      <c r="C980" s="3" t="s">
        <v>792</v>
      </c>
      <c r="D980" s="3" t="s">
        <v>45</v>
      </c>
      <c r="E980" s="3" t="s">
        <v>42</v>
      </c>
      <c r="F980" s="3" t="s">
        <v>126</v>
      </c>
      <c r="G980" s="3" t="s">
        <v>127</v>
      </c>
      <c r="H980" s="3">
        <v>3</v>
      </c>
      <c r="I980" s="7">
        <v>954.19</v>
      </c>
      <c r="J980" s="9">
        <v>0.1</v>
      </c>
      <c r="K980" s="7">
        <v>2576.31</v>
      </c>
      <c r="L980" s="7">
        <v>1114.99</v>
      </c>
      <c r="M980" s="3" t="s">
        <v>57</v>
      </c>
      <c r="N980" s="3"/>
      <c r="O980" s="3"/>
      <c r="P980" s="3"/>
      <c r="Q980" s="3"/>
    </row>
    <row r="981" spans="1:17" ht="21" customHeight="1">
      <c r="A981" s="3" t="s">
        <v>1593</v>
      </c>
      <c r="B981" s="5">
        <v>45567</v>
      </c>
      <c r="C981" s="3" t="s">
        <v>1331</v>
      </c>
      <c r="D981" s="3" t="s">
        <v>46</v>
      </c>
      <c r="E981" s="3" t="s">
        <v>41</v>
      </c>
      <c r="F981" s="3" t="s">
        <v>119</v>
      </c>
      <c r="G981" s="3" t="s">
        <v>120</v>
      </c>
      <c r="H981" s="3">
        <v>2</v>
      </c>
      <c r="I981" s="7">
        <v>1358.33</v>
      </c>
      <c r="J981" s="9">
        <v>0</v>
      </c>
      <c r="K981" s="7">
        <v>2716.66</v>
      </c>
      <c r="L981" s="7">
        <v>1136.9000000000001</v>
      </c>
      <c r="M981" s="3" t="s">
        <v>58</v>
      </c>
      <c r="N981" s="3"/>
      <c r="O981" s="3"/>
      <c r="P981" s="3"/>
      <c r="Q981" s="3"/>
    </row>
    <row r="982" spans="1:17" ht="21" customHeight="1">
      <c r="A982" s="3" t="s">
        <v>1594</v>
      </c>
      <c r="B982" s="5">
        <v>45567</v>
      </c>
      <c r="C982" s="3" t="s">
        <v>1205</v>
      </c>
      <c r="D982" s="3" t="s">
        <v>46</v>
      </c>
      <c r="E982" s="3" t="s">
        <v>38</v>
      </c>
      <c r="F982" s="3" t="s">
        <v>142</v>
      </c>
      <c r="G982" s="3" t="s">
        <v>143</v>
      </c>
      <c r="H982" s="3">
        <v>1</v>
      </c>
      <c r="I982" s="7">
        <v>9103.36</v>
      </c>
      <c r="J982" s="9">
        <v>0.15</v>
      </c>
      <c r="K982" s="7">
        <v>7737.86</v>
      </c>
      <c r="L982" s="7">
        <v>-151.97999999999999</v>
      </c>
      <c r="M982" s="3" t="s">
        <v>56</v>
      </c>
      <c r="N982" s="3"/>
      <c r="O982" s="3"/>
      <c r="P982" s="3"/>
      <c r="Q982" s="3"/>
    </row>
    <row r="983" spans="1:17" ht="21" customHeight="1">
      <c r="A983" s="3" t="s">
        <v>1595</v>
      </c>
      <c r="B983" s="5">
        <v>45568</v>
      </c>
      <c r="C983" s="3" t="s">
        <v>788</v>
      </c>
      <c r="D983" s="3" t="s">
        <v>46</v>
      </c>
      <c r="E983" s="3" t="s">
        <v>41</v>
      </c>
      <c r="F983" s="3" t="s">
        <v>119</v>
      </c>
      <c r="G983" s="3" t="s">
        <v>168</v>
      </c>
      <c r="H983" s="3">
        <v>1</v>
      </c>
      <c r="I983" s="7">
        <v>9761.7199999999993</v>
      </c>
      <c r="J983" s="9">
        <v>0.15</v>
      </c>
      <c r="K983" s="7">
        <v>8297.4599999999991</v>
      </c>
      <c r="L983" s="7">
        <v>1546.45</v>
      </c>
      <c r="M983" s="3" t="s">
        <v>57</v>
      </c>
      <c r="N983" s="3"/>
      <c r="O983" s="3"/>
      <c r="P983" s="3"/>
      <c r="Q983" s="3"/>
    </row>
    <row r="984" spans="1:17" ht="21" customHeight="1">
      <c r="A984" s="3" t="s">
        <v>1596</v>
      </c>
      <c r="B984" s="5">
        <v>45568</v>
      </c>
      <c r="C984" s="3" t="s">
        <v>805</v>
      </c>
      <c r="D984" s="3" t="s">
        <v>45</v>
      </c>
      <c r="E984" s="3" t="s">
        <v>42</v>
      </c>
      <c r="F984" s="3" t="s">
        <v>126</v>
      </c>
      <c r="G984" s="3" t="s">
        <v>127</v>
      </c>
      <c r="H984" s="3">
        <v>2</v>
      </c>
      <c r="I984" s="7">
        <v>1042.3699999999999</v>
      </c>
      <c r="J984" s="9">
        <v>0.1</v>
      </c>
      <c r="K984" s="7">
        <v>1876.27</v>
      </c>
      <c r="L984" s="7">
        <v>817.81</v>
      </c>
      <c r="M984" s="3" t="s">
        <v>58</v>
      </c>
      <c r="N984" s="3"/>
      <c r="O984" s="3"/>
      <c r="P984" s="3"/>
      <c r="Q984" s="3"/>
    </row>
    <row r="985" spans="1:17" ht="21" customHeight="1">
      <c r="A985" s="3" t="s">
        <v>1597</v>
      </c>
      <c r="B985" s="5">
        <v>45568</v>
      </c>
      <c r="C985" s="3" t="s">
        <v>756</v>
      </c>
      <c r="D985" s="3" t="s">
        <v>47</v>
      </c>
      <c r="E985" s="3" t="s">
        <v>41</v>
      </c>
      <c r="F985" s="3" t="s">
        <v>119</v>
      </c>
      <c r="G985" s="3" t="s">
        <v>120</v>
      </c>
      <c r="H985" s="3">
        <v>1</v>
      </c>
      <c r="I985" s="7">
        <v>1348.47</v>
      </c>
      <c r="J985" s="9">
        <v>0.1</v>
      </c>
      <c r="K985" s="7">
        <v>1213.6199999999999</v>
      </c>
      <c r="L985" s="7">
        <v>340.39</v>
      </c>
      <c r="M985" s="3" t="s">
        <v>57</v>
      </c>
      <c r="N985" s="3"/>
      <c r="O985" s="3"/>
      <c r="P985" s="3"/>
      <c r="Q985" s="3"/>
    </row>
    <row r="986" spans="1:17" ht="21" customHeight="1">
      <c r="A986" s="3" t="s">
        <v>1598</v>
      </c>
      <c r="B986" s="5">
        <v>45569</v>
      </c>
      <c r="C986" s="3" t="s">
        <v>1599</v>
      </c>
      <c r="D986" s="3" t="s">
        <v>46</v>
      </c>
      <c r="E986" s="3" t="s">
        <v>40</v>
      </c>
      <c r="F986" s="3" t="s">
        <v>102</v>
      </c>
      <c r="G986" s="3" t="s">
        <v>146</v>
      </c>
      <c r="H986" s="3">
        <v>4</v>
      </c>
      <c r="I986" s="7">
        <v>7782.84</v>
      </c>
      <c r="J986" s="9">
        <v>0.25</v>
      </c>
      <c r="K986" s="7">
        <v>23348.52</v>
      </c>
      <c r="L986" s="7">
        <v>1741.84</v>
      </c>
      <c r="M986" s="3" t="s">
        <v>57</v>
      </c>
      <c r="N986" s="3"/>
      <c r="O986" s="3"/>
      <c r="P986" s="3"/>
      <c r="Q986" s="3"/>
    </row>
    <row r="987" spans="1:17" ht="21" customHeight="1">
      <c r="A987" s="3" t="s">
        <v>1600</v>
      </c>
      <c r="B987" s="5">
        <v>45569</v>
      </c>
      <c r="C987" s="3" t="s">
        <v>188</v>
      </c>
      <c r="D987" s="3" t="s">
        <v>44</v>
      </c>
      <c r="E987" s="3" t="s">
        <v>38</v>
      </c>
      <c r="F987" s="3" t="s">
        <v>94</v>
      </c>
      <c r="G987" s="3" t="s">
        <v>213</v>
      </c>
      <c r="H987" s="3">
        <v>3</v>
      </c>
      <c r="I987" s="7">
        <v>52541.01</v>
      </c>
      <c r="J987" s="9">
        <v>0.1</v>
      </c>
      <c r="K987" s="7">
        <v>141860.73000000001</v>
      </c>
      <c r="L987" s="7">
        <v>10977.27</v>
      </c>
      <c r="M987" s="3" t="s">
        <v>56</v>
      </c>
      <c r="N987" s="3"/>
      <c r="O987" s="3"/>
      <c r="P987" s="3"/>
      <c r="Q987" s="3"/>
    </row>
    <row r="988" spans="1:17" ht="21" customHeight="1">
      <c r="A988" s="3" t="s">
        <v>1601</v>
      </c>
      <c r="B988" s="5">
        <v>45569</v>
      </c>
      <c r="C988" s="3" t="s">
        <v>172</v>
      </c>
      <c r="D988" s="3" t="s">
        <v>45</v>
      </c>
      <c r="E988" s="3" t="s">
        <v>40</v>
      </c>
      <c r="F988" s="3" t="s">
        <v>102</v>
      </c>
      <c r="G988" s="3" t="s">
        <v>146</v>
      </c>
      <c r="H988" s="3">
        <v>1</v>
      </c>
      <c r="I988" s="7">
        <v>8301.94</v>
      </c>
      <c r="J988" s="9">
        <v>0</v>
      </c>
      <c r="K988" s="7">
        <v>8301.94</v>
      </c>
      <c r="L988" s="7">
        <v>2929.1</v>
      </c>
      <c r="M988" s="3" t="s">
        <v>60</v>
      </c>
      <c r="N988" s="3"/>
      <c r="O988" s="3"/>
      <c r="P988" s="3"/>
      <c r="Q988" s="3"/>
    </row>
    <row r="989" spans="1:17" ht="21" customHeight="1">
      <c r="A989" s="3" t="s">
        <v>1602</v>
      </c>
      <c r="B989" s="5">
        <v>45569</v>
      </c>
      <c r="C989" s="3" t="s">
        <v>487</v>
      </c>
      <c r="D989" s="3" t="s">
        <v>46</v>
      </c>
      <c r="E989" s="3" t="s">
        <v>38</v>
      </c>
      <c r="F989" s="3" t="s">
        <v>98</v>
      </c>
      <c r="G989" s="3" t="s">
        <v>362</v>
      </c>
      <c r="H989" s="3">
        <v>1</v>
      </c>
      <c r="I989" s="7">
        <v>34333.230000000003</v>
      </c>
      <c r="J989" s="9">
        <v>0.25</v>
      </c>
      <c r="K989" s="7">
        <v>25749.919999999998</v>
      </c>
      <c r="L989" s="7">
        <v>-2349.75</v>
      </c>
      <c r="M989" s="3" t="s">
        <v>56</v>
      </c>
      <c r="N989" s="3"/>
      <c r="O989" s="3"/>
      <c r="P989" s="3"/>
      <c r="Q989" s="3"/>
    </row>
    <row r="990" spans="1:17" ht="21" customHeight="1">
      <c r="A990" s="3" t="s">
        <v>1603</v>
      </c>
      <c r="B990" s="5">
        <v>45569</v>
      </c>
      <c r="C990" s="3" t="s">
        <v>1415</v>
      </c>
      <c r="D990" s="3" t="s">
        <v>47</v>
      </c>
      <c r="E990" s="3" t="s">
        <v>42</v>
      </c>
      <c r="F990" s="3" t="s">
        <v>90</v>
      </c>
      <c r="G990" s="3" t="s">
        <v>106</v>
      </c>
      <c r="H990" s="3">
        <v>2</v>
      </c>
      <c r="I990" s="7">
        <v>857</v>
      </c>
      <c r="J990" s="9">
        <v>0.05</v>
      </c>
      <c r="K990" s="7">
        <v>1628.3</v>
      </c>
      <c r="L990" s="7">
        <v>818.4</v>
      </c>
      <c r="M990" s="3" t="s">
        <v>57</v>
      </c>
      <c r="N990" s="3"/>
      <c r="O990" s="3"/>
      <c r="P990" s="3"/>
      <c r="Q990" s="3"/>
    </row>
    <row r="991" spans="1:17" ht="21" customHeight="1">
      <c r="A991" s="3" t="s">
        <v>1604</v>
      </c>
      <c r="B991" s="5">
        <v>45569</v>
      </c>
      <c r="C991" s="3" t="s">
        <v>1283</v>
      </c>
      <c r="D991" s="3" t="s">
        <v>46</v>
      </c>
      <c r="E991" s="3" t="s">
        <v>38</v>
      </c>
      <c r="F991" s="3" t="s">
        <v>142</v>
      </c>
      <c r="G991" s="3" t="s">
        <v>143</v>
      </c>
      <c r="H991" s="3">
        <v>3</v>
      </c>
      <c r="I991" s="7">
        <v>9435.56</v>
      </c>
      <c r="J991" s="9">
        <v>0.3</v>
      </c>
      <c r="K991" s="7">
        <v>19814.68</v>
      </c>
      <c r="L991" s="7">
        <v>-2811.57</v>
      </c>
      <c r="M991" s="3" t="s">
        <v>58</v>
      </c>
      <c r="N991" s="3"/>
      <c r="O991" s="3"/>
      <c r="P991" s="3"/>
      <c r="Q991" s="3"/>
    </row>
    <row r="992" spans="1:17" ht="21" customHeight="1">
      <c r="A992" s="3" t="s">
        <v>1605</v>
      </c>
      <c r="B992" s="5">
        <v>45569</v>
      </c>
      <c r="C992" s="3" t="s">
        <v>316</v>
      </c>
      <c r="D992" s="3" t="s">
        <v>45</v>
      </c>
      <c r="E992" s="3" t="s">
        <v>38</v>
      </c>
      <c r="F992" s="3" t="s">
        <v>98</v>
      </c>
      <c r="G992" s="3" t="s">
        <v>99</v>
      </c>
      <c r="H992" s="3">
        <v>2</v>
      </c>
      <c r="I992" s="7">
        <v>25476.69</v>
      </c>
      <c r="J992" s="9">
        <v>0</v>
      </c>
      <c r="K992" s="7">
        <v>50953.38</v>
      </c>
      <c r="L992" s="7">
        <v>10639.31</v>
      </c>
      <c r="M992" s="3" t="s">
        <v>56</v>
      </c>
      <c r="N992" s="3"/>
      <c r="O992" s="3"/>
      <c r="P992" s="3"/>
      <c r="Q992" s="3"/>
    </row>
    <row r="993" spans="1:17" ht="21" customHeight="1">
      <c r="A993" s="3" t="s">
        <v>1606</v>
      </c>
      <c r="B993" s="5">
        <v>45570</v>
      </c>
      <c r="C993" s="3" t="s">
        <v>795</v>
      </c>
      <c r="D993" s="3" t="s">
        <v>44</v>
      </c>
      <c r="E993" s="3" t="s">
        <v>38</v>
      </c>
      <c r="F993" s="3" t="s">
        <v>94</v>
      </c>
      <c r="G993" s="3" t="s">
        <v>95</v>
      </c>
      <c r="H993" s="3">
        <v>2</v>
      </c>
      <c r="I993" s="7">
        <v>76739.520000000004</v>
      </c>
      <c r="J993" s="9">
        <v>0.15</v>
      </c>
      <c r="K993" s="7">
        <v>130457.18</v>
      </c>
      <c r="L993" s="7">
        <v>4401.12</v>
      </c>
      <c r="M993" s="3" t="s">
        <v>57</v>
      </c>
      <c r="N993" s="3"/>
      <c r="O993" s="3"/>
      <c r="P993" s="3"/>
      <c r="Q993" s="3"/>
    </row>
    <row r="994" spans="1:17" ht="21" customHeight="1">
      <c r="A994" s="3" t="s">
        <v>1607</v>
      </c>
      <c r="B994" s="5">
        <v>45570</v>
      </c>
      <c r="C994" s="3" t="s">
        <v>775</v>
      </c>
      <c r="D994" s="3" t="s">
        <v>45</v>
      </c>
      <c r="E994" s="3" t="s">
        <v>39</v>
      </c>
      <c r="F994" s="3" t="s">
        <v>109</v>
      </c>
      <c r="G994" s="3" t="s">
        <v>110</v>
      </c>
      <c r="H994" s="3">
        <v>1</v>
      </c>
      <c r="I994" s="7">
        <v>3107.07</v>
      </c>
      <c r="J994" s="9">
        <v>0.1</v>
      </c>
      <c r="K994" s="7">
        <v>2796.36</v>
      </c>
      <c r="L994" s="7">
        <v>813.79</v>
      </c>
      <c r="M994" s="3" t="s">
        <v>60</v>
      </c>
      <c r="N994" s="3"/>
      <c r="O994" s="3"/>
      <c r="P994" s="3"/>
      <c r="Q994" s="3"/>
    </row>
    <row r="995" spans="1:17" ht="21" customHeight="1">
      <c r="A995" s="3" t="s">
        <v>1608</v>
      </c>
      <c r="B995" s="5">
        <v>45570</v>
      </c>
      <c r="C995" s="3" t="s">
        <v>1142</v>
      </c>
      <c r="D995" s="3" t="s">
        <v>46</v>
      </c>
      <c r="E995" s="3" t="s">
        <v>40</v>
      </c>
      <c r="F995" s="3" t="s">
        <v>102</v>
      </c>
      <c r="G995" s="3" t="s">
        <v>103</v>
      </c>
      <c r="H995" s="3">
        <v>1</v>
      </c>
      <c r="I995" s="7">
        <v>6292.6</v>
      </c>
      <c r="J995" s="9">
        <v>0.2</v>
      </c>
      <c r="K995" s="7">
        <v>5034.08</v>
      </c>
      <c r="L995" s="7">
        <v>418.67</v>
      </c>
      <c r="M995" s="3" t="s">
        <v>57</v>
      </c>
      <c r="N995" s="3"/>
      <c r="O995" s="3"/>
      <c r="P995" s="3"/>
      <c r="Q995" s="3"/>
    </row>
    <row r="996" spans="1:17" ht="21" customHeight="1">
      <c r="A996" s="3" t="s">
        <v>1609</v>
      </c>
      <c r="B996" s="5">
        <v>45570</v>
      </c>
      <c r="C996" s="3" t="s">
        <v>781</v>
      </c>
      <c r="D996" s="3" t="s">
        <v>47</v>
      </c>
      <c r="E996" s="3" t="s">
        <v>42</v>
      </c>
      <c r="F996" s="3" t="s">
        <v>90</v>
      </c>
      <c r="G996" s="3" t="s">
        <v>91</v>
      </c>
      <c r="H996" s="3">
        <v>1</v>
      </c>
      <c r="I996" s="7">
        <v>1232.8499999999999</v>
      </c>
      <c r="J996" s="9">
        <v>0</v>
      </c>
      <c r="K996" s="7">
        <v>1232.8499999999999</v>
      </c>
      <c r="L996" s="7">
        <v>659.16</v>
      </c>
      <c r="M996" s="3" t="s">
        <v>58</v>
      </c>
      <c r="N996" s="3"/>
      <c r="O996" s="3"/>
      <c r="P996" s="3"/>
      <c r="Q996" s="3"/>
    </row>
    <row r="997" spans="1:17" ht="21" customHeight="1">
      <c r="A997" s="3" t="s">
        <v>1610</v>
      </c>
      <c r="B997" s="5">
        <v>45570</v>
      </c>
      <c r="C997" s="3" t="s">
        <v>398</v>
      </c>
      <c r="D997" s="3" t="s">
        <v>46</v>
      </c>
      <c r="E997" s="3" t="s">
        <v>39</v>
      </c>
      <c r="F997" s="3" t="s">
        <v>164</v>
      </c>
      <c r="G997" s="3" t="s">
        <v>200</v>
      </c>
      <c r="H997" s="3">
        <v>2</v>
      </c>
      <c r="I997" s="7">
        <v>1330.94</v>
      </c>
      <c r="J997" s="9">
        <v>0</v>
      </c>
      <c r="K997" s="7">
        <v>2661.88</v>
      </c>
      <c r="L997" s="7">
        <v>1186.75</v>
      </c>
      <c r="M997" s="3" t="s">
        <v>58</v>
      </c>
      <c r="N997" s="3"/>
      <c r="O997" s="3"/>
      <c r="P997" s="3"/>
      <c r="Q997" s="3"/>
    </row>
    <row r="998" spans="1:17" ht="21" customHeight="1">
      <c r="A998" s="3" t="s">
        <v>1611</v>
      </c>
      <c r="B998" s="5">
        <v>45571</v>
      </c>
      <c r="C998" s="3" t="s">
        <v>1612</v>
      </c>
      <c r="D998" s="3" t="s">
        <v>46</v>
      </c>
      <c r="E998" s="3" t="s">
        <v>40</v>
      </c>
      <c r="F998" s="3" t="s">
        <v>160</v>
      </c>
      <c r="G998" s="3" t="s">
        <v>173</v>
      </c>
      <c r="H998" s="3">
        <v>1</v>
      </c>
      <c r="I998" s="7">
        <v>9201.66</v>
      </c>
      <c r="J998" s="9">
        <v>0.2</v>
      </c>
      <c r="K998" s="7">
        <v>7361.33</v>
      </c>
      <c r="L998" s="7">
        <v>605.70000000000005</v>
      </c>
      <c r="M998" s="3" t="s">
        <v>57</v>
      </c>
      <c r="N998" s="3"/>
      <c r="O998" s="3"/>
      <c r="P998" s="3"/>
      <c r="Q998" s="3"/>
    </row>
    <row r="999" spans="1:17" ht="21" customHeight="1">
      <c r="A999" s="3" t="s">
        <v>1613</v>
      </c>
      <c r="B999" s="5">
        <v>45571</v>
      </c>
      <c r="C999" s="3" t="s">
        <v>1031</v>
      </c>
      <c r="D999" s="3" t="s">
        <v>44</v>
      </c>
      <c r="E999" s="3" t="s">
        <v>41</v>
      </c>
      <c r="F999" s="3" t="s">
        <v>113</v>
      </c>
      <c r="G999" s="3" t="s">
        <v>114</v>
      </c>
      <c r="H999" s="3">
        <v>1</v>
      </c>
      <c r="I999" s="7">
        <v>11576.7</v>
      </c>
      <c r="J999" s="9">
        <v>0.15</v>
      </c>
      <c r="K999" s="7">
        <v>9840.19</v>
      </c>
      <c r="L999" s="7">
        <v>1923.45</v>
      </c>
      <c r="M999" s="3" t="s">
        <v>56</v>
      </c>
      <c r="N999" s="3"/>
      <c r="O999" s="3"/>
      <c r="P999" s="3"/>
      <c r="Q999" s="3"/>
    </row>
    <row r="1000" spans="1:17" ht="21" customHeight="1">
      <c r="A1000" s="3" t="s">
        <v>1614</v>
      </c>
      <c r="B1000" s="5">
        <v>45571</v>
      </c>
      <c r="C1000" s="3" t="s">
        <v>361</v>
      </c>
      <c r="D1000" s="3" t="s">
        <v>46</v>
      </c>
      <c r="E1000" s="3" t="s">
        <v>42</v>
      </c>
      <c r="F1000" s="3" t="s">
        <v>90</v>
      </c>
      <c r="G1000" s="3" t="s">
        <v>91</v>
      </c>
      <c r="H1000" s="3">
        <v>3</v>
      </c>
      <c r="I1000" s="7">
        <v>1207.46</v>
      </c>
      <c r="J1000" s="9">
        <v>0.05</v>
      </c>
      <c r="K1000" s="7">
        <v>3441.26</v>
      </c>
      <c r="L1000" s="7">
        <v>1794.96</v>
      </c>
      <c r="M1000" s="3" t="s">
        <v>56</v>
      </c>
      <c r="N1000" s="3"/>
      <c r="O1000" s="3"/>
      <c r="P1000" s="3"/>
      <c r="Q1000" s="3"/>
    </row>
    <row r="1001" spans="1:17" ht="21" customHeight="1">
      <c r="A1001" s="3" t="s">
        <v>1615</v>
      </c>
      <c r="B1001" s="5">
        <v>45571</v>
      </c>
      <c r="C1001" s="3" t="s">
        <v>370</v>
      </c>
      <c r="D1001" s="3" t="s">
        <v>47</v>
      </c>
      <c r="E1001" s="3" t="s">
        <v>38</v>
      </c>
      <c r="F1001" s="3" t="s">
        <v>142</v>
      </c>
      <c r="G1001" s="3" t="s">
        <v>245</v>
      </c>
      <c r="H1001" s="3">
        <v>1</v>
      </c>
      <c r="I1001" s="7">
        <v>4812.37</v>
      </c>
      <c r="J1001" s="9">
        <v>0.15</v>
      </c>
      <c r="K1001" s="7">
        <v>4090.51</v>
      </c>
      <c r="L1001" s="7">
        <v>108.52</v>
      </c>
      <c r="M1001" s="3" t="s">
        <v>57</v>
      </c>
      <c r="N1001" s="3"/>
      <c r="O1001" s="3"/>
      <c r="P1001" s="3"/>
      <c r="Q1001" s="3"/>
    </row>
    <row r="1002" spans="1:17" ht="21" customHeight="1">
      <c r="A1002" s="3" t="s">
        <v>1616</v>
      </c>
      <c r="B1002" s="5">
        <v>45571</v>
      </c>
      <c r="C1002" s="3" t="s">
        <v>839</v>
      </c>
      <c r="D1002" s="3" t="s">
        <v>44</v>
      </c>
      <c r="E1002" s="3" t="s">
        <v>39</v>
      </c>
      <c r="F1002" s="3" t="s">
        <v>130</v>
      </c>
      <c r="G1002" s="3" t="s">
        <v>131</v>
      </c>
      <c r="H1002" s="3">
        <v>1</v>
      </c>
      <c r="I1002" s="7">
        <v>2219.4899999999998</v>
      </c>
      <c r="J1002" s="9">
        <v>0.1</v>
      </c>
      <c r="K1002" s="7">
        <v>1997.54</v>
      </c>
      <c r="L1002" s="7">
        <v>671.75</v>
      </c>
      <c r="M1002" s="3" t="s">
        <v>56</v>
      </c>
      <c r="N1002" s="3"/>
      <c r="O1002" s="3"/>
      <c r="P1002" s="3"/>
      <c r="Q1002" s="3"/>
    </row>
    <row r="1003" spans="1:17" ht="21" customHeight="1">
      <c r="A1003" s="3" t="s">
        <v>1617</v>
      </c>
      <c r="B1003" s="5">
        <v>45571</v>
      </c>
      <c r="C1003" s="3" t="s">
        <v>408</v>
      </c>
      <c r="D1003" s="3" t="s">
        <v>44</v>
      </c>
      <c r="E1003" s="3" t="s">
        <v>42</v>
      </c>
      <c r="F1003" s="3" t="s">
        <v>126</v>
      </c>
      <c r="G1003" s="3" t="s">
        <v>127</v>
      </c>
      <c r="H1003" s="3">
        <v>1</v>
      </c>
      <c r="I1003" s="7">
        <v>987.86</v>
      </c>
      <c r="J1003" s="9">
        <v>0.15</v>
      </c>
      <c r="K1003" s="7">
        <v>839.68</v>
      </c>
      <c r="L1003" s="7">
        <v>311.63</v>
      </c>
      <c r="M1003" s="3" t="s">
        <v>57</v>
      </c>
      <c r="N1003" s="3"/>
      <c r="O1003" s="3"/>
      <c r="P1003" s="3"/>
      <c r="Q1003" s="3"/>
    </row>
    <row r="1004" spans="1:17" ht="21" customHeight="1">
      <c r="A1004" s="3" t="s">
        <v>1618</v>
      </c>
      <c r="B1004" s="5">
        <v>45572</v>
      </c>
      <c r="C1004" s="3" t="s">
        <v>1619</v>
      </c>
      <c r="D1004" s="3" t="s">
        <v>47</v>
      </c>
      <c r="E1004" s="3" t="s">
        <v>42</v>
      </c>
      <c r="F1004" s="3" t="s">
        <v>126</v>
      </c>
      <c r="G1004" s="3" t="s">
        <v>127</v>
      </c>
      <c r="H1004" s="3">
        <v>5</v>
      </c>
      <c r="I1004" s="7">
        <v>1048.21</v>
      </c>
      <c r="J1004" s="9">
        <v>0.05</v>
      </c>
      <c r="K1004" s="7">
        <v>4979</v>
      </c>
      <c r="L1004" s="7">
        <v>2347.89</v>
      </c>
      <c r="M1004" s="3" t="s">
        <v>56</v>
      </c>
      <c r="N1004" s="3"/>
      <c r="O1004" s="3"/>
      <c r="P1004" s="3"/>
      <c r="Q1004" s="3"/>
    </row>
    <row r="1005" spans="1:17" ht="21" customHeight="1">
      <c r="A1005" s="3" t="s">
        <v>1620</v>
      </c>
      <c r="B1005" s="5">
        <v>45572</v>
      </c>
      <c r="C1005" s="3" t="s">
        <v>412</v>
      </c>
      <c r="D1005" s="3" t="s">
        <v>46</v>
      </c>
      <c r="E1005" s="3" t="s">
        <v>39</v>
      </c>
      <c r="F1005" s="3" t="s">
        <v>109</v>
      </c>
      <c r="G1005" s="3" t="s">
        <v>110</v>
      </c>
      <c r="H1005" s="3">
        <v>1</v>
      </c>
      <c r="I1005" s="7">
        <v>3109.95</v>
      </c>
      <c r="J1005" s="9">
        <v>0.05</v>
      </c>
      <c r="K1005" s="7">
        <v>2954.45</v>
      </c>
      <c r="L1005" s="7">
        <v>1155.6300000000001</v>
      </c>
      <c r="M1005" s="3" t="s">
        <v>57</v>
      </c>
      <c r="N1005" s="3"/>
      <c r="O1005" s="3"/>
      <c r="P1005" s="3"/>
      <c r="Q1005" s="3"/>
    </row>
    <row r="1006" spans="1:17" ht="21" customHeight="1">
      <c r="A1006" s="3" t="s">
        <v>1621</v>
      </c>
      <c r="B1006" s="5">
        <v>45572</v>
      </c>
      <c r="C1006" s="3" t="s">
        <v>830</v>
      </c>
      <c r="D1006" s="3" t="s">
        <v>46</v>
      </c>
      <c r="E1006" s="3" t="s">
        <v>41</v>
      </c>
      <c r="F1006" s="3" t="s">
        <v>119</v>
      </c>
      <c r="G1006" s="3" t="s">
        <v>168</v>
      </c>
      <c r="H1006" s="3">
        <v>3</v>
      </c>
      <c r="I1006" s="7">
        <v>9589.68</v>
      </c>
      <c r="J1006" s="9">
        <v>0.1</v>
      </c>
      <c r="K1006" s="7">
        <v>25892.14</v>
      </c>
      <c r="L1006" s="7">
        <v>7784.76</v>
      </c>
      <c r="M1006" s="3" t="s">
        <v>56</v>
      </c>
      <c r="N1006" s="3"/>
      <c r="O1006" s="3"/>
      <c r="P1006" s="3"/>
      <c r="Q1006" s="3"/>
    </row>
    <row r="1007" spans="1:17" ht="21" customHeight="1">
      <c r="A1007" s="3" t="s">
        <v>1622</v>
      </c>
      <c r="B1007" s="5">
        <v>45572</v>
      </c>
      <c r="C1007" s="3" t="s">
        <v>805</v>
      </c>
      <c r="D1007" s="3" t="s">
        <v>45</v>
      </c>
      <c r="E1007" s="3" t="s">
        <v>38</v>
      </c>
      <c r="F1007" s="3" t="s">
        <v>98</v>
      </c>
      <c r="G1007" s="3" t="s">
        <v>99</v>
      </c>
      <c r="H1007" s="3">
        <v>1</v>
      </c>
      <c r="I1007" s="7">
        <v>24933.96</v>
      </c>
      <c r="J1007" s="9">
        <v>0.15</v>
      </c>
      <c r="K1007" s="7">
        <v>21193.87</v>
      </c>
      <c r="L1007" s="7">
        <v>-45.29</v>
      </c>
      <c r="M1007" s="3" t="s">
        <v>56</v>
      </c>
      <c r="N1007" s="3"/>
      <c r="O1007" s="3"/>
      <c r="P1007" s="3"/>
      <c r="Q1007" s="3"/>
    </row>
    <row r="1008" spans="1:17" ht="21" customHeight="1">
      <c r="A1008" s="3" t="s">
        <v>1623</v>
      </c>
      <c r="B1008" s="5">
        <v>45573</v>
      </c>
      <c r="C1008" s="3" t="s">
        <v>1624</v>
      </c>
      <c r="D1008" s="3" t="s">
        <v>45</v>
      </c>
      <c r="E1008" s="3" t="s">
        <v>42</v>
      </c>
      <c r="F1008" s="3" t="s">
        <v>126</v>
      </c>
      <c r="G1008" s="3" t="s">
        <v>151</v>
      </c>
      <c r="H1008" s="3">
        <v>3</v>
      </c>
      <c r="I1008" s="7">
        <v>1446.68</v>
      </c>
      <c r="J1008" s="9">
        <v>0.1</v>
      </c>
      <c r="K1008" s="7">
        <v>3906.04</v>
      </c>
      <c r="L1008" s="7">
        <v>1564.22</v>
      </c>
      <c r="M1008" s="3" t="s">
        <v>56</v>
      </c>
      <c r="N1008" s="3"/>
      <c r="O1008" s="3"/>
      <c r="P1008" s="3"/>
      <c r="Q1008" s="3"/>
    </row>
    <row r="1009" spans="1:17" ht="21" customHeight="1">
      <c r="A1009" s="3" t="s">
        <v>1625</v>
      </c>
      <c r="B1009" s="5">
        <v>45573</v>
      </c>
      <c r="C1009" s="3" t="s">
        <v>1427</v>
      </c>
      <c r="D1009" s="3" t="s">
        <v>47</v>
      </c>
      <c r="E1009" s="3" t="s">
        <v>41</v>
      </c>
      <c r="F1009" s="3" t="s">
        <v>119</v>
      </c>
      <c r="G1009" s="3" t="s">
        <v>120</v>
      </c>
      <c r="H1009" s="3">
        <v>3</v>
      </c>
      <c r="I1009" s="7">
        <v>1275.02</v>
      </c>
      <c r="J1009" s="9">
        <v>0.05</v>
      </c>
      <c r="K1009" s="7">
        <v>3633.81</v>
      </c>
      <c r="L1009" s="7">
        <v>1287.6400000000001</v>
      </c>
      <c r="M1009" s="3" t="s">
        <v>57</v>
      </c>
      <c r="N1009" s="3"/>
      <c r="O1009" s="3"/>
      <c r="P1009" s="3"/>
      <c r="Q1009" s="3"/>
    </row>
    <row r="1010" spans="1:17" ht="21" customHeight="1">
      <c r="A1010" s="3" t="s">
        <v>1626</v>
      </c>
      <c r="B1010" s="5">
        <v>45573</v>
      </c>
      <c r="C1010" s="3" t="s">
        <v>673</v>
      </c>
      <c r="D1010" s="3" t="s">
        <v>44</v>
      </c>
      <c r="E1010" s="3" t="s">
        <v>40</v>
      </c>
      <c r="F1010" s="3" t="s">
        <v>102</v>
      </c>
      <c r="G1010" s="3" t="s">
        <v>103</v>
      </c>
      <c r="H1010" s="3">
        <v>3</v>
      </c>
      <c r="I1010" s="7">
        <v>6782.03</v>
      </c>
      <c r="J1010" s="9">
        <v>0.15</v>
      </c>
      <c r="K1010" s="7">
        <v>17294.18</v>
      </c>
      <c r="L1010" s="7">
        <v>2333.69</v>
      </c>
      <c r="M1010" s="3" t="s">
        <v>56</v>
      </c>
      <c r="N1010" s="3"/>
      <c r="O1010" s="3"/>
      <c r="P1010" s="3"/>
      <c r="Q1010" s="3"/>
    </row>
    <row r="1011" spans="1:17" ht="21" customHeight="1">
      <c r="A1011" s="3" t="s">
        <v>1627</v>
      </c>
      <c r="B1011" s="5">
        <v>45573</v>
      </c>
      <c r="C1011" s="3" t="s">
        <v>1555</v>
      </c>
      <c r="D1011" s="3" t="s">
        <v>46</v>
      </c>
      <c r="E1011" s="3" t="s">
        <v>40</v>
      </c>
      <c r="F1011" s="3" t="s">
        <v>160</v>
      </c>
      <c r="G1011" s="3" t="s">
        <v>161</v>
      </c>
      <c r="H1011" s="3">
        <v>1</v>
      </c>
      <c r="I1011" s="7">
        <v>13058.83</v>
      </c>
      <c r="J1011" s="9">
        <v>0.05</v>
      </c>
      <c r="K1011" s="7">
        <v>12405.89</v>
      </c>
      <c r="L1011" s="7">
        <v>3215.61</v>
      </c>
      <c r="M1011" s="3" t="s">
        <v>56</v>
      </c>
      <c r="N1011" s="3"/>
      <c r="O1011" s="3"/>
      <c r="P1011" s="3"/>
      <c r="Q1011" s="3"/>
    </row>
    <row r="1012" spans="1:17" ht="21" customHeight="1">
      <c r="A1012" s="3" t="s">
        <v>1628</v>
      </c>
      <c r="B1012" s="5">
        <v>45573</v>
      </c>
      <c r="C1012" s="3" t="s">
        <v>1629</v>
      </c>
      <c r="D1012" s="3" t="s">
        <v>47</v>
      </c>
      <c r="E1012" s="3" t="s">
        <v>38</v>
      </c>
      <c r="F1012" s="3" t="s">
        <v>94</v>
      </c>
      <c r="G1012" s="3" t="s">
        <v>95</v>
      </c>
      <c r="H1012" s="3">
        <v>1</v>
      </c>
      <c r="I1012" s="7">
        <v>80187.399999999994</v>
      </c>
      <c r="J1012" s="9">
        <v>0.15</v>
      </c>
      <c r="K1012" s="7">
        <v>68159.289999999994</v>
      </c>
      <c r="L1012" s="7">
        <v>2202.4699999999998</v>
      </c>
      <c r="M1012" s="3" t="s">
        <v>56</v>
      </c>
      <c r="N1012" s="3"/>
      <c r="O1012" s="3"/>
      <c r="P1012" s="3"/>
      <c r="Q1012" s="3"/>
    </row>
    <row r="1013" spans="1:17" ht="21" customHeight="1">
      <c r="A1013" s="3" t="s">
        <v>1630</v>
      </c>
      <c r="B1013" s="5">
        <v>45574</v>
      </c>
      <c r="C1013" s="3" t="s">
        <v>1631</v>
      </c>
      <c r="D1013" s="3" t="s">
        <v>45</v>
      </c>
      <c r="E1013" s="3" t="s">
        <v>42</v>
      </c>
      <c r="F1013" s="3" t="s">
        <v>126</v>
      </c>
      <c r="G1013" s="3" t="s">
        <v>151</v>
      </c>
      <c r="H1013" s="3">
        <v>3</v>
      </c>
      <c r="I1013" s="7">
        <v>1460.59</v>
      </c>
      <c r="J1013" s="9">
        <v>0.4</v>
      </c>
      <c r="K1013" s="7">
        <v>2629.06</v>
      </c>
      <c r="L1013" s="7">
        <v>247.4</v>
      </c>
      <c r="M1013" s="3" t="s">
        <v>59</v>
      </c>
      <c r="N1013" s="3"/>
      <c r="O1013" s="3"/>
      <c r="P1013" s="3"/>
      <c r="Q1013" s="3"/>
    </row>
    <row r="1014" spans="1:17" ht="21" customHeight="1">
      <c r="A1014" s="3" t="s">
        <v>1632</v>
      </c>
      <c r="B1014" s="5">
        <v>45574</v>
      </c>
      <c r="C1014" s="3" t="s">
        <v>416</v>
      </c>
      <c r="D1014" s="3" t="s">
        <v>44</v>
      </c>
      <c r="E1014" s="3" t="s">
        <v>42</v>
      </c>
      <c r="F1014" s="3" t="s">
        <v>90</v>
      </c>
      <c r="G1014" s="3" t="s">
        <v>106</v>
      </c>
      <c r="H1014" s="3">
        <v>2</v>
      </c>
      <c r="I1014" s="7">
        <v>878.23</v>
      </c>
      <c r="J1014" s="9">
        <v>0</v>
      </c>
      <c r="K1014" s="7">
        <v>1756.46</v>
      </c>
      <c r="L1014" s="7">
        <v>933.51</v>
      </c>
      <c r="M1014" s="3" t="s">
        <v>56</v>
      </c>
      <c r="N1014" s="3"/>
      <c r="O1014" s="3"/>
      <c r="P1014" s="3"/>
      <c r="Q1014" s="3"/>
    </row>
    <row r="1015" spans="1:17" ht="21" customHeight="1">
      <c r="A1015" s="3" t="s">
        <v>1633</v>
      </c>
      <c r="B1015" s="5">
        <v>45574</v>
      </c>
      <c r="C1015" s="3" t="s">
        <v>481</v>
      </c>
      <c r="D1015" s="3" t="s">
        <v>47</v>
      </c>
      <c r="E1015" s="3" t="s">
        <v>39</v>
      </c>
      <c r="F1015" s="3" t="s">
        <v>164</v>
      </c>
      <c r="G1015" s="3" t="s">
        <v>200</v>
      </c>
      <c r="H1015" s="3">
        <v>3</v>
      </c>
      <c r="I1015" s="7">
        <v>1284.8399999999999</v>
      </c>
      <c r="J1015" s="9">
        <v>0.1</v>
      </c>
      <c r="K1015" s="7">
        <v>3469.07</v>
      </c>
      <c r="L1015" s="7">
        <v>972.97</v>
      </c>
      <c r="M1015" s="3" t="s">
        <v>56</v>
      </c>
      <c r="N1015" s="3"/>
      <c r="O1015" s="3"/>
      <c r="P1015" s="3"/>
      <c r="Q1015" s="3"/>
    </row>
    <row r="1016" spans="1:17" ht="21" customHeight="1">
      <c r="A1016" s="3" t="s">
        <v>1634</v>
      </c>
      <c r="B1016" s="5">
        <v>45574</v>
      </c>
      <c r="C1016" s="3" t="s">
        <v>426</v>
      </c>
      <c r="D1016" s="3" t="s">
        <v>44</v>
      </c>
      <c r="E1016" s="3" t="s">
        <v>41</v>
      </c>
      <c r="F1016" s="3" t="s">
        <v>113</v>
      </c>
      <c r="G1016" s="3" t="s">
        <v>114</v>
      </c>
      <c r="H1016" s="3">
        <v>2</v>
      </c>
      <c r="I1016" s="7">
        <v>11571.78</v>
      </c>
      <c r="J1016" s="9">
        <v>0.1</v>
      </c>
      <c r="K1016" s="7">
        <v>20829.2</v>
      </c>
      <c r="L1016" s="7">
        <v>5956.5</v>
      </c>
      <c r="M1016" s="3" t="s">
        <v>57</v>
      </c>
      <c r="N1016" s="3"/>
      <c r="O1016" s="3"/>
      <c r="P1016" s="3"/>
      <c r="Q1016" s="3"/>
    </row>
    <row r="1017" spans="1:17" ht="21" customHeight="1">
      <c r="A1017" s="3" t="s">
        <v>1635</v>
      </c>
      <c r="B1017" s="5">
        <v>45574</v>
      </c>
      <c r="C1017" s="3" t="s">
        <v>446</v>
      </c>
      <c r="D1017" s="3" t="s">
        <v>44</v>
      </c>
      <c r="E1017" s="3" t="s">
        <v>42</v>
      </c>
      <c r="F1017" s="3" t="s">
        <v>90</v>
      </c>
      <c r="G1017" s="3" t="s">
        <v>106</v>
      </c>
      <c r="H1017" s="3">
        <v>2</v>
      </c>
      <c r="I1017" s="7">
        <v>873.66</v>
      </c>
      <c r="J1017" s="9">
        <v>0.3</v>
      </c>
      <c r="K1017" s="7">
        <v>1223.1199999999999</v>
      </c>
      <c r="L1017" s="7">
        <v>294.2</v>
      </c>
      <c r="M1017" s="3" t="s">
        <v>56</v>
      </c>
      <c r="N1017" s="3"/>
      <c r="O1017" s="3"/>
      <c r="P1017" s="3"/>
      <c r="Q1017" s="3"/>
    </row>
    <row r="1018" spans="1:17" ht="21" customHeight="1">
      <c r="A1018" s="3" t="s">
        <v>1636</v>
      </c>
      <c r="B1018" s="5">
        <v>45574</v>
      </c>
      <c r="C1018" s="3" t="s">
        <v>1221</v>
      </c>
      <c r="D1018" s="3" t="s">
        <v>44</v>
      </c>
      <c r="E1018" s="3" t="s">
        <v>38</v>
      </c>
      <c r="F1018" s="3" t="s">
        <v>94</v>
      </c>
      <c r="G1018" s="3" t="s">
        <v>213</v>
      </c>
      <c r="H1018" s="3">
        <v>1</v>
      </c>
      <c r="I1018" s="7">
        <v>57561.63</v>
      </c>
      <c r="J1018" s="9">
        <v>0.1</v>
      </c>
      <c r="K1018" s="7">
        <v>51805.47</v>
      </c>
      <c r="L1018" s="7">
        <v>5238.1899999999996</v>
      </c>
      <c r="M1018" s="3" t="s">
        <v>57</v>
      </c>
      <c r="N1018" s="3"/>
      <c r="O1018" s="3"/>
      <c r="P1018" s="3"/>
      <c r="Q1018" s="3"/>
    </row>
    <row r="1019" spans="1:17" ht="21" customHeight="1">
      <c r="A1019" s="3" t="s">
        <v>1637</v>
      </c>
      <c r="B1019" s="5">
        <v>45575</v>
      </c>
      <c r="C1019" s="3" t="s">
        <v>1629</v>
      </c>
      <c r="D1019" s="3" t="s">
        <v>46</v>
      </c>
      <c r="E1019" s="3" t="s">
        <v>41</v>
      </c>
      <c r="F1019" s="3" t="s">
        <v>119</v>
      </c>
      <c r="G1019" s="3" t="s">
        <v>120</v>
      </c>
      <c r="H1019" s="3">
        <v>2</v>
      </c>
      <c r="I1019" s="7">
        <v>1294.71</v>
      </c>
      <c r="J1019" s="9">
        <v>0</v>
      </c>
      <c r="K1019" s="7">
        <v>2589.42</v>
      </c>
      <c r="L1019" s="7">
        <v>1074.3399999999999</v>
      </c>
      <c r="M1019" s="3" t="s">
        <v>59</v>
      </c>
      <c r="N1019" s="3"/>
      <c r="O1019" s="3"/>
      <c r="P1019" s="3"/>
      <c r="Q1019" s="3"/>
    </row>
    <row r="1020" spans="1:17" ht="21" customHeight="1">
      <c r="A1020" s="3" t="s">
        <v>1638</v>
      </c>
      <c r="B1020" s="5">
        <v>45575</v>
      </c>
      <c r="C1020" s="3" t="s">
        <v>1301</v>
      </c>
      <c r="D1020" s="3" t="s">
        <v>45</v>
      </c>
      <c r="E1020" s="3" t="s">
        <v>38</v>
      </c>
      <c r="F1020" s="3" t="s">
        <v>94</v>
      </c>
      <c r="G1020" s="3" t="s">
        <v>95</v>
      </c>
      <c r="H1020" s="3">
        <v>1</v>
      </c>
      <c r="I1020" s="7">
        <v>82428.52</v>
      </c>
      <c r="J1020" s="9">
        <v>0</v>
      </c>
      <c r="K1020" s="7">
        <v>82428.52</v>
      </c>
      <c r="L1020" s="7">
        <v>17658.2</v>
      </c>
      <c r="M1020" s="3" t="s">
        <v>60</v>
      </c>
      <c r="N1020" s="3"/>
      <c r="O1020" s="3"/>
      <c r="P1020" s="3"/>
      <c r="Q1020" s="3"/>
    </row>
    <row r="1021" spans="1:17" ht="21" customHeight="1">
      <c r="A1021" s="3" t="s">
        <v>1639</v>
      </c>
      <c r="B1021" s="5">
        <v>45575</v>
      </c>
      <c r="C1021" s="3" t="s">
        <v>1640</v>
      </c>
      <c r="D1021" s="3" t="s">
        <v>46</v>
      </c>
      <c r="E1021" s="3" t="s">
        <v>39</v>
      </c>
      <c r="F1021" s="3" t="s">
        <v>109</v>
      </c>
      <c r="G1021" s="3" t="s">
        <v>110</v>
      </c>
      <c r="H1021" s="3">
        <v>1</v>
      </c>
      <c r="I1021" s="7">
        <v>3033.83</v>
      </c>
      <c r="J1021" s="9">
        <v>0.05</v>
      </c>
      <c r="K1021" s="7">
        <v>2882.14</v>
      </c>
      <c r="L1021" s="7">
        <v>952.27</v>
      </c>
      <c r="M1021" s="3" t="s">
        <v>56</v>
      </c>
      <c r="N1021" s="3"/>
      <c r="O1021" s="3"/>
      <c r="P1021" s="3"/>
      <c r="Q1021" s="3"/>
    </row>
    <row r="1022" spans="1:17" ht="21" customHeight="1">
      <c r="A1022" s="3" t="s">
        <v>1641</v>
      </c>
      <c r="B1022" s="5">
        <v>45575</v>
      </c>
      <c r="C1022" s="3" t="s">
        <v>1301</v>
      </c>
      <c r="D1022" s="3" t="s">
        <v>46</v>
      </c>
      <c r="E1022" s="3" t="s">
        <v>38</v>
      </c>
      <c r="F1022" s="3" t="s">
        <v>142</v>
      </c>
      <c r="G1022" s="3" t="s">
        <v>245</v>
      </c>
      <c r="H1022" s="3">
        <v>3</v>
      </c>
      <c r="I1022" s="7">
        <v>5069.68</v>
      </c>
      <c r="J1022" s="9">
        <v>0.05</v>
      </c>
      <c r="K1022" s="7">
        <v>14448.59</v>
      </c>
      <c r="L1022" s="7">
        <v>2202.0100000000002</v>
      </c>
      <c r="M1022" s="3" t="s">
        <v>58</v>
      </c>
      <c r="N1022" s="3"/>
      <c r="O1022" s="3"/>
      <c r="P1022" s="3"/>
      <c r="Q1022" s="3"/>
    </row>
    <row r="1023" spans="1:17" ht="21" customHeight="1">
      <c r="A1023" s="3" t="s">
        <v>1642</v>
      </c>
      <c r="B1023" s="5">
        <v>45576</v>
      </c>
      <c r="C1023" s="3" t="s">
        <v>1424</v>
      </c>
      <c r="D1023" s="3" t="s">
        <v>46</v>
      </c>
      <c r="E1023" s="3" t="s">
        <v>42</v>
      </c>
      <c r="F1023" s="3" t="s">
        <v>126</v>
      </c>
      <c r="G1023" s="3" t="s">
        <v>127</v>
      </c>
      <c r="H1023" s="3">
        <v>1</v>
      </c>
      <c r="I1023" s="7">
        <v>994.38</v>
      </c>
      <c r="J1023" s="9">
        <v>0.1</v>
      </c>
      <c r="K1023" s="7">
        <v>894.94</v>
      </c>
      <c r="L1023" s="7">
        <v>385.14</v>
      </c>
      <c r="M1023" s="3" t="s">
        <v>56</v>
      </c>
      <c r="N1023" s="3"/>
      <c r="O1023" s="3"/>
      <c r="P1023" s="3"/>
      <c r="Q1023" s="3"/>
    </row>
    <row r="1024" spans="1:17" ht="21" customHeight="1">
      <c r="A1024" s="3" t="s">
        <v>1643</v>
      </c>
      <c r="B1024" s="5">
        <v>45576</v>
      </c>
      <c r="C1024" s="3" t="s">
        <v>471</v>
      </c>
      <c r="D1024" s="3" t="s">
        <v>47</v>
      </c>
      <c r="E1024" s="3" t="s">
        <v>41</v>
      </c>
      <c r="F1024" s="3" t="s">
        <v>113</v>
      </c>
      <c r="G1024" s="3" t="s">
        <v>114</v>
      </c>
      <c r="H1024" s="3">
        <v>1</v>
      </c>
      <c r="I1024" s="7">
        <v>12035.82</v>
      </c>
      <c r="J1024" s="9">
        <v>0.1</v>
      </c>
      <c r="K1024" s="7">
        <v>10832.24</v>
      </c>
      <c r="L1024" s="7">
        <v>3202.69</v>
      </c>
      <c r="M1024" s="3" t="s">
        <v>60</v>
      </c>
      <c r="N1024" s="3"/>
      <c r="O1024" s="3"/>
      <c r="P1024" s="3"/>
      <c r="Q1024" s="3"/>
    </row>
    <row r="1025" spans="1:17" ht="21" customHeight="1">
      <c r="A1025" s="3" t="s">
        <v>1644</v>
      </c>
      <c r="B1025" s="5">
        <v>45576</v>
      </c>
      <c r="C1025" s="3" t="s">
        <v>1645</v>
      </c>
      <c r="D1025" s="3" t="s">
        <v>44</v>
      </c>
      <c r="E1025" s="3" t="s">
        <v>39</v>
      </c>
      <c r="F1025" s="3" t="s">
        <v>164</v>
      </c>
      <c r="G1025" s="3" t="s">
        <v>200</v>
      </c>
      <c r="H1025" s="3">
        <v>1</v>
      </c>
      <c r="I1025" s="7">
        <v>1255.1500000000001</v>
      </c>
      <c r="J1025" s="9">
        <v>0.1</v>
      </c>
      <c r="K1025" s="7">
        <v>1129.6400000000001</v>
      </c>
      <c r="L1025" s="7">
        <v>389.67</v>
      </c>
      <c r="M1025" s="3" t="s">
        <v>59</v>
      </c>
      <c r="N1025" s="3"/>
      <c r="O1025" s="3"/>
      <c r="P1025" s="3"/>
      <c r="Q1025" s="3"/>
    </row>
    <row r="1026" spans="1:17" ht="21" customHeight="1">
      <c r="A1026" s="3" t="s">
        <v>1646</v>
      </c>
      <c r="B1026" s="5">
        <v>45576</v>
      </c>
      <c r="C1026" s="3" t="s">
        <v>1394</v>
      </c>
      <c r="D1026" s="3" t="s">
        <v>45</v>
      </c>
      <c r="E1026" s="3" t="s">
        <v>38</v>
      </c>
      <c r="F1026" s="3" t="s">
        <v>98</v>
      </c>
      <c r="G1026" s="3" t="s">
        <v>99</v>
      </c>
      <c r="H1026" s="3">
        <v>3</v>
      </c>
      <c r="I1026" s="7">
        <v>23870.32</v>
      </c>
      <c r="J1026" s="9">
        <v>0.05</v>
      </c>
      <c r="K1026" s="7">
        <v>68030.41</v>
      </c>
      <c r="L1026" s="7">
        <v>8940.36</v>
      </c>
      <c r="M1026" s="3" t="s">
        <v>56</v>
      </c>
      <c r="N1026" s="3"/>
      <c r="O1026" s="3"/>
      <c r="P1026" s="3"/>
      <c r="Q1026" s="3"/>
    </row>
    <row r="1027" spans="1:17" ht="21" customHeight="1">
      <c r="A1027" s="3" t="s">
        <v>1647</v>
      </c>
      <c r="B1027" s="5">
        <v>45577</v>
      </c>
      <c r="C1027" s="3" t="s">
        <v>295</v>
      </c>
      <c r="D1027" s="3" t="s">
        <v>46</v>
      </c>
      <c r="E1027" s="3" t="s">
        <v>41</v>
      </c>
      <c r="F1027" s="3" t="s">
        <v>119</v>
      </c>
      <c r="G1027" s="3" t="s">
        <v>120</v>
      </c>
      <c r="H1027" s="3">
        <v>2</v>
      </c>
      <c r="I1027" s="7">
        <v>1327.48</v>
      </c>
      <c r="J1027" s="9">
        <v>0.05</v>
      </c>
      <c r="K1027" s="7">
        <v>2522.21</v>
      </c>
      <c r="L1027" s="7">
        <v>780.99</v>
      </c>
      <c r="M1027" s="3" t="s">
        <v>58</v>
      </c>
      <c r="N1027" s="3"/>
      <c r="O1027" s="3"/>
      <c r="P1027" s="3"/>
      <c r="Q1027" s="3"/>
    </row>
    <row r="1028" spans="1:17" ht="21" customHeight="1">
      <c r="A1028" s="3" t="s">
        <v>1648</v>
      </c>
      <c r="B1028" s="5">
        <v>45577</v>
      </c>
      <c r="C1028" s="3" t="s">
        <v>1649</v>
      </c>
      <c r="D1028" s="3" t="s">
        <v>47</v>
      </c>
      <c r="E1028" s="3" t="s">
        <v>39</v>
      </c>
      <c r="F1028" s="3" t="s">
        <v>164</v>
      </c>
      <c r="G1028" s="3" t="s">
        <v>200</v>
      </c>
      <c r="H1028" s="3">
        <v>1</v>
      </c>
      <c r="I1028" s="7">
        <v>1349.06</v>
      </c>
      <c r="J1028" s="9">
        <v>0.05</v>
      </c>
      <c r="K1028" s="7">
        <v>1281.6099999999999</v>
      </c>
      <c r="L1028" s="7">
        <v>442.9</v>
      </c>
      <c r="M1028" s="3" t="s">
        <v>60</v>
      </c>
      <c r="N1028" s="3"/>
      <c r="O1028" s="3"/>
      <c r="P1028" s="3"/>
      <c r="Q1028" s="3"/>
    </row>
    <row r="1029" spans="1:17" ht="21" customHeight="1">
      <c r="A1029" s="3" t="s">
        <v>1650</v>
      </c>
      <c r="B1029" s="5">
        <v>45577</v>
      </c>
      <c r="C1029" s="3" t="s">
        <v>609</v>
      </c>
      <c r="D1029" s="3" t="s">
        <v>47</v>
      </c>
      <c r="E1029" s="3" t="s">
        <v>41</v>
      </c>
      <c r="F1029" s="3" t="s">
        <v>119</v>
      </c>
      <c r="G1029" s="3" t="s">
        <v>120</v>
      </c>
      <c r="H1029" s="3">
        <v>1</v>
      </c>
      <c r="I1029" s="7">
        <v>1251.23</v>
      </c>
      <c r="J1029" s="9">
        <v>0</v>
      </c>
      <c r="K1029" s="7">
        <v>1251.23</v>
      </c>
      <c r="L1029" s="7">
        <v>511.67</v>
      </c>
      <c r="M1029" s="3" t="s">
        <v>57</v>
      </c>
      <c r="N1029" s="3"/>
      <c r="O1029" s="3"/>
      <c r="P1029" s="3"/>
      <c r="Q1029" s="3"/>
    </row>
    <row r="1030" spans="1:17" ht="21" customHeight="1">
      <c r="A1030" s="3" t="s">
        <v>1651</v>
      </c>
      <c r="B1030" s="5">
        <v>45578</v>
      </c>
      <c r="C1030" s="3" t="s">
        <v>1193</v>
      </c>
      <c r="D1030" s="3" t="s">
        <v>44</v>
      </c>
      <c r="E1030" s="3" t="s">
        <v>40</v>
      </c>
      <c r="F1030" s="3" t="s">
        <v>221</v>
      </c>
      <c r="G1030" s="3" t="s">
        <v>222</v>
      </c>
      <c r="H1030" s="3">
        <v>1</v>
      </c>
      <c r="I1030" s="7">
        <v>1005.18</v>
      </c>
      <c r="J1030" s="9">
        <v>0</v>
      </c>
      <c r="K1030" s="7">
        <v>1005.18</v>
      </c>
      <c r="L1030" s="7">
        <v>320.64999999999998</v>
      </c>
      <c r="M1030" s="3" t="s">
        <v>56</v>
      </c>
      <c r="N1030" s="3"/>
      <c r="O1030" s="3"/>
      <c r="P1030" s="3"/>
      <c r="Q1030" s="3"/>
    </row>
    <row r="1031" spans="1:17" ht="21" customHeight="1">
      <c r="A1031" s="3" t="s">
        <v>1652</v>
      </c>
      <c r="B1031" s="5">
        <v>45578</v>
      </c>
      <c r="C1031" s="3" t="s">
        <v>391</v>
      </c>
      <c r="D1031" s="3" t="s">
        <v>45</v>
      </c>
      <c r="E1031" s="3" t="s">
        <v>39</v>
      </c>
      <c r="F1031" s="3" t="s">
        <v>130</v>
      </c>
      <c r="G1031" s="3" t="s">
        <v>131</v>
      </c>
      <c r="H1031" s="3">
        <v>4</v>
      </c>
      <c r="I1031" s="7">
        <v>2129.4899999999998</v>
      </c>
      <c r="J1031" s="9">
        <v>0.05</v>
      </c>
      <c r="K1031" s="7">
        <v>8092.06</v>
      </c>
      <c r="L1031" s="7">
        <v>2884.14</v>
      </c>
      <c r="M1031" s="3" t="s">
        <v>58</v>
      </c>
      <c r="N1031" s="3"/>
      <c r="O1031" s="3"/>
      <c r="P1031" s="3"/>
      <c r="Q1031" s="3"/>
    </row>
    <row r="1032" spans="1:17" ht="21" customHeight="1">
      <c r="A1032" s="3" t="s">
        <v>1653</v>
      </c>
      <c r="B1032" s="5">
        <v>45578</v>
      </c>
      <c r="C1032" s="3" t="s">
        <v>210</v>
      </c>
      <c r="D1032" s="3" t="s">
        <v>44</v>
      </c>
      <c r="E1032" s="3" t="s">
        <v>38</v>
      </c>
      <c r="F1032" s="3" t="s">
        <v>94</v>
      </c>
      <c r="G1032" s="3" t="s">
        <v>95</v>
      </c>
      <c r="H1032" s="3">
        <v>1</v>
      </c>
      <c r="I1032" s="7">
        <v>82917.31</v>
      </c>
      <c r="J1032" s="9">
        <v>0.05</v>
      </c>
      <c r="K1032" s="7">
        <v>78771.44</v>
      </c>
      <c r="L1032" s="7">
        <v>12665.43</v>
      </c>
      <c r="M1032" s="3" t="s">
        <v>56</v>
      </c>
      <c r="N1032" s="3"/>
      <c r="O1032" s="3"/>
      <c r="P1032" s="3"/>
      <c r="Q1032" s="3"/>
    </row>
    <row r="1033" spans="1:17" ht="21" customHeight="1">
      <c r="A1033" s="3" t="s">
        <v>1654</v>
      </c>
      <c r="B1033" s="5">
        <v>45578</v>
      </c>
      <c r="C1033" s="3" t="s">
        <v>718</v>
      </c>
      <c r="D1033" s="3" t="s">
        <v>45</v>
      </c>
      <c r="E1033" s="3" t="s">
        <v>42</v>
      </c>
      <c r="F1033" s="3" t="s">
        <v>126</v>
      </c>
      <c r="G1033" s="3" t="s">
        <v>127</v>
      </c>
      <c r="H1033" s="3">
        <v>5</v>
      </c>
      <c r="I1033" s="7">
        <v>1019.47</v>
      </c>
      <c r="J1033" s="9">
        <v>0.1</v>
      </c>
      <c r="K1033" s="7">
        <v>4587.62</v>
      </c>
      <c r="L1033" s="7">
        <v>1853.64</v>
      </c>
      <c r="M1033" s="3" t="s">
        <v>57</v>
      </c>
      <c r="N1033" s="3"/>
      <c r="O1033" s="3"/>
      <c r="P1033" s="3"/>
      <c r="Q1033" s="3"/>
    </row>
    <row r="1034" spans="1:17" ht="21" customHeight="1">
      <c r="A1034" s="3" t="s">
        <v>1655</v>
      </c>
      <c r="B1034" s="5">
        <v>45578</v>
      </c>
      <c r="C1034" s="3" t="s">
        <v>357</v>
      </c>
      <c r="D1034" s="3" t="s">
        <v>47</v>
      </c>
      <c r="E1034" s="3" t="s">
        <v>41</v>
      </c>
      <c r="F1034" s="3" t="s">
        <v>119</v>
      </c>
      <c r="G1034" s="3" t="s">
        <v>120</v>
      </c>
      <c r="H1034" s="3">
        <v>1</v>
      </c>
      <c r="I1034" s="7">
        <v>1265.49</v>
      </c>
      <c r="J1034" s="9">
        <v>0.05</v>
      </c>
      <c r="K1034" s="7">
        <v>1202.22</v>
      </c>
      <c r="L1034" s="7">
        <v>398.26</v>
      </c>
      <c r="M1034" s="3" t="s">
        <v>59</v>
      </c>
      <c r="N1034" s="3"/>
      <c r="O1034" s="3"/>
      <c r="P1034" s="3"/>
      <c r="Q1034" s="3"/>
    </row>
    <row r="1035" spans="1:17" ht="21" customHeight="1">
      <c r="A1035" s="3" t="s">
        <v>1656</v>
      </c>
      <c r="B1035" s="5">
        <v>45578</v>
      </c>
      <c r="C1035" s="3" t="s">
        <v>1044</v>
      </c>
      <c r="D1035" s="3" t="s">
        <v>44</v>
      </c>
      <c r="E1035" s="3" t="s">
        <v>39</v>
      </c>
      <c r="F1035" s="3" t="s">
        <v>109</v>
      </c>
      <c r="G1035" s="3" t="s">
        <v>110</v>
      </c>
      <c r="H1035" s="3">
        <v>3</v>
      </c>
      <c r="I1035" s="7">
        <v>3041.61</v>
      </c>
      <c r="J1035" s="9">
        <v>0.25</v>
      </c>
      <c r="K1035" s="7">
        <v>6843.62</v>
      </c>
      <c r="L1035" s="7">
        <v>976.3</v>
      </c>
      <c r="M1035" s="3" t="s">
        <v>56</v>
      </c>
      <c r="N1035" s="3"/>
      <c r="O1035" s="3"/>
      <c r="P1035" s="3"/>
      <c r="Q1035" s="3"/>
    </row>
    <row r="1036" spans="1:17" ht="21" customHeight="1">
      <c r="A1036" s="3" t="s">
        <v>1657</v>
      </c>
      <c r="B1036" s="5">
        <v>45578</v>
      </c>
      <c r="C1036" s="3" t="s">
        <v>1094</v>
      </c>
      <c r="D1036" s="3" t="s">
        <v>46</v>
      </c>
      <c r="E1036" s="3" t="s">
        <v>42</v>
      </c>
      <c r="F1036" s="3" t="s">
        <v>126</v>
      </c>
      <c r="G1036" s="3" t="s">
        <v>151</v>
      </c>
      <c r="H1036" s="3">
        <v>1</v>
      </c>
      <c r="I1036" s="7">
        <v>1553.35</v>
      </c>
      <c r="J1036" s="9">
        <v>0</v>
      </c>
      <c r="K1036" s="7">
        <v>1553.35</v>
      </c>
      <c r="L1036" s="7">
        <v>809.38</v>
      </c>
      <c r="M1036" s="3" t="s">
        <v>57</v>
      </c>
      <c r="N1036" s="3"/>
      <c r="O1036" s="3"/>
      <c r="P1036" s="3"/>
      <c r="Q1036" s="3"/>
    </row>
    <row r="1037" spans="1:17" ht="21" customHeight="1">
      <c r="A1037" s="3" t="s">
        <v>1658</v>
      </c>
      <c r="B1037" s="5">
        <v>45578</v>
      </c>
      <c r="C1037" s="3" t="s">
        <v>563</v>
      </c>
      <c r="D1037" s="3" t="s">
        <v>45</v>
      </c>
      <c r="E1037" s="3" t="s">
        <v>41</v>
      </c>
      <c r="F1037" s="3" t="s">
        <v>119</v>
      </c>
      <c r="G1037" s="3" t="s">
        <v>168</v>
      </c>
      <c r="H1037" s="3">
        <v>1</v>
      </c>
      <c r="I1037" s="7">
        <v>9524</v>
      </c>
      <c r="J1037" s="9">
        <v>0</v>
      </c>
      <c r="K1037" s="7">
        <v>9524</v>
      </c>
      <c r="L1037" s="7">
        <v>3865.7</v>
      </c>
      <c r="M1037" s="3" t="s">
        <v>59</v>
      </c>
      <c r="N1037" s="3"/>
      <c r="O1037" s="3"/>
      <c r="P1037" s="3"/>
      <c r="Q1037" s="3"/>
    </row>
    <row r="1038" spans="1:17" ht="21" customHeight="1">
      <c r="A1038" s="3" t="s">
        <v>1659</v>
      </c>
      <c r="B1038" s="5">
        <v>45578</v>
      </c>
      <c r="C1038" s="3" t="s">
        <v>1301</v>
      </c>
      <c r="D1038" s="3" t="s">
        <v>46</v>
      </c>
      <c r="E1038" s="3" t="s">
        <v>39</v>
      </c>
      <c r="F1038" s="3" t="s">
        <v>164</v>
      </c>
      <c r="G1038" s="3" t="s">
        <v>165</v>
      </c>
      <c r="H1038" s="3">
        <v>1</v>
      </c>
      <c r="I1038" s="7">
        <v>1905.27</v>
      </c>
      <c r="J1038" s="9">
        <v>0.2</v>
      </c>
      <c r="K1038" s="7">
        <v>1524.22</v>
      </c>
      <c r="L1038" s="7">
        <v>307.02</v>
      </c>
      <c r="M1038" s="3" t="s">
        <v>56</v>
      </c>
      <c r="N1038" s="3"/>
      <c r="O1038" s="3"/>
      <c r="P1038" s="3"/>
      <c r="Q1038" s="3"/>
    </row>
    <row r="1039" spans="1:17" ht="21" customHeight="1">
      <c r="A1039" s="3" t="s">
        <v>1660</v>
      </c>
      <c r="B1039" s="5">
        <v>45579</v>
      </c>
      <c r="C1039" s="3" t="s">
        <v>509</v>
      </c>
      <c r="D1039" s="3" t="s">
        <v>44</v>
      </c>
      <c r="E1039" s="3" t="s">
        <v>41</v>
      </c>
      <c r="F1039" s="3" t="s">
        <v>119</v>
      </c>
      <c r="G1039" s="3" t="s">
        <v>120</v>
      </c>
      <c r="H1039" s="3">
        <v>1</v>
      </c>
      <c r="I1039" s="7">
        <v>1252.47</v>
      </c>
      <c r="J1039" s="9">
        <v>0.1</v>
      </c>
      <c r="K1039" s="7">
        <v>1127.22</v>
      </c>
      <c r="L1039" s="7">
        <v>264.16000000000003</v>
      </c>
      <c r="M1039" s="3" t="s">
        <v>56</v>
      </c>
      <c r="N1039" s="3"/>
      <c r="O1039" s="3"/>
      <c r="P1039" s="3"/>
      <c r="Q1039" s="3"/>
    </row>
    <row r="1040" spans="1:17" ht="21" customHeight="1">
      <c r="A1040" s="3" t="s">
        <v>1661</v>
      </c>
      <c r="B1040" s="5">
        <v>45579</v>
      </c>
      <c r="C1040" s="3" t="s">
        <v>1619</v>
      </c>
      <c r="D1040" s="3" t="s">
        <v>45</v>
      </c>
      <c r="E1040" s="3" t="s">
        <v>39</v>
      </c>
      <c r="F1040" s="3" t="s">
        <v>164</v>
      </c>
      <c r="G1040" s="3" t="s">
        <v>165</v>
      </c>
      <c r="H1040" s="3">
        <v>1</v>
      </c>
      <c r="I1040" s="7">
        <v>2022.65</v>
      </c>
      <c r="J1040" s="9">
        <v>0.1</v>
      </c>
      <c r="K1040" s="7">
        <v>1820.39</v>
      </c>
      <c r="L1040" s="7">
        <v>505.45</v>
      </c>
      <c r="M1040" s="3" t="s">
        <v>57</v>
      </c>
      <c r="N1040" s="3"/>
      <c r="O1040" s="3"/>
      <c r="P1040" s="3"/>
      <c r="Q1040" s="3"/>
    </row>
    <row r="1041" spans="1:17" ht="21" customHeight="1">
      <c r="A1041" s="3" t="s">
        <v>1662</v>
      </c>
      <c r="B1041" s="5">
        <v>45579</v>
      </c>
      <c r="C1041" s="3" t="s">
        <v>1663</v>
      </c>
      <c r="D1041" s="3" t="s">
        <v>46</v>
      </c>
      <c r="E1041" s="3" t="s">
        <v>41</v>
      </c>
      <c r="F1041" s="3" t="s">
        <v>119</v>
      </c>
      <c r="G1041" s="3" t="s">
        <v>120</v>
      </c>
      <c r="H1041" s="3">
        <v>1</v>
      </c>
      <c r="I1041" s="7">
        <v>1287.6199999999999</v>
      </c>
      <c r="J1041" s="9">
        <v>0.2</v>
      </c>
      <c r="K1041" s="7">
        <v>1030.0999999999999</v>
      </c>
      <c r="L1041" s="7">
        <v>193.49</v>
      </c>
      <c r="M1041" s="3" t="s">
        <v>56</v>
      </c>
      <c r="N1041" s="3"/>
      <c r="O1041" s="3"/>
      <c r="P1041" s="3"/>
      <c r="Q1041" s="3"/>
    </row>
    <row r="1042" spans="1:17" ht="21" customHeight="1">
      <c r="A1042" s="3" t="s">
        <v>1664</v>
      </c>
      <c r="B1042" s="5">
        <v>45579</v>
      </c>
      <c r="C1042" s="3" t="s">
        <v>944</v>
      </c>
      <c r="D1042" s="3" t="s">
        <v>44</v>
      </c>
      <c r="E1042" s="3" t="s">
        <v>41</v>
      </c>
      <c r="F1042" s="3" t="s">
        <v>113</v>
      </c>
      <c r="G1042" s="3" t="s">
        <v>123</v>
      </c>
      <c r="H1042" s="3">
        <v>3</v>
      </c>
      <c r="I1042" s="7">
        <v>3429.09</v>
      </c>
      <c r="J1042" s="9">
        <v>0</v>
      </c>
      <c r="K1042" s="7">
        <v>10287.27</v>
      </c>
      <c r="L1042" s="7">
        <v>4291.09</v>
      </c>
      <c r="M1042" s="3" t="s">
        <v>56</v>
      </c>
      <c r="N1042" s="3"/>
      <c r="O1042" s="3"/>
      <c r="P1042" s="3"/>
      <c r="Q1042" s="3"/>
    </row>
    <row r="1043" spans="1:17" ht="21" customHeight="1">
      <c r="A1043" s="3" t="s">
        <v>1665</v>
      </c>
      <c r="B1043" s="5">
        <v>45579</v>
      </c>
      <c r="C1043" s="3" t="s">
        <v>932</v>
      </c>
      <c r="D1043" s="3" t="s">
        <v>44</v>
      </c>
      <c r="E1043" s="3" t="s">
        <v>41</v>
      </c>
      <c r="F1043" s="3" t="s">
        <v>113</v>
      </c>
      <c r="G1043" s="3" t="s">
        <v>123</v>
      </c>
      <c r="H1043" s="3">
        <v>1</v>
      </c>
      <c r="I1043" s="7">
        <v>3452.94</v>
      </c>
      <c r="J1043" s="9">
        <v>0</v>
      </c>
      <c r="K1043" s="7">
        <v>3452.94</v>
      </c>
      <c r="L1043" s="7">
        <v>1325.65</v>
      </c>
      <c r="M1043" s="3" t="s">
        <v>60</v>
      </c>
      <c r="N1043" s="3"/>
      <c r="O1043" s="3"/>
      <c r="P1043" s="3"/>
      <c r="Q1043" s="3"/>
    </row>
    <row r="1044" spans="1:17" ht="21" customHeight="1">
      <c r="A1044" s="3" t="s">
        <v>1666</v>
      </c>
      <c r="B1044" s="5">
        <v>45579</v>
      </c>
      <c r="C1044" s="3" t="s">
        <v>970</v>
      </c>
      <c r="D1044" s="3" t="s">
        <v>45</v>
      </c>
      <c r="E1044" s="3" t="s">
        <v>42</v>
      </c>
      <c r="F1044" s="3" t="s">
        <v>90</v>
      </c>
      <c r="G1044" s="3" t="s">
        <v>106</v>
      </c>
      <c r="H1044" s="3">
        <v>1</v>
      </c>
      <c r="I1044" s="7">
        <v>917.77</v>
      </c>
      <c r="J1044" s="9">
        <v>0</v>
      </c>
      <c r="K1044" s="7">
        <v>917.77</v>
      </c>
      <c r="L1044" s="7">
        <v>515.64</v>
      </c>
      <c r="M1044" s="3" t="s">
        <v>56</v>
      </c>
      <c r="N1044" s="3"/>
      <c r="O1044" s="3"/>
      <c r="P1044" s="3"/>
      <c r="Q1044" s="3"/>
    </row>
    <row r="1045" spans="1:17" ht="21" customHeight="1">
      <c r="A1045" s="3" t="s">
        <v>1667</v>
      </c>
      <c r="B1045" s="5">
        <v>45580</v>
      </c>
      <c r="C1045" s="3" t="s">
        <v>257</v>
      </c>
      <c r="D1045" s="3" t="s">
        <v>45</v>
      </c>
      <c r="E1045" s="3" t="s">
        <v>41</v>
      </c>
      <c r="F1045" s="3" t="s">
        <v>119</v>
      </c>
      <c r="G1045" s="3" t="s">
        <v>120</v>
      </c>
      <c r="H1045" s="3">
        <v>3</v>
      </c>
      <c r="I1045" s="7">
        <v>1287.83</v>
      </c>
      <c r="J1045" s="9">
        <v>0.4</v>
      </c>
      <c r="K1045" s="7">
        <v>2318.09</v>
      </c>
      <c r="L1045" s="7">
        <v>-216.27</v>
      </c>
      <c r="M1045" s="3" t="s">
        <v>57</v>
      </c>
      <c r="N1045" s="3"/>
      <c r="O1045" s="3"/>
      <c r="P1045" s="3"/>
      <c r="Q1045" s="3"/>
    </row>
    <row r="1046" spans="1:17" ht="21" customHeight="1">
      <c r="A1046" s="3" t="s">
        <v>1668</v>
      </c>
      <c r="B1046" s="5">
        <v>45580</v>
      </c>
      <c r="C1046" s="3" t="s">
        <v>454</v>
      </c>
      <c r="D1046" s="3" t="s">
        <v>45</v>
      </c>
      <c r="E1046" s="3" t="s">
        <v>39</v>
      </c>
      <c r="F1046" s="3" t="s">
        <v>164</v>
      </c>
      <c r="G1046" s="3" t="s">
        <v>200</v>
      </c>
      <c r="H1046" s="3">
        <v>2</v>
      </c>
      <c r="I1046" s="7">
        <v>1310.03</v>
      </c>
      <c r="J1046" s="9">
        <v>0.15</v>
      </c>
      <c r="K1046" s="7">
        <v>2227.0500000000002</v>
      </c>
      <c r="L1046" s="7">
        <v>584.71</v>
      </c>
      <c r="M1046" s="3" t="s">
        <v>58</v>
      </c>
      <c r="N1046" s="3"/>
      <c r="O1046" s="3"/>
      <c r="P1046" s="3"/>
      <c r="Q1046" s="3"/>
    </row>
    <row r="1047" spans="1:17" ht="21" customHeight="1">
      <c r="A1047" s="3" t="s">
        <v>1669</v>
      </c>
      <c r="B1047" s="5">
        <v>45580</v>
      </c>
      <c r="C1047" s="3" t="s">
        <v>118</v>
      </c>
      <c r="D1047" s="3" t="s">
        <v>44</v>
      </c>
      <c r="E1047" s="3" t="s">
        <v>40</v>
      </c>
      <c r="F1047" s="3" t="s">
        <v>221</v>
      </c>
      <c r="G1047" s="3" t="s">
        <v>279</v>
      </c>
      <c r="H1047" s="3">
        <v>1</v>
      </c>
      <c r="I1047" s="7">
        <v>1548.95</v>
      </c>
      <c r="J1047" s="9">
        <v>0.1</v>
      </c>
      <c r="K1047" s="7">
        <v>1394.06</v>
      </c>
      <c r="L1047" s="7">
        <v>317.20999999999998</v>
      </c>
      <c r="M1047" s="3" t="s">
        <v>57</v>
      </c>
      <c r="N1047" s="3"/>
      <c r="O1047" s="3"/>
      <c r="P1047" s="3"/>
      <c r="Q1047" s="3"/>
    </row>
    <row r="1048" spans="1:17" ht="21" customHeight="1">
      <c r="A1048" s="3" t="s">
        <v>1670</v>
      </c>
      <c r="B1048" s="5">
        <v>45581</v>
      </c>
      <c r="C1048" s="3" t="s">
        <v>715</v>
      </c>
      <c r="D1048" s="3" t="s">
        <v>46</v>
      </c>
      <c r="E1048" s="3" t="s">
        <v>38</v>
      </c>
      <c r="F1048" s="3" t="s">
        <v>142</v>
      </c>
      <c r="G1048" s="3" t="s">
        <v>245</v>
      </c>
      <c r="H1048" s="3">
        <v>1</v>
      </c>
      <c r="I1048" s="7">
        <v>5244.44</v>
      </c>
      <c r="J1048" s="9">
        <v>0.15</v>
      </c>
      <c r="K1048" s="7">
        <v>4457.7700000000004</v>
      </c>
      <c r="L1048" s="7">
        <v>42.02</v>
      </c>
      <c r="M1048" s="3" t="s">
        <v>56</v>
      </c>
      <c r="N1048" s="3"/>
      <c r="O1048" s="3"/>
      <c r="P1048" s="3"/>
      <c r="Q1048" s="3"/>
    </row>
    <row r="1049" spans="1:17" ht="21" customHeight="1">
      <c r="A1049" s="3" t="s">
        <v>1671</v>
      </c>
      <c r="B1049" s="5">
        <v>45581</v>
      </c>
      <c r="C1049" s="3" t="s">
        <v>359</v>
      </c>
      <c r="D1049" s="3" t="s">
        <v>44</v>
      </c>
      <c r="E1049" s="3" t="s">
        <v>38</v>
      </c>
      <c r="F1049" s="3" t="s">
        <v>142</v>
      </c>
      <c r="G1049" s="3" t="s">
        <v>143</v>
      </c>
      <c r="H1049" s="3">
        <v>4</v>
      </c>
      <c r="I1049" s="7">
        <v>9182.3700000000008</v>
      </c>
      <c r="J1049" s="9">
        <v>0.1</v>
      </c>
      <c r="K1049" s="7">
        <v>33056.53</v>
      </c>
      <c r="L1049" s="7">
        <v>1875.32</v>
      </c>
      <c r="M1049" s="3" t="s">
        <v>56</v>
      </c>
      <c r="N1049" s="3"/>
      <c r="O1049" s="3"/>
      <c r="P1049" s="3"/>
      <c r="Q1049" s="3"/>
    </row>
    <row r="1050" spans="1:17" ht="21" customHeight="1">
      <c r="A1050" s="3" t="s">
        <v>1672</v>
      </c>
      <c r="B1050" s="5">
        <v>45581</v>
      </c>
      <c r="C1050" s="3" t="s">
        <v>974</v>
      </c>
      <c r="D1050" s="3" t="s">
        <v>44</v>
      </c>
      <c r="E1050" s="3" t="s">
        <v>40</v>
      </c>
      <c r="F1050" s="3" t="s">
        <v>221</v>
      </c>
      <c r="G1050" s="3" t="s">
        <v>279</v>
      </c>
      <c r="H1050" s="3">
        <v>2</v>
      </c>
      <c r="I1050" s="7">
        <v>1524.98</v>
      </c>
      <c r="J1050" s="9">
        <v>0</v>
      </c>
      <c r="K1050" s="7">
        <v>3049.96</v>
      </c>
      <c r="L1050" s="7">
        <v>897.34</v>
      </c>
      <c r="M1050" s="3" t="s">
        <v>57</v>
      </c>
      <c r="N1050" s="3"/>
      <c r="O1050" s="3"/>
      <c r="P1050" s="3"/>
      <c r="Q1050" s="3"/>
    </row>
    <row r="1051" spans="1:17" ht="21" customHeight="1">
      <c r="A1051" s="3" t="s">
        <v>1673</v>
      </c>
      <c r="B1051" s="5">
        <v>45581</v>
      </c>
      <c r="C1051" s="3" t="s">
        <v>1674</v>
      </c>
      <c r="D1051" s="3" t="s">
        <v>47</v>
      </c>
      <c r="E1051" s="3" t="s">
        <v>40</v>
      </c>
      <c r="F1051" s="3" t="s">
        <v>102</v>
      </c>
      <c r="G1051" s="3" t="s">
        <v>103</v>
      </c>
      <c r="H1051" s="3">
        <v>2</v>
      </c>
      <c r="I1051" s="7">
        <v>6823.58</v>
      </c>
      <c r="J1051" s="9">
        <v>0</v>
      </c>
      <c r="K1051" s="7">
        <v>13647.16</v>
      </c>
      <c r="L1051" s="7">
        <v>5012.8599999999997</v>
      </c>
      <c r="M1051" s="3" t="s">
        <v>57</v>
      </c>
      <c r="N1051" s="3"/>
      <c r="O1051" s="3"/>
      <c r="P1051" s="3"/>
      <c r="Q1051" s="3"/>
    </row>
    <row r="1052" spans="1:17" ht="21" customHeight="1">
      <c r="A1052" s="3" t="s">
        <v>1675</v>
      </c>
      <c r="B1052" s="5">
        <v>45581</v>
      </c>
      <c r="C1052" s="3" t="s">
        <v>846</v>
      </c>
      <c r="D1052" s="3" t="s">
        <v>45</v>
      </c>
      <c r="E1052" s="3" t="s">
        <v>40</v>
      </c>
      <c r="F1052" s="3" t="s">
        <v>160</v>
      </c>
      <c r="G1052" s="3" t="s">
        <v>173</v>
      </c>
      <c r="H1052" s="3">
        <v>1</v>
      </c>
      <c r="I1052" s="7">
        <v>9209.86</v>
      </c>
      <c r="J1052" s="9">
        <v>0.15</v>
      </c>
      <c r="K1052" s="7">
        <v>7828.38</v>
      </c>
      <c r="L1052" s="7">
        <v>1519.43</v>
      </c>
      <c r="M1052" s="3" t="s">
        <v>56</v>
      </c>
      <c r="N1052" s="3"/>
      <c r="O1052" s="3"/>
      <c r="P1052" s="3"/>
      <c r="Q1052" s="3"/>
    </row>
    <row r="1053" spans="1:17" ht="21" customHeight="1">
      <c r="A1053" s="3" t="s">
        <v>1676</v>
      </c>
      <c r="B1053" s="5">
        <v>45581</v>
      </c>
      <c r="C1053" s="3" t="s">
        <v>500</v>
      </c>
      <c r="D1053" s="3" t="s">
        <v>45</v>
      </c>
      <c r="E1053" s="3" t="s">
        <v>38</v>
      </c>
      <c r="F1053" s="3" t="s">
        <v>142</v>
      </c>
      <c r="G1053" s="3" t="s">
        <v>143</v>
      </c>
      <c r="H1053" s="3">
        <v>1</v>
      </c>
      <c r="I1053" s="7">
        <v>9440.23</v>
      </c>
      <c r="J1053" s="9">
        <v>0.1</v>
      </c>
      <c r="K1053" s="7">
        <v>8496.2099999999991</v>
      </c>
      <c r="L1053" s="7">
        <v>727.42</v>
      </c>
      <c r="M1053" s="3" t="s">
        <v>57</v>
      </c>
      <c r="N1053" s="3"/>
      <c r="O1053" s="3"/>
      <c r="P1053" s="3"/>
      <c r="Q1053" s="3"/>
    </row>
    <row r="1054" spans="1:17" ht="21" customHeight="1">
      <c r="A1054" s="3" t="s">
        <v>1677</v>
      </c>
      <c r="B1054" s="5">
        <v>45582</v>
      </c>
      <c r="C1054" s="3" t="s">
        <v>122</v>
      </c>
      <c r="D1054" s="3" t="s">
        <v>45</v>
      </c>
      <c r="E1054" s="3" t="s">
        <v>41</v>
      </c>
      <c r="F1054" s="3" t="s">
        <v>119</v>
      </c>
      <c r="G1054" s="3" t="s">
        <v>120</v>
      </c>
      <c r="H1054" s="3">
        <v>1</v>
      </c>
      <c r="I1054" s="7">
        <v>1319.11</v>
      </c>
      <c r="J1054" s="9">
        <v>0</v>
      </c>
      <c r="K1054" s="7">
        <v>1319.11</v>
      </c>
      <c r="L1054" s="7">
        <v>541.94000000000005</v>
      </c>
      <c r="M1054" s="3" t="s">
        <v>56</v>
      </c>
      <c r="N1054" s="3"/>
      <c r="O1054" s="3"/>
      <c r="P1054" s="3"/>
      <c r="Q1054" s="3"/>
    </row>
    <row r="1055" spans="1:17" ht="21" customHeight="1">
      <c r="A1055" s="3" t="s">
        <v>1678</v>
      </c>
      <c r="B1055" s="5">
        <v>45582</v>
      </c>
      <c r="C1055" s="3" t="s">
        <v>726</v>
      </c>
      <c r="D1055" s="3" t="s">
        <v>45</v>
      </c>
      <c r="E1055" s="3" t="s">
        <v>42</v>
      </c>
      <c r="F1055" s="3" t="s">
        <v>90</v>
      </c>
      <c r="G1055" s="3" t="s">
        <v>91</v>
      </c>
      <c r="H1055" s="3">
        <v>2</v>
      </c>
      <c r="I1055" s="7">
        <v>1205.8499999999999</v>
      </c>
      <c r="J1055" s="9">
        <v>0.15</v>
      </c>
      <c r="K1055" s="7">
        <v>2049.94</v>
      </c>
      <c r="L1055" s="7">
        <v>698.51</v>
      </c>
      <c r="M1055" s="3" t="s">
        <v>56</v>
      </c>
      <c r="N1055" s="3"/>
      <c r="O1055" s="3"/>
      <c r="P1055" s="3"/>
      <c r="Q1055" s="3"/>
    </row>
    <row r="1056" spans="1:17" ht="21" customHeight="1">
      <c r="A1056" s="3" t="s">
        <v>1679</v>
      </c>
      <c r="B1056" s="5">
        <v>45582</v>
      </c>
      <c r="C1056" s="3" t="s">
        <v>1293</v>
      </c>
      <c r="D1056" s="3" t="s">
        <v>47</v>
      </c>
      <c r="E1056" s="3" t="s">
        <v>41</v>
      </c>
      <c r="F1056" s="3" t="s">
        <v>119</v>
      </c>
      <c r="G1056" s="3" t="s">
        <v>120</v>
      </c>
      <c r="H1056" s="3">
        <v>2</v>
      </c>
      <c r="I1056" s="7">
        <v>1279.73</v>
      </c>
      <c r="J1056" s="9">
        <v>0</v>
      </c>
      <c r="K1056" s="7">
        <v>2559.46</v>
      </c>
      <c r="L1056" s="7">
        <v>958.58</v>
      </c>
      <c r="M1056" s="3" t="s">
        <v>56</v>
      </c>
      <c r="N1056" s="3"/>
      <c r="O1056" s="3"/>
      <c r="P1056" s="3"/>
      <c r="Q1056" s="3"/>
    </row>
    <row r="1057" spans="1:17" ht="21" customHeight="1">
      <c r="A1057" s="3" t="s">
        <v>1680</v>
      </c>
      <c r="B1057" s="5">
        <v>45582</v>
      </c>
      <c r="C1057" s="3" t="s">
        <v>309</v>
      </c>
      <c r="D1057" s="3" t="s">
        <v>46</v>
      </c>
      <c r="E1057" s="3" t="s">
        <v>41</v>
      </c>
      <c r="F1057" s="3" t="s">
        <v>113</v>
      </c>
      <c r="G1057" s="3" t="s">
        <v>114</v>
      </c>
      <c r="H1057" s="3">
        <v>2</v>
      </c>
      <c r="I1057" s="7">
        <v>12125.71</v>
      </c>
      <c r="J1057" s="9">
        <v>0</v>
      </c>
      <c r="K1057" s="7">
        <v>24251.42</v>
      </c>
      <c r="L1057" s="7">
        <v>9887.08</v>
      </c>
      <c r="M1057" s="3" t="s">
        <v>57</v>
      </c>
      <c r="N1057" s="3"/>
      <c r="O1057" s="3"/>
      <c r="P1057" s="3"/>
      <c r="Q1057" s="3"/>
    </row>
    <row r="1058" spans="1:17" ht="21" customHeight="1">
      <c r="A1058" s="3" t="s">
        <v>1681</v>
      </c>
      <c r="B1058" s="5">
        <v>45582</v>
      </c>
      <c r="C1058" s="3" t="s">
        <v>1122</v>
      </c>
      <c r="D1058" s="3" t="s">
        <v>44</v>
      </c>
      <c r="E1058" s="3" t="s">
        <v>38</v>
      </c>
      <c r="F1058" s="3" t="s">
        <v>142</v>
      </c>
      <c r="G1058" s="3" t="s">
        <v>245</v>
      </c>
      <c r="H1058" s="3">
        <v>1</v>
      </c>
      <c r="I1058" s="7">
        <v>4923.57</v>
      </c>
      <c r="J1058" s="9">
        <v>0</v>
      </c>
      <c r="K1058" s="7">
        <v>4923.57</v>
      </c>
      <c r="L1058" s="7">
        <v>1007.38</v>
      </c>
      <c r="M1058" s="3" t="s">
        <v>56</v>
      </c>
      <c r="N1058" s="3"/>
      <c r="O1058" s="3"/>
      <c r="P1058" s="3"/>
      <c r="Q1058" s="3"/>
    </row>
    <row r="1059" spans="1:17" ht="21" customHeight="1">
      <c r="A1059" s="3" t="s">
        <v>1682</v>
      </c>
      <c r="B1059" s="5">
        <v>45582</v>
      </c>
      <c r="C1059" s="3" t="s">
        <v>775</v>
      </c>
      <c r="D1059" s="3" t="s">
        <v>45</v>
      </c>
      <c r="E1059" s="3" t="s">
        <v>41</v>
      </c>
      <c r="F1059" s="3" t="s">
        <v>119</v>
      </c>
      <c r="G1059" s="3" t="s">
        <v>120</v>
      </c>
      <c r="H1059" s="3">
        <v>2</v>
      </c>
      <c r="I1059" s="7">
        <v>1303.55</v>
      </c>
      <c r="J1059" s="9">
        <v>0.05</v>
      </c>
      <c r="K1059" s="7">
        <v>2476.7399999999998</v>
      </c>
      <c r="L1059" s="7">
        <v>719.7</v>
      </c>
      <c r="M1059" s="3" t="s">
        <v>56</v>
      </c>
      <c r="N1059" s="3"/>
      <c r="O1059" s="3"/>
      <c r="P1059" s="3"/>
      <c r="Q1059" s="3"/>
    </row>
    <row r="1060" spans="1:17" ht="21" customHeight="1">
      <c r="A1060" s="3" t="s">
        <v>1683</v>
      </c>
      <c r="B1060" s="5">
        <v>45583</v>
      </c>
      <c r="C1060" s="3" t="s">
        <v>1447</v>
      </c>
      <c r="D1060" s="3" t="s">
        <v>46</v>
      </c>
      <c r="E1060" s="3" t="s">
        <v>41</v>
      </c>
      <c r="F1060" s="3" t="s">
        <v>113</v>
      </c>
      <c r="G1060" s="3" t="s">
        <v>123</v>
      </c>
      <c r="H1060" s="3">
        <v>3</v>
      </c>
      <c r="I1060" s="7">
        <v>3372.48</v>
      </c>
      <c r="J1060" s="9">
        <v>0.15</v>
      </c>
      <c r="K1060" s="7">
        <v>8599.82</v>
      </c>
      <c r="L1060" s="7">
        <v>1612.47</v>
      </c>
      <c r="M1060" s="3" t="s">
        <v>59</v>
      </c>
      <c r="N1060" s="3"/>
      <c r="O1060" s="3"/>
      <c r="P1060" s="3"/>
      <c r="Q1060" s="3"/>
    </row>
    <row r="1061" spans="1:17" ht="21" customHeight="1">
      <c r="A1061" s="3" t="s">
        <v>1684</v>
      </c>
      <c r="B1061" s="5">
        <v>45583</v>
      </c>
      <c r="C1061" s="3" t="s">
        <v>853</v>
      </c>
      <c r="D1061" s="3" t="s">
        <v>46</v>
      </c>
      <c r="E1061" s="3" t="s">
        <v>39</v>
      </c>
      <c r="F1061" s="3" t="s">
        <v>164</v>
      </c>
      <c r="G1061" s="3" t="s">
        <v>200</v>
      </c>
      <c r="H1061" s="3">
        <v>1</v>
      </c>
      <c r="I1061" s="7">
        <v>1336.81</v>
      </c>
      <c r="J1061" s="9">
        <v>0.05</v>
      </c>
      <c r="K1061" s="7">
        <v>1269.97</v>
      </c>
      <c r="L1061" s="7">
        <v>434.74</v>
      </c>
      <c r="M1061" s="3" t="s">
        <v>56</v>
      </c>
      <c r="N1061" s="3"/>
      <c r="O1061" s="3"/>
      <c r="P1061" s="3"/>
      <c r="Q1061" s="3"/>
    </row>
    <row r="1062" spans="1:17" ht="21" customHeight="1">
      <c r="A1062" s="3" t="s">
        <v>1685</v>
      </c>
      <c r="B1062" s="5">
        <v>45583</v>
      </c>
      <c r="C1062" s="3" t="s">
        <v>1686</v>
      </c>
      <c r="D1062" s="3" t="s">
        <v>44</v>
      </c>
      <c r="E1062" s="3" t="s">
        <v>42</v>
      </c>
      <c r="F1062" s="3" t="s">
        <v>126</v>
      </c>
      <c r="G1062" s="3" t="s">
        <v>151</v>
      </c>
      <c r="H1062" s="3">
        <v>1</v>
      </c>
      <c r="I1062" s="7">
        <v>1554.07</v>
      </c>
      <c r="J1062" s="9">
        <v>0</v>
      </c>
      <c r="K1062" s="7">
        <v>1554.07</v>
      </c>
      <c r="L1062" s="7">
        <v>912.32</v>
      </c>
      <c r="M1062" s="3" t="s">
        <v>57</v>
      </c>
      <c r="N1062" s="3"/>
      <c r="O1062" s="3"/>
      <c r="P1062" s="3"/>
      <c r="Q1062" s="3"/>
    </row>
    <row r="1063" spans="1:17" ht="21" customHeight="1">
      <c r="A1063" s="3" t="s">
        <v>1687</v>
      </c>
      <c r="B1063" s="5">
        <v>45583</v>
      </c>
      <c r="C1063" s="3" t="s">
        <v>1299</v>
      </c>
      <c r="D1063" s="3" t="s">
        <v>47</v>
      </c>
      <c r="E1063" s="3" t="s">
        <v>42</v>
      </c>
      <c r="F1063" s="3" t="s">
        <v>126</v>
      </c>
      <c r="G1063" s="3" t="s">
        <v>127</v>
      </c>
      <c r="H1063" s="3">
        <v>2</v>
      </c>
      <c r="I1063" s="7">
        <v>1013.35</v>
      </c>
      <c r="J1063" s="9">
        <v>0</v>
      </c>
      <c r="K1063" s="7">
        <v>2026.7</v>
      </c>
      <c r="L1063" s="7">
        <v>1172.42</v>
      </c>
      <c r="M1063" s="3" t="s">
        <v>59</v>
      </c>
      <c r="N1063" s="3"/>
      <c r="O1063" s="3"/>
      <c r="P1063" s="3"/>
      <c r="Q1063" s="3"/>
    </row>
    <row r="1064" spans="1:17" ht="21" customHeight="1">
      <c r="A1064" s="3" t="s">
        <v>1688</v>
      </c>
      <c r="B1064" s="5">
        <v>45583</v>
      </c>
      <c r="C1064" s="3" t="s">
        <v>327</v>
      </c>
      <c r="D1064" s="3" t="s">
        <v>45</v>
      </c>
      <c r="E1064" s="3" t="s">
        <v>38</v>
      </c>
      <c r="F1064" s="3" t="s">
        <v>98</v>
      </c>
      <c r="G1064" s="3" t="s">
        <v>362</v>
      </c>
      <c r="H1064" s="3">
        <v>1</v>
      </c>
      <c r="I1064" s="7">
        <v>34247.31</v>
      </c>
      <c r="J1064" s="9">
        <v>0.25</v>
      </c>
      <c r="K1064" s="7">
        <v>25685.48</v>
      </c>
      <c r="L1064" s="7">
        <v>-2908.3</v>
      </c>
      <c r="M1064" s="3" t="s">
        <v>57</v>
      </c>
      <c r="N1064" s="3"/>
      <c r="O1064" s="3"/>
      <c r="P1064" s="3"/>
      <c r="Q1064" s="3"/>
    </row>
    <row r="1065" spans="1:17" ht="21" customHeight="1">
      <c r="A1065" s="3" t="s">
        <v>1689</v>
      </c>
      <c r="B1065" s="5">
        <v>45583</v>
      </c>
      <c r="C1065" s="3" t="s">
        <v>153</v>
      </c>
      <c r="D1065" s="3" t="s">
        <v>46</v>
      </c>
      <c r="E1065" s="3" t="s">
        <v>39</v>
      </c>
      <c r="F1065" s="3" t="s">
        <v>164</v>
      </c>
      <c r="G1065" s="3" t="s">
        <v>165</v>
      </c>
      <c r="H1065" s="3">
        <v>1</v>
      </c>
      <c r="I1065" s="7">
        <v>2024.49</v>
      </c>
      <c r="J1065" s="9">
        <v>0.05</v>
      </c>
      <c r="K1065" s="7">
        <v>1923.27</v>
      </c>
      <c r="L1065" s="7">
        <v>691.87</v>
      </c>
      <c r="M1065" s="3" t="s">
        <v>58</v>
      </c>
      <c r="N1065" s="3"/>
      <c r="O1065" s="3"/>
      <c r="P1065" s="3"/>
      <c r="Q1065" s="3"/>
    </row>
    <row r="1066" spans="1:17" ht="21" customHeight="1">
      <c r="A1066" s="3" t="s">
        <v>1690</v>
      </c>
      <c r="B1066" s="5">
        <v>45584</v>
      </c>
      <c r="C1066" s="3" t="s">
        <v>1074</v>
      </c>
      <c r="D1066" s="3" t="s">
        <v>46</v>
      </c>
      <c r="E1066" s="3" t="s">
        <v>40</v>
      </c>
      <c r="F1066" s="3" t="s">
        <v>102</v>
      </c>
      <c r="G1066" s="3" t="s">
        <v>146</v>
      </c>
      <c r="H1066" s="3">
        <v>1</v>
      </c>
      <c r="I1066" s="7">
        <v>8290.2099999999991</v>
      </c>
      <c r="J1066" s="9">
        <v>0</v>
      </c>
      <c r="K1066" s="7">
        <v>8290.2099999999991</v>
      </c>
      <c r="L1066" s="7">
        <v>2953.15</v>
      </c>
      <c r="M1066" s="3" t="s">
        <v>57</v>
      </c>
      <c r="N1066" s="3"/>
      <c r="O1066" s="3"/>
      <c r="P1066" s="3"/>
      <c r="Q1066" s="3"/>
    </row>
    <row r="1067" spans="1:17" ht="21" customHeight="1">
      <c r="A1067" s="3" t="s">
        <v>1691</v>
      </c>
      <c r="B1067" s="5">
        <v>45584</v>
      </c>
      <c r="C1067" s="3" t="s">
        <v>891</v>
      </c>
      <c r="D1067" s="3" t="s">
        <v>46</v>
      </c>
      <c r="E1067" s="3" t="s">
        <v>41</v>
      </c>
      <c r="F1067" s="3" t="s">
        <v>113</v>
      </c>
      <c r="G1067" s="3" t="s">
        <v>123</v>
      </c>
      <c r="H1067" s="3">
        <v>1</v>
      </c>
      <c r="I1067" s="7">
        <v>3333.77</v>
      </c>
      <c r="J1067" s="9">
        <v>0.1</v>
      </c>
      <c r="K1067" s="7">
        <v>3000.39</v>
      </c>
      <c r="L1067" s="7">
        <v>763.63</v>
      </c>
      <c r="M1067" s="3" t="s">
        <v>56</v>
      </c>
      <c r="N1067" s="3"/>
      <c r="O1067" s="3"/>
      <c r="P1067" s="3"/>
      <c r="Q1067" s="3"/>
    </row>
    <row r="1068" spans="1:17" ht="21" customHeight="1">
      <c r="A1068" s="3" t="s">
        <v>1692</v>
      </c>
      <c r="B1068" s="5">
        <v>45584</v>
      </c>
      <c r="C1068" s="3" t="s">
        <v>238</v>
      </c>
      <c r="D1068" s="3" t="s">
        <v>45</v>
      </c>
      <c r="E1068" s="3" t="s">
        <v>42</v>
      </c>
      <c r="F1068" s="3" t="s">
        <v>126</v>
      </c>
      <c r="G1068" s="3" t="s">
        <v>127</v>
      </c>
      <c r="H1068" s="3">
        <v>3</v>
      </c>
      <c r="I1068" s="7">
        <v>984.28</v>
      </c>
      <c r="J1068" s="9">
        <v>0.1</v>
      </c>
      <c r="K1068" s="7">
        <v>2657.56</v>
      </c>
      <c r="L1068" s="7">
        <v>1086.75</v>
      </c>
      <c r="M1068" s="3" t="s">
        <v>56</v>
      </c>
      <c r="N1068" s="3"/>
      <c r="O1068" s="3"/>
      <c r="P1068" s="3"/>
      <c r="Q1068" s="3"/>
    </row>
    <row r="1069" spans="1:17" ht="21" customHeight="1">
      <c r="A1069" s="3" t="s">
        <v>1693</v>
      </c>
      <c r="B1069" s="5">
        <v>45585</v>
      </c>
      <c r="C1069" s="3" t="s">
        <v>1179</v>
      </c>
      <c r="D1069" s="3" t="s">
        <v>46</v>
      </c>
      <c r="E1069" s="3" t="s">
        <v>38</v>
      </c>
      <c r="F1069" s="3" t="s">
        <v>142</v>
      </c>
      <c r="G1069" s="3" t="s">
        <v>245</v>
      </c>
      <c r="H1069" s="3">
        <v>1</v>
      </c>
      <c r="I1069" s="7">
        <v>5084.1099999999997</v>
      </c>
      <c r="J1069" s="9">
        <v>0</v>
      </c>
      <c r="K1069" s="7">
        <v>5084.1099999999997</v>
      </c>
      <c r="L1069" s="7">
        <v>793.08</v>
      </c>
      <c r="M1069" s="3" t="s">
        <v>56</v>
      </c>
      <c r="N1069" s="3"/>
      <c r="O1069" s="3"/>
      <c r="P1069" s="3"/>
      <c r="Q1069" s="3"/>
    </row>
    <row r="1070" spans="1:17" ht="21" customHeight="1">
      <c r="A1070" s="3" t="s">
        <v>1694</v>
      </c>
      <c r="B1070" s="5">
        <v>45585</v>
      </c>
      <c r="C1070" s="3" t="s">
        <v>1341</v>
      </c>
      <c r="D1070" s="3" t="s">
        <v>46</v>
      </c>
      <c r="E1070" s="3" t="s">
        <v>40</v>
      </c>
      <c r="F1070" s="3" t="s">
        <v>160</v>
      </c>
      <c r="G1070" s="3" t="s">
        <v>161</v>
      </c>
      <c r="H1070" s="3">
        <v>3</v>
      </c>
      <c r="I1070" s="7">
        <v>13356.17</v>
      </c>
      <c r="J1070" s="9">
        <v>0</v>
      </c>
      <c r="K1070" s="7">
        <v>40068.51</v>
      </c>
      <c r="L1070" s="7">
        <v>12179.27</v>
      </c>
      <c r="M1070" s="3" t="s">
        <v>57</v>
      </c>
      <c r="N1070" s="3"/>
      <c r="O1070" s="3"/>
      <c r="P1070" s="3"/>
      <c r="Q1070" s="3"/>
    </row>
    <row r="1071" spans="1:17" ht="21" customHeight="1">
      <c r="A1071" s="3" t="s">
        <v>1695</v>
      </c>
      <c r="B1071" s="5">
        <v>45586</v>
      </c>
      <c r="C1071" s="3" t="s">
        <v>642</v>
      </c>
      <c r="D1071" s="3" t="s">
        <v>46</v>
      </c>
      <c r="E1071" s="3" t="s">
        <v>39</v>
      </c>
      <c r="F1071" s="3" t="s">
        <v>109</v>
      </c>
      <c r="G1071" s="3" t="s">
        <v>110</v>
      </c>
      <c r="H1071" s="3">
        <v>3</v>
      </c>
      <c r="I1071" s="7">
        <v>2954.94</v>
      </c>
      <c r="J1071" s="9">
        <v>0.05</v>
      </c>
      <c r="K1071" s="7">
        <v>8421.58</v>
      </c>
      <c r="L1071" s="7">
        <v>3076.84</v>
      </c>
      <c r="M1071" s="3" t="s">
        <v>56</v>
      </c>
      <c r="N1071" s="3"/>
      <c r="O1071" s="3"/>
      <c r="P1071" s="3"/>
      <c r="Q1071" s="3"/>
    </row>
    <row r="1072" spans="1:17" ht="21" customHeight="1">
      <c r="A1072" s="3" t="s">
        <v>1696</v>
      </c>
      <c r="B1072" s="5">
        <v>45586</v>
      </c>
      <c r="C1072" s="3" t="s">
        <v>1142</v>
      </c>
      <c r="D1072" s="3" t="s">
        <v>44</v>
      </c>
      <c r="E1072" s="3" t="s">
        <v>39</v>
      </c>
      <c r="F1072" s="3" t="s">
        <v>164</v>
      </c>
      <c r="G1072" s="3" t="s">
        <v>165</v>
      </c>
      <c r="H1072" s="3">
        <v>1</v>
      </c>
      <c r="I1072" s="7">
        <v>2027.1</v>
      </c>
      <c r="J1072" s="9">
        <v>0.05</v>
      </c>
      <c r="K1072" s="7">
        <v>1925.74</v>
      </c>
      <c r="L1072" s="7">
        <v>719.12</v>
      </c>
      <c r="M1072" s="3" t="s">
        <v>57</v>
      </c>
      <c r="N1072" s="3"/>
      <c r="O1072" s="3"/>
      <c r="P1072" s="3"/>
      <c r="Q1072" s="3"/>
    </row>
    <row r="1073" spans="1:17" ht="21" customHeight="1">
      <c r="A1073" s="3" t="s">
        <v>1697</v>
      </c>
      <c r="B1073" s="5">
        <v>45586</v>
      </c>
      <c r="C1073" s="3" t="s">
        <v>442</v>
      </c>
      <c r="D1073" s="3" t="s">
        <v>45</v>
      </c>
      <c r="E1073" s="3" t="s">
        <v>41</v>
      </c>
      <c r="F1073" s="3" t="s">
        <v>119</v>
      </c>
      <c r="G1073" s="3" t="s">
        <v>168</v>
      </c>
      <c r="H1073" s="3">
        <v>2</v>
      </c>
      <c r="I1073" s="7">
        <v>9827.91</v>
      </c>
      <c r="J1073" s="9">
        <v>0</v>
      </c>
      <c r="K1073" s="7">
        <v>19655.82</v>
      </c>
      <c r="L1073" s="7">
        <v>7578.07</v>
      </c>
      <c r="M1073" s="3" t="s">
        <v>57</v>
      </c>
      <c r="N1073" s="3"/>
      <c r="O1073" s="3"/>
      <c r="P1073" s="3"/>
      <c r="Q1073" s="3"/>
    </row>
    <row r="1074" spans="1:17" ht="21" customHeight="1">
      <c r="A1074" s="3" t="s">
        <v>1698</v>
      </c>
      <c r="B1074" s="5">
        <v>45586</v>
      </c>
      <c r="C1074" s="3" t="s">
        <v>1257</v>
      </c>
      <c r="D1074" s="3" t="s">
        <v>47</v>
      </c>
      <c r="E1074" s="3" t="s">
        <v>39</v>
      </c>
      <c r="F1074" s="3" t="s">
        <v>109</v>
      </c>
      <c r="G1074" s="3" t="s">
        <v>110</v>
      </c>
      <c r="H1074" s="3">
        <v>1</v>
      </c>
      <c r="I1074" s="7">
        <v>2856.64</v>
      </c>
      <c r="J1074" s="9">
        <v>0.15</v>
      </c>
      <c r="K1074" s="7">
        <v>2428.14</v>
      </c>
      <c r="L1074" s="7">
        <v>589.41</v>
      </c>
      <c r="M1074" s="3" t="s">
        <v>57</v>
      </c>
      <c r="N1074" s="3"/>
      <c r="O1074" s="3"/>
      <c r="P1074" s="3"/>
      <c r="Q1074" s="3"/>
    </row>
    <row r="1075" spans="1:17" ht="21" customHeight="1">
      <c r="A1075" s="3" t="s">
        <v>1699</v>
      </c>
      <c r="B1075" s="5">
        <v>45586</v>
      </c>
      <c r="C1075" s="3" t="s">
        <v>1115</v>
      </c>
      <c r="D1075" s="3" t="s">
        <v>47</v>
      </c>
      <c r="E1075" s="3" t="s">
        <v>39</v>
      </c>
      <c r="F1075" s="3" t="s">
        <v>109</v>
      </c>
      <c r="G1075" s="3" t="s">
        <v>110</v>
      </c>
      <c r="H1075" s="3">
        <v>2</v>
      </c>
      <c r="I1075" s="7">
        <v>3030.79</v>
      </c>
      <c r="J1075" s="9">
        <v>0</v>
      </c>
      <c r="K1075" s="7">
        <v>6061.58</v>
      </c>
      <c r="L1075" s="7">
        <v>2323.9</v>
      </c>
      <c r="M1075" s="3" t="s">
        <v>56</v>
      </c>
      <c r="N1075" s="3"/>
      <c r="O1075" s="3"/>
      <c r="P1075" s="3"/>
      <c r="Q1075" s="3"/>
    </row>
    <row r="1076" spans="1:17" ht="21" customHeight="1">
      <c r="A1076" s="3" t="s">
        <v>1700</v>
      </c>
      <c r="B1076" s="5">
        <v>45586</v>
      </c>
      <c r="C1076" s="3" t="s">
        <v>206</v>
      </c>
      <c r="D1076" s="3" t="s">
        <v>44</v>
      </c>
      <c r="E1076" s="3" t="s">
        <v>41</v>
      </c>
      <c r="F1076" s="3" t="s">
        <v>119</v>
      </c>
      <c r="G1076" s="3" t="s">
        <v>120</v>
      </c>
      <c r="H1076" s="3">
        <v>1</v>
      </c>
      <c r="I1076" s="7">
        <v>1284.51</v>
      </c>
      <c r="J1076" s="9">
        <v>0.1</v>
      </c>
      <c r="K1076" s="7">
        <v>1156.06</v>
      </c>
      <c r="L1076" s="7">
        <v>336.42</v>
      </c>
      <c r="M1076" s="3" t="s">
        <v>56</v>
      </c>
      <c r="N1076" s="3"/>
      <c r="O1076" s="3"/>
      <c r="P1076" s="3"/>
      <c r="Q1076" s="3"/>
    </row>
    <row r="1077" spans="1:17" ht="21" customHeight="1">
      <c r="A1077" s="3" t="s">
        <v>1701</v>
      </c>
      <c r="B1077" s="5">
        <v>45586</v>
      </c>
      <c r="C1077" s="3" t="s">
        <v>172</v>
      </c>
      <c r="D1077" s="3" t="s">
        <v>45</v>
      </c>
      <c r="E1077" s="3" t="s">
        <v>40</v>
      </c>
      <c r="F1077" s="3" t="s">
        <v>102</v>
      </c>
      <c r="G1077" s="3" t="s">
        <v>146</v>
      </c>
      <c r="H1077" s="3">
        <v>5</v>
      </c>
      <c r="I1077" s="7">
        <v>8349.91</v>
      </c>
      <c r="J1077" s="9">
        <v>0</v>
      </c>
      <c r="K1077" s="7">
        <v>41749.550000000003</v>
      </c>
      <c r="L1077" s="7">
        <v>14496.83</v>
      </c>
      <c r="M1077" s="3" t="s">
        <v>56</v>
      </c>
      <c r="N1077" s="3"/>
      <c r="O1077" s="3"/>
      <c r="P1077" s="3"/>
      <c r="Q1077" s="3"/>
    </row>
    <row r="1078" spans="1:17" ht="21" customHeight="1">
      <c r="A1078" s="3" t="s">
        <v>1702</v>
      </c>
      <c r="B1078" s="5">
        <v>45586</v>
      </c>
      <c r="C1078" s="3" t="s">
        <v>199</v>
      </c>
      <c r="D1078" s="3" t="s">
        <v>44</v>
      </c>
      <c r="E1078" s="3" t="s">
        <v>42</v>
      </c>
      <c r="F1078" s="3" t="s">
        <v>126</v>
      </c>
      <c r="G1078" s="3" t="s">
        <v>127</v>
      </c>
      <c r="H1078" s="3">
        <v>3</v>
      </c>
      <c r="I1078" s="7">
        <v>1039.5999999999999</v>
      </c>
      <c r="J1078" s="9">
        <v>0.05</v>
      </c>
      <c r="K1078" s="7">
        <v>2962.86</v>
      </c>
      <c r="L1078" s="7">
        <v>1561.09</v>
      </c>
      <c r="M1078" s="3" t="s">
        <v>57</v>
      </c>
      <c r="N1078" s="3"/>
      <c r="O1078" s="3"/>
      <c r="P1078" s="3"/>
      <c r="Q1078" s="3"/>
    </row>
    <row r="1079" spans="1:17" ht="21" customHeight="1">
      <c r="A1079" s="3" t="s">
        <v>1703</v>
      </c>
      <c r="B1079" s="5">
        <v>45587</v>
      </c>
      <c r="C1079" s="3" t="s">
        <v>1303</v>
      </c>
      <c r="D1079" s="3" t="s">
        <v>45</v>
      </c>
      <c r="E1079" s="3" t="s">
        <v>39</v>
      </c>
      <c r="F1079" s="3" t="s">
        <v>109</v>
      </c>
      <c r="G1079" s="3" t="s">
        <v>110</v>
      </c>
      <c r="H1079" s="3">
        <v>4</v>
      </c>
      <c r="I1079" s="7">
        <v>2870.47</v>
      </c>
      <c r="J1079" s="9">
        <v>0.2</v>
      </c>
      <c r="K1079" s="7">
        <v>9185.5</v>
      </c>
      <c r="L1079" s="7">
        <v>1499.75</v>
      </c>
      <c r="M1079" s="3" t="s">
        <v>58</v>
      </c>
      <c r="N1079" s="3"/>
      <c r="O1079" s="3"/>
      <c r="P1079" s="3"/>
      <c r="Q1079" s="3"/>
    </row>
    <row r="1080" spans="1:17" ht="21" customHeight="1">
      <c r="A1080" s="3" t="s">
        <v>1704</v>
      </c>
      <c r="B1080" s="5">
        <v>45587</v>
      </c>
      <c r="C1080" s="3" t="s">
        <v>825</v>
      </c>
      <c r="D1080" s="3" t="s">
        <v>44</v>
      </c>
      <c r="E1080" s="3" t="s">
        <v>41</v>
      </c>
      <c r="F1080" s="3" t="s">
        <v>113</v>
      </c>
      <c r="G1080" s="3" t="s">
        <v>114</v>
      </c>
      <c r="H1080" s="3">
        <v>1</v>
      </c>
      <c r="I1080" s="7">
        <v>11436.08</v>
      </c>
      <c r="J1080" s="9">
        <v>0</v>
      </c>
      <c r="K1080" s="7">
        <v>11436.08</v>
      </c>
      <c r="L1080" s="7">
        <v>4584.55</v>
      </c>
      <c r="M1080" s="3" t="s">
        <v>56</v>
      </c>
      <c r="N1080" s="3"/>
      <c r="O1080" s="3"/>
      <c r="P1080" s="3"/>
      <c r="Q1080" s="3"/>
    </row>
    <row r="1081" spans="1:17" ht="21" customHeight="1">
      <c r="A1081" s="3" t="s">
        <v>1705</v>
      </c>
      <c r="B1081" s="5">
        <v>45587</v>
      </c>
      <c r="C1081" s="3" t="s">
        <v>1341</v>
      </c>
      <c r="D1081" s="3" t="s">
        <v>46</v>
      </c>
      <c r="E1081" s="3" t="s">
        <v>42</v>
      </c>
      <c r="F1081" s="3" t="s">
        <v>126</v>
      </c>
      <c r="G1081" s="3" t="s">
        <v>151</v>
      </c>
      <c r="H1081" s="3">
        <v>1</v>
      </c>
      <c r="I1081" s="7">
        <v>1542.02</v>
      </c>
      <c r="J1081" s="9">
        <v>0.05</v>
      </c>
      <c r="K1081" s="7">
        <v>1464.92</v>
      </c>
      <c r="L1081" s="7">
        <v>667.52</v>
      </c>
      <c r="M1081" s="3" t="s">
        <v>56</v>
      </c>
      <c r="N1081" s="3"/>
      <c r="O1081" s="3"/>
      <c r="P1081" s="3"/>
      <c r="Q1081" s="3"/>
    </row>
    <row r="1082" spans="1:17" ht="21" customHeight="1">
      <c r="A1082" s="3" t="s">
        <v>1706</v>
      </c>
      <c r="B1082" s="5">
        <v>45587</v>
      </c>
      <c r="C1082" s="3" t="s">
        <v>1707</v>
      </c>
      <c r="D1082" s="3" t="s">
        <v>46</v>
      </c>
      <c r="E1082" s="3" t="s">
        <v>41</v>
      </c>
      <c r="F1082" s="3" t="s">
        <v>113</v>
      </c>
      <c r="G1082" s="3" t="s">
        <v>123</v>
      </c>
      <c r="H1082" s="3">
        <v>5</v>
      </c>
      <c r="I1082" s="7">
        <v>3324.6</v>
      </c>
      <c r="J1082" s="9">
        <v>0.15</v>
      </c>
      <c r="K1082" s="7">
        <v>14129.55</v>
      </c>
      <c r="L1082" s="7">
        <v>2445.65</v>
      </c>
      <c r="M1082" s="3" t="s">
        <v>57</v>
      </c>
      <c r="N1082" s="3"/>
      <c r="O1082" s="3"/>
      <c r="P1082" s="3"/>
      <c r="Q1082" s="3"/>
    </row>
    <row r="1083" spans="1:17" ht="21" customHeight="1">
      <c r="A1083" s="3" t="s">
        <v>1708</v>
      </c>
      <c r="B1083" s="5">
        <v>45587</v>
      </c>
      <c r="C1083" s="3" t="s">
        <v>904</v>
      </c>
      <c r="D1083" s="3" t="s">
        <v>46</v>
      </c>
      <c r="E1083" s="3" t="s">
        <v>38</v>
      </c>
      <c r="F1083" s="3" t="s">
        <v>142</v>
      </c>
      <c r="G1083" s="3" t="s">
        <v>143</v>
      </c>
      <c r="H1083" s="3">
        <v>1</v>
      </c>
      <c r="I1083" s="7">
        <v>9443.33</v>
      </c>
      <c r="J1083" s="9">
        <v>0.1</v>
      </c>
      <c r="K1083" s="7">
        <v>8499</v>
      </c>
      <c r="L1083" s="7">
        <v>507.46</v>
      </c>
      <c r="M1083" s="3" t="s">
        <v>57</v>
      </c>
      <c r="N1083" s="3"/>
      <c r="O1083" s="3"/>
      <c r="P1083" s="3"/>
      <c r="Q1083" s="3"/>
    </row>
    <row r="1084" spans="1:17" ht="21" customHeight="1">
      <c r="A1084" s="3" t="s">
        <v>1709</v>
      </c>
      <c r="B1084" s="5">
        <v>45587</v>
      </c>
      <c r="C1084" s="3" t="s">
        <v>1710</v>
      </c>
      <c r="D1084" s="3" t="s">
        <v>47</v>
      </c>
      <c r="E1084" s="3" t="s">
        <v>41</v>
      </c>
      <c r="F1084" s="3" t="s">
        <v>119</v>
      </c>
      <c r="G1084" s="3" t="s">
        <v>168</v>
      </c>
      <c r="H1084" s="3">
        <v>1</v>
      </c>
      <c r="I1084" s="7">
        <v>10325.11</v>
      </c>
      <c r="J1084" s="9">
        <v>0.05</v>
      </c>
      <c r="K1084" s="7">
        <v>9808.85</v>
      </c>
      <c r="L1084" s="7">
        <v>3123.69</v>
      </c>
      <c r="M1084" s="3" t="s">
        <v>56</v>
      </c>
      <c r="N1084" s="3"/>
      <c r="O1084" s="3"/>
      <c r="P1084" s="3"/>
      <c r="Q1084" s="3"/>
    </row>
    <row r="1085" spans="1:17" ht="21" customHeight="1">
      <c r="A1085" s="3" t="s">
        <v>1711</v>
      </c>
      <c r="B1085" s="5">
        <v>45588</v>
      </c>
      <c r="C1085" s="3" t="s">
        <v>858</v>
      </c>
      <c r="D1085" s="3" t="s">
        <v>45</v>
      </c>
      <c r="E1085" s="3" t="s">
        <v>40</v>
      </c>
      <c r="F1085" s="3" t="s">
        <v>221</v>
      </c>
      <c r="G1085" s="3" t="s">
        <v>222</v>
      </c>
      <c r="H1085" s="3">
        <v>1</v>
      </c>
      <c r="I1085" s="7">
        <v>1044.8399999999999</v>
      </c>
      <c r="J1085" s="9">
        <v>0.1</v>
      </c>
      <c r="K1085" s="7">
        <v>940.36</v>
      </c>
      <c r="L1085" s="7">
        <v>171.38</v>
      </c>
      <c r="M1085" s="3" t="s">
        <v>60</v>
      </c>
      <c r="N1085" s="3"/>
      <c r="O1085" s="3"/>
      <c r="P1085" s="3"/>
      <c r="Q1085" s="3"/>
    </row>
    <row r="1086" spans="1:17" ht="21" customHeight="1">
      <c r="A1086" s="3" t="s">
        <v>1712</v>
      </c>
      <c r="B1086" s="5">
        <v>45588</v>
      </c>
      <c r="C1086" s="3" t="s">
        <v>1713</v>
      </c>
      <c r="D1086" s="3" t="s">
        <v>46</v>
      </c>
      <c r="E1086" s="3" t="s">
        <v>42</v>
      </c>
      <c r="F1086" s="3" t="s">
        <v>126</v>
      </c>
      <c r="G1086" s="3" t="s">
        <v>151</v>
      </c>
      <c r="H1086" s="3">
        <v>1</v>
      </c>
      <c r="I1086" s="7">
        <v>1563.04</v>
      </c>
      <c r="J1086" s="9">
        <v>0</v>
      </c>
      <c r="K1086" s="7">
        <v>1563.04</v>
      </c>
      <c r="L1086" s="7">
        <v>815.55</v>
      </c>
      <c r="M1086" s="3" t="s">
        <v>57</v>
      </c>
      <c r="N1086" s="3"/>
      <c r="O1086" s="3"/>
      <c r="P1086" s="3"/>
      <c r="Q1086" s="3"/>
    </row>
    <row r="1087" spans="1:17" ht="21" customHeight="1">
      <c r="A1087" s="3" t="s">
        <v>1714</v>
      </c>
      <c r="B1087" s="5">
        <v>45588</v>
      </c>
      <c r="C1087" s="3" t="s">
        <v>259</v>
      </c>
      <c r="D1087" s="3" t="s">
        <v>44</v>
      </c>
      <c r="E1087" s="3" t="s">
        <v>39</v>
      </c>
      <c r="F1087" s="3" t="s">
        <v>130</v>
      </c>
      <c r="G1087" s="3" t="s">
        <v>193</v>
      </c>
      <c r="H1087" s="3">
        <v>1</v>
      </c>
      <c r="I1087" s="7">
        <v>1731.27</v>
      </c>
      <c r="J1087" s="9">
        <v>0.25</v>
      </c>
      <c r="K1087" s="7">
        <v>1298.45</v>
      </c>
      <c r="L1087" s="7">
        <v>161.22</v>
      </c>
      <c r="M1087" s="3" t="s">
        <v>56</v>
      </c>
      <c r="N1087" s="3"/>
      <c r="O1087" s="3"/>
      <c r="P1087" s="3"/>
      <c r="Q1087" s="3"/>
    </row>
    <row r="1088" spans="1:17" ht="21" customHeight="1">
      <c r="A1088" s="3" t="s">
        <v>1715</v>
      </c>
      <c r="B1088" s="5">
        <v>45588</v>
      </c>
      <c r="C1088" s="3" t="s">
        <v>1716</v>
      </c>
      <c r="D1088" s="3" t="s">
        <v>45</v>
      </c>
      <c r="E1088" s="3" t="s">
        <v>39</v>
      </c>
      <c r="F1088" s="3" t="s">
        <v>130</v>
      </c>
      <c r="G1088" s="3" t="s">
        <v>193</v>
      </c>
      <c r="H1088" s="3">
        <v>1</v>
      </c>
      <c r="I1088" s="7">
        <v>1814.01</v>
      </c>
      <c r="J1088" s="9">
        <v>0.25</v>
      </c>
      <c r="K1088" s="7">
        <v>1360.51</v>
      </c>
      <c r="L1088" s="7">
        <v>216</v>
      </c>
      <c r="M1088" s="3" t="s">
        <v>58</v>
      </c>
      <c r="N1088" s="3"/>
      <c r="O1088" s="3"/>
      <c r="P1088" s="3"/>
      <c r="Q1088" s="3"/>
    </row>
    <row r="1089" spans="1:17" ht="21" customHeight="1">
      <c r="A1089" s="3" t="s">
        <v>1717</v>
      </c>
      <c r="B1089" s="5">
        <v>45589</v>
      </c>
      <c r="C1089" s="3" t="s">
        <v>1245</v>
      </c>
      <c r="D1089" s="3" t="s">
        <v>44</v>
      </c>
      <c r="E1089" s="3" t="s">
        <v>39</v>
      </c>
      <c r="F1089" s="3" t="s">
        <v>164</v>
      </c>
      <c r="G1089" s="3" t="s">
        <v>200</v>
      </c>
      <c r="H1089" s="3">
        <v>1</v>
      </c>
      <c r="I1089" s="7">
        <v>1299.43</v>
      </c>
      <c r="J1089" s="9">
        <v>0</v>
      </c>
      <c r="K1089" s="7">
        <v>1299.43</v>
      </c>
      <c r="L1089" s="7">
        <v>525.61</v>
      </c>
      <c r="M1089" s="3" t="s">
        <v>56</v>
      </c>
      <c r="N1089" s="3"/>
      <c r="O1089" s="3"/>
      <c r="P1089" s="3"/>
      <c r="Q1089" s="3"/>
    </row>
    <row r="1090" spans="1:17" ht="21" customHeight="1">
      <c r="A1090" s="3" t="s">
        <v>1718</v>
      </c>
      <c r="B1090" s="5">
        <v>45589</v>
      </c>
      <c r="C1090" s="3" t="s">
        <v>626</v>
      </c>
      <c r="D1090" s="3" t="s">
        <v>44</v>
      </c>
      <c r="E1090" s="3" t="s">
        <v>42</v>
      </c>
      <c r="F1090" s="3" t="s">
        <v>90</v>
      </c>
      <c r="G1090" s="3" t="s">
        <v>106</v>
      </c>
      <c r="H1090" s="3">
        <v>4</v>
      </c>
      <c r="I1090" s="7">
        <v>895.11</v>
      </c>
      <c r="J1090" s="9">
        <v>0.1</v>
      </c>
      <c r="K1090" s="7">
        <v>3222.4</v>
      </c>
      <c r="L1090" s="7">
        <v>1524.79</v>
      </c>
      <c r="M1090" s="3" t="s">
        <v>56</v>
      </c>
      <c r="N1090" s="3"/>
      <c r="O1090" s="3"/>
      <c r="P1090" s="3"/>
      <c r="Q1090" s="3"/>
    </row>
    <row r="1091" spans="1:17" ht="21" customHeight="1">
      <c r="A1091" s="3" t="s">
        <v>1719</v>
      </c>
      <c r="B1091" s="5">
        <v>45589</v>
      </c>
      <c r="C1091" s="3" t="s">
        <v>1612</v>
      </c>
      <c r="D1091" s="3" t="s">
        <v>44</v>
      </c>
      <c r="E1091" s="3" t="s">
        <v>42</v>
      </c>
      <c r="F1091" s="3" t="s">
        <v>90</v>
      </c>
      <c r="G1091" s="3" t="s">
        <v>106</v>
      </c>
      <c r="H1091" s="3">
        <v>1</v>
      </c>
      <c r="I1091" s="7">
        <v>889.27</v>
      </c>
      <c r="J1091" s="9">
        <v>0.2</v>
      </c>
      <c r="K1091" s="7">
        <v>711.42</v>
      </c>
      <c r="L1091" s="7">
        <v>218.2</v>
      </c>
      <c r="M1091" s="3" t="s">
        <v>58</v>
      </c>
      <c r="N1091" s="3"/>
      <c r="O1091" s="3"/>
      <c r="P1091" s="3"/>
      <c r="Q1091" s="3"/>
    </row>
    <row r="1092" spans="1:17" ht="21" customHeight="1">
      <c r="A1092" s="3" t="s">
        <v>1720</v>
      </c>
      <c r="B1092" s="5">
        <v>45589</v>
      </c>
      <c r="C1092" s="3" t="s">
        <v>262</v>
      </c>
      <c r="D1092" s="3" t="s">
        <v>46</v>
      </c>
      <c r="E1092" s="3" t="s">
        <v>39</v>
      </c>
      <c r="F1092" s="3" t="s">
        <v>164</v>
      </c>
      <c r="G1092" s="3" t="s">
        <v>200</v>
      </c>
      <c r="H1092" s="3">
        <v>4</v>
      </c>
      <c r="I1092" s="7">
        <v>1327.54</v>
      </c>
      <c r="J1092" s="9">
        <v>0.05</v>
      </c>
      <c r="K1092" s="7">
        <v>5044.6499999999996</v>
      </c>
      <c r="L1092" s="7">
        <v>1935.09</v>
      </c>
      <c r="M1092" s="3" t="s">
        <v>60</v>
      </c>
      <c r="N1092" s="3"/>
      <c r="O1092" s="3"/>
      <c r="P1092" s="3"/>
      <c r="Q1092" s="3"/>
    </row>
    <row r="1093" spans="1:17" ht="21" customHeight="1">
      <c r="A1093" s="3" t="s">
        <v>1721</v>
      </c>
      <c r="B1093" s="5">
        <v>45589</v>
      </c>
      <c r="C1093" s="3" t="s">
        <v>1372</v>
      </c>
      <c r="D1093" s="3" t="s">
        <v>47</v>
      </c>
      <c r="E1093" s="3" t="s">
        <v>42</v>
      </c>
      <c r="F1093" s="3" t="s">
        <v>90</v>
      </c>
      <c r="G1093" s="3" t="s">
        <v>91</v>
      </c>
      <c r="H1093" s="3">
        <v>4</v>
      </c>
      <c r="I1093" s="7">
        <v>1177.07</v>
      </c>
      <c r="J1093" s="9">
        <v>0.1</v>
      </c>
      <c r="K1093" s="7">
        <v>4237.45</v>
      </c>
      <c r="L1093" s="7">
        <v>1987.12</v>
      </c>
      <c r="M1093" s="3" t="s">
        <v>60</v>
      </c>
      <c r="N1093" s="3"/>
      <c r="O1093" s="3"/>
      <c r="P1093" s="3"/>
      <c r="Q1093" s="3"/>
    </row>
    <row r="1094" spans="1:17" ht="21" customHeight="1">
      <c r="A1094" s="3" t="s">
        <v>1722</v>
      </c>
      <c r="B1094" s="5">
        <v>45589</v>
      </c>
      <c r="C1094" s="3" t="s">
        <v>1010</v>
      </c>
      <c r="D1094" s="3" t="s">
        <v>45</v>
      </c>
      <c r="E1094" s="3" t="s">
        <v>40</v>
      </c>
      <c r="F1094" s="3" t="s">
        <v>102</v>
      </c>
      <c r="G1094" s="3" t="s">
        <v>103</v>
      </c>
      <c r="H1094" s="3">
        <v>1</v>
      </c>
      <c r="I1094" s="7">
        <v>6604.93</v>
      </c>
      <c r="J1094" s="9">
        <v>0</v>
      </c>
      <c r="K1094" s="7">
        <v>6604.93</v>
      </c>
      <c r="L1094" s="7">
        <v>2158.87</v>
      </c>
      <c r="M1094" s="3" t="s">
        <v>57</v>
      </c>
      <c r="N1094" s="3"/>
      <c r="O1094" s="3"/>
      <c r="P1094" s="3"/>
      <c r="Q1094" s="3"/>
    </row>
    <row r="1095" spans="1:17" ht="21" customHeight="1">
      <c r="A1095" s="3" t="s">
        <v>1723</v>
      </c>
      <c r="B1095" s="5">
        <v>45590</v>
      </c>
      <c r="C1095" s="3" t="s">
        <v>545</v>
      </c>
      <c r="D1095" s="3" t="s">
        <v>45</v>
      </c>
      <c r="E1095" s="3" t="s">
        <v>41</v>
      </c>
      <c r="F1095" s="3" t="s">
        <v>113</v>
      </c>
      <c r="G1095" s="3" t="s">
        <v>123</v>
      </c>
      <c r="H1095" s="3">
        <v>1</v>
      </c>
      <c r="I1095" s="7">
        <v>3356.61</v>
      </c>
      <c r="J1095" s="9">
        <v>0.05</v>
      </c>
      <c r="K1095" s="7">
        <v>3188.78</v>
      </c>
      <c r="L1095" s="7">
        <v>1053.3900000000001</v>
      </c>
      <c r="M1095" s="3" t="s">
        <v>56</v>
      </c>
      <c r="N1095" s="3"/>
      <c r="O1095" s="3"/>
      <c r="P1095" s="3"/>
      <c r="Q1095" s="3"/>
    </row>
    <row r="1096" spans="1:17" ht="21" customHeight="1">
      <c r="A1096" s="3" t="s">
        <v>1724</v>
      </c>
      <c r="B1096" s="5">
        <v>45590</v>
      </c>
      <c r="C1096" s="3" t="s">
        <v>1725</v>
      </c>
      <c r="D1096" s="3" t="s">
        <v>47</v>
      </c>
      <c r="E1096" s="3" t="s">
        <v>40</v>
      </c>
      <c r="F1096" s="3" t="s">
        <v>102</v>
      </c>
      <c r="G1096" s="3" t="s">
        <v>103</v>
      </c>
      <c r="H1096" s="3">
        <v>1</v>
      </c>
      <c r="I1096" s="7">
        <v>6318.16</v>
      </c>
      <c r="J1096" s="9">
        <v>0.15</v>
      </c>
      <c r="K1096" s="7">
        <v>5370.44</v>
      </c>
      <c r="L1096" s="7">
        <v>777.69</v>
      </c>
      <c r="M1096" s="3" t="s">
        <v>60</v>
      </c>
      <c r="N1096" s="3"/>
      <c r="O1096" s="3"/>
      <c r="P1096" s="3"/>
      <c r="Q1096" s="3"/>
    </row>
    <row r="1097" spans="1:17" ht="21" customHeight="1">
      <c r="A1097" s="3" t="s">
        <v>1726</v>
      </c>
      <c r="B1097" s="5">
        <v>45590</v>
      </c>
      <c r="C1097" s="3" t="s">
        <v>654</v>
      </c>
      <c r="D1097" s="3" t="s">
        <v>47</v>
      </c>
      <c r="E1097" s="3" t="s">
        <v>41</v>
      </c>
      <c r="F1097" s="3" t="s">
        <v>119</v>
      </c>
      <c r="G1097" s="3" t="s">
        <v>120</v>
      </c>
      <c r="H1097" s="3">
        <v>2</v>
      </c>
      <c r="I1097" s="7">
        <v>1278.9000000000001</v>
      </c>
      <c r="J1097" s="9">
        <v>0.1</v>
      </c>
      <c r="K1097" s="7">
        <v>2302.02</v>
      </c>
      <c r="L1097" s="7">
        <v>556.17999999999995</v>
      </c>
      <c r="M1097" s="3" t="s">
        <v>56</v>
      </c>
      <c r="N1097" s="3"/>
      <c r="O1097" s="3"/>
      <c r="P1097" s="3"/>
      <c r="Q1097" s="3"/>
    </row>
    <row r="1098" spans="1:17" ht="21" customHeight="1">
      <c r="A1098" s="3" t="s">
        <v>1727</v>
      </c>
      <c r="B1098" s="5">
        <v>45590</v>
      </c>
      <c r="C1098" s="3" t="s">
        <v>259</v>
      </c>
      <c r="D1098" s="3" t="s">
        <v>45</v>
      </c>
      <c r="E1098" s="3" t="s">
        <v>42</v>
      </c>
      <c r="F1098" s="3" t="s">
        <v>126</v>
      </c>
      <c r="G1098" s="3" t="s">
        <v>127</v>
      </c>
      <c r="H1098" s="3">
        <v>2</v>
      </c>
      <c r="I1098" s="7">
        <v>977.86</v>
      </c>
      <c r="J1098" s="9">
        <v>0</v>
      </c>
      <c r="K1098" s="7">
        <v>1955.72</v>
      </c>
      <c r="L1098" s="7">
        <v>1032</v>
      </c>
      <c r="M1098" s="3" t="s">
        <v>56</v>
      </c>
      <c r="N1098" s="3"/>
      <c r="O1098" s="3"/>
      <c r="P1098" s="3"/>
      <c r="Q1098" s="3"/>
    </row>
    <row r="1099" spans="1:17" ht="21" customHeight="1">
      <c r="A1099" s="3" t="s">
        <v>1728</v>
      </c>
      <c r="B1099" s="5">
        <v>45590</v>
      </c>
      <c r="C1099" s="3" t="s">
        <v>1729</v>
      </c>
      <c r="D1099" s="3" t="s">
        <v>47</v>
      </c>
      <c r="E1099" s="3" t="s">
        <v>41</v>
      </c>
      <c r="F1099" s="3" t="s">
        <v>113</v>
      </c>
      <c r="G1099" s="3" t="s">
        <v>123</v>
      </c>
      <c r="H1099" s="3">
        <v>2</v>
      </c>
      <c r="I1099" s="7">
        <v>3382.99</v>
      </c>
      <c r="J1099" s="9">
        <v>0.05</v>
      </c>
      <c r="K1099" s="7">
        <v>6427.68</v>
      </c>
      <c r="L1099" s="7">
        <v>2180.79</v>
      </c>
      <c r="M1099" s="3" t="s">
        <v>57</v>
      </c>
      <c r="N1099" s="3"/>
      <c r="O1099" s="3"/>
      <c r="P1099" s="3"/>
      <c r="Q1099" s="3"/>
    </row>
    <row r="1100" spans="1:17" ht="21" customHeight="1">
      <c r="A1100" s="3" t="s">
        <v>1730</v>
      </c>
      <c r="B1100" s="5">
        <v>45590</v>
      </c>
      <c r="C1100" s="3" t="s">
        <v>1731</v>
      </c>
      <c r="D1100" s="3" t="s">
        <v>45</v>
      </c>
      <c r="E1100" s="3" t="s">
        <v>39</v>
      </c>
      <c r="F1100" s="3" t="s">
        <v>130</v>
      </c>
      <c r="G1100" s="3" t="s">
        <v>131</v>
      </c>
      <c r="H1100" s="3">
        <v>4</v>
      </c>
      <c r="I1100" s="7">
        <v>2133.17</v>
      </c>
      <c r="J1100" s="9">
        <v>0.05</v>
      </c>
      <c r="K1100" s="7">
        <v>8106.05</v>
      </c>
      <c r="L1100" s="7">
        <v>3031.91</v>
      </c>
      <c r="M1100" s="3" t="s">
        <v>56</v>
      </c>
      <c r="N1100" s="3"/>
      <c r="O1100" s="3"/>
      <c r="P1100" s="3"/>
      <c r="Q1100" s="3"/>
    </row>
    <row r="1101" spans="1:17" ht="21" customHeight="1">
      <c r="A1101" s="3" t="s">
        <v>1732</v>
      </c>
      <c r="B1101" s="5">
        <v>45590</v>
      </c>
      <c r="C1101" s="3" t="s">
        <v>1441</v>
      </c>
      <c r="D1101" s="3" t="s">
        <v>45</v>
      </c>
      <c r="E1101" s="3" t="s">
        <v>40</v>
      </c>
      <c r="F1101" s="3" t="s">
        <v>221</v>
      </c>
      <c r="G1101" s="3" t="s">
        <v>222</v>
      </c>
      <c r="H1101" s="3">
        <v>1</v>
      </c>
      <c r="I1101" s="7">
        <v>987.65</v>
      </c>
      <c r="J1101" s="9">
        <v>0</v>
      </c>
      <c r="K1101" s="7">
        <v>987.65</v>
      </c>
      <c r="L1101" s="7">
        <v>321.69</v>
      </c>
      <c r="M1101" s="3" t="s">
        <v>58</v>
      </c>
      <c r="N1101" s="3"/>
      <c r="O1101" s="3"/>
      <c r="P1101" s="3"/>
      <c r="Q1101" s="3"/>
    </row>
    <row r="1102" spans="1:17" ht="21" customHeight="1">
      <c r="A1102" s="3" t="s">
        <v>1733</v>
      </c>
      <c r="B1102" s="5">
        <v>45590</v>
      </c>
      <c r="C1102" s="3" t="s">
        <v>1734</v>
      </c>
      <c r="D1102" s="3" t="s">
        <v>46</v>
      </c>
      <c r="E1102" s="3" t="s">
        <v>41</v>
      </c>
      <c r="F1102" s="3" t="s">
        <v>119</v>
      </c>
      <c r="G1102" s="3" t="s">
        <v>168</v>
      </c>
      <c r="H1102" s="3">
        <v>4</v>
      </c>
      <c r="I1102" s="7">
        <v>10246.959999999999</v>
      </c>
      <c r="J1102" s="9">
        <v>0.4</v>
      </c>
      <c r="K1102" s="7">
        <v>24592.7</v>
      </c>
      <c r="L1102" s="7">
        <v>-2808.77</v>
      </c>
      <c r="M1102" s="3" t="s">
        <v>56</v>
      </c>
      <c r="N1102" s="3"/>
      <c r="O1102" s="3"/>
      <c r="P1102" s="3"/>
      <c r="Q1102" s="3"/>
    </row>
    <row r="1103" spans="1:17" ht="21" customHeight="1">
      <c r="A1103" s="3" t="s">
        <v>1735</v>
      </c>
      <c r="B1103" s="5">
        <v>45590</v>
      </c>
      <c r="C1103" s="3" t="s">
        <v>1736</v>
      </c>
      <c r="D1103" s="3" t="s">
        <v>46</v>
      </c>
      <c r="E1103" s="3" t="s">
        <v>40</v>
      </c>
      <c r="F1103" s="3" t="s">
        <v>221</v>
      </c>
      <c r="G1103" s="3" t="s">
        <v>279</v>
      </c>
      <c r="H1103" s="3">
        <v>1</v>
      </c>
      <c r="I1103" s="7">
        <v>1457.27</v>
      </c>
      <c r="J1103" s="9">
        <v>0.15</v>
      </c>
      <c r="K1103" s="7">
        <v>1238.68</v>
      </c>
      <c r="L1103" s="7">
        <v>159.85</v>
      </c>
      <c r="M1103" s="3" t="s">
        <v>57</v>
      </c>
      <c r="N1103" s="3"/>
      <c r="O1103" s="3"/>
      <c r="P1103" s="3"/>
      <c r="Q1103" s="3"/>
    </row>
    <row r="1104" spans="1:17" ht="21" customHeight="1">
      <c r="A1104" s="3" t="s">
        <v>1737</v>
      </c>
      <c r="B1104" s="5">
        <v>45590</v>
      </c>
      <c r="C1104" s="3" t="s">
        <v>157</v>
      </c>
      <c r="D1104" s="3" t="s">
        <v>44</v>
      </c>
      <c r="E1104" s="3" t="s">
        <v>38</v>
      </c>
      <c r="F1104" s="3" t="s">
        <v>142</v>
      </c>
      <c r="G1104" s="3" t="s">
        <v>245</v>
      </c>
      <c r="H1104" s="3">
        <v>1</v>
      </c>
      <c r="I1104" s="7">
        <v>5233.51</v>
      </c>
      <c r="J1104" s="9">
        <v>0.2</v>
      </c>
      <c r="K1104" s="7">
        <v>4186.8100000000004</v>
      </c>
      <c r="L1104" s="7">
        <v>-83.86</v>
      </c>
      <c r="M1104" s="3" t="s">
        <v>59</v>
      </c>
      <c r="N1104" s="3"/>
      <c r="O1104" s="3"/>
      <c r="P1104" s="3"/>
      <c r="Q1104" s="3"/>
    </row>
    <row r="1105" spans="1:17" ht="21" customHeight="1">
      <c r="A1105" s="3" t="s">
        <v>1738</v>
      </c>
      <c r="B1105" s="5">
        <v>45591</v>
      </c>
      <c r="C1105" s="3" t="s">
        <v>1028</v>
      </c>
      <c r="D1105" s="3" t="s">
        <v>44</v>
      </c>
      <c r="E1105" s="3" t="s">
        <v>42</v>
      </c>
      <c r="F1105" s="3" t="s">
        <v>126</v>
      </c>
      <c r="G1105" s="3" t="s">
        <v>151</v>
      </c>
      <c r="H1105" s="3">
        <v>4</v>
      </c>
      <c r="I1105" s="7">
        <v>1564.21</v>
      </c>
      <c r="J1105" s="9">
        <v>0</v>
      </c>
      <c r="K1105" s="7">
        <v>6256.84</v>
      </c>
      <c r="L1105" s="7">
        <v>3671.72</v>
      </c>
      <c r="M1105" s="3" t="s">
        <v>57</v>
      </c>
      <c r="N1105" s="3"/>
      <c r="O1105" s="3"/>
      <c r="P1105" s="3"/>
      <c r="Q1105" s="3"/>
    </row>
    <row r="1106" spans="1:17" ht="21" customHeight="1">
      <c r="A1106" s="3" t="s">
        <v>1739</v>
      </c>
      <c r="B1106" s="5">
        <v>45591</v>
      </c>
      <c r="C1106" s="3" t="s">
        <v>1228</v>
      </c>
      <c r="D1106" s="3" t="s">
        <v>46</v>
      </c>
      <c r="E1106" s="3" t="s">
        <v>39</v>
      </c>
      <c r="F1106" s="3" t="s">
        <v>164</v>
      </c>
      <c r="G1106" s="3" t="s">
        <v>165</v>
      </c>
      <c r="H1106" s="3">
        <v>1</v>
      </c>
      <c r="I1106" s="7">
        <v>1923.67</v>
      </c>
      <c r="J1106" s="9">
        <v>0</v>
      </c>
      <c r="K1106" s="7">
        <v>1923.67</v>
      </c>
      <c r="L1106" s="7">
        <v>811.94</v>
      </c>
      <c r="M1106" s="3" t="s">
        <v>56</v>
      </c>
      <c r="N1106" s="3"/>
      <c r="O1106" s="3"/>
      <c r="P1106" s="3"/>
      <c r="Q1106" s="3"/>
    </row>
    <row r="1107" spans="1:17" ht="21" customHeight="1">
      <c r="A1107" s="3" t="s">
        <v>1740</v>
      </c>
      <c r="B1107" s="5">
        <v>45592</v>
      </c>
      <c r="C1107" s="3" t="s">
        <v>668</v>
      </c>
      <c r="D1107" s="3" t="s">
        <v>46</v>
      </c>
      <c r="E1107" s="3" t="s">
        <v>42</v>
      </c>
      <c r="F1107" s="3" t="s">
        <v>126</v>
      </c>
      <c r="G1107" s="3" t="s">
        <v>127</v>
      </c>
      <c r="H1107" s="3">
        <v>2</v>
      </c>
      <c r="I1107" s="7">
        <v>1037.44</v>
      </c>
      <c r="J1107" s="9">
        <v>0</v>
      </c>
      <c r="K1107" s="7">
        <v>2074.88</v>
      </c>
      <c r="L1107" s="7">
        <v>1182.83</v>
      </c>
      <c r="M1107" s="3" t="s">
        <v>56</v>
      </c>
      <c r="N1107" s="3"/>
      <c r="O1107" s="3"/>
      <c r="P1107" s="3"/>
      <c r="Q1107" s="3"/>
    </row>
    <row r="1108" spans="1:17" ht="21" customHeight="1">
      <c r="A1108" s="3" t="s">
        <v>1741</v>
      </c>
      <c r="B1108" s="5">
        <v>45592</v>
      </c>
      <c r="C1108" s="3" t="s">
        <v>1257</v>
      </c>
      <c r="D1108" s="3" t="s">
        <v>46</v>
      </c>
      <c r="E1108" s="3" t="s">
        <v>38</v>
      </c>
      <c r="F1108" s="3" t="s">
        <v>142</v>
      </c>
      <c r="G1108" s="3" t="s">
        <v>143</v>
      </c>
      <c r="H1108" s="3">
        <v>2</v>
      </c>
      <c r="I1108" s="7">
        <v>8985.08</v>
      </c>
      <c r="J1108" s="9">
        <v>0</v>
      </c>
      <c r="K1108" s="7">
        <v>17970.16</v>
      </c>
      <c r="L1108" s="7">
        <v>3578.51</v>
      </c>
      <c r="M1108" s="3" t="s">
        <v>56</v>
      </c>
      <c r="N1108" s="3"/>
      <c r="O1108" s="3"/>
      <c r="P1108" s="3"/>
      <c r="Q1108" s="3"/>
    </row>
    <row r="1109" spans="1:17" ht="21" customHeight="1">
      <c r="A1109" s="3" t="s">
        <v>1742</v>
      </c>
      <c r="B1109" s="5">
        <v>45592</v>
      </c>
      <c r="C1109" s="3" t="s">
        <v>741</v>
      </c>
      <c r="D1109" s="3" t="s">
        <v>44</v>
      </c>
      <c r="E1109" s="3" t="s">
        <v>42</v>
      </c>
      <c r="F1109" s="3" t="s">
        <v>126</v>
      </c>
      <c r="G1109" s="3" t="s">
        <v>151</v>
      </c>
      <c r="H1109" s="3">
        <v>5</v>
      </c>
      <c r="I1109" s="7">
        <v>1570.52</v>
      </c>
      <c r="J1109" s="9">
        <v>0</v>
      </c>
      <c r="K1109" s="7">
        <v>7852.6</v>
      </c>
      <c r="L1109" s="7">
        <v>4418.29</v>
      </c>
      <c r="M1109" s="3" t="s">
        <v>56</v>
      </c>
      <c r="N1109" s="3"/>
      <c r="O1109" s="3"/>
      <c r="P1109" s="3"/>
      <c r="Q1109" s="3"/>
    </row>
    <row r="1110" spans="1:17" ht="21" customHeight="1">
      <c r="A1110" s="3" t="s">
        <v>1743</v>
      </c>
      <c r="B1110" s="5">
        <v>45592</v>
      </c>
      <c r="C1110" s="3" t="s">
        <v>1744</v>
      </c>
      <c r="D1110" s="3" t="s">
        <v>45</v>
      </c>
      <c r="E1110" s="3" t="s">
        <v>38</v>
      </c>
      <c r="F1110" s="3" t="s">
        <v>98</v>
      </c>
      <c r="G1110" s="3" t="s">
        <v>182</v>
      </c>
      <c r="H1110" s="3">
        <v>3</v>
      </c>
      <c r="I1110" s="7">
        <v>72828.78</v>
      </c>
      <c r="J1110" s="9">
        <v>0.25</v>
      </c>
      <c r="K1110" s="7">
        <v>163864.76</v>
      </c>
      <c r="L1110" s="7">
        <v>-19524.580000000002</v>
      </c>
      <c r="M1110" s="3" t="s">
        <v>57</v>
      </c>
      <c r="N1110" s="3"/>
      <c r="O1110" s="3"/>
      <c r="P1110" s="3"/>
      <c r="Q1110" s="3"/>
    </row>
    <row r="1111" spans="1:17" ht="21" customHeight="1">
      <c r="A1111" s="3" t="s">
        <v>1745</v>
      </c>
      <c r="B1111" s="5">
        <v>45592</v>
      </c>
      <c r="C1111" s="3" t="s">
        <v>1103</v>
      </c>
      <c r="D1111" s="3" t="s">
        <v>47</v>
      </c>
      <c r="E1111" s="3" t="s">
        <v>39</v>
      </c>
      <c r="F1111" s="3" t="s">
        <v>109</v>
      </c>
      <c r="G1111" s="3" t="s">
        <v>355</v>
      </c>
      <c r="H1111" s="3">
        <v>1</v>
      </c>
      <c r="I1111" s="7">
        <v>3582.79</v>
      </c>
      <c r="J1111" s="9">
        <v>0.15</v>
      </c>
      <c r="K1111" s="7">
        <v>3045.37</v>
      </c>
      <c r="L1111" s="7">
        <v>863</v>
      </c>
      <c r="M1111" s="3" t="s">
        <v>56</v>
      </c>
      <c r="N1111" s="3"/>
      <c r="O1111" s="3"/>
      <c r="P1111" s="3"/>
      <c r="Q1111" s="3"/>
    </row>
    <row r="1112" spans="1:17" ht="21" customHeight="1">
      <c r="A1112" s="3" t="s">
        <v>1746</v>
      </c>
      <c r="B1112" s="5">
        <v>45592</v>
      </c>
      <c r="C1112" s="3" t="s">
        <v>1631</v>
      </c>
      <c r="D1112" s="3" t="s">
        <v>45</v>
      </c>
      <c r="E1112" s="3" t="s">
        <v>38</v>
      </c>
      <c r="F1112" s="3" t="s">
        <v>98</v>
      </c>
      <c r="G1112" s="3" t="s">
        <v>99</v>
      </c>
      <c r="H1112" s="3">
        <v>1</v>
      </c>
      <c r="I1112" s="7">
        <v>25045.55</v>
      </c>
      <c r="J1112" s="9">
        <v>0</v>
      </c>
      <c r="K1112" s="7">
        <v>25045.55</v>
      </c>
      <c r="L1112" s="7">
        <v>3787.33</v>
      </c>
      <c r="M1112" s="3" t="s">
        <v>56</v>
      </c>
      <c r="N1112" s="3"/>
      <c r="O1112" s="3"/>
      <c r="P1112" s="3"/>
      <c r="Q1112" s="3"/>
    </row>
    <row r="1113" spans="1:17" ht="21" customHeight="1">
      <c r="A1113" s="3" t="s">
        <v>1747</v>
      </c>
      <c r="B1113" s="5">
        <v>45592</v>
      </c>
      <c r="C1113" s="3" t="s">
        <v>291</v>
      </c>
      <c r="D1113" s="3" t="s">
        <v>45</v>
      </c>
      <c r="E1113" s="3" t="s">
        <v>42</v>
      </c>
      <c r="F1113" s="3" t="s">
        <v>126</v>
      </c>
      <c r="G1113" s="3" t="s">
        <v>151</v>
      </c>
      <c r="H1113" s="3">
        <v>1</v>
      </c>
      <c r="I1113" s="7">
        <v>1477.08</v>
      </c>
      <c r="J1113" s="9">
        <v>0.05</v>
      </c>
      <c r="K1113" s="7">
        <v>1403.23</v>
      </c>
      <c r="L1113" s="7">
        <v>649.9</v>
      </c>
      <c r="M1113" s="3" t="s">
        <v>58</v>
      </c>
      <c r="N1113" s="3"/>
      <c r="O1113" s="3"/>
      <c r="P1113" s="3"/>
      <c r="Q1113" s="3"/>
    </row>
    <row r="1114" spans="1:17" ht="21" customHeight="1">
      <c r="A1114" s="3" t="s">
        <v>1748</v>
      </c>
      <c r="B1114" s="5">
        <v>45592</v>
      </c>
      <c r="C1114" s="3" t="s">
        <v>591</v>
      </c>
      <c r="D1114" s="3" t="s">
        <v>45</v>
      </c>
      <c r="E1114" s="3" t="s">
        <v>38</v>
      </c>
      <c r="F1114" s="3" t="s">
        <v>98</v>
      </c>
      <c r="G1114" s="3" t="s">
        <v>99</v>
      </c>
      <c r="H1114" s="3">
        <v>2</v>
      </c>
      <c r="I1114" s="7">
        <v>25693.919999999998</v>
      </c>
      <c r="J1114" s="9">
        <v>0.05</v>
      </c>
      <c r="K1114" s="7">
        <v>48818.45</v>
      </c>
      <c r="L1114" s="7">
        <v>5070.32</v>
      </c>
      <c r="M1114" s="3" t="s">
        <v>56</v>
      </c>
      <c r="N1114" s="3"/>
      <c r="O1114" s="3"/>
      <c r="P1114" s="3"/>
      <c r="Q1114" s="3"/>
    </row>
    <row r="1115" spans="1:17" ht="21" customHeight="1">
      <c r="A1115" s="3" t="s">
        <v>1749</v>
      </c>
      <c r="B1115" s="5">
        <v>45593</v>
      </c>
      <c r="C1115" s="3" t="s">
        <v>1115</v>
      </c>
      <c r="D1115" s="3" t="s">
        <v>47</v>
      </c>
      <c r="E1115" s="3" t="s">
        <v>39</v>
      </c>
      <c r="F1115" s="3" t="s">
        <v>130</v>
      </c>
      <c r="G1115" s="3" t="s">
        <v>193</v>
      </c>
      <c r="H1115" s="3">
        <v>1</v>
      </c>
      <c r="I1115" s="7">
        <v>1825.02</v>
      </c>
      <c r="J1115" s="9">
        <v>0.1</v>
      </c>
      <c r="K1115" s="7">
        <v>1642.52</v>
      </c>
      <c r="L1115" s="7">
        <v>480.91</v>
      </c>
      <c r="M1115" s="3" t="s">
        <v>58</v>
      </c>
      <c r="N1115" s="3"/>
      <c r="O1115" s="3"/>
      <c r="P1115" s="3"/>
      <c r="Q1115" s="3"/>
    </row>
    <row r="1116" spans="1:17" ht="21" customHeight="1">
      <c r="A1116" s="3" t="s">
        <v>1750</v>
      </c>
      <c r="B1116" s="5">
        <v>45593</v>
      </c>
      <c r="C1116" s="3" t="s">
        <v>1751</v>
      </c>
      <c r="D1116" s="3" t="s">
        <v>45</v>
      </c>
      <c r="E1116" s="3" t="s">
        <v>42</v>
      </c>
      <c r="F1116" s="3" t="s">
        <v>90</v>
      </c>
      <c r="G1116" s="3" t="s">
        <v>91</v>
      </c>
      <c r="H1116" s="3">
        <v>1</v>
      </c>
      <c r="I1116" s="7">
        <v>1207.8699999999999</v>
      </c>
      <c r="J1116" s="9">
        <v>0.25</v>
      </c>
      <c r="K1116" s="7">
        <v>905.9</v>
      </c>
      <c r="L1116" s="7">
        <v>225.59</v>
      </c>
      <c r="M1116" s="3" t="s">
        <v>60</v>
      </c>
      <c r="N1116" s="3"/>
      <c r="O1116" s="3"/>
      <c r="P1116" s="3"/>
      <c r="Q1116" s="3"/>
    </row>
    <row r="1117" spans="1:17" ht="21" customHeight="1">
      <c r="A1117" s="3" t="s">
        <v>1752</v>
      </c>
      <c r="B1117" s="5">
        <v>45593</v>
      </c>
      <c r="C1117" s="3" t="s">
        <v>1067</v>
      </c>
      <c r="D1117" s="3" t="s">
        <v>47</v>
      </c>
      <c r="E1117" s="3" t="s">
        <v>39</v>
      </c>
      <c r="F1117" s="3" t="s">
        <v>164</v>
      </c>
      <c r="G1117" s="3" t="s">
        <v>200</v>
      </c>
      <c r="H1117" s="3">
        <v>2</v>
      </c>
      <c r="I1117" s="7">
        <v>1289.8499999999999</v>
      </c>
      <c r="J1117" s="9">
        <v>0.05</v>
      </c>
      <c r="K1117" s="7">
        <v>2450.71</v>
      </c>
      <c r="L1117" s="7">
        <v>915.07</v>
      </c>
      <c r="M1117" s="3" t="s">
        <v>58</v>
      </c>
      <c r="N1117" s="3"/>
      <c r="O1117" s="3"/>
      <c r="P1117" s="3"/>
      <c r="Q1117" s="3"/>
    </row>
    <row r="1118" spans="1:17" ht="21" customHeight="1">
      <c r="A1118" s="3" t="s">
        <v>1753</v>
      </c>
      <c r="B1118" s="5">
        <v>45593</v>
      </c>
      <c r="C1118" s="3" t="s">
        <v>645</v>
      </c>
      <c r="D1118" s="3" t="s">
        <v>44</v>
      </c>
      <c r="E1118" s="3" t="s">
        <v>40</v>
      </c>
      <c r="F1118" s="3" t="s">
        <v>102</v>
      </c>
      <c r="G1118" s="3" t="s">
        <v>103</v>
      </c>
      <c r="H1118" s="3">
        <v>1</v>
      </c>
      <c r="I1118" s="7">
        <v>6748.55</v>
      </c>
      <c r="J1118" s="9">
        <v>0.25</v>
      </c>
      <c r="K1118" s="7">
        <v>5061.41</v>
      </c>
      <c r="L1118" s="7">
        <v>119.57</v>
      </c>
      <c r="M1118" s="3" t="s">
        <v>59</v>
      </c>
      <c r="N1118" s="3"/>
      <c r="O1118" s="3"/>
      <c r="P1118" s="3"/>
      <c r="Q1118" s="3"/>
    </row>
    <row r="1119" spans="1:17" ht="21" customHeight="1">
      <c r="A1119" s="3" t="s">
        <v>1754</v>
      </c>
      <c r="B1119" s="5">
        <v>45593</v>
      </c>
      <c r="C1119" s="3" t="s">
        <v>97</v>
      </c>
      <c r="D1119" s="3" t="s">
        <v>47</v>
      </c>
      <c r="E1119" s="3" t="s">
        <v>39</v>
      </c>
      <c r="F1119" s="3" t="s">
        <v>164</v>
      </c>
      <c r="G1119" s="3" t="s">
        <v>165</v>
      </c>
      <c r="H1119" s="3">
        <v>1</v>
      </c>
      <c r="I1119" s="7">
        <v>1982.66</v>
      </c>
      <c r="J1119" s="9">
        <v>0.05</v>
      </c>
      <c r="K1119" s="7">
        <v>1883.53</v>
      </c>
      <c r="L1119" s="7">
        <v>621.34</v>
      </c>
      <c r="M1119" s="3" t="s">
        <v>57</v>
      </c>
      <c r="N1119" s="3"/>
      <c r="O1119" s="3"/>
      <c r="P1119" s="3"/>
      <c r="Q1119" s="3"/>
    </row>
    <row r="1120" spans="1:17" ht="21" customHeight="1">
      <c r="A1120" s="3" t="s">
        <v>1755</v>
      </c>
      <c r="B1120" s="5">
        <v>45594</v>
      </c>
      <c r="C1120" s="3" t="s">
        <v>1016</v>
      </c>
      <c r="D1120" s="3" t="s">
        <v>46</v>
      </c>
      <c r="E1120" s="3" t="s">
        <v>40</v>
      </c>
      <c r="F1120" s="3" t="s">
        <v>102</v>
      </c>
      <c r="G1120" s="3" t="s">
        <v>103</v>
      </c>
      <c r="H1120" s="3">
        <v>2</v>
      </c>
      <c r="I1120" s="7">
        <v>6758.99</v>
      </c>
      <c r="J1120" s="9">
        <v>0</v>
      </c>
      <c r="K1120" s="7">
        <v>13517.98</v>
      </c>
      <c r="L1120" s="7">
        <v>4468.6400000000003</v>
      </c>
      <c r="M1120" s="3" t="s">
        <v>56</v>
      </c>
      <c r="N1120" s="3"/>
      <c r="O1120" s="3"/>
      <c r="P1120" s="3"/>
      <c r="Q1120" s="3"/>
    </row>
    <row r="1121" spans="1:17" ht="21" customHeight="1">
      <c r="A1121" s="3" t="s">
        <v>1756</v>
      </c>
      <c r="B1121" s="5">
        <v>45594</v>
      </c>
      <c r="C1121" s="3" t="s">
        <v>514</v>
      </c>
      <c r="D1121" s="3" t="s">
        <v>46</v>
      </c>
      <c r="E1121" s="3" t="s">
        <v>40</v>
      </c>
      <c r="F1121" s="3" t="s">
        <v>221</v>
      </c>
      <c r="G1121" s="3" t="s">
        <v>222</v>
      </c>
      <c r="H1121" s="3">
        <v>1</v>
      </c>
      <c r="I1121" s="7">
        <v>997.32</v>
      </c>
      <c r="J1121" s="9">
        <v>0.05</v>
      </c>
      <c r="K1121" s="7">
        <v>947.45</v>
      </c>
      <c r="L1121" s="7">
        <v>238.26</v>
      </c>
      <c r="M1121" s="3" t="s">
        <v>57</v>
      </c>
      <c r="N1121" s="3"/>
      <c r="O1121" s="3"/>
      <c r="P1121" s="3"/>
      <c r="Q1121" s="3"/>
    </row>
    <row r="1122" spans="1:17" ht="21" customHeight="1">
      <c r="A1122" s="3" t="s">
        <v>1757</v>
      </c>
      <c r="B1122" s="5">
        <v>45594</v>
      </c>
      <c r="C1122" s="3" t="s">
        <v>925</v>
      </c>
      <c r="D1122" s="3" t="s">
        <v>46</v>
      </c>
      <c r="E1122" s="3" t="s">
        <v>39</v>
      </c>
      <c r="F1122" s="3" t="s">
        <v>130</v>
      </c>
      <c r="G1122" s="3" t="s">
        <v>131</v>
      </c>
      <c r="H1122" s="3">
        <v>1</v>
      </c>
      <c r="I1122" s="7">
        <v>2237.7199999999998</v>
      </c>
      <c r="J1122" s="9">
        <v>0.05</v>
      </c>
      <c r="K1122" s="7">
        <v>2125.83</v>
      </c>
      <c r="L1122" s="7">
        <v>732.95</v>
      </c>
      <c r="M1122" s="3" t="s">
        <v>57</v>
      </c>
      <c r="N1122" s="3"/>
      <c r="O1122" s="3"/>
      <c r="P1122" s="3"/>
      <c r="Q1122" s="3"/>
    </row>
    <row r="1123" spans="1:17" ht="21" customHeight="1">
      <c r="A1123" s="3" t="s">
        <v>1758</v>
      </c>
      <c r="B1123" s="5">
        <v>45594</v>
      </c>
      <c r="C1123" s="3" t="s">
        <v>204</v>
      </c>
      <c r="D1123" s="3" t="s">
        <v>44</v>
      </c>
      <c r="E1123" s="3" t="s">
        <v>40</v>
      </c>
      <c r="F1123" s="3" t="s">
        <v>221</v>
      </c>
      <c r="G1123" s="3" t="s">
        <v>222</v>
      </c>
      <c r="H1123" s="3">
        <v>1</v>
      </c>
      <c r="I1123" s="7">
        <v>970.51</v>
      </c>
      <c r="J1123" s="9">
        <v>0.05</v>
      </c>
      <c r="K1123" s="7">
        <v>921.98</v>
      </c>
      <c r="L1123" s="7">
        <v>271.33</v>
      </c>
      <c r="M1123" s="3" t="s">
        <v>59</v>
      </c>
      <c r="N1123" s="3"/>
      <c r="O1123" s="3"/>
      <c r="P1123" s="3"/>
      <c r="Q1123" s="3"/>
    </row>
    <row r="1124" spans="1:17" ht="21" customHeight="1">
      <c r="A1124" s="3" t="s">
        <v>1759</v>
      </c>
      <c r="B1124" s="5">
        <v>45595</v>
      </c>
      <c r="C1124" s="3" t="s">
        <v>539</v>
      </c>
      <c r="D1124" s="3" t="s">
        <v>44</v>
      </c>
      <c r="E1124" s="3" t="s">
        <v>39</v>
      </c>
      <c r="F1124" s="3" t="s">
        <v>109</v>
      </c>
      <c r="G1124" s="3" t="s">
        <v>355</v>
      </c>
      <c r="H1124" s="3">
        <v>1</v>
      </c>
      <c r="I1124" s="7">
        <v>3569.21</v>
      </c>
      <c r="J1124" s="9">
        <v>0.05</v>
      </c>
      <c r="K1124" s="7">
        <v>3390.75</v>
      </c>
      <c r="L1124" s="7">
        <v>1324.82</v>
      </c>
      <c r="M1124" s="3" t="s">
        <v>56</v>
      </c>
      <c r="N1124" s="3"/>
      <c r="O1124" s="3"/>
      <c r="P1124" s="3"/>
      <c r="Q1124" s="3"/>
    </row>
    <row r="1125" spans="1:17" ht="21" customHeight="1">
      <c r="A1125" s="3" t="s">
        <v>1760</v>
      </c>
      <c r="B1125" s="5">
        <v>45595</v>
      </c>
      <c r="C1125" s="3" t="s">
        <v>366</v>
      </c>
      <c r="D1125" s="3" t="s">
        <v>46</v>
      </c>
      <c r="E1125" s="3" t="s">
        <v>41</v>
      </c>
      <c r="F1125" s="3" t="s">
        <v>119</v>
      </c>
      <c r="G1125" s="3" t="s">
        <v>120</v>
      </c>
      <c r="H1125" s="3">
        <v>1</v>
      </c>
      <c r="I1125" s="7">
        <v>1361.18</v>
      </c>
      <c r="J1125" s="9">
        <v>0.05</v>
      </c>
      <c r="K1125" s="7">
        <v>1293.1199999999999</v>
      </c>
      <c r="L1125" s="7">
        <v>420.14</v>
      </c>
      <c r="M1125" s="3" t="s">
        <v>59</v>
      </c>
      <c r="N1125" s="3"/>
      <c r="O1125" s="3"/>
      <c r="P1125" s="3"/>
      <c r="Q1125" s="3"/>
    </row>
    <row r="1126" spans="1:17" ht="21" customHeight="1">
      <c r="A1126" s="3" t="s">
        <v>1761</v>
      </c>
      <c r="B1126" s="5">
        <v>45595</v>
      </c>
      <c r="C1126" s="3" t="s">
        <v>1762</v>
      </c>
      <c r="D1126" s="3" t="s">
        <v>47</v>
      </c>
      <c r="E1126" s="3" t="s">
        <v>41</v>
      </c>
      <c r="F1126" s="3" t="s">
        <v>113</v>
      </c>
      <c r="G1126" s="3" t="s">
        <v>123</v>
      </c>
      <c r="H1126" s="3">
        <v>1</v>
      </c>
      <c r="I1126" s="7">
        <v>3374.49</v>
      </c>
      <c r="J1126" s="9">
        <v>0</v>
      </c>
      <c r="K1126" s="7">
        <v>3374.49</v>
      </c>
      <c r="L1126" s="7">
        <v>1303.4000000000001</v>
      </c>
      <c r="M1126" s="3" t="s">
        <v>56</v>
      </c>
      <c r="N1126" s="3"/>
      <c r="O1126" s="3"/>
      <c r="P1126" s="3"/>
      <c r="Q1126" s="3"/>
    </row>
    <row r="1127" spans="1:17" ht="21" customHeight="1">
      <c r="A1127" s="3" t="s">
        <v>1763</v>
      </c>
      <c r="B1127" s="5">
        <v>45596</v>
      </c>
      <c r="C1127" s="3" t="s">
        <v>899</v>
      </c>
      <c r="D1127" s="3" t="s">
        <v>47</v>
      </c>
      <c r="E1127" s="3" t="s">
        <v>42</v>
      </c>
      <c r="F1127" s="3" t="s">
        <v>90</v>
      </c>
      <c r="G1127" s="3" t="s">
        <v>106</v>
      </c>
      <c r="H1127" s="3">
        <v>1</v>
      </c>
      <c r="I1127" s="7">
        <v>871.2</v>
      </c>
      <c r="J1127" s="9">
        <v>0</v>
      </c>
      <c r="K1127" s="7">
        <v>871.2</v>
      </c>
      <c r="L1127" s="7">
        <v>473.8</v>
      </c>
      <c r="M1127" s="3" t="s">
        <v>56</v>
      </c>
      <c r="N1127" s="3"/>
      <c r="O1127" s="3"/>
      <c r="P1127" s="3"/>
      <c r="Q1127" s="3"/>
    </row>
    <row r="1128" spans="1:17" ht="21" customHeight="1">
      <c r="A1128" s="3" t="s">
        <v>1764</v>
      </c>
      <c r="B1128" s="5">
        <v>45596</v>
      </c>
      <c r="C1128" s="3" t="s">
        <v>1224</v>
      </c>
      <c r="D1128" s="3" t="s">
        <v>44</v>
      </c>
      <c r="E1128" s="3" t="s">
        <v>40</v>
      </c>
      <c r="F1128" s="3" t="s">
        <v>102</v>
      </c>
      <c r="G1128" s="3" t="s">
        <v>146</v>
      </c>
      <c r="H1128" s="3">
        <v>3</v>
      </c>
      <c r="I1128" s="7">
        <v>8060.88</v>
      </c>
      <c r="J1128" s="9">
        <v>0.1</v>
      </c>
      <c r="K1128" s="7">
        <v>21764.38</v>
      </c>
      <c r="L1128" s="7">
        <v>5011</v>
      </c>
      <c r="M1128" s="3" t="s">
        <v>57</v>
      </c>
      <c r="N1128" s="3"/>
      <c r="O1128" s="3"/>
      <c r="P1128" s="3"/>
      <c r="Q1128" s="3"/>
    </row>
    <row r="1129" spans="1:17" ht="21" customHeight="1">
      <c r="A1129" s="3" t="s">
        <v>1765</v>
      </c>
      <c r="B1129" s="5">
        <v>45596</v>
      </c>
      <c r="C1129" s="3" t="s">
        <v>1019</v>
      </c>
      <c r="D1129" s="3" t="s">
        <v>46</v>
      </c>
      <c r="E1129" s="3" t="s">
        <v>38</v>
      </c>
      <c r="F1129" s="3" t="s">
        <v>98</v>
      </c>
      <c r="G1129" s="3" t="s">
        <v>362</v>
      </c>
      <c r="H1129" s="3">
        <v>5</v>
      </c>
      <c r="I1129" s="7">
        <v>32359.38</v>
      </c>
      <c r="J1129" s="9">
        <v>0.05</v>
      </c>
      <c r="K1129" s="7">
        <v>153707.04999999999</v>
      </c>
      <c r="L1129" s="7">
        <v>19379.45</v>
      </c>
      <c r="M1129" s="3" t="s">
        <v>57</v>
      </c>
      <c r="N1129" s="3"/>
      <c r="O1129" s="3"/>
      <c r="P1129" s="3"/>
      <c r="Q1129" s="3"/>
    </row>
    <row r="1130" spans="1:17" ht="21" customHeight="1">
      <c r="A1130" s="3" t="s">
        <v>1766</v>
      </c>
      <c r="B1130" s="5">
        <v>45597</v>
      </c>
      <c r="C1130" s="3" t="s">
        <v>613</v>
      </c>
      <c r="D1130" s="3" t="s">
        <v>46</v>
      </c>
      <c r="E1130" s="3" t="s">
        <v>41</v>
      </c>
      <c r="F1130" s="3" t="s">
        <v>119</v>
      </c>
      <c r="G1130" s="3" t="s">
        <v>168</v>
      </c>
      <c r="H1130" s="3">
        <v>5</v>
      </c>
      <c r="I1130" s="7">
        <v>10360.459999999999</v>
      </c>
      <c r="J1130" s="9">
        <v>0.1</v>
      </c>
      <c r="K1130" s="7">
        <v>46622.07</v>
      </c>
      <c r="L1130" s="7">
        <v>11463.98</v>
      </c>
      <c r="M1130" s="3" t="s">
        <v>59</v>
      </c>
      <c r="N1130" s="3"/>
      <c r="O1130" s="3"/>
      <c r="P1130" s="3"/>
      <c r="Q1130" s="3"/>
    </row>
    <row r="1131" spans="1:17" ht="21" customHeight="1">
      <c r="A1131" s="3" t="s">
        <v>1767</v>
      </c>
      <c r="B1131" s="5">
        <v>45597</v>
      </c>
      <c r="C1131" s="3" t="s">
        <v>827</v>
      </c>
      <c r="D1131" s="3" t="s">
        <v>46</v>
      </c>
      <c r="E1131" s="3" t="s">
        <v>39</v>
      </c>
      <c r="F1131" s="3" t="s">
        <v>164</v>
      </c>
      <c r="G1131" s="3" t="s">
        <v>165</v>
      </c>
      <c r="H1131" s="3">
        <v>1</v>
      </c>
      <c r="I1131" s="7">
        <v>1906.39</v>
      </c>
      <c r="J1131" s="9">
        <v>0.1</v>
      </c>
      <c r="K1131" s="7">
        <v>1715.75</v>
      </c>
      <c r="L1131" s="7">
        <v>571.87</v>
      </c>
      <c r="M1131" s="3" t="s">
        <v>58</v>
      </c>
      <c r="N1131" s="3"/>
      <c r="O1131" s="3"/>
      <c r="P1131" s="3"/>
      <c r="Q1131" s="3"/>
    </row>
    <row r="1132" spans="1:17" ht="21" customHeight="1">
      <c r="A1132" s="3" t="s">
        <v>1768</v>
      </c>
      <c r="B1132" s="5">
        <v>45597</v>
      </c>
      <c r="C1132" s="3" t="s">
        <v>1067</v>
      </c>
      <c r="D1132" s="3" t="s">
        <v>44</v>
      </c>
      <c r="E1132" s="3" t="s">
        <v>38</v>
      </c>
      <c r="F1132" s="3" t="s">
        <v>142</v>
      </c>
      <c r="G1132" s="3" t="s">
        <v>143</v>
      </c>
      <c r="H1132" s="3">
        <v>5</v>
      </c>
      <c r="I1132" s="7">
        <v>9065.2900000000009</v>
      </c>
      <c r="J1132" s="9">
        <v>0</v>
      </c>
      <c r="K1132" s="7">
        <v>45326.45</v>
      </c>
      <c r="L1132" s="7">
        <v>7137.65</v>
      </c>
      <c r="M1132" s="3" t="s">
        <v>58</v>
      </c>
      <c r="N1132" s="3"/>
      <c r="O1132" s="3"/>
      <c r="P1132" s="3"/>
      <c r="Q1132" s="3"/>
    </row>
    <row r="1133" spans="1:17" ht="21" customHeight="1">
      <c r="A1133" s="3" t="s">
        <v>1769</v>
      </c>
      <c r="B1133" s="5">
        <v>45597</v>
      </c>
      <c r="C1133" s="3" t="s">
        <v>1264</v>
      </c>
      <c r="D1133" s="3" t="s">
        <v>45</v>
      </c>
      <c r="E1133" s="3" t="s">
        <v>42</v>
      </c>
      <c r="F1133" s="3" t="s">
        <v>126</v>
      </c>
      <c r="G1133" s="3" t="s">
        <v>127</v>
      </c>
      <c r="H1133" s="3">
        <v>2</v>
      </c>
      <c r="I1133" s="7">
        <v>1032.3800000000001</v>
      </c>
      <c r="J1133" s="9">
        <v>0.15</v>
      </c>
      <c r="K1133" s="7">
        <v>1755.05</v>
      </c>
      <c r="L1133" s="7">
        <v>676.96</v>
      </c>
      <c r="M1133" s="3" t="s">
        <v>57</v>
      </c>
      <c r="N1133" s="3"/>
      <c r="O1133" s="3"/>
      <c r="P1133" s="3"/>
      <c r="Q1133" s="3"/>
    </row>
    <row r="1134" spans="1:17" ht="21" customHeight="1">
      <c r="A1134" s="3" t="s">
        <v>1770</v>
      </c>
      <c r="B1134" s="5">
        <v>45598</v>
      </c>
      <c r="C1134" s="3" t="s">
        <v>957</v>
      </c>
      <c r="D1134" s="3" t="s">
        <v>44</v>
      </c>
      <c r="E1134" s="3" t="s">
        <v>41</v>
      </c>
      <c r="F1134" s="3" t="s">
        <v>113</v>
      </c>
      <c r="G1134" s="3" t="s">
        <v>123</v>
      </c>
      <c r="H1134" s="3">
        <v>4</v>
      </c>
      <c r="I1134" s="7">
        <v>3424.69</v>
      </c>
      <c r="J1134" s="9">
        <v>0.05</v>
      </c>
      <c r="K1134" s="7">
        <v>13013.82</v>
      </c>
      <c r="L1134" s="7">
        <v>4245.47</v>
      </c>
      <c r="M1134" s="3" t="s">
        <v>60</v>
      </c>
      <c r="N1134" s="3"/>
      <c r="O1134" s="3"/>
      <c r="P1134" s="3"/>
      <c r="Q1134" s="3"/>
    </row>
    <row r="1135" spans="1:17" ht="21" customHeight="1">
      <c r="A1135" s="3" t="s">
        <v>1771</v>
      </c>
      <c r="B1135" s="5">
        <v>45598</v>
      </c>
      <c r="C1135" s="3" t="s">
        <v>680</v>
      </c>
      <c r="D1135" s="3" t="s">
        <v>44</v>
      </c>
      <c r="E1135" s="3" t="s">
        <v>40</v>
      </c>
      <c r="F1135" s="3" t="s">
        <v>102</v>
      </c>
      <c r="G1135" s="3" t="s">
        <v>146</v>
      </c>
      <c r="H1135" s="3">
        <v>1</v>
      </c>
      <c r="I1135" s="7">
        <v>7611.57</v>
      </c>
      <c r="J1135" s="9">
        <v>0.2</v>
      </c>
      <c r="K1135" s="7">
        <v>6089.26</v>
      </c>
      <c r="L1135" s="7">
        <v>466.27</v>
      </c>
      <c r="M1135" s="3" t="s">
        <v>58</v>
      </c>
      <c r="N1135" s="3"/>
      <c r="O1135" s="3"/>
      <c r="P1135" s="3"/>
      <c r="Q1135" s="3"/>
    </row>
    <row r="1136" spans="1:17" ht="21" customHeight="1">
      <c r="A1136" s="3" t="s">
        <v>1772</v>
      </c>
      <c r="B1136" s="5">
        <v>45598</v>
      </c>
      <c r="C1136" s="3" t="s">
        <v>1773</v>
      </c>
      <c r="D1136" s="3" t="s">
        <v>45</v>
      </c>
      <c r="E1136" s="3" t="s">
        <v>42</v>
      </c>
      <c r="F1136" s="3" t="s">
        <v>90</v>
      </c>
      <c r="G1136" s="3" t="s">
        <v>106</v>
      </c>
      <c r="H1136" s="3">
        <v>3</v>
      </c>
      <c r="I1136" s="7">
        <v>862.25</v>
      </c>
      <c r="J1136" s="9">
        <v>0.05</v>
      </c>
      <c r="K1136" s="7">
        <v>2457.41</v>
      </c>
      <c r="L1136" s="7">
        <v>1160.78</v>
      </c>
      <c r="M1136" s="3" t="s">
        <v>57</v>
      </c>
      <c r="N1136" s="3"/>
      <c r="O1136" s="3"/>
      <c r="P1136" s="3"/>
      <c r="Q1136" s="3"/>
    </row>
    <row r="1137" spans="1:17" ht="21" customHeight="1">
      <c r="A1137" s="3" t="s">
        <v>1774</v>
      </c>
      <c r="B1137" s="5">
        <v>45598</v>
      </c>
      <c r="C1137" s="3" t="s">
        <v>1078</v>
      </c>
      <c r="D1137" s="3" t="s">
        <v>45</v>
      </c>
      <c r="E1137" s="3" t="s">
        <v>41</v>
      </c>
      <c r="F1137" s="3" t="s">
        <v>113</v>
      </c>
      <c r="G1137" s="3" t="s">
        <v>123</v>
      </c>
      <c r="H1137" s="3">
        <v>2</v>
      </c>
      <c r="I1137" s="7">
        <v>3543.51</v>
      </c>
      <c r="J1137" s="9">
        <v>0.05</v>
      </c>
      <c r="K1137" s="7">
        <v>6732.67</v>
      </c>
      <c r="L1137" s="7">
        <v>2382.4499999999998</v>
      </c>
      <c r="M1137" s="3" t="s">
        <v>56</v>
      </c>
      <c r="N1137" s="3"/>
      <c r="O1137" s="3"/>
      <c r="P1137" s="3"/>
      <c r="Q1137" s="3"/>
    </row>
    <row r="1138" spans="1:17" ht="21" customHeight="1">
      <c r="A1138" s="3" t="s">
        <v>1775</v>
      </c>
      <c r="B1138" s="5">
        <v>45598</v>
      </c>
      <c r="C1138" s="3" t="s">
        <v>428</v>
      </c>
      <c r="D1138" s="3" t="s">
        <v>46</v>
      </c>
      <c r="E1138" s="3" t="s">
        <v>42</v>
      </c>
      <c r="F1138" s="3" t="s">
        <v>90</v>
      </c>
      <c r="G1138" s="3" t="s">
        <v>91</v>
      </c>
      <c r="H1138" s="3">
        <v>1</v>
      </c>
      <c r="I1138" s="7">
        <v>1179.33</v>
      </c>
      <c r="J1138" s="9">
        <v>0.1</v>
      </c>
      <c r="K1138" s="7">
        <v>1061.4000000000001</v>
      </c>
      <c r="L1138" s="7">
        <v>461.94</v>
      </c>
      <c r="M1138" s="3" t="s">
        <v>56</v>
      </c>
      <c r="N1138" s="3"/>
      <c r="O1138" s="3"/>
      <c r="P1138" s="3"/>
      <c r="Q1138" s="3"/>
    </row>
    <row r="1139" spans="1:17" ht="21" customHeight="1">
      <c r="A1139" s="3" t="s">
        <v>1776</v>
      </c>
      <c r="B1139" s="5">
        <v>45598</v>
      </c>
      <c r="C1139" s="3" t="s">
        <v>1360</v>
      </c>
      <c r="D1139" s="3" t="s">
        <v>44</v>
      </c>
      <c r="E1139" s="3" t="s">
        <v>42</v>
      </c>
      <c r="F1139" s="3" t="s">
        <v>90</v>
      </c>
      <c r="G1139" s="3" t="s">
        <v>91</v>
      </c>
      <c r="H1139" s="3">
        <v>1</v>
      </c>
      <c r="I1139" s="7">
        <v>1157.71</v>
      </c>
      <c r="J1139" s="9">
        <v>0.05</v>
      </c>
      <c r="K1139" s="7">
        <v>1099.82</v>
      </c>
      <c r="L1139" s="7">
        <v>555.44000000000005</v>
      </c>
      <c r="M1139" s="3" t="s">
        <v>56</v>
      </c>
      <c r="N1139" s="3"/>
      <c r="O1139" s="3"/>
      <c r="P1139" s="3"/>
      <c r="Q1139" s="3"/>
    </row>
    <row r="1140" spans="1:17" ht="21" customHeight="1">
      <c r="A1140" s="3" t="s">
        <v>1777</v>
      </c>
      <c r="B1140" s="5">
        <v>45598</v>
      </c>
      <c r="C1140" s="3" t="s">
        <v>1578</v>
      </c>
      <c r="D1140" s="3" t="s">
        <v>45</v>
      </c>
      <c r="E1140" s="3" t="s">
        <v>38</v>
      </c>
      <c r="F1140" s="3" t="s">
        <v>94</v>
      </c>
      <c r="G1140" s="3" t="s">
        <v>95</v>
      </c>
      <c r="H1140" s="3">
        <v>2</v>
      </c>
      <c r="I1140" s="7">
        <v>76443.63</v>
      </c>
      <c r="J1140" s="9">
        <v>0.05</v>
      </c>
      <c r="K1140" s="7">
        <v>145242.9</v>
      </c>
      <c r="L1140" s="7">
        <v>17877</v>
      </c>
      <c r="M1140" s="3" t="s">
        <v>60</v>
      </c>
      <c r="N1140" s="3"/>
      <c r="O1140" s="3"/>
      <c r="P1140" s="3"/>
      <c r="Q1140" s="3"/>
    </row>
    <row r="1141" spans="1:17" ht="21" customHeight="1">
      <c r="A1141" s="3" t="s">
        <v>1778</v>
      </c>
      <c r="B1141" s="5">
        <v>45598</v>
      </c>
      <c r="C1141" s="3" t="s">
        <v>548</v>
      </c>
      <c r="D1141" s="3" t="s">
        <v>44</v>
      </c>
      <c r="E1141" s="3" t="s">
        <v>40</v>
      </c>
      <c r="F1141" s="3" t="s">
        <v>160</v>
      </c>
      <c r="G1141" s="3" t="s">
        <v>161</v>
      </c>
      <c r="H1141" s="3">
        <v>1</v>
      </c>
      <c r="I1141" s="7">
        <v>13217.96</v>
      </c>
      <c r="J1141" s="9">
        <v>0.3</v>
      </c>
      <c r="K1141" s="7">
        <v>9252.57</v>
      </c>
      <c r="L1141" s="7">
        <v>-196.46</v>
      </c>
      <c r="M1141" s="3" t="s">
        <v>56</v>
      </c>
      <c r="N1141" s="3"/>
      <c r="O1141" s="3"/>
      <c r="P1141" s="3"/>
      <c r="Q1141" s="3"/>
    </row>
    <row r="1142" spans="1:17" ht="21" customHeight="1">
      <c r="A1142" s="3" t="s">
        <v>1779</v>
      </c>
      <c r="B1142" s="5">
        <v>45599</v>
      </c>
      <c r="C1142" s="3" t="s">
        <v>1612</v>
      </c>
      <c r="D1142" s="3" t="s">
        <v>44</v>
      </c>
      <c r="E1142" s="3" t="s">
        <v>39</v>
      </c>
      <c r="F1142" s="3" t="s">
        <v>164</v>
      </c>
      <c r="G1142" s="3" t="s">
        <v>165</v>
      </c>
      <c r="H1142" s="3">
        <v>1</v>
      </c>
      <c r="I1142" s="7">
        <v>1952.02</v>
      </c>
      <c r="J1142" s="9">
        <v>0</v>
      </c>
      <c r="K1142" s="7">
        <v>1952.02</v>
      </c>
      <c r="L1142" s="7">
        <v>880.69</v>
      </c>
      <c r="M1142" s="3" t="s">
        <v>56</v>
      </c>
      <c r="N1142" s="3"/>
      <c r="O1142" s="3"/>
      <c r="P1142" s="3"/>
      <c r="Q1142" s="3"/>
    </row>
    <row r="1143" spans="1:17" ht="21" customHeight="1">
      <c r="A1143" s="3" t="s">
        <v>1780</v>
      </c>
      <c r="B1143" s="5">
        <v>45599</v>
      </c>
      <c r="C1143" s="3" t="s">
        <v>937</v>
      </c>
      <c r="D1143" s="3" t="s">
        <v>45</v>
      </c>
      <c r="E1143" s="3" t="s">
        <v>40</v>
      </c>
      <c r="F1143" s="3" t="s">
        <v>102</v>
      </c>
      <c r="G1143" s="3" t="s">
        <v>103</v>
      </c>
      <c r="H1143" s="3">
        <v>4</v>
      </c>
      <c r="I1143" s="7">
        <v>6212.97</v>
      </c>
      <c r="J1143" s="9">
        <v>0.15</v>
      </c>
      <c r="K1143" s="7">
        <v>21124.1</v>
      </c>
      <c r="L1143" s="7">
        <v>2821.16</v>
      </c>
      <c r="M1143" s="3" t="s">
        <v>56</v>
      </c>
      <c r="N1143" s="3"/>
      <c r="O1143" s="3"/>
      <c r="P1143" s="3"/>
      <c r="Q1143" s="3"/>
    </row>
    <row r="1144" spans="1:17" ht="21" customHeight="1">
      <c r="A1144" s="3" t="s">
        <v>1781</v>
      </c>
      <c r="B1144" s="5">
        <v>45599</v>
      </c>
      <c r="C1144" s="3" t="s">
        <v>531</v>
      </c>
      <c r="D1144" s="3" t="s">
        <v>46</v>
      </c>
      <c r="E1144" s="3" t="s">
        <v>39</v>
      </c>
      <c r="F1144" s="3" t="s">
        <v>164</v>
      </c>
      <c r="G1144" s="3" t="s">
        <v>200</v>
      </c>
      <c r="H1144" s="3">
        <v>1</v>
      </c>
      <c r="I1144" s="7">
        <v>1257.8699999999999</v>
      </c>
      <c r="J1144" s="9">
        <v>0</v>
      </c>
      <c r="K1144" s="7">
        <v>1257.8699999999999</v>
      </c>
      <c r="L1144" s="7">
        <v>551.38</v>
      </c>
      <c r="M1144" s="3" t="s">
        <v>57</v>
      </c>
      <c r="N1144" s="3"/>
      <c r="O1144" s="3"/>
      <c r="P1144" s="3"/>
      <c r="Q1144" s="3"/>
    </row>
    <row r="1145" spans="1:17" ht="21" customHeight="1">
      <c r="A1145" s="3" t="s">
        <v>1782</v>
      </c>
      <c r="B1145" s="5">
        <v>45599</v>
      </c>
      <c r="C1145" s="3" t="s">
        <v>1783</v>
      </c>
      <c r="D1145" s="3" t="s">
        <v>45</v>
      </c>
      <c r="E1145" s="3" t="s">
        <v>41</v>
      </c>
      <c r="F1145" s="3" t="s">
        <v>119</v>
      </c>
      <c r="G1145" s="3" t="s">
        <v>120</v>
      </c>
      <c r="H1145" s="3">
        <v>2</v>
      </c>
      <c r="I1145" s="7">
        <v>1316.83</v>
      </c>
      <c r="J1145" s="9">
        <v>0.25</v>
      </c>
      <c r="K1145" s="7">
        <v>1975.24</v>
      </c>
      <c r="L1145" s="7">
        <v>187.69</v>
      </c>
      <c r="M1145" s="3" t="s">
        <v>58</v>
      </c>
      <c r="N1145" s="3"/>
      <c r="O1145" s="3"/>
      <c r="P1145" s="3"/>
      <c r="Q1145" s="3"/>
    </row>
    <row r="1146" spans="1:17" ht="21" customHeight="1">
      <c r="A1146" s="3" t="s">
        <v>1784</v>
      </c>
      <c r="B1146" s="5">
        <v>45600</v>
      </c>
      <c r="C1146" s="3" t="s">
        <v>1785</v>
      </c>
      <c r="D1146" s="3" t="s">
        <v>44</v>
      </c>
      <c r="E1146" s="3" t="s">
        <v>42</v>
      </c>
      <c r="F1146" s="3" t="s">
        <v>126</v>
      </c>
      <c r="G1146" s="3" t="s">
        <v>151</v>
      </c>
      <c r="H1146" s="3">
        <v>4</v>
      </c>
      <c r="I1146" s="7">
        <v>1512.81</v>
      </c>
      <c r="J1146" s="9">
        <v>0</v>
      </c>
      <c r="K1146" s="7">
        <v>6051.24</v>
      </c>
      <c r="L1146" s="7">
        <v>3488.21</v>
      </c>
      <c r="M1146" s="3" t="s">
        <v>57</v>
      </c>
      <c r="N1146" s="3"/>
      <c r="O1146" s="3"/>
      <c r="P1146" s="3"/>
      <c r="Q1146" s="3"/>
    </row>
    <row r="1147" spans="1:17" ht="21" customHeight="1">
      <c r="A1147" s="3" t="s">
        <v>1786</v>
      </c>
      <c r="B1147" s="5">
        <v>45600</v>
      </c>
      <c r="C1147" s="3" t="s">
        <v>440</v>
      </c>
      <c r="D1147" s="3" t="s">
        <v>47</v>
      </c>
      <c r="E1147" s="3" t="s">
        <v>38</v>
      </c>
      <c r="F1147" s="3" t="s">
        <v>98</v>
      </c>
      <c r="G1147" s="3" t="s">
        <v>362</v>
      </c>
      <c r="H1147" s="3">
        <v>1</v>
      </c>
      <c r="I1147" s="7">
        <v>31563.64</v>
      </c>
      <c r="J1147" s="9">
        <v>0.2</v>
      </c>
      <c r="K1147" s="7">
        <v>25250.91</v>
      </c>
      <c r="L1147" s="7">
        <v>-2014.95</v>
      </c>
      <c r="M1147" s="3" t="s">
        <v>57</v>
      </c>
      <c r="N1147" s="3"/>
      <c r="O1147" s="3"/>
      <c r="P1147" s="3"/>
      <c r="Q1147" s="3"/>
    </row>
    <row r="1148" spans="1:17" ht="21" customHeight="1">
      <c r="A1148" s="3" t="s">
        <v>1787</v>
      </c>
      <c r="B1148" s="5">
        <v>45600</v>
      </c>
      <c r="C1148" s="3" t="s">
        <v>1022</v>
      </c>
      <c r="D1148" s="3" t="s">
        <v>45</v>
      </c>
      <c r="E1148" s="3" t="s">
        <v>39</v>
      </c>
      <c r="F1148" s="3" t="s">
        <v>130</v>
      </c>
      <c r="G1148" s="3" t="s">
        <v>193</v>
      </c>
      <c r="H1148" s="3">
        <v>1</v>
      </c>
      <c r="I1148" s="7">
        <v>1767.99</v>
      </c>
      <c r="J1148" s="9">
        <v>0.1</v>
      </c>
      <c r="K1148" s="7">
        <v>1591.19</v>
      </c>
      <c r="L1148" s="7">
        <v>497.98</v>
      </c>
      <c r="M1148" s="3" t="s">
        <v>56</v>
      </c>
      <c r="N1148" s="3"/>
      <c r="O1148" s="3"/>
      <c r="P1148" s="3"/>
      <c r="Q1148" s="3"/>
    </row>
    <row r="1149" spans="1:17" ht="21" customHeight="1">
      <c r="A1149" s="3" t="s">
        <v>1788</v>
      </c>
      <c r="B1149" s="5">
        <v>45600</v>
      </c>
      <c r="C1149" s="3" t="s">
        <v>1789</v>
      </c>
      <c r="D1149" s="3" t="s">
        <v>47</v>
      </c>
      <c r="E1149" s="3" t="s">
        <v>40</v>
      </c>
      <c r="F1149" s="3" t="s">
        <v>160</v>
      </c>
      <c r="G1149" s="3" t="s">
        <v>173</v>
      </c>
      <c r="H1149" s="3">
        <v>2</v>
      </c>
      <c r="I1149" s="7">
        <v>8772.06</v>
      </c>
      <c r="J1149" s="9">
        <v>0.1</v>
      </c>
      <c r="K1149" s="7">
        <v>15789.71</v>
      </c>
      <c r="L1149" s="7">
        <v>3896.6</v>
      </c>
      <c r="M1149" s="3" t="s">
        <v>58</v>
      </c>
      <c r="N1149" s="3"/>
      <c r="O1149" s="3"/>
      <c r="P1149" s="3"/>
      <c r="Q1149" s="3"/>
    </row>
    <row r="1150" spans="1:17" ht="21" customHeight="1">
      <c r="A1150" s="3" t="s">
        <v>1790</v>
      </c>
      <c r="B1150" s="5">
        <v>45600</v>
      </c>
      <c r="C1150" s="3" t="s">
        <v>1725</v>
      </c>
      <c r="D1150" s="3" t="s">
        <v>45</v>
      </c>
      <c r="E1150" s="3" t="s">
        <v>41</v>
      </c>
      <c r="F1150" s="3" t="s">
        <v>113</v>
      </c>
      <c r="G1150" s="3" t="s">
        <v>123</v>
      </c>
      <c r="H1150" s="3">
        <v>3</v>
      </c>
      <c r="I1150" s="7">
        <v>3438.37</v>
      </c>
      <c r="J1150" s="9">
        <v>0</v>
      </c>
      <c r="K1150" s="7">
        <v>10315.11</v>
      </c>
      <c r="L1150" s="7">
        <v>4133.42</v>
      </c>
      <c r="M1150" s="3" t="s">
        <v>56</v>
      </c>
      <c r="N1150" s="3"/>
      <c r="O1150" s="3"/>
      <c r="P1150" s="3"/>
      <c r="Q1150" s="3"/>
    </row>
    <row r="1151" spans="1:17" ht="21" customHeight="1">
      <c r="A1151" s="3" t="s">
        <v>1791</v>
      </c>
      <c r="B1151" s="5">
        <v>45601</v>
      </c>
      <c r="C1151" s="3" t="s">
        <v>1792</v>
      </c>
      <c r="D1151" s="3" t="s">
        <v>46</v>
      </c>
      <c r="E1151" s="3" t="s">
        <v>38</v>
      </c>
      <c r="F1151" s="3" t="s">
        <v>98</v>
      </c>
      <c r="G1151" s="3" t="s">
        <v>99</v>
      </c>
      <c r="H1151" s="3">
        <v>1</v>
      </c>
      <c r="I1151" s="7">
        <v>26144.03</v>
      </c>
      <c r="J1151" s="9">
        <v>0</v>
      </c>
      <c r="K1151" s="7">
        <v>26144.03</v>
      </c>
      <c r="L1151" s="7">
        <v>4083.32</v>
      </c>
      <c r="M1151" s="3" t="s">
        <v>56</v>
      </c>
      <c r="N1151" s="3"/>
      <c r="O1151" s="3"/>
      <c r="P1151" s="3"/>
      <c r="Q1151" s="3"/>
    </row>
    <row r="1152" spans="1:17" ht="21" customHeight="1">
      <c r="A1152" s="3" t="s">
        <v>1793</v>
      </c>
      <c r="B1152" s="5">
        <v>45601</v>
      </c>
      <c r="C1152" s="3" t="s">
        <v>657</v>
      </c>
      <c r="D1152" s="3" t="s">
        <v>45</v>
      </c>
      <c r="E1152" s="3" t="s">
        <v>42</v>
      </c>
      <c r="F1152" s="3" t="s">
        <v>90</v>
      </c>
      <c r="G1152" s="3" t="s">
        <v>91</v>
      </c>
      <c r="H1152" s="3">
        <v>1</v>
      </c>
      <c r="I1152" s="7">
        <v>1202.72</v>
      </c>
      <c r="J1152" s="9">
        <v>0.1</v>
      </c>
      <c r="K1152" s="7">
        <v>1082.45</v>
      </c>
      <c r="L1152" s="7">
        <v>464.55</v>
      </c>
      <c r="M1152" s="3" t="s">
        <v>56</v>
      </c>
      <c r="N1152" s="3"/>
      <c r="O1152" s="3"/>
      <c r="P1152" s="3"/>
      <c r="Q1152" s="3"/>
    </row>
    <row r="1153" spans="1:17" ht="21" customHeight="1">
      <c r="A1153" s="3" t="s">
        <v>1794</v>
      </c>
      <c r="B1153" s="5">
        <v>45601</v>
      </c>
      <c r="C1153" s="3" t="s">
        <v>422</v>
      </c>
      <c r="D1153" s="3" t="s">
        <v>46</v>
      </c>
      <c r="E1153" s="3" t="s">
        <v>41</v>
      </c>
      <c r="F1153" s="3" t="s">
        <v>119</v>
      </c>
      <c r="G1153" s="3" t="s">
        <v>168</v>
      </c>
      <c r="H1153" s="3">
        <v>1</v>
      </c>
      <c r="I1153" s="7">
        <v>9853.65</v>
      </c>
      <c r="J1153" s="9">
        <v>0.05</v>
      </c>
      <c r="K1153" s="7">
        <v>9360.9699999999993</v>
      </c>
      <c r="L1153" s="7">
        <v>3252.34</v>
      </c>
      <c r="M1153" s="3" t="s">
        <v>57</v>
      </c>
      <c r="N1153" s="3"/>
      <c r="O1153" s="3"/>
      <c r="P1153" s="3"/>
      <c r="Q1153" s="3"/>
    </row>
    <row r="1154" spans="1:17" ht="21" customHeight="1">
      <c r="A1154" s="3" t="s">
        <v>1795</v>
      </c>
      <c r="B1154" s="5">
        <v>45601</v>
      </c>
      <c r="C1154" s="3" t="s">
        <v>93</v>
      </c>
      <c r="D1154" s="3" t="s">
        <v>44</v>
      </c>
      <c r="E1154" s="3" t="s">
        <v>41</v>
      </c>
      <c r="F1154" s="3" t="s">
        <v>113</v>
      </c>
      <c r="G1154" s="3" t="s">
        <v>114</v>
      </c>
      <c r="H1154" s="3">
        <v>1</v>
      </c>
      <c r="I1154" s="7">
        <v>11430.75</v>
      </c>
      <c r="J1154" s="9">
        <v>0.25</v>
      </c>
      <c r="K1154" s="7">
        <v>8573.06</v>
      </c>
      <c r="L1154" s="7">
        <v>975.97</v>
      </c>
      <c r="M1154" s="3" t="s">
        <v>56</v>
      </c>
      <c r="N1154" s="3"/>
      <c r="O1154" s="3"/>
      <c r="P1154" s="3"/>
      <c r="Q1154" s="3"/>
    </row>
    <row r="1155" spans="1:17" ht="21" customHeight="1">
      <c r="A1155" s="3" t="s">
        <v>1796</v>
      </c>
      <c r="B1155" s="5">
        <v>45601</v>
      </c>
      <c r="C1155" s="3" t="s">
        <v>1360</v>
      </c>
      <c r="D1155" s="3" t="s">
        <v>45</v>
      </c>
      <c r="E1155" s="3" t="s">
        <v>42</v>
      </c>
      <c r="F1155" s="3" t="s">
        <v>90</v>
      </c>
      <c r="G1155" s="3" t="s">
        <v>91</v>
      </c>
      <c r="H1155" s="3">
        <v>1</v>
      </c>
      <c r="I1155" s="7">
        <v>1156.1500000000001</v>
      </c>
      <c r="J1155" s="9">
        <v>0.05</v>
      </c>
      <c r="K1155" s="7">
        <v>1098.3399999999999</v>
      </c>
      <c r="L1155" s="7">
        <v>566.11</v>
      </c>
      <c r="M1155" s="3" t="s">
        <v>56</v>
      </c>
      <c r="N1155" s="3"/>
      <c r="O1155" s="3"/>
      <c r="P1155" s="3"/>
      <c r="Q1155" s="3"/>
    </row>
    <row r="1156" spans="1:17" ht="21" customHeight="1">
      <c r="A1156" s="3" t="s">
        <v>1797</v>
      </c>
      <c r="B1156" s="5">
        <v>45601</v>
      </c>
      <c r="C1156" s="3" t="s">
        <v>316</v>
      </c>
      <c r="D1156" s="3" t="s">
        <v>47</v>
      </c>
      <c r="E1156" s="3" t="s">
        <v>42</v>
      </c>
      <c r="F1156" s="3" t="s">
        <v>126</v>
      </c>
      <c r="G1156" s="3" t="s">
        <v>151</v>
      </c>
      <c r="H1156" s="3">
        <v>1</v>
      </c>
      <c r="I1156" s="7">
        <v>1543.79</v>
      </c>
      <c r="J1156" s="9">
        <v>0.2</v>
      </c>
      <c r="K1156" s="7">
        <v>1235.03</v>
      </c>
      <c r="L1156" s="7">
        <v>408.81</v>
      </c>
      <c r="M1156" s="3" t="s">
        <v>58</v>
      </c>
      <c r="N1156" s="3"/>
      <c r="O1156" s="3"/>
      <c r="P1156" s="3"/>
      <c r="Q1156" s="3"/>
    </row>
    <row r="1157" spans="1:17" ht="21" customHeight="1">
      <c r="A1157" s="3" t="s">
        <v>1798</v>
      </c>
      <c r="B1157" s="5">
        <v>45601</v>
      </c>
      <c r="C1157" s="3" t="s">
        <v>1799</v>
      </c>
      <c r="D1157" s="3" t="s">
        <v>44</v>
      </c>
      <c r="E1157" s="3" t="s">
        <v>38</v>
      </c>
      <c r="F1157" s="3" t="s">
        <v>142</v>
      </c>
      <c r="G1157" s="3" t="s">
        <v>143</v>
      </c>
      <c r="H1157" s="3">
        <v>3</v>
      </c>
      <c r="I1157" s="7">
        <v>8785.2000000000007</v>
      </c>
      <c r="J1157" s="9">
        <v>0.05</v>
      </c>
      <c r="K1157" s="7">
        <v>25037.82</v>
      </c>
      <c r="L1157" s="7">
        <v>2877.3</v>
      </c>
      <c r="M1157" s="3" t="s">
        <v>56</v>
      </c>
      <c r="N1157" s="3"/>
      <c r="O1157" s="3"/>
      <c r="P1157" s="3"/>
      <c r="Q1157" s="3"/>
    </row>
    <row r="1158" spans="1:17" ht="21" customHeight="1">
      <c r="A1158" s="3" t="s">
        <v>1800</v>
      </c>
      <c r="B1158" s="5">
        <v>45601</v>
      </c>
      <c r="C1158" s="3" t="s">
        <v>1103</v>
      </c>
      <c r="D1158" s="3" t="s">
        <v>45</v>
      </c>
      <c r="E1158" s="3" t="s">
        <v>42</v>
      </c>
      <c r="F1158" s="3" t="s">
        <v>90</v>
      </c>
      <c r="G1158" s="3" t="s">
        <v>91</v>
      </c>
      <c r="H1158" s="3">
        <v>2</v>
      </c>
      <c r="I1158" s="7">
        <v>1147</v>
      </c>
      <c r="J1158" s="9">
        <v>0.05</v>
      </c>
      <c r="K1158" s="7">
        <v>2179.3000000000002</v>
      </c>
      <c r="L1158" s="7">
        <v>1087.81</v>
      </c>
      <c r="M1158" s="3" t="s">
        <v>57</v>
      </c>
      <c r="N1158" s="3"/>
      <c r="O1158" s="3"/>
      <c r="P1158" s="3"/>
      <c r="Q1158" s="3"/>
    </row>
    <row r="1159" spans="1:17" ht="21" customHeight="1">
      <c r="A1159" s="3" t="s">
        <v>1801</v>
      </c>
      <c r="B1159" s="5">
        <v>45602</v>
      </c>
      <c r="C1159" s="3" t="s">
        <v>1424</v>
      </c>
      <c r="D1159" s="3" t="s">
        <v>45</v>
      </c>
      <c r="E1159" s="3" t="s">
        <v>38</v>
      </c>
      <c r="F1159" s="3" t="s">
        <v>142</v>
      </c>
      <c r="G1159" s="3" t="s">
        <v>143</v>
      </c>
      <c r="H1159" s="3">
        <v>1</v>
      </c>
      <c r="I1159" s="7">
        <v>9094.16</v>
      </c>
      <c r="J1159" s="9">
        <v>0</v>
      </c>
      <c r="K1159" s="7">
        <v>9094.16</v>
      </c>
      <c r="L1159" s="7">
        <v>1346.59</v>
      </c>
      <c r="M1159" s="3" t="s">
        <v>60</v>
      </c>
      <c r="N1159" s="3"/>
      <c r="O1159" s="3"/>
      <c r="P1159" s="3"/>
      <c r="Q1159" s="3"/>
    </row>
    <row r="1160" spans="1:17" ht="21" customHeight="1">
      <c r="A1160" s="3" t="s">
        <v>1802</v>
      </c>
      <c r="B1160" s="5">
        <v>45602</v>
      </c>
      <c r="C1160" s="3" t="s">
        <v>498</v>
      </c>
      <c r="D1160" s="3" t="s">
        <v>45</v>
      </c>
      <c r="E1160" s="3" t="s">
        <v>39</v>
      </c>
      <c r="F1160" s="3" t="s">
        <v>130</v>
      </c>
      <c r="G1160" s="3" t="s">
        <v>193</v>
      </c>
      <c r="H1160" s="3">
        <v>1</v>
      </c>
      <c r="I1160" s="7">
        <v>1759.63</v>
      </c>
      <c r="J1160" s="9">
        <v>0</v>
      </c>
      <c r="K1160" s="7">
        <v>1759.63</v>
      </c>
      <c r="L1160" s="7">
        <v>798.37</v>
      </c>
      <c r="M1160" s="3" t="s">
        <v>56</v>
      </c>
      <c r="N1160" s="3"/>
      <c r="O1160" s="3"/>
      <c r="P1160" s="3"/>
      <c r="Q1160" s="3"/>
    </row>
    <row r="1161" spans="1:17" ht="21" customHeight="1">
      <c r="A1161" s="3" t="s">
        <v>1803</v>
      </c>
      <c r="B1161" s="5">
        <v>45602</v>
      </c>
      <c r="C1161" s="3" t="s">
        <v>959</v>
      </c>
      <c r="D1161" s="3" t="s">
        <v>45</v>
      </c>
      <c r="E1161" s="3" t="s">
        <v>39</v>
      </c>
      <c r="F1161" s="3" t="s">
        <v>164</v>
      </c>
      <c r="G1161" s="3" t="s">
        <v>165</v>
      </c>
      <c r="H1161" s="3">
        <v>1</v>
      </c>
      <c r="I1161" s="7">
        <v>1931.87</v>
      </c>
      <c r="J1161" s="9">
        <v>0.05</v>
      </c>
      <c r="K1161" s="7">
        <v>1835.28</v>
      </c>
      <c r="L1161" s="7">
        <v>620.88</v>
      </c>
      <c r="M1161" s="3" t="s">
        <v>57</v>
      </c>
      <c r="N1161" s="3"/>
      <c r="O1161" s="3"/>
      <c r="P1161" s="3"/>
      <c r="Q1161" s="3"/>
    </row>
    <row r="1162" spans="1:17" ht="21" customHeight="1">
      <c r="A1162" s="3" t="s">
        <v>1804</v>
      </c>
      <c r="B1162" s="5">
        <v>45602</v>
      </c>
      <c r="C1162" s="3" t="s">
        <v>741</v>
      </c>
      <c r="D1162" s="3" t="s">
        <v>44</v>
      </c>
      <c r="E1162" s="3" t="s">
        <v>41</v>
      </c>
      <c r="F1162" s="3" t="s">
        <v>113</v>
      </c>
      <c r="G1162" s="3" t="s">
        <v>123</v>
      </c>
      <c r="H1162" s="3">
        <v>1</v>
      </c>
      <c r="I1162" s="7">
        <v>3375.89</v>
      </c>
      <c r="J1162" s="9">
        <v>0.15</v>
      </c>
      <c r="K1162" s="7">
        <v>2869.51</v>
      </c>
      <c r="L1162" s="7">
        <v>545.71</v>
      </c>
      <c r="M1162" s="3" t="s">
        <v>56</v>
      </c>
      <c r="N1162" s="3"/>
      <c r="O1162" s="3"/>
      <c r="P1162" s="3"/>
      <c r="Q1162" s="3"/>
    </row>
    <row r="1163" spans="1:17" ht="21" customHeight="1">
      <c r="A1163" s="3" t="s">
        <v>1805</v>
      </c>
      <c r="B1163" s="5">
        <v>45603</v>
      </c>
      <c r="C1163" s="3" t="s">
        <v>1384</v>
      </c>
      <c r="D1163" s="3" t="s">
        <v>44</v>
      </c>
      <c r="E1163" s="3" t="s">
        <v>40</v>
      </c>
      <c r="F1163" s="3" t="s">
        <v>221</v>
      </c>
      <c r="G1163" s="3" t="s">
        <v>279</v>
      </c>
      <c r="H1163" s="3">
        <v>3</v>
      </c>
      <c r="I1163" s="7">
        <v>1435.15</v>
      </c>
      <c r="J1163" s="9">
        <v>0.05</v>
      </c>
      <c r="K1163" s="7">
        <v>4090.18</v>
      </c>
      <c r="L1163" s="7">
        <v>1156.93</v>
      </c>
      <c r="M1163" s="3" t="s">
        <v>56</v>
      </c>
      <c r="N1163" s="3"/>
      <c r="O1163" s="3"/>
      <c r="P1163" s="3"/>
      <c r="Q1163" s="3"/>
    </row>
    <row r="1164" spans="1:17" ht="21" customHeight="1">
      <c r="A1164" s="3" t="s">
        <v>1806</v>
      </c>
      <c r="B1164" s="5">
        <v>45603</v>
      </c>
      <c r="C1164" s="3" t="s">
        <v>800</v>
      </c>
      <c r="D1164" s="3" t="s">
        <v>45</v>
      </c>
      <c r="E1164" s="3" t="s">
        <v>40</v>
      </c>
      <c r="F1164" s="3" t="s">
        <v>102</v>
      </c>
      <c r="G1164" s="3" t="s">
        <v>103</v>
      </c>
      <c r="H1164" s="3">
        <v>3</v>
      </c>
      <c r="I1164" s="7">
        <v>6211.94</v>
      </c>
      <c r="J1164" s="9">
        <v>0.15</v>
      </c>
      <c r="K1164" s="7">
        <v>15840.45</v>
      </c>
      <c r="L1164" s="7">
        <v>2643.05</v>
      </c>
      <c r="M1164" s="3" t="s">
        <v>58</v>
      </c>
      <c r="N1164" s="3"/>
      <c r="O1164" s="3"/>
      <c r="P1164" s="3"/>
      <c r="Q1164" s="3"/>
    </row>
    <row r="1165" spans="1:17" ht="21" customHeight="1">
      <c r="A1165" s="3" t="s">
        <v>1807</v>
      </c>
      <c r="B1165" s="5">
        <v>45603</v>
      </c>
      <c r="C1165" s="3" t="s">
        <v>1289</v>
      </c>
      <c r="D1165" s="3" t="s">
        <v>46</v>
      </c>
      <c r="E1165" s="3" t="s">
        <v>40</v>
      </c>
      <c r="F1165" s="3" t="s">
        <v>102</v>
      </c>
      <c r="G1165" s="3" t="s">
        <v>103</v>
      </c>
      <c r="H1165" s="3">
        <v>1</v>
      </c>
      <c r="I1165" s="7">
        <v>6641.02</v>
      </c>
      <c r="J1165" s="9">
        <v>0.2</v>
      </c>
      <c r="K1165" s="7">
        <v>5312.82</v>
      </c>
      <c r="L1165" s="7">
        <v>511.12</v>
      </c>
      <c r="M1165" s="3" t="s">
        <v>58</v>
      </c>
      <c r="N1165" s="3"/>
      <c r="O1165" s="3"/>
      <c r="P1165" s="3"/>
      <c r="Q1165" s="3"/>
    </row>
    <row r="1166" spans="1:17" ht="21" customHeight="1">
      <c r="A1166" s="3" t="s">
        <v>1808</v>
      </c>
      <c r="B1166" s="5">
        <v>45603</v>
      </c>
      <c r="C1166" s="3" t="s">
        <v>948</v>
      </c>
      <c r="D1166" s="3" t="s">
        <v>45</v>
      </c>
      <c r="E1166" s="3" t="s">
        <v>38</v>
      </c>
      <c r="F1166" s="3" t="s">
        <v>98</v>
      </c>
      <c r="G1166" s="3" t="s">
        <v>182</v>
      </c>
      <c r="H1166" s="3">
        <v>1</v>
      </c>
      <c r="I1166" s="7">
        <v>72081.960000000006</v>
      </c>
      <c r="J1166" s="9">
        <v>0</v>
      </c>
      <c r="K1166" s="7">
        <v>72081.960000000006</v>
      </c>
      <c r="L1166" s="7">
        <v>12023.61</v>
      </c>
      <c r="M1166" s="3" t="s">
        <v>57</v>
      </c>
      <c r="N1166" s="3"/>
      <c r="O1166" s="3"/>
      <c r="P1166" s="3"/>
      <c r="Q1166" s="3"/>
    </row>
    <row r="1167" spans="1:17" ht="21" customHeight="1">
      <c r="A1167" s="3" t="s">
        <v>1809</v>
      </c>
      <c r="B1167" s="5">
        <v>45604</v>
      </c>
      <c r="C1167" s="3" t="s">
        <v>1171</v>
      </c>
      <c r="D1167" s="3" t="s">
        <v>45</v>
      </c>
      <c r="E1167" s="3" t="s">
        <v>39</v>
      </c>
      <c r="F1167" s="3" t="s">
        <v>109</v>
      </c>
      <c r="G1167" s="3" t="s">
        <v>355</v>
      </c>
      <c r="H1167" s="3">
        <v>1</v>
      </c>
      <c r="I1167" s="7">
        <v>3561.84</v>
      </c>
      <c r="J1167" s="9">
        <v>0.05</v>
      </c>
      <c r="K1167" s="7">
        <v>3383.75</v>
      </c>
      <c r="L1167" s="7">
        <v>1181.01</v>
      </c>
      <c r="M1167" s="3" t="s">
        <v>57</v>
      </c>
      <c r="N1167" s="3"/>
      <c r="O1167" s="3"/>
      <c r="P1167" s="3"/>
      <c r="Q1167" s="3"/>
    </row>
    <row r="1168" spans="1:17" ht="21" customHeight="1">
      <c r="A1168" s="3" t="s">
        <v>1810</v>
      </c>
      <c r="B1168" s="5">
        <v>45604</v>
      </c>
      <c r="C1168" s="3" t="s">
        <v>170</v>
      </c>
      <c r="D1168" s="3" t="s">
        <v>45</v>
      </c>
      <c r="E1168" s="3" t="s">
        <v>40</v>
      </c>
      <c r="F1168" s="3" t="s">
        <v>102</v>
      </c>
      <c r="G1168" s="3" t="s">
        <v>146</v>
      </c>
      <c r="H1168" s="3">
        <v>1</v>
      </c>
      <c r="I1168" s="7">
        <v>7891.23</v>
      </c>
      <c r="J1168" s="9">
        <v>0.05</v>
      </c>
      <c r="K1168" s="7">
        <v>7496.67</v>
      </c>
      <c r="L1168" s="7">
        <v>1857.22</v>
      </c>
      <c r="M1168" s="3" t="s">
        <v>57</v>
      </c>
      <c r="N1168" s="3"/>
      <c r="O1168" s="3"/>
      <c r="P1168" s="3"/>
      <c r="Q1168" s="3"/>
    </row>
    <row r="1169" spans="1:17" ht="21" customHeight="1">
      <c r="A1169" s="3" t="s">
        <v>1811</v>
      </c>
      <c r="B1169" s="5">
        <v>45604</v>
      </c>
      <c r="C1169" s="3" t="s">
        <v>357</v>
      </c>
      <c r="D1169" s="3" t="s">
        <v>47</v>
      </c>
      <c r="E1169" s="3" t="s">
        <v>39</v>
      </c>
      <c r="F1169" s="3" t="s">
        <v>130</v>
      </c>
      <c r="G1169" s="3" t="s">
        <v>131</v>
      </c>
      <c r="H1169" s="3">
        <v>2</v>
      </c>
      <c r="I1169" s="7">
        <v>2089.73</v>
      </c>
      <c r="J1169" s="9">
        <v>0</v>
      </c>
      <c r="K1169" s="7">
        <v>4179.46</v>
      </c>
      <c r="L1169" s="7">
        <v>1650.08</v>
      </c>
      <c r="M1169" s="3" t="s">
        <v>57</v>
      </c>
      <c r="N1169" s="3"/>
      <c r="O1169" s="3"/>
      <c r="P1169" s="3"/>
      <c r="Q1169" s="3"/>
    </row>
    <row r="1170" spans="1:17" ht="21" customHeight="1">
      <c r="A1170" s="3" t="s">
        <v>1812</v>
      </c>
      <c r="B1170" s="5">
        <v>45604</v>
      </c>
      <c r="C1170" s="3" t="s">
        <v>1278</v>
      </c>
      <c r="D1170" s="3" t="s">
        <v>45</v>
      </c>
      <c r="E1170" s="3" t="s">
        <v>42</v>
      </c>
      <c r="F1170" s="3" t="s">
        <v>126</v>
      </c>
      <c r="G1170" s="3" t="s">
        <v>151</v>
      </c>
      <c r="H1170" s="3">
        <v>3</v>
      </c>
      <c r="I1170" s="7">
        <v>1539.12</v>
      </c>
      <c r="J1170" s="9">
        <v>0</v>
      </c>
      <c r="K1170" s="7">
        <v>4617.3599999999997</v>
      </c>
      <c r="L1170" s="7">
        <v>2447.21</v>
      </c>
      <c r="M1170" s="3" t="s">
        <v>56</v>
      </c>
      <c r="N1170" s="3"/>
      <c r="O1170" s="3"/>
      <c r="P1170" s="3"/>
      <c r="Q1170" s="3"/>
    </row>
    <row r="1171" spans="1:17" ht="21" customHeight="1">
      <c r="A1171" s="3" t="s">
        <v>1813</v>
      </c>
      <c r="B1171" s="5">
        <v>45604</v>
      </c>
      <c r="C1171" s="3" t="s">
        <v>1716</v>
      </c>
      <c r="D1171" s="3" t="s">
        <v>44</v>
      </c>
      <c r="E1171" s="3" t="s">
        <v>42</v>
      </c>
      <c r="F1171" s="3" t="s">
        <v>90</v>
      </c>
      <c r="G1171" s="3" t="s">
        <v>91</v>
      </c>
      <c r="H1171" s="3">
        <v>1</v>
      </c>
      <c r="I1171" s="7">
        <v>1172.1199999999999</v>
      </c>
      <c r="J1171" s="9">
        <v>0.15</v>
      </c>
      <c r="K1171" s="7">
        <v>996.3</v>
      </c>
      <c r="L1171" s="7">
        <v>402.22</v>
      </c>
      <c r="M1171" s="3" t="s">
        <v>57</v>
      </c>
      <c r="N1171" s="3"/>
      <c r="O1171" s="3"/>
      <c r="P1171" s="3"/>
      <c r="Q1171" s="3"/>
    </row>
    <row r="1172" spans="1:17" ht="21" customHeight="1">
      <c r="A1172" s="3" t="s">
        <v>1814</v>
      </c>
      <c r="B1172" s="5">
        <v>45604</v>
      </c>
      <c r="C1172" s="3" t="s">
        <v>881</v>
      </c>
      <c r="D1172" s="3" t="s">
        <v>44</v>
      </c>
      <c r="E1172" s="3" t="s">
        <v>40</v>
      </c>
      <c r="F1172" s="3" t="s">
        <v>160</v>
      </c>
      <c r="G1172" s="3" t="s">
        <v>161</v>
      </c>
      <c r="H1172" s="3">
        <v>2</v>
      </c>
      <c r="I1172" s="7">
        <v>12773.75</v>
      </c>
      <c r="J1172" s="9">
        <v>0</v>
      </c>
      <c r="K1172" s="7">
        <v>25547.5</v>
      </c>
      <c r="L1172" s="7">
        <v>8545.68</v>
      </c>
      <c r="M1172" s="3" t="s">
        <v>56</v>
      </c>
      <c r="N1172" s="3"/>
      <c r="O1172" s="3"/>
      <c r="P1172" s="3"/>
      <c r="Q1172" s="3"/>
    </row>
    <row r="1173" spans="1:17" ht="21" customHeight="1">
      <c r="A1173" s="3" t="s">
        <v>1815</v>
      </c>
      <c r="B1173" s="5">
        <v>45604</v>
      </c>
      <c r="C1173" s="3" t="s">
        <v>1816</v>
      </c>
      <c r="D1173" s="3" t="s">
        <v>44</v>
      </c>
      <c r="E1173" s="3" t="s">
        <v>42</v>
      </c>
      <c r="F1173" s="3" t="s">
        <v>90</v>
      </c>
      <c r="G1173" s="3" t="s">
        <v>106</v>
      </c>
      <c r="H1173" s="3">
        <v>1</v>
      </c>
      <c r="I1173" s="7">
        <v>854.93</v>
      </c>
      <c r="J1173" s="9">
        <v>0</v>
      </c>
      <c r="K1173" s="7">
        <v>854.93</v>
      </c>
      <c r="L1173" s="7">
        <v>436.32</v>
      </c>
      <c r="M1173" s="3" t="s">
        <v>56</v>
      </c>
      <c r="N1173" s="3"/>
      <c r="O1173" s="3"/>
      <c r="P1173" s="3"/>
      <c r="Q1173" s="3"/>
    </row>
    <row r="1174" spans="1:17" ht="21" customHeight="1">
      <c r="A1174" s="3" t="s">
        <v>1817</v>
      </c>
      <c r="B1174" s="5">
        <v>45605</v>
      </c>
      <c r="C1174" s="3" t="s">
        <v>242</v>
      </c>
      <c r="D1174" s="3" t="s">
        <v>45</v>
      </c>
      <c r="E1174" s="3" t="s">
        <v>42</v>
      </c>
      <c r="F1174" s="3" t="s">
        <v>126</v>
      </c>
      <c r="G1174" s="3" t="s">
        <v>151</v>
      </c>
      <c r="H1174" s="3">
        <v>1</v>
      </c>
      <c r="I1174" s="7">
        <v>1503.52</v>
      </c>
      <c r="J1174" s="9">
        <v>0.1</v>
      </c>
      <c r="K1174" s="7">
        <v>1353.17</v>
      </c>
      <c r="L1174" s="7">
        <v>593.88</v>
      </c>
      <c r="M1174" s="3" t="s">
        <v>57</v>
      </c>
      <c r="N1174" s="3"/>
      <c r="O1174" s="3"/>
      <c r="P1174" s="3"/>
      <c r="Q1174" s="3"/>
    </row>
    <row r="1175" spans="1:17" ht="21" customHeight="1">
      <c r="A1175" s="3" t="s">
        <v>1818</v>
      </c>
      <c r="B1175" s="5">
        <v>45605</v>
      </c>
      <c r="C1175" s="3" t="s">
        <v>1150</v>
      </c>
      <c r="D1175" s="3" t="s">
        <v>44</v>
      </c>
      <c r="E1175" s="3" t="s">
        <v>38</v>
      </c>
      <c r="F1175" s="3" t="s">
        <v>94</v>
      </c>
      <c r="G1175" s="3" t="s">
        <v>213</v>
      </c>
      <c r="H1175" s="3">
        <v>4</v>
      </c>
      <c r="I1175" s="7">
        <v>55639.56</v>
      </c>
      <c r="J1175" s="9">
        <v>0.05</v>
      </c>
      <c r="K1175" s="7">
        <v>211430.33</v>
      </c>
      <c r="L1175" s="7">
        <v>18981.12</v>
      </c>
      <c r="M1175" s="3" t="s">
        <v>56</v>
      </c>
      <c r="N1175" s="3"/>
      <c r="O1175" s="3"/>
      <c r="P1175" s="3"/>
      <c r="Q1175" s="3"/>
    </row>
    <row r="1176" spans="1:17" ht="21" customHeight="1">
      <c r="A1176" s="3" t="s">
        <v>1819</v>
      </c>
      <c r="B1176" s="5">
        <v>45605</v>
      </c>
      <c r="C1176" s="3" t="s">
        <v>899</v>
      </c>
      <c r="D1176" s="3" t="s">
        <v>44</v>
      </c>
      <c r="E1176" s="3" t="s">
        <v>42</v>
      </c>
      <c r="F1176" s="3" t="s">
        <v>126</v>
      </c>
      <c r="G1176" s="3" t="s">
        <v>127</v>
      </c>
      <c r="H1176" s="3">
        <v>2</v>
      </c>
      <c r="I1176" s="7">
        <v>1026.27</v>
      </c>
      <c r="J1176" s="9">
        <v>0.15</v>
      </c>
      <c r="K1176" s="7">
        <v>1744.66</v>
      </c>
      <c r="L1176" s="7">
        <v>628.91999999999996</v>
      </c>
      <c r="M1176" s="3" t="s">
        <v>56</v>
      </c>
      <c r="N1176" s="3"/>
      <c r="O1176" s="3"/>
      <c r="P1176" s="3"/>
      <c r="Q1176" s="3"/>
    </row>
    <row r="1177" spans="1:17" ht="21" customHeight="1">
      <c r="A1177" s="3" t="s">
        <v>1820</v>
      </c>
      <c r="B1177" s="5">
        <v>45605</v>
      </c>
      <c r="C1177" s="3" t="s">
        <v>682</v>
      </c>
      <c r="D1177" s="3" t="s">
        <v>46</v>
      </c>
      <c r="E1177" s="3" t="s">
        <v>41</v>
      </c>
      <c r="F1177" s="3" t="s">
        <v>119</v>
      </c>
      <c r="G1177" s="3" t="s">
        <v>168</v>
      </c>
      <c r="H1177" s="3">
        <v>3</v>
      </c>
      <c r="I1177" s="7">
        <v>10456.780000000001</v>
      </c>
      <c r="J1177" s="9">
        <v>0.1</v>
      </c>
      <c r="K1177" s="7">
        <v>28233.31</v>
      </c>
      <c r="L1177" s="7">
        <v>8419.1</v>
      </c>
      <c r="M1177" s="3" t="s">
        <v>57</v>
      </c>
      <c r="N1177" s="3"/>
      <c r="O1177" s="3"/>
      <c r="P1177" s="3"/>
      <c r="Q1177" s="3"/>
    </row>
    <row r="1178" spans="1:17" ht="21" customHeight="1">
      <c r="A1178" s="3" t="s">
        <v>1821</v>
      </c>
      <c r="B1178" s="5">
        <v>45606</v>
      </c>
      <c r="C1178" s="3" t="s">
        <v>575</v>
      </c>
      <c r="D1178" s="3" t="s">
        <v>44</v>
      </c>
      <c r="E1178" s="3" t="s">
        <v>38</v>
      </c>
      <c r="F1178" s="3" t="s">
        <v>98</v>
      </c>
      <c r="G1178" s="3" t="s">
        <v>182</v>
      </c>
      <c r="H1178" s="3">
        <v>1</v>
      </c>
      <c r="I1178" s="7">
        <v>72639.350000000006</v>
      </c>
      <c r="J1178" s="9">
        <v>0.2</v>
      </c>
      <c r="K1178" s="7">
        <v>58111.48</v>
      </c>
      <c r="L1178" s="7">
        <v>-808.96</v>
      </c>
      <c r="M1178" s="3" t="s">
        <v>57</v>
      </c>
      <c r="N1178" s="3"/>
      <c r="O1178" s="3"/>
      <c r="P1178" s="3"/>
      <c r="Q1178" s="3"/>
    </row>
    <row r="1179" spans="1:17" ht="21" customHeight="1">
      <c r="A1179" s="3" t="s">
        <v>1822</v>
      </c>
      <c r="B1179" s="5">
        <v>45606</v>
      </c>
      <c r="C1179" s="3" t="s">
        <v>259</v>
      </c>
      <c r="D1179" s="3" t="s">
        <v>45</v>
      </c>
      <c r="E1179" s="3" t="s">
        <v>39</v>
      </c>
      <c r="F1179" s="3" t="s">
        <v>109</v>
      </c>
      <c r="G1179" s="3" t="s">
        <v>110</v>
      </c>
      <c r="H1179" s="3">
        <v>1</v>
      </c>
      <c r="I1179" s="7">
        <v>3052.35</v>
      </c>
      <c r="J1179" s="9">
        <v>0.05</v>
      </c>
      <c r="K1179" s="7">
        <v>2899.73</v>
      </c>
      <c r="L1179" s="7">
        <v>1103.58</v>
      </c>
      <c r="M1179" s="3" t="s">
        <v>57</v>
      </c>
      <c r="N1179" s="3"/>
      <c r="O1179" s="3"/>
      <c r="P1179" s="3"/>
      <c r="Q1179" s="3"/>
    </row>
    <row r="1180" spans="1:17" ht="21" customHeight="1">
      <c r="A1180" s="3" t="s">
        <v>1823</v>
      </c>
      <c r="B1180" s="5">
        <v>45606</v>
      </c>
      <c r="C1180" s="3" t="s">
        <v>1555</v>
      </c>
      <c r="D1180" s="3" t="s">
        <v>45</v>
      </c>
      <c r="E1180" s="3" t="s">
        <v>42</v>
      </c>
      <c r="F1180" s="3" t="s">
        <v>126</v>
      </c>
      <c r="G1180" s="3" t="s">
        <v>151</v>
      </c>
      <c r="H1180" s="3">
        <v>1</v>
      </c>
      <c r="I1180" s="7">
        <v>1544.3</v>
      </c>
      <c r="J1180" s="9">
        <v>0</v>
      </c>
      <c r="K1180" s="7">
        <v>1544.3</v>
      </c>
      <c r="L1180" s="7">
        <v>823.17</v>
      </c>
      <c r="M1180" s="3" t="s">
        <v>56</v>
      </c>
      <c r="N1180" s="3"/>
      <c r="O1180" s="3"/>
      <c r="P1180" s="3"/>
      <c r="Q1180" s="3"/>
    </row>
    <row r="1181" spans="1:17" ht="21" customHeight="1">
      <c r="A1181" s="3" t="s">
        <v>1824</v>
      </c>
      <c r="B1181" s="5">
        <v>45607</v>
      </c>
      <c r="C1181" s="3" t="s">
        <v>853</v>
      </c>
      <c r="D1181" s="3" t="s">
        <v>46</v>
      </c>
      <c r="E1181" s="3" t="s">
        <v>42</v>
      </c>
      <c r="F1181" s="3" t="s">
        <v>126</v>
      </c>
      <c r="G1181" s="3" t="s">
        <v>151</v>
      </c>
      <c r="H1181" s="3">
        <v>2</v>
      </c>
      <c r="I1181" s="7">
        <v>1546.33</v>
      </c>
      <c r="J1181" s="9">
        <v>0</v>
      </c>
      <c r="K1181" s="7">
        <v>3092.66</v>
      </c>
      <c r="L1181" s="7">
        <v>1668.39</v>
      </c>
      <c r="M1181" s="3" t="s">
        <v>60</v>
      </c>
      <c r="N1181" s="3"/>
      <c r="O1181" s="3"/>
      <c r="P1181" s="3"/>
      <c r="Q1181" s="3"/>
    </row>
    <row r="1182" spans="1:17" ht="21" customHeight="1">
      <c r="A1182" s="3" t="s">
        <v>1825</v>
      </c>
      <c r="B1182" s="5">
        <v>45607</v>
      </c>
      <c r="C1182" s="3" t="s">
        <v>514</v>
      </c>
      <c r="D1182" s="3" t="s">
        <v>45</v>
      </c>
      <c r="E1182" s="3" t="s">
        <v>42</v>
      </c>
      <c r="F1182" s="3" t="s">
        <v>126</v>
      </c>
      <c r="G1182" s="3" t="s">
        <v>127</v>
      </c>
      <c r="H1182" s="3">
        <v>4</v>
      </c>
      <c r="I1182" s="7">
        <v>954.61</v>
      </c>
      <c r="J1182" s="9">
        <v>0.05</v>
      </c>
      <c r="K1182" s="7">
        <v>3627.52</v>
      </c>
      <c r="L1182" s="7">
        <v>1679.74</v>
      </c>
      <c r="M1182" s="3" t="s">
        <v>57</v>
      </c>
      <c r="N1182" s="3"/>
      <c r="O1182" s="3"/>
      <c r="P1182" s="3"/>
      <c r="Q1182" s="3"/>
    </row>
    <row r="1183" spans="1:17" ht="21" customHeight="1">
      <c r="A1183" s="3" t="s">
        <v>1826</v>
      </c>
      <c r="B1183" s="5">
        <v>45607</v>
      </c>
      <c r="C1183" s="3" t="s">
        <v>715</v>
      </c>
      <c r="D1183" s="3" t="s">
        <v>44</v>
      </c>
      <c r="E1183" s="3" t="s">
        <v>38</v>
      </c>
      <c r="F1183" s="3" t="s">
        <v>94</v>
      </c>
      <c r="G1183" s="3" t="s">
        <v>95</v>
      </c>
      <c r="H1183" s="3">
        <v>2</v>
      </c>
      <c r="I1183" s="7">
        <v>79147.22</v>
      </c>
      <c r="J1183" s="9">
        <v>0</v>
      </c>
      <c r="K1183" s="7">
        <v>158294.44</v>
      </c>
      <c r="L1183" s="7">
        <v>28419.95</v>
      </c>
      <c r="M1183" s="3" t="s">
        <v>57</v>
      </c>
      <c r="N1183" s="3"/>
      <c r="O1183" s="3"/>
      <c r="P1183" s="3"/>
      <c r="Q1183" s="3"/>
    </row>
    <row r="1184" spans="1:17" ht="21" customHeight="1">
      <c r="A1184" s="3" t="s">
        <v>1827</v>
      </c>
      <c r="B1184" s="5">
        <v>45607</v>
      </c>
      <c r="C1184" s="3" t="s">
        <v>914</v>
      </c>
      <c r="D1184" s="3" t="s">
        <v>47</v>
      </c>
      <c r="E1184" s="3" t="s">
        <v>39</v>
      </c>
      <c r="F1184" s="3" t="s">
        <v>164</v>
      </c>
      <c r="G1184" s="3" t="s">
        <v>200</v>
      </c>
      <c r="H1184" s="3">
        <v>2</v>
      </c>
      <c r="I1184" s="7">
        <v>1265.81</v>
      </c>
      <c r="J1184" s="9">
        <v>0.15</v>
      </c>
      <c r="K1184" s="7">
        <v>2151.88</v>
      </c>
      <c r="L1184" s="7">
        <v>545.95000000000005</v>
      </c>
      <c r="M1184" s="3" t="s">
        <v>56</v>
      </c>
      <c r="N1184" s="3"/>
      <c r="O1184" s="3"/>
      <c r="P1184" s="3"/>
      <c r="Q1184" s="3"/>
    </row>
    <row r="1185" spans="1:17" ht="21" customHeight="1">
      <c r="A1185" s="3" t="s">
        <v>1828</v>
      </c>
      <c r="B1185" s="5">
        <v>45607</v>
      </c>
      <c r="C1185" s="3" t="s">
        <v>148</v>
      </c>
      <c r="D1185" s="3" t="s">
        <v>46</v>
      </c>
      <c r="E1185" s="3" t="s">
        <v>38</v>
      </c>
      <c r="F1185" s="3" t="s">
        <v>98</v>
      </c>
      <c r="G1185" s="3" t="s">
        <v>182</v>
      </c>
      <c r="H1185" s="3">
        <v>1</v>
      </c>
      <c r="I1185" s="7">
        <v>73195.08</v>
      </c>
      <c r="J1185" s="9">
        <v>0.25</v>
      </c>
      <c r="K1185" s="7">
        <v>54896.31</v>
      </c>
      <c r="L1185" s="7">
        <v>-5618.4</v>
      </c>
      <c r="M1185" s="3" t="s">
        <v>57</v>
      </c>
      <c r="N1185" s="3"/>
      <c r="O1185" s="3"/>
      <c r="P1185" s="3"/>
      <c r="Q1185" s="3"/>
    </row>
    <row r="1186" spans="1:17" ht="21" customHeight="1">
      <c r="A1186" s="3" t="s">
        <v>1829</v>
      </c>
      <c r="B1186" s="5">
        <v>45607</v>
      </c>
      <c r="C1186" s="3" t="s">
        <v>609</v>
      </c>
      <c r="D1186" s="3" t="s">
        <v>44</v>
      </c>
      <c r="E1186" s="3" t="s">
        <v>42</v>
      </c>
      <c r="F1186" s="3" t="s">
        <v>90</v>
      </c>
      <c r="G1186" s="3" t="s">
        <v>106</v>
      </c>
      <c r="H1186" s="3">
        <v>1</v>
      </c>
      <c r="I1186" s="7">
        <v>916.6</v>
      </c>
      <c r="J1186" s="9">
        <v>0.05</v>
      </c>
      <c r="K1186" s="7">
        <v>870.77</v>
      </c>
      <c r="L1186" s="7">
        <v>434.21</v>
      </c>
      <c r="M1186" s="3" t="s">
        <v>58</v>
      </c>
      <c r="N1186" s="3"/>
      <c r="O1186" s="3"/>
      <c r="P1186" s="3"/>
      <c r="Q1186" s="3"/>
    </row>
    <row r="1187" spans="1:17" ht="21" customHeight="1">
      <c r="A1187" s="3" t="s">
        <v>1830</v>
      </c>
      <c r="B1187" s="5">
        <v>45608</v>
      </c>
      <c r="C1187" s="3" t="s">
        <v>1567</v>
      </c>
      <c r="D1187" s="3" t="s">
        <v>47</v>
      </c>
      <c r="E1187" s="3" t="s">
        <v>42</v>
      </c>
      <c r="F1187" s="3" t="s">
        <v>126</v>
      </c>
      <c r="G1187" s="3" t="s">
        <v>151</v>
      </c>
      <c r="H1187" s="3">
        <v>1</v>
      </c>
      <c r="I1187" s="7">
        <v>1444.82</v>
      </c>
      <c r="J1187" s="9">
        <v>0</v>
      </c>
      <c r="K1187" s="7">
        <v>1444.82</v>
      </c>
      <c r="L1187" s="7">
        <v>799.43</v>
      </c>
      <c r="M1187" s="3" t="s">
        <v>59</v>
      </c>
      <c r="N1187" s="3"/>
      <c r="O1187" s="3"/>
      <c r="P1187" s="3"/>
      <c r="Q1187" s="3"/>
    </row>
    <row r="1188" spans="1:17" ht="21" customHeight="1">
      <c r="A1188" s="3" t="s">
        <v>1831</v>
      </c>
      <c r="B1188" s="5">
        <v>45608</v>
      </c>
      <c r="C1188" s="3" t="s">
        <v>1131</v>
      </c>
      <c r="D1188" s="3" t="s">
        <v>45</v>
      </c>
      <c r="E1188" s="3" t="s">
        <v>42</v>
      </c>
      <c r="F1188" s="3" t="s">
        <v>126</v>
      </c>
      <c r="G1188" s="3" t="s">
        <v>151</v>
      </c>
      <c r="H1188" s="3">
        <v>1</v>
      </c>
      <c r="I1188" s="7">
        <v>1549.55</v>
      </c>
      <c r="J1188" s="9">
        <v>0.25</v>
      </c>
      <c r="K1188" s="7">
        <v>1162.1600000000001</v>
      </c>
      <c r="L1188" s="7">
        <v>305.05</v>
      </c>
      <c r="M1188" s="3" t="s">
        <v>57</v>
      </c>
      <c r="N1188" s="3"/>
      <c r="O1188" s="3"/>
      <c r="P1188" s="3"/>
      <c r="Q1188" s="3"/>
    </row>
    <row r="1189" spans="1:17" ht="21" customHeight="1">
      <c r="A1189" s="3" t="s">
        <v>1832</v>
      </c>
      <c r="B1189" s="5">
        <v>45608</v>
      </c>
      <c r="C1189" s="3" t="s">
        <v>893</v>
      </c>
      <c r="D1189" s="3" t="s">
        <v>45</v>
      </c>
      <c r="E1189" s="3" t="s">
        <v>38</v>
      </c>
      <c r="F1189" s="3" t="s">
        <v>94</v>
      </c>
      <c r="G1189" s="3" t="s">
        <v>95</v>
      </c>
      <c r="H1189" s="3">
        <v>2</v>
      </c>
      <c r="I1189" s="7">
        <v>79273.64</v>
      </c>
      <c r="J1189" s="9">
        <v>0.3</v>
      </c>
      <c r="K1189" s="7">
        <v>110983.1</v>
      </c>
      <c r="L1189" s="7">
        <v>-18532.810000000001</v>
      </c>
      <c r="M1189" s="3" t="s">
        <v>56</v>
      </c>
      <c r="N1189" s="3"/>
      <c r="O1189" s="3"/>
      <c r="P1189" s="3"/>
      <c r="Q1189" s="3"/>
    </row>
    <row r="1190" spans="1:17" ht="21" customHeight="1">
      <c r="A1190" s="3" t="s">
        <v>1833</v>
      </c>
      <c r="B1190" s="5">
        <v>45609</v>
      </c>
      <c r="C1190" s="3" t="s">
        <v>573</v>
      </c>
      <c r="D1190" s="3" t="s">
        <v>47</v>
      </c>
      <c r="E1190" s="3" t="s">
        <v>40</v>
      </c>
      <c r="F1190" s="3" t="s">
        <v>160</v>
      </c>
      <c r="G1190" s="3" t="s">
        <v>161</v>
      </c>
      <c r="H1190" s="3">
        <v>3</v>
      </c>
      <c r="I1190" s="7">
        <v>12508.06</v>
      </c>
      <c r="J1190" s="9">
        <v>0.05</v>
      </c>
      <c r="K1190" s="7">
        <v>35647.97</v>
      </c>
      <c r="L1190" s="7">
        <v>9282.44</v>
      </c>
      <c r="M1190" s="3" t="s">
        <v>56</v>
      </c>
      <c r="N1190" s="3"/>
      <c r="O1190" s="3"/>
      <c r="P1190" s="3"/>
      <c r="Q1190" s="3"/>
    </row>
    <row r="1191" spans="1:17" ht="21" customHeight="1">
      <c r="A1191" s="3" t="s">
        <v>1834</v>
      </c>
      <c r="B1191" s="5">
        <v>45609</v>
      </c>
      <c r="C1191" s="3" t="s">
        <v>1835</v>
      </c>
      <c r="D1191" s="3" t="s">
        <v>45</v>
      </c>
      <c r="E1191" s="3" t="s">
        <v>42</v>
      </c>
      <c r="F1191" s="3" t="s">
        <v>90</v>
      </c>
      <c r="G1191" s="3" t="s">
        <v>91</v>
      </c>
      <c r="H1191" s="3">
        <v>1</v>
      </c>
      <c r="I1191" s="7">
        <v>1258.4000000000001</v>
      </c>
      <c r="J1191" s="9">
        <v>0.25</v>
      </c>
      <c r="K1191" s="7">
        <v>943.8</v>
      </c>
      <c r="L1191" s="7">
        <v>224.78</v>
      </c>
      <c r="M1191" s="3" t="s">
        <v>56</v>
      </c>
      <c r="N1191" s="3"/>
      <c r="O1191" s="3"/>
      <c r="P1191" s="3"/>
      <c r="Q1191" s="3"/>
    </row>
    <row r="1192" spans="1:17" ht="21" customHeight="1">
      <c r="A1192" s="3" t="s">
        <v>1836</v>
      </c>
      <c r="B1192" s="5">
        <v>45610</v>
      </c>
      <c r="C1192" s="3" t="s">
        <v>1276</v>
      </c>
      <c r="D1192" s="3" t="s">
        <v>45</v>
      </c>
      <c r="E1192" s="3" t="s">
        <v>38</v>
      </c>
      <c r="F1192" s="3" t="s">
        <v>142</v>
      </c>
      <c r="G1192" s="3" t="s">
        <v>143</v>
      </c>
      <c r="H1192" s="3">
        <v>1</v>
      </c>
      <c r="I1192" s="7">
        <v>8760.41</v>
      </c>
      <c r="J1192" s="9">
        <v>0.15</v>
      </c>
      <c r="K1192" s="7">
        <v>7446.35</v>
      </c>
      <c r="L1192" s="7">
        <v>126.42</v>
      </c>
      <c r="M1192" s="3" t="s">
        <v>56</v>
      </c>
      <c r="N1192" s="3"/>
      <c r="O1192" s="3"/>
      <c r="P1192" s="3"/>
      <c r="Q1192" s="3"/>
    </row>
    <row r="1193" spans="1:17" ht="21" customHeight="1">
      <c r="A1193" s="3" t="s">
        <v>1837</v>
      </c>
      <c r="B1193" s="5">
        <v>45611</v>
      </c>
      <c r="C1193" s="3" t="s">
        <v>1218</v>
      </c>
      <c r="D1193" s="3" t="s">
        <v>46</v>
      </c>
      <c r="E1193" s="3" t="s">
        <v>38</v>
      </c>
      <c r="F1193" s="3" t="s">
        <v>94</v>
      </c>
      <c r="G1193" s="3" t="s">
        <v>95</v>
      </c>
      <c r="H1193" s="3">
        <v>1</v>
      </c>
      <c r="I1193" s="7">
        <v>79731.759999999995</v>
      </c>
      <c r="J1193" s="9">
        <v>0.1</v>
      </c>
      <c r="K1193" s="7">
        <v>71758.58</v>
      </c>
      <c r="L1193" s="7">
        <v>6594.18</v>
      </c>
      <c r="M1193" s="3" t="s">
        <v>57</v>
      </c>
      <c r="N1193" s="3"/>
      <c r="O1193" s="3"/>
      <c r="P1193" s="3"/>
      <c r="Q1193" s="3"/>
    </row>
    <row r="1194" spans="1:17" ht="21" customHeight="1">
      <c r="A1194" s="3" t="s">
        <v>1838</v>
      </c>
      <c r="B1194" s="5">
        <v>45611</v>
      </c>
      <c r="C1194" s="3" t="s">
        <v>459</v>
      </c>
      <c r="D1194" s="3" t="s">
        <v>46</v>
      </c>
      <c r="E1194" s="3" t="s">
        <v>42</v>
      </c>
      <c r="F1194" s="3" t="s">
        <v>90</v>
      </c>
      <c r="G1194" s="3" t="s">
        <v>106</v>
      </c>
      <c r="H1194" s="3">
        <v>1</v>
      </c>
      <c r="I1194" s="7">
        <v>940.39</v>
      </c>
      <c r="J1194" s="9">
        <v>0.15</v>
      </c>
      <c r="K1194" s="7">
        <v>799.33</v>
      </c>
      <c r="L1194" s="7">
        <v>274.77</v>
      </c>
      <c r="M1194" s="3" t="s">
        <v>58</v>
      </c>
      <c r="N1194" s="3"/>
      <c r="O1194" s="3"/>
      <c r="P1194" s="3"/>
      <c r="Q1194" s="3"/>
    </row>
    <row r="1195" spans="1:17" ht="21" customHeight="1">
      <c r="A1195" s="3" t="s">
        <v>1839</v>
      </c>
      <c r="B1195" s="5">
        <v>45611</v>
      </c>
      <c r="C1195" s="3" t="s">
        <v>676</v>
      </c>
      <c r="D1195" s="3" t="s">
        <v>46</v>
      </c>
      <c r="E1195" s="3" t="s">
        <v>38</v>
      </c>
      <c r="F1195" s="3" t="s">
        <v>98</v>
      </c>
      <c r="G1195" s="3" t="s">
        <v>182</v>
      </c>
      <c r="H1195" s="3">
        <v>3</v>
      </c>
      <c r="I1195" s="7">
        <v>67561.97</v>
      </c>
      <c r="J1195" s="9">
        <v>0.1</v>
      </c>
      <c r="K1195" s="7">
        <v>182417.32</v>
      </c>
      <c r="L1195" s="7">
        <v>15299.32</v>
      </c>
      <c r="M1195" s="3" t="s">
        <v>56</v>
      </c>
      <c r="N1195" s="3"/>
      <c r="O1195" s="3"/>
      <c r="P1195" s="3"/>
      <c r="Q1195" s="3"/>
    </row>
    <row r="1196" spans="1:17" ht="21" customHeight="1">
      <c r="A1196" s="3" t="s">
        <v>1840</v>
      </c>
      <c r="B1196" s="5">
        <v>45612</v>
      </c>
      <c r="C1196" s="3" t="s">
        <v>950</v>
      </c>
      <c r="D1196" s="3" t="s">
        <v>45</v>
      </c>
      <c r="E1196" s="3" t="s">
        <v>42</v>
      </c>
      <c r="F1196" s="3" t="s">
        <v>90</v>
      </c>
      <c r="G1196" s="3" t="s">
        <v>106</v>
      </c>
      <c r="H1196" s="3">
        <v>1</v>
      </c>
      <c r="I1196" s="7">
        <v>864.29</v>
      </c>
      <c r="J1196" s="9">
        <v>0</v>
      </c>
      <c r="K1196" s="7">
        <v>864.29</v>
      </c>
      <c r="L1196" s="7">
        <v>487.16</v>
      </c>
      <c r="M1196" s="3" t="s">
        <v>60</v>
      </c>
      <c r="N1196" s="3"/>
      <c r="O1196" s="3"/>
      <c r="P1196" s="3"/>
      <c r="Q1196" s="3"/>
    </row>
    <row r="1197" spans="1:17" ht="21" customHeight="1">
      <c r="A1197" s="3" t="s">
        <v>1841</v>
      </c>
      <c r="B1197" s="5">
        <v>45612</v>
      </c>
      <c r="C1197" s="3" t="s">
        <v>320</v>
      </c>
      <c r="D1197" s="3" t="s">
        <v>47</v>
      </c>
      <c r="E1197" s="3" t="s">
        <v>42</v>
      </c>
      <c r="F1197" s="3" t="s">
        <v>90</v>
      </c>
      <c r="G1197" s="3" t="s">
        <v>91</v>
      </c>
      <c r="H1197" s="3">
        <v>1</v>
      </c>
      <c r="I1197" s="7">
        <v>1159.74</v>
      </c>
      <c r="J1197" s="9">
        <v>0.05</v>
      </c>
      <c r="K1197" s="7">
        <v>1101.75</v>
      </c>
      <c r="L1197" s="7">
        <v>557.91</v>
      </c>
      <c r="M1197" s="3" t="s">
        <v>59</v>
      </c>
      <c r="N1197" s="3"/>
      <c r="O1197" s="3"/>
      <c r="P1197" s="3"/>
      <c r="Q1197" s="3"/>
    </row>
    <row r="1198" spans="1:17" ht="21" customHeight="1">
      <c r="A1198" s="3" t="s">
        <v>1842</v>
      </c>
      <c r="B1198" s="5">
        <v>45612</v>
      </c>
      <c r="C1198" s="3" t="s">
        <v>391</v>
      </c>
      <c r="D1198" s="3" t="s">
        <v>46</v>
      </c>
      <c r="E1198" s="3" t="s">
        <v>42</v>
      </c>
      <c r="F1198" s="3" t="s">
        <v>126</v>
      </c>
      <c r="G1198" s="3" t="s">
        <v>151</v>
      </c>
      <c r="H1198" s="3">
        <v>3</v>
      </c>
      <c r="I1198" s="7">
        <v>1488.14</v>
      </c>
      <c r="J1198" s="9">
        <v>0.2</v>
      </c>
      <c r="K1198" s="7">
        <v>3571.54</v>
      </c>
      <c r="L1198" s="7">
        <v>1221.81</v>
      </c>
      <c r="M1198" s="3" t="s">
        <v>58</v>
      </c>
      <c r="N1198" s="3"/>
      <c r="O1198" s="3"/>
      <c r="P1198" s="3"/>
      <c r="Q1198" s="3"/>
    </row>
    <row r="1199" spans="1:17" ht="21" customHeight="1">
      <c r="A1199" s="3" t="s">
        <v>1843</v>
      </c>
      <c r="B1199" s="5">
        <v>45612</v>
      </c>
      <c r="C1199" s="3" t="s">
        <v>1051</v>
      </c>
      <c r="D1199" s="3" t="s">
        <v>44</v>
      </c>
      <c r="E1199" s="3" t="s">
        <v>42</v>
      </c>
      <c r="F1199" s="3" t="s">
        <v>90</v>
      </c>
      <c r="G1199" s="3" t="s">
        <v>106</v>
      </c>
      <c r="H1199" s="3">
        <v>1</v>
      </c>
      <c r="I1199" s="7">
        <v>867.54</v>
      </c>
      <c r="J1199" s="9">
        <v>0</v>
      </c>
      <c r="K1199" s="7">
        <v>867.54</v>
      </c>
      <c r="L1199" s="7">
        <v>483.48</v>
      </c>
      <c r="M1199" s="3" t="s">
        <v>56</v>
      </c>
      <c r="N1199" s="3"/>
      <c r="O1199" s="3"/>
      <c r="P1199" s="3"/>
      <c r="Q1199" s="3"/>
    </row>
    <row r="1200" spans="1:17" ht="21" customHeight="1">
      <c r="A1200" s="3" t="s">
        <v>1844</v>
      </c>
      <c r="B1200" s="5">
        <v>45612</v>
      </c>
      <c r="C1200" s="3" t="s">
        <v>1459</v>
      </c>
      <c r="D1200" s="3" t="s">
        <v>46</v>
      </c>
      <c r="E1200" s="3" t="s">
        <v>41</v>
      </c>
      <c r="F1200" s="3" t="s">
        <v>119</v>
      </c>
      <c r="G1200" s="3" t="s">
        <v>168</v>
      </c>
      <c r="H1200" s="3">
        <v>3</v>
      </c>
      <c r="I1200" s="7">
        <v>9870.5499999999993</v>
      </c>
      <c r="J1200" s="9">
        <v>0.1</v>
      </c>
      <c r="K1200" s="7">
        <v>26650.48</v>
      </c>
      <c r="L1200" s="7">
        <v>7675.27</v>
      </c>
      <c r="M1200" s="3" t="s">
        <v>57</v>
      </c>
      <c r="N1200" s="3"/>
      <c r="O1200" s="3"/>
      <c r="P1200" s="3"/>
      <c r="Q1200" s="3"/>
    </row>
    <row r="1201" spans="1:17" ht="21" customHeight="1">
      <c r="A1201" s="3" t="s">
        <v>1845</v>
      </c>
      <c r="B1201" s="5">
        <v>45612</v>
      </c>
      <c r="C1201" s="3" t="s">
        <v>1846</v>
      </c>
      <c r="D1201" s="3" t="s">
        <v>47</v>
      </c>
      <c r="E1201" s="3" t="s">
        <v>40</v>
      </c>
      <c r="F1201" s="3" t="s">
        <v>221</v>
      </c>
      <c r="G1201" s="3" t="s">
        <v>279</v>
      </c>
      <c r="H1201" s="3">
        <v>2</v>
      </c>
      <c r="I1201" s="7">
        <v>1487.45</v>
      </c>
      <c r="J1201" s="9">
        <v>0.05</v>
      </c>
      <c r="K1201" s="7">
        <v>2826.15</v>
      </c>
      <c r="L1201" s="7">
        <v>704.05</v>
      </c>
      <c r="M1201" s="3" t="s">
        <v>56</v>
      </c>
      <c r="N1201" s="3"/>
      <c r="O1201" s="3"/>
      <c r="P1201" s="3"/>
      <c r="Q1201" s="3"/>
    </row>
    <row r="1202" spans="1:17" ht="21" customHeight="1">
      <c r="A1202" s="3" t="s">
        <v>1847</v>
      </c>
      <c r="B1202" s="5">
        <v>45613</v>
      </c>
      <c r="C1202" s="3" t="s">
        <v>748</v>
      </c>
      <c r="D1202" s="3" t="s">
        <v>45</v>
      </c>
      <c r="E1202" s="3" t="s">
        <v>41</v>
      </c>
      <c r="F1202" s="3" t="s">
        <v>119</v>
      </c>
      <c r="G1202" s="3" t="s">
        <v>120</v>
      </c>
      <c r="H1202" s="3">
        <v>3</v>
      </c>
      <c r="I1202" s="7">
        <v>1289.1400000000001</v>
      </c>
      <c r="J1202" s="9">
        <v>0.4</v>
      </c>
      <c r="K1202" s="7">
        <v>2320.4499999999998</v>
      </c>
      <c r="L1202" s="7">
        <v>-182.99</v>
      </c>
      <c r="M1202" s="3" t="s">
        <v>58</v>
      </c>
      <c r="N1202" s="3"/>
      <c r="O1202" s="3"/>
      <c r="P1202" s="3"/>
      <c r="Q1202" s="3"/>
    </row>
    <row r="1203" spans="1:17" ht="21" customHeight="1">
      <c r="A1203" s="3" t="s">
        <v>1848</v>
      </c>
      <c r="B1203" s="5">
        <v>45613</v>
      </c>
      <c r="C1203" s="3" t="s">
        <v>1241</v>
      </c>
      <c r="D1203" s="3" t="s">
        <v>45</v>
      </c>
      <c r="E1203" s="3" t="s">
        <v>40</v>
      </c>
      <c r="F1203" s="3" t="s">
        <v>160</v>
      </c>
      <c r="G1203" s="3" t="s">
        <v>161</v>
      </c>
      <c r="H1203" s="3">
        <v>1</v>
      </c>
      <c r="I1203" s="7">
        <v>13496.06</v>
      </c>
      <c r="J1203" s="9">
        <v>0.25</v>
      </c>
      <c r="K1203" s="7">
        <v>10122.049999999999</v>
      </c>
      <c r="L1203" s="7">
        <v>617.23</v>
      </c>
      <c r="M1203" s="3" t="s">
        <v>56</v>
      </c>
      <c r="N1203" s="3"/>
      <c r="O1203" s="3"/>
      <c r="P1203" s="3"/>
      <c r="Q1203" s="3"/>
    </row>
    <row r="1204" spans="1:17" ht="21" customHeight="1">
      <c r="A1204" s="3" t="s">
        <v>1849</v>
      </c>
      <c r="B1204" s="5">
        <v>45613</v>
      </c>
      <c r="C1204" s="3" t="s">
        <v>1792</v>
      </c>
      <c r="D1204" s="3" t="s">
        <v>44</v>
      </c>
      <c r="E1204" s="3" t="s">
        <v>38</v>
      </c>
      <c r="F1204" s="3" t="s">
        <v>94</v>
      </c>
      <c r="G1204" s="3" t="s">
        <v>95</v>
      </c>
      <c r="H1204" s="3">
        <v>3</v>
      </c>
      <c r="I1204" s="7">
        <v>78577.820000000007</v>
      </c>
      <c r="J1204" s="9">
        <v>0.4</v>
      </c>
      <c r="K1204" s="7">
        <v>141440.07999999999</v>
      </c>
      <c r="L1204" s="7">
        <v>-40938.199999999997</v>
      </c>
      <c r="M1204" s="3" t="s">
        <v>57</v>
      </c>
      <c r="N1204" s="3"/>
      <c r="O1204" s="3"/>
      <c r="P1204" s="3"/>
      <c r="Q1204" s="3"/>
    </row>
    <row r="1205" spans="1:17" ht="21" customHeight="1">
      <c r="A1205" s="3" t="s">
        <v>1850</v>
      </c>
      <c r="B1205" s="5">
        <v>45613</v>
      </c>
      <c r="C1205" s="3" t="s">
        <v>1158</v>
      </c>
      <c r="D1205" s="3" t="s">
        <v>47</v>
      </c>
      <c r="E1205" s="3" t="s">
        <v>41</v>
      </c>
      <c r="F1205" s="3" t="s">
        <v>113</v>
      </c>
      <c r="G1205" s="3" t="s">
        <v>114</v>
      </c>
      <c r="H1205" s="3">
        <v>3</v>
      </c>
      <c r="I1205" s="7">
        <v>11432.67</v>
      </c>
      <c r="J1205" s="9">
        <v>0.1</v>
      </c>
      <c r="K1205" s="7">
        <v>30868.21</v>
      </c>
      <c r="L1205" s="7">
        <v>8308.9</v>
      </c>
      <c r="M1205" s="3" t="s">
        <v>60</v>
      </c>
      <c r="N1205" s="3"/>
      <c r="O1205" s="3"/>
      <c r="P1205" s="3"/>
      <c r="Q1205" s="3"/>
    </row>
    <row r="1206" spans="1:17" ht="21" customHeight="1">
      <c r="A1206" s="3" t="s">
        <v>1851</v>
      </c>
      <c r="B1206" s="5">
        <v>45613</v>
      </c>
      <c r="C1206" s="3" t="s">
        <v>468</v>
      </c>
      <c r="D1206" s="3" t="s">
        <v>45</v>
      </c>
      <c r="E1206" s="3" t="s">
        <v>38</v>
      </c>
      <c r="F1206" s="3" t="s">
        <v>94</v>
      </c>
      <c r="G1206" s="3" t="s">
        <v>213</v>
      </c>
      <c r="H1206" s="3">
        <v>2</v>
      </c>
      <c r="I1206" s="7">
        <v>57377.37</v>
      </c>
      <c r="J1206" s="9">
        <v>0.05</v>
      </c>
      <c r="K1206" s="7">
        <v>109017</v>
      </c>
      <c r="L1206" s="7">
        <v>12850.87</v>
      </c>
      <c r="M1206" s="3" t="s">
        <v>56</v>
      </c>
      <c r="N1206" s="3"/>
      <c r="O1206" s="3"/>
      <c r="P1206" s="3"/>
      <c r="Q1206" s="3"/>
    </row>
    <row r="1207" spans="1:17" ht="21" customHeight="1">
      <c r="A1207" s="3" t="s">
        <v>1852</v>
      </c>
      <c r="B1207" s="5">
        <v>45613</v>
      </c>
      <c r="C1207" s="3" t="s">
        <v>552</v>
      </c>
      <c r="D1207" s="3" t="s">
        <v>46</v>
      </c>
      <c r="E1207" s="3" t="s">
        <v>42</v>
      </c>
      <c r="F1207" s="3" t="s">
        <v>90</v>
      </c>
      <c r="G1207" s="3" t="s">
        <v>91</v>
      </c>
      <c r="H1207" s="3">
        <v>1</v>
      </c>
      <c r="I1207" s="7">
        <v>1149.0999999999999</v>
      </c>
      <c r="J1207" s="9">
        <v>0.05</v>
      </c>
      <c r="K1207" s="7">
        <v>1091.6400000000001</v>
      </c>
      <c r="L1207" s="7">
        <v>572.98</v>
      </c>
      <c r="M1207" s="3" t="s">
        <v>57</v>
      </c>
      <c r="N1207" s="3"/>
      <c r="O1207" s="3"/>
      <c r="P1207" s="3"/>
      <c r="Q1207" s="3"/>
    </row>
    <row r="1208" spans="1:17" ht="21" customHeight="1">
      <c r="A1208" s="3" t="s">
        <v>1853</v>
      </c>
      <c r="B1208" s="5">
        <v>45613</v>
      </c>
      <c r="C1208" s="3" t="s">
        <v>262</v>
      </c>
      <c r="D1208" s="3" t="s">
        <v>44</v>
      </c>
      <c r="E1208" s="3" t="s">
        <v>42</v>
      </c>
      <c r="F1208" s="3" t="s">
        <v>90</v>
      </c>
      <c r="G1208" s="3" t="s">
        <v>106</v>
      </c>
      <c r="H1208" s="3">
        <v>1</v>
      </c>
      <c r="I1208" s="7">
        <v>903.45</v>
      </c>
      <c r="J1208" s="9">
        <v>0</v>
      </c>
      <c r="K1208" s="7">
        <v>903.45</v>
      </c>
      <c r="L1208" s="7">
        <v>470.31</v>
      </c>
      <c r="M1208" s="3" t="s">
        <v>56</v>
      </c>
      <c r="N1208" s="3"/>
      <c r="O1208" s="3"/>
      <c r="P1208" s="3"/>
      <c r="Q1208" s="3"/>
    </row>
    <row r="1209" spans="1:17" ht="21" customHeight="1">
      <c r="A1209" s="3" t="s">
        <v>1854</v>
      </c>
      <c r="B1209" s="5">
        <v>45614</v>
      </c>
      <c r="C1209" s="3" t="s">
        <v>593</v>
      </c>
      <c r="D1209" s="3" t="s">
        <v>45</v>
      </c>
      <c r="E1209" s="3" t="s">
        <v>42</v>
      </c>
      <c r="F1209" s="3" t="s">
        <v>90</v>
      </c>
      <c r="G1209" s="3" t="s">
        <v>91</v>
      </c>
      <c r="H1209" s="3">
        <v>3</v>
      </c>
      <c r="I1209" s="7">
        <v>1166.51</v>
      </c>
      <c r="J1209" s="9">
        <v>0.15</v>
      </c>
      <c r="K1209" s="7">
        <v>2974.6</v>
      </c>
      <c r="L1209" s="7">
        <v>1011.57</v>
      </c>
      <c r="M1209" s="3" t="s">
        <v>56</v>
      </c>
      <c r="N1209" s="3"/>
      <c r="O1209" s="3"/>
      <c r="P1209" s="3"/>
      <c r="Q1209" s="3"/>
    </row>
    <row r="1210" spans="1:17" ht="21" customHeight="1">
      <c r="A1210" s="3" t="s">
        <v>1855</v>
      </c>
      <c r="B1210" s="5">
        <v>45614</v>
      </c>
      <c r="C1210" s="3" t="s">
        <v>1287</v>
      </c>
      <c r="D1210" s="3" t="s">
        <v>45</v>
      </c>
      <c r="E1210" s="3" t="s">
        <v>38</v>
      </c>
      <c r="F1210" s="3" t="s">
        <v>94</v>
      </c>
      <c r="G1210" s="3" t="s">
        <v>95</v>
      </c>
      <c r="H1210" s="3">
        <v>4</v>
      </c>
      <c r="I1210" s="7">
        <v>77711.55</v>
      </c>
      <c r="J1210" s="9">
        <v>0.05</v>
      </c>
      <c r="K1210" s="7">
        <v>295303.89</v>
      </c>
      <c r="L1210" s="7">
        <v>34508.120000000003</v>
      </c>
      <c r="M1210" s="3" t="s">
        <v>59</v>
      </c>
      <c r="N1210" s="3"/>
      <c r="O1210" s="3"/>
      <c r="P1210" s="3"/>
      <c r="Q1210" s="3"/>
    </row>
    <row r="1211" spans="1:17" ht="21" customHeight="1">
      <c r="A1211" s="3" t="s">
        <v>1856</v>
      </c>
      <c r="B1211" s="5">
        <v>45614</v>
      </c>
      <c r="C1211" s="3" t="s">
        <v>384</v>
      </c>
      <c r="D1211" s="3" t="s">
        <v>46</v>
      </c>
      <c r="E1211" s="3" t="s">
        <v>42</v>
      </c>
      <c r="F1211" s="3" t="s">
        <v>126</v>
      </c>
      <c r="G1211" s="3" t="s">
        <v>151</v>
      </c>
      <c r="H1211" s="3">
        <v>1</v>
      </c>
      <c r="I1211" s="7">
        <v>1500.19</v>
      </c>
      <c r="J1211" s="9">
        <v>0.15</v>
      </c>
      <c r="K1211" s="7">
        <v>1275.1600000000001</v>
      </c>
      <c r="L1211" s="7">
        <v>471.9</v>
      </c>
      <c r="M1211" s="3" t="s">
        <v>60</v>
      </c>
      <c r="N1211" s="3"/>
      <c r="O1211" s="3"/>
      <c r="P1211" s="3"/>
      <c r="Q1211" s="3"/>
    </row>
    <row r="1212" spans="1:17" ht="21" customHeight="1">
      <c r="A1212" s="3" t="s">
        <v>1857</v>
      </c>
      <c r="B1212" s="5">
        <v>45614</v>
      </c>
      <c r="C1212" s="3" t="s">
        <v>364</v>
      </c>
      <c r="D1212" s="3" t="s">
        <v>46</v>
      </c>
      <c r="E1212" s="3" t="s">
        <v>38</v>
      </c>
      <c r="F1212" s="3" t="s">
        <v>94</v>
      </c>
      <c r="G1212" s="3" t="s">
        <v>213</v>
      </c>
      <c r="H1212" s="3">
        <v>1</v>
      </c>
      <c r="I1212" s="7">
        <v>57358.720000000001</v>
      </c>
      <c r="J1212" s="9">
        <v>0.2</v>
      </c>
      <c r="K1212" s="7">
        <v>45886.98</v>
      </c>
      <c r="L1212" s="7">
        <v>-774.19</v>
      </c>
      <c r="M1212" s="3" t="s">
        <v>56</v>
      </c>
      <c r="N1212" s="3"/>
      <c r="O1212" s="3"/>
      <c r="P1212" s="3"/>
      <c r="Q1212" s="3"/>
    </row>
    <row r="1213" spans="1:17" ht="21" customHeight="1">
      <c r="A1213" s="3" t="s">
        <v>1858</v>
      </c>
      <c r="B1213" s="5">
        <v>45614</v>
      </c>
      <c r="C1213" s="3" t="s">
        <v>1859</v>
      </c>
      <c r="D1213" s="3" t="s">
        <v>45</v>
      </c>
      <c r="E1213" s="3" t="s">
        <v>42</v>
      </c>
      <c r="F1213" s="3" t="s">
        <v>90</v>
      </c>
      <c r="G1213" s="3" t="s">
        <v>106</v>
      </c>
      <c r="H1213" s="3">
        <v>1</v>
      </c>
      <c r="I1213" s="7">
        <v>865.35</v>
      </c>
      <c r="J1213" s="9">
        <v>0.2</v>
      </c>
      <c r="K1213" s="7">
        <v>692.28</v>
      </c>
      <c r="L1213" s="7">
        <v>225.6</v>
      </c>
      <c r="M1213" s="3" t="s">
        <v>56</v>
      </c>
      <c r="N1213" s="3"/>
      <c r="O1213" s="3"/>
      <c r="P1213" s="3"/>
      <c r="Q1213" s="3"/>
    </row>
    <row r="1214" spans="1:17" ht="21" customHeight="1">
      <c r="A1214" s="3" t="s">
        <v>1860</v>
      </c>
      <c r="B1214" s="5">
        <v>45614</v>
      </c>
      <c r="C1214" s="3" t="s">
        <v>1049</v>
      </c>
      <c r="D1214" s="3" t="s">
        <v>46</v>
      </c>
      <c r="E1214" s="3" t="s">
        <v>38</v>
      </c>
      <c r="F1214" s="3" t="s">
        <v>142</v>
      </c>
      <c r="G1214" s="3" t="s">
        <v>143</v>
      </c>
      <c r="H1214" s="3">
        <v>1</v>
      </c>
      <c r="I1214" s="7">
        <v>8754.74</v>
      </c>
      <c r="J1214" s="9">
        <v>0.15</v>
      </c>
      <c r="K1214" s="7">
        <v>7441.53</v>
      </c>
      <c r="L1214" s="7">
        <v>-239.17</v>
      </c>
      <c r="M1214" s="3" t="s">
        <v>57</v>
      </c>
      <c r="N1214" s="3"/>
      <c r="O1214" s="3"/>
      <c r="P1214" s="3"/>
      <c r="Q1214" s="3"/>
    </row>
    <row r="1215" spans="1:17" ht="21" customHeight="1">
      <c r="A1215" s="3" t="s">
        <v>1861</v>
      </c>
      <c r="B1215" s="5">
        <v>45614</v>
      </c>
      <c r="C1215" s="3" t="s">
        <v>318</v>
      </c>
      <c r="D1215" s="3" t="s">
        <v>44</v>
      </c>
      <c r="E1215" s="3" t="s">
        <v>42</v>
      </c>
      <c r="F1215" s="3" t="s">
        <v>126</v>
      </c>
      <c r="G1215" s="3" t="s">
        <v>151</v>
      </c>
      <c r="H1215" s="3">
        <v>3</v>
      </c>
      <c r="I1215" s="7">
        <v>1565.84</v>
      </c>
      <c r="J1215" s="9">
        <v>0.15</v>
      </c>
      <c r="K1215" s="7">
        <v>3992.89</v>
      </c>
      <c r="L1215" s="7">
        <v>1580.44</v>
      </c>
      <c r="M1215" s="3" t="s">
        <v>57</v>
      </c>
      <c r="N1215" s="3"/>
      <c r="O1215" s="3"/>
      <c r="P1215" s="3"/>
      <c r="Q1215" s="3"/>
    </row>
    <row r="1216" spans="1:17" ht="21" customHeight="1">
      <c r="A1216" s="3" t="s">
        <v>1862</v>
      </c>
      <c r="B1216" s="5">
        <v>45614</v>
      </c>
      <c r="C1216" s="3" t="s">
        <v>139</v>
      </c>
      <c r="D1216" s="3" t="s">
        <v>45</v>
      </c>
      <c r="E1216" s="3" t="s">
        <v>40</v>
      </c>
      <c r="F1216" s="3" t="s">
        <v>160</v>
      </c>
      <c r="G1216" s="3" t="s">
        <v>161</v>
      </c>
      <c r="H1216" s="3">
        <v>2</v>
      </c>
      <c r="I1216" s="7">
        <v>12929.89</v>
      </c>
      <c r="J1216" s="9">
        <v>0.1</v>
      </c>
      <c r="K1216" s="7">
        <v>23273.8</v>
      </c>
      <c r="L1216" s="7">
        <v>5775.96</v>
      </c>
      <c r="M1216" s="3" t="s">
        <v>56</v>
      </c>
      <c r="N1216" s="3"/>
      <c r="O1216" s="3"/>
      <c r="P1216" s="3"/>
      <c r="Q1216" s="3"/>
    </row>
    <row r="1217" spans="1:17" ht="21" customHeight="1">
      <c r="A1217" s="3" t="s">
        <v>1863</v>
      </c>
      <c r="B1217" s="5">
        <v>45615</v>
      </c>
      <c r="C1217" s="3" t="s">
        <v>1578</v>
      </c>
      <c r="D1217" s="3" t="s">
        <v>47</v>
      </c>
      <c r="E1217" s="3" t="s">
        <v>38</v>
      </c>
      <c r="F1217" s="3" t="s">
        <v>98</v>
      </c>
      <c r="G1217" s="3" t="s">
        <v>362</v>
      </c>
      <c r="H1217" s="3">
        <v>3</v>
      </c>
      <c r="I1217" s="7">
        <v>32111.88</v>
      </c>
      <c r="J1217" s="9">
        <v>0.1</v>
      </c>
      <c r="K1217" s="7">
        <v>86702.080000000002</v>
      </c>
      <c r="L1217" s="7">
        <v>4808.16</v>
      </c>
      <c r="M1217" s="3" t="s">
        <v>56</v>
      </c>
      <c r="N1217" s="3"/>
      <c r="O1217" s="3"/>
      <c r="P1217" s="3"/>
      <c r="Q1217" s="3"/>
    </row>
    <row r="1218" spans="1:17" ht="21" customHeight="1">
      <c r="A1218" s="3" t="s">
        <v>1864</v>
      </c>
      <c r="B1218" s="5">
        <v>45615</v>
      </c>
      <c r="C1218" s="3" t="s">
        <v>370</v>
      </c>
      <c r="D1218" s="3" t="s">
        <v>44</v>
      </c>
      <c r="E1218" s="3" t="s">
        <v>40</v>
      </c>
      <c r="F1218" s="3" t="s">
        <v>102</v>
      </c>
      <c r="G1218" s="3" t="s">
        <v>146</v>
      </c>
      <c r="H1218" s="3">
        <v>2</v>
      </c>
      <c r="I1218" s="7">
        <v>7847.41</v>
      </c>
      <c r="J1218" s="9">
        <v>0.15</v>
      </c>
      <c r="K1218" s="7">
        <v>13340.6</v>
      </c>
      <c r="L1218" s="7">
        <v>1972.34</v>
      </c>
      <c r="M1218" s="3" t="s">
        <v>56</v>
      </c>
      <c r="N1218" s="3"/>
      <c r="O1218" s="3"/>
      <c r="P1218" s="3"/>
      <c r="Q1218" s="3"/>
    </row>
    <row r="1219" spans="1:17" ht="21" customHeight="1">
      <c r="A1219" s="3" t="s">
        <v>1865</v>
      </c>
      <c r="B1219" s="5">
        <v>45615</v>
      </c>
      <c r="C1219" s="3" t="s">
        <v>489</v>
      </c>
      <c r="D1219" s="3" t="s">
        <v>44</v>
      </c>
      <c r="E1219" s="3" t="s">
        <v>42</v>
      </c>
      <c r="F1219" s="3" t="s">
        <v>90</v>
      </c>
      <c r="G1219" s="3" t="s">
        <v>91</v>
      </c>
      <c r="H1219" s="3">
        <v>1</v>
      </c>
      <c r="I1219" s="7">
        <v>1230.95</v>
      </c>
      <c r="J1219" s="9">
        <v>0.15</v>
      </c>
      <c r="K1219" s="7">
        <v>1046.31</v>
      </c>
      <c r="L1219" s="7">
        <v>399.2</v>
      </c>
      <c r="M1219" s="3" t="s">
        <v>56</v>
      </c>
      <c r="N1219" s="3"/>
      <c r="O1219" s="3"/>
      <c r="P1219" s="3"/>
      <c r="Q1219" s="3"/>
    </row>
    <row r="1220" spans="1:17" ht="21" customHeight="1">
      <c r="A1220" s="3" t="s">
        <v>1866</v>
      </c>
      <c r="B1220" s="5">
        <v>45615</v>
      </c>
      <c r="C1220" s="3" t="s">
        <v>108</v>
      </c>
      <c r="D1220" s="3" t="s">
        <v>44</v>
      </c>
      <c r="E1220" s="3" t="s">
        <v>38</v>
      </c>
      <c r="F1220" s="3" t="s">
        <v>142</v>
      </c>
      <c r="G1220" s="3" t="s">
        <v>245</v>
      </c>
      <c r="H1220" s="3">
        <v>2</v>
      </c>
      <c r="I1220" s="7">
        <v>5176.6000000000004</v>
      </c>
      <c r="J1220" s="9">
        <v>0</v>
      </c>
      <c r="K1220" s="7">
        <v>10353.200000000001</v>
      </c>
      <c r="L1220" s="7">
        <v>1866.38</v>
      </c>
      <c r="M1220" s="3" t="s">
        <v>56</v>
      </c>
      <c r="N1220" s="3"/>
      <c r="O1220" s="3"/>
      <c r="P1220" s="3"/>
      <c r="Q1220" s="3"/>
    </row>
    <row r="1221" spans="1:17" ht="21" customHeight="1">
      <c r="A1221" s="3" t="s">
        <v>1867</v>
      </c>
      <c r="B1221" s="5">
        <v>45616</v>
      </c>
      <c r="C1221" s="3" t="s">
        <v>1716</v>
      </c>
      <c r="D1221" s="3" t="s">
        <v>46</v>
      </c>
      <c r="E1221" s="3" t="s">
        <v>42</v>
      </c>
      <c r="F1221" s="3" t="s">
        <v>90</v>
      </c>
      <c r="G1221" s="3" t="s">
        <v>91</v>
      </c>
      <c r="H1221" s="3">
        <v>1</v>
      </c>
      <c r="I1221" s="7">
        <v>1157.93</v>
      </c>
      <c r="J1221" s="9">
        <v>0</v>
      </c>
      <c r="K1221" s="7">
        <v>1157.93</v>
      </c>
      <c r="L1221" s="7">
        <v>678.43</v>
      </c>
      <c r="M1221" s="3" t="s">
        <v>60</v>
      </c>
      <c r="N1221" s="3"/>
      <c r="O1221" s="3"/>
      <c r="P1221" s="3"/>
      <c r="Q1221" s="3"/>
    </row>
    <row r="1222" spans="1:17" ht="21" customHeight="1">
      <c r="A1222" s="3" t="s">
        <v>1868</v>
      </c>
      <c r="B1222" s="5">
        <v>45616</v>
      </c>
      <c r="C1222" s="3" t="s">
        <v>1479</v>
      </c>
      <c r="D1222" s="3" t="s">
        <v>47</v>
      </c>
      <c r="E1222" s="3" t="s">
        <v>41</v>
      </c>
      <c r="F1222" s="3" t="s">
        <v>119</v>
      </c>
      <c r="G1222" s="3" t="s">
        <v>120</v>
      </c>
      <c r="H1222" s="3">
        <v>1</v>
      </c>
      <c r="I1222" s="7">
        <v>1314.13</v>
      </c>
      <c r="J1222" s="9">
        <v>0.1</v>
      </c>
      <c r="K1222" s="7">
        <v>1182.72</v>
      </c>
      <c r="L1222" s="7">
        <v>296.74</v>
      </c>
      <c r="M1222" s="3" t="s">
        <v>60</v>
      </c>
      <c r="N1222" s="3"/>
      <c r="O1222" s="3"/>
      <c r="P1222" s="3"/>
      <c r="Q1222" s="3"/>
    </row>
    <row r="1223" spans="1:17" ht="21" customHeight="1">
      <c r="A1223" s="3" t="s">
        <v>1869</v>
      </c>
      <c r="B1223" s="5">
        <v>45616</v>
      </c>
      <c r="C1223" s="3" t="s">
        <v>1612</v>
      </c>
      <c r="D1223" s="3" t="s">
        <v>45</v>
      </c>
      <c r="E1223" s="3" t="s">
        <v>38</v>
      </c>
      <c r="F1223" s="3" t="s">
        <v>142</v>
      </c>
      <c r="G1223" s="3" t="s">
        <v>245</v>
      </c>
      <c r="H1223" s="3">
        <v>1</v>
      </c>
      <c r="I1223" s="7">
        <v>4983.95</v>
      </c>
      <c r="J1223" s="9">
        <v>0</v>
      </c>
      <c r="K1223" s="7">
        <v>4983.95</v>
      </c>
      <c r="L1223" s="7">
        <v>1028.6300000000001</v>
      </c>
      <c r="M1223" s="3" t="s">
        <v>56</v>
      </c>
      <c r="N1223" s="3"/>
      <c r="O1223" s="3"/>
      <c r="P1223" s="3"/>
      <c r="Q1223" s="3"/>
    </row>
    <row r="1224" spans="1:17" ht="21" customHeight="1">
      <c r="A1224" s="3" t="s">
        <v>1870</v>
      </c>
      <c r="B1224" s="5">
        <v>45616</v>
      </c>
      <c r="C1224" s="3" t="s">
        <v>299</v>
      </c>
      <c r="D1224" s="3" t="s">
        <v>44</v>
      </c>
      <c r="E1224" s="3" t="s">
        <v>42</v>
      </c>
      <c r="F1224" s="3" t="s">
        <v>90</v>
      </c>
      <c r="G1224" s="3" t="s">
        <v>106</v>
      </c>
      <c r="H1224" s="3">
        <v>1</v>
      </c>
      <c r="I1224" s="7">
        <v>903.64</v>
      </c>
      <c r="J1224" s="9">
        <v>0.1</v>
      </c>
      <c r="K1224" s="7">
        <v>813.28</v>
      </c>
      <c r="L1224" s="7">
        <v>370.8</v>
      </c>
      <c r="M1224" s="3" t="s">
        <v>58</v>
      </c>
      <c r="N1224" s="3"/>
      <c r="O1224" s="3"/>
      <c r="P1224" s="3"/>
      <c r="Q1224" s="3"/>
    </row>
    <row r="1225" spans="1:17" ht="21" customHeight="1">
      <c r="A1225" s="3" t="s">
        <v>1871</v>
      </c>
      <c r="B1225" s="5">
        <v>45616</v>
      </c>
      <c r="C1225" s="3" t="s">
        <v>1421</v>
      </c>
      <c r="D1225" s="3" t="s">
        <v>45</v>
      </c>
      <c r="E1225" s="3" t="s">
        <v>40</v>
      </c>
      <c r="F1225" s="3" t="s">
        <v>102</v>
      </c>
      <c r="G1225" s="3" t="s">
        <v>146</v>
      </c>
      <c r="H1225" s="3">
        <v>1</v>
      </c>
      <c r="I1225" s="7">
        <v>7807.6</v>
      </c>
      <c r="J1225" s="9">
        <v>0</v>
      </c>
      <c r="K1225" s="7">
        <v>7807.6</v>
      </c>
      <c r="L1225" s="7">
        <v>2752.44</v>
      </c>
      <c r="M1225" s="3" t="s">
        <v>57</v>
      </c>
      <c r="N1225" s="3"/>
      <c r="O1225" s="3"/>
      <c r="P1225" s="3"/>
      <c r="Q1225" s="3"/>
    </row>
    <row r="1226" spans="1:17" ht="21" customHeight="1">
      <c r="A1226" s="3" t="s">
        <v>1872</v>
      </c>
      <c r="B1226" s="5">
        <v>45617</v>
      </c>
      <c r="C1226" s="3" t="s">
        <v>1042</v>
      </c>
      <c r="D1226" s="3" t="s">
        <v>46</v>
      </c>
      <c r="E1226" s="3" t="s">
        <v>38</v>
      </c>
      <c r="F1226" s="3" t="s">
        <v>94</v>
      </c>
      <c r="G1226" s="3" t="s">
        <v>95</v>
      </c>
      <c r="H1226" s="3">
        <v>1</v>
      </c>
      <c r="I1226" s="7">
        <v>81233.31</v>
      </c>
      <c r="J1226" s="9">
        <v>0.2</v>
      </c>
      <c r="K1226" s="7">
        <v>64986.65</v>
      </c>
      <c r="L1226" s="7">
        <v>-5532.69</v>
      </c>
      <c r="M1226" s="3" t="s">
        <v>56</v>
      </c>
      <c r="N1226" s="3"/>
      <c r="O1226" s="3"/>
      <c r="P1226" s="3"/>
      <c r="Q1226" s="3"/>
    </row>
    <row r="1227" spans="1:17" ht="21" customHeight="1">
      <c r="A1227" s="3" t="s">
        <v>1873</v>
      </c>
      <c r="B1227" s="5">
        <v>45617</v>
      </c>
      <c r="C1227" s="3" t="s">
        <v>1731</v>
      </c>
      <c r="D1227" s="3" t="s">
        <v>46</v>
      </c>
      <c r="E1227" s="3" t="s">
        <v>38</v>
      </c>
      <c r="F1227" s="3" t="s">
        <v>94</v>
      </c>
      <c r="G1227" s="3" t="s">
        <v>213</v>
      </c>
      <c r="H1227" s="3">
        <v>1</v>
      </c>
      <c r="I1227" s="7">
        <v>52962.76</v>
      </c>
      <c r="J1227" s="9">
        <v>0.05</v>
      </c>
      <c r="K1227" s="7">
        <v>50314.62</v>
      </c>
      <c r="L1227" s="7">
        <v>5225.8900000000003</v>
      </c>
      <c r="M1227" s="3" t="s">
        <v>60</v>
      </c>
      <c r="N1227" s="3"/>
      <c r="O1227" s="3"/>
      <c r="P1227" s="3"/>
      <c r="Q1227" s="3"/>
    </row>
    <row r="1228" spans="1:17" ht="21" customHeight="1">
      <c r="A1228" s="3" t="s">
        <v>1874</v>
      </c>
      <c r="B1228" s="5">
        <v>45617</v>
      </c>
      <c r="C1228" s="3" t="s">
        <v>335</v>
      </c>
      <c r="D1228" s="3" t="s">
        <v>45</v>
      </c>
      <c r="E1228" s="3" t="s">
        <v>41</v>
      </c>
      <c r="F1228" s="3" t="s">
        <v>113</v>
      </c>
      <c r="G1228" s="3" t="s">
        <v>114</v>
      </c>
      <c r="H1228" s="3">
        <v>2</v>
      </c>
      <c r="I1228" s="7">
        <v>12118.09</v>
      </c>
      <c r="J1228" s="9">
        <v>0.05</v>
      </c>
      <c r="K1228" s="7">
        <v>23024.37</v>
      </c>
      <c r="L1228" s="7">
        <v>7092.71</v>
      </c>
      <c r="M1228" s="3" t="s">
        <v>56</v>
      </c>
      <c r="N1228" s="3"/>
      <c r="O1228" s="3"/>
      <c r="P1228" s="3"/>
      <c r="Q1228" s="3"/>
    </row>
    <row r="1229" spans="1:17" ht="21" customHeight="1">
      <c r="A1229" s="3" t="s">
        <v>1875</v>
      </c>
      <c r="B1229" s="5">
        <v>45617</v>
      </c>
      <c r="C1229" s="3" t="s">
        <v>232</v>
      </c>
      <c r="D1229" s="3" t="s">
        <v>44</v>
      </c>
      <c r="E1229" s="3" t="s">
        <v>41</v>
      </c>
      <c r="F1229" s="3" t="s">
        <v>119</v>
      </c>
      <c r="G1229" s="3" t="s">
        <v>168</v>
      </c>
      <c r="H1229" s="3">
        <v>2</v>
      </c>
      <c r="I1229" s="7">
        <v>10432.57</v>
      </c>
      <c r="J1229" s="9">
        <v>0</v>
      </c>
      <c r="K1229" s="7">
        <v>20865.14</v>
      </c>
      <c r="L1229" s="7">
        <v>8374.08</v>
      </c>
      <c r="M1229" s="3" t="s">
        <v>56</v>
      </c>
      <c r="N1229" s="3"/>
      <c r="O1229" s="3"/>
      <c r="P1229" s="3"/>
      <c r="Q1229" s="3"/>
    </row>
    <row r="1230" spans="1:17" ht="21" customHeight="1">
      <c r="A1230" s="3" t="s">
        <v>1876</v>
      </c>
      <c r="B1230" s="5">
        <v>45617</v>
      </c>
      <c r="C1230" s="3" t="s">
        <v>426</v>
      </c>
      <c r="D1230" s="3" t="s">
        <v>45</v>
      </c>
      <c r="E1230" s="3" t="s">
        <v>40</v>
      </c>
      <c r="F1230" s="3" t="s">
        <v>160</v>
      </c>
      <c r="G1230" s="3" t="s">
        <v>161</v>
      </c>
      <c r="H1230" s="3">
        <v>3</v>
      </c>
      <c r="I1230" s="7">
        <v>12611.1</v>
      </c>
      <c r="J1230" s="9">
        <v>0.2</v>
      </c>
      <c r="K1230" s="7">
        <v>30266.639999999999</v>
      </c>
      <c r="L1230" s="7">
        <v>2800.36</v>
      </c>
      <c r="M1230" s="3" t="s">
        <v>57</v>
      </c>
      <c r="N1230" s="3"/>
      <c r="O1230" s="3"/>
      <c r="P1230" s="3"/>
      <c r="Q1230" s="3"/>
    </row>
    <row r="1231" spans="1:17" ht="21" customHeight="1">
      <c r="A1231" s="3" t="s">
        <v>1877</v>
      </c>
      <c r="B1231" s="5">
        <v>45618</v>
      </c>
      <c r="C1231" s="3" t="s">
        <v>1878</v>
      </c>
      <c r="D1231" s="3" t="s">
        <v>45</v>
      </c>
      <c r="E1231" s="3" t="s">
        <v>38</v>
      </c>
      <c r="F1231" s="3" t="s">
        <v>98</v>
      </c>
      <c r="G1231" s="3" t="s">
        <v>182</v>
      </c>
      <c r="H1231" s="3">
        <v>1</v>
      </c>
      <c r="I1231" s="7">
        <v>69697.919999999998</v>
      </c>
      <c r="J1231" s="9">
        <v>0.05</v>
      </c>
      <c r="K1231" s="7">
        <v>66213.02</v>
      </c>
      <c r="L1231" s="7">
        <v>8673.9599999999991</v>
      </c>
      <c r="M1231" s="3" t="s">
        <v>56</v>
      </c>
      <c r="N1231" s="3"/>
      <c r="O1231" s="3"/>
      <c r="P1231" s="3"/>
      <c r="Q1231" s="3"/>
    </row>
    <row r="1232" spans="1:17" ht="21" customHeight="1">
      <c r="A1232" s="3" t="s">
        <v>1879</v>
      </c>
      <c r="B1232" s="5">
        <v>45618</v>
      </c>
      <c r="C1232" s="3" t="s">
        <v>1165</v>
      </c>
      <c r="D1232" s="3" t="s">
        <v>44</v>
      </c>
      <c r="E1232" s="3" t="s">
        <v>38</v>
      </c>
      <c r="F1232" s="3" t="s">
        <v>94</v>
      </c>
      <c r="G1232" s="3" t="s">
        <v>213</v>
      </c>
      <c r="H1232" s="3">
        <v>1</v>
      </c>
      <c r="I1232" s="7">
        <v>57519.59</v>
      </c>
      <c r="J1232" s="9">
        <v>0</v>
      </c>
      <c r="K1232" s="7">
        <v>57519.59</v>
      </c>
      <c r="L1232" s="7">
        <v>10627.9</v>
      </c>
      <c r="M1232" s="3" t="s">
        <v>57</v>
      </c>
      <c r="N1232" s="3"/>
      <c r="O1232" s="3"/>
      <c r="P1232" s="3"/>
      <c r="Q1232" s="3"/>
    </row>
    <row r="1233" spans="1:17" ht="21" customHeight="1">
      <c r="A1233" s="3" t="s">
        <v>1880</v>
      </c>
      <c r="B1233" s="5">
        <v>45618</v>
      </c>
      <c r="C1233" s="3" t="s">
        <v>463</v>
      </c>
      <c r="D1233" s="3" t="s">
        <v>44</v>
      </c>
      <c r="E1233" s="3" t="s">
        <v>41</v>
      </c>
      <c r="F1233" s="3" t="s">
        <v>113</v>
      </c>
      <c r="G1233" s="3" t="s">
        <v>114</v>
      </c>
      <c r="H1233" s="3">
        <v>1</v>
      </c>
      <c r="I1233" s="7">
        <v>11712.93</v>
      </c>
      <c r="J1233" s="9">
        <v>0.05</v>
      </c>
      <c r="K1233" s="7">
        <v>11127.28</v>
      </c>
      <c r="L1233" s="7">
        <v>3315.18</v>
      </c>
      <c r="M1233" s="3" t="s">
        <v>56</v>
      </c>
      <c r="N1233" s="3"/>
      <c r="O1233" s="3"/>
      <c r="P1233" s="3"/>
      <c r="Q1233" s="3"/>
    </row>
    <row r="1234" spans="1:17" ht="21" customHeight="1">
      <c r="A1234" s="3" t="s">
        <v>1881</v>
      </c>
      <c r="B1234" s="5">
        <v>45618</v>
      </c>
      <c r="C1234" s="3" t="s">
        <v>410</v>
      </c>
      <c r="D1234" s="3" t="s">
        <v>46</v>
      </c>
      <c r="E1234" s="3" t="s">
        <v>38</v>
      </c>
      <c r="F1234" s="3" t="s">
        <v>142</v>
      </c>
      <c r="G1234" s="3" t="s">
        <v>245</v>
      </c>
      <c r="H1234" s="3">
        <v>1</v>
      </c>
      <c r="I1234" s="7">
        <v>5206.2</v>
      </c>
      <c r="J1234" s="9">
        <v>0.15</v>
      </c>
      <c r="K1234" s="7">
        <v>4425.2700000000004</v>
      </c>
      <c r="L1234" s="7">
        <v>103.31</v>
      </c>
      <c r="M1234" s="3" t="s">
        <v>60</v>
      </c>
      <c r="N1234" s="3"/>
      <c r="O1234" s="3"/>
      <c r="P1234" s="3"/>
      <c r="Q1234" s="3"/>
    </row>
    <row r="1235" spans="1:17" ht="21" customHeight="1">
      <c r="A1235" s="3" t="s">
        <v>1882</v>
      </c>
      <c r="B1235" s="5">
        <v>45619</v>
      </c>
      <c r="C1235" s="3" t="s">
        <v>1247</v>
      </c>
      <c r="D1235" s="3" t="s">
        <v>47</v>
      </c>
      <c r="E1235" s="3" t="s">
        <v>41</v>
      </c>
      <c r="F1235" s="3" t="s">
        <v>119</v>
      </c>
      <c r="G1235" s="3" t="s">
        <v>120</v>
      </c>
      <c r="H1235" s="3">
        <v>1</v>
      </c>
      <c r="I1235" s="7">
        <v>1256.48</v>
      </c>
      <c r="J1235" s="9">
        <v>0</v>
      </c>
      <c r="K1235" s="7">
        <v>1256.48</v>
      </c>
      <c r="L1235" s="7">
        <v>498.91</v>
      </c>
      <c r="M1235" s="3" t="s">
        <v>58</v>
      </c>
      <c r="N1235" s="3"/>
      <c r="O1235" s="3"/>
      <c r="P1235" s="3"/>
      <c r="Q1235" s="3"/>
    </row>
    <row r="1236" spans="1:17" ht="21" customHeight="1">
      <c r="A1236" s="3" t="s">
        <v>1883</v>
      </c>
      <c r="B1236" s="5">
        <v>45619</v>
      </c>
      <c r="C1236" s="3" t="s">
        <v>148</v>
      </c>
      <c r="D1236" s="3" t="s">
        <v>46</v>
      </c>
      <c r="E1236" s="3" t="s">
        <v>40</v>
      </c>
      <c r="F1236" s="3" t="s">
        <v>221</v>
      </c>
      <c r="G1236" s="3" t="s">
        <v>222</v>
      </c>
      <c r="H1236" s="3">
        <v>1</v>
      </c>
      <c r="I1236" s="7">
        <v>995.6</v>
      </c>
      <c r="J1236" s="9">
        <v>0.2</v>
      </c>
      <c r="K1236" s="7">
        <v>796.48</v>
      </c>
      <c r="L1236" s="7">
        <v>98.94</v>
      </c>
      <c r="M1236" s="3" t="s">
        <v>58</v>
      </c>
      <c r="N1236" s="3"/>
      <c r="O1236" s="3"/>
      <c r="P1236" s="3"/>
      <c r="Q1236" s="3"/>
    </row>
    <row r="1237" spans="1:17" ht="21" customHeight="1">
      <c r="A1237" s="3" t="s">
        <v>1884</v>
      </c>
      <c r="B1237" s="5">
        <v>45619</v>
      </c>
      <c r="C1237" s="3" t="s">
        <v>1885</v>
      </c>
      <c r="D1237" s="3" t="s">
        <v>45</v>
      </c>
      <c r="E1237" s="3" t="s">
        <v>38</v>
      </c>
      <c r="F1237" s="3" t="s">
        <v>94</v>
      </c>
      <c r="G1237" s="3" t="s">
        <v>213</v>
      </c>
      <c r="H1237" s="3">
        <v>2</v>
      </c>
      <c r="I1237" s="7">
        <v>52701.32</v>
      </c>
      <c r="J1237" s="9">
        <v>0.05</v>
      </c>
      <c r="K1237" s="7">
        <v>100132.51</v>
      </c>
      <c r="L1237" s="7">
        <v>9525.18</v>
      </c>
      <c r="M1237" s="3" t="s">
        <v>60</v>
      </c>
      <c r="N1237" s="3"/>
      <c r="O1237" s="3"/>
      <c r="P1237" s="3"/>
      <c r="Q1237" s="3"/>
    </row>
    <row r="1238" spans="1:17" ht="21" customHeight="1">
      <c r="A1238" s="3" t="s">
        <v>1886</v>
      </c>
      <c r="B1238" s="5">
        <v>45619</v>
      </c>
      <c r="C1238" s="3" t="s">
        <v>314</v>
      </c>
      <c r="D1238" s="3" t="s">
        <v>45</v>
      </c>
      <c r="E1238" s="3" t="s">
        <v>42</v>
      </c>
      <c r="F1238" s="3" t="s">
        <v>90</v>
      </c>
      <c r="G1238" s="3" t="s">
        <v>106</v>
      </c>
      <c r="H1238" s="3">
        <v>1</v>
      </c>
      <c r="I1238" s="7">
        <v>879.06</v>
      </c>
      <c r="J1238" s="9">
        <v>0.15</v>
      </c>
      <c r="K1238" s="7">
        <v>747.2</v>
      </c>
      <c r="L1238" s="7">
        <v>288.86</v>
      </c>
      <c r="M1238" s="3" t="s">
        <v>56</v>
      </c>
      <c r="N1238" s="3"/>
      <c r="O1238" s="3"/>
      <c r="P1238" s="3"/>
      <c r="Q1238" s="3"/>
    </row>
    <row r="1239" spans="1:17" ht="21" customHeight="1">
      <c r="A1239" s="3" t="s">
        <v>1887</v>
      </c>
      <c r="B1239" s="5">
        <v>45619</v>
      </c>
      <c r="C1239" s="3" t="s">
        <v>199</v>
      </c>
      <c r="D1239" s="3" t="s">
        <v>45</v>
      </c>
      <c r="E1239" s="3" t="s">
        <v>41</v>
      </c>
      <c r="F1239" s="3" t="s">
        <v>119</v>
      </c>
      <c r="G1239" s="3" t="s">
        <v>120</v>
      </c>
      <c r="H1239" s="3">
        <v>4</v>
      </c>
      <c r="I1239" s="7">
        <v>1337.77</v>
      </c>
      <c r="J1239" s="9">
        <v>0</v>
      </c>
      <c r="K1239" s="7">
        <v>5351.08</v>
      </c>
      <c r="L1239" s="7">
        <v>1852.59</v>
      </c>
      <c r="M1239" s="3" t="s">
        <v>56</v>
      </c>
      <c r="N1239" s="3"/>
      <c r="O1239" s="3"/>
      <c r="P1239" s="3"/>
      <c r="Q1239" s="3"/>
    </row>
    <row r="1240" spans="1:17" ht="21" customHeight="1">
      <c r="A1240" s="3" t="s">
        <v>1888</v>
      </c>
      <c r="B1240" s="5">
        <v>45619</v>
      </c>
      <c r="C1240" s="3" t="s">
        <v>1138</v>
      </c>
      <c r="D1240" s="3" t="s">
        <v>46</v>
      </c>
      <c r="E1240" s="3" t="s">
        <v>38</v>
      </c>
      <c r="F1240" s="3" t="s">
        <v>142</v>
      </c>
      <c r="G1240" s="3" t="s">
        <v>245</v>
      </c>
      <c r="H1240" s="3">
        <v>1</v>
      </c>
      <c r="I1240" s="7">
        <v>4773.8599999999997</v>
      </c>
      <c r="J1240" s="9">
        <v>0.05</v>
      </c>
      <c r="K1240" s="7">
        <v>4535.17</v>
      </c>
      <c r="L1240" s="7">
        <v>484.52</v>
      </c>
      <c r="M1240" s="3" t="s">
        <v>58</v>
      </c>
      <c r="N1240" s="3"/>
      <c r="O1240" s="3"/>
      <c r="P1240" s="3"/>
      <c r="Q1240" s="3"/>
    </row>
    <row r="1241" spans="1:17" ht="21" customHeight="1">
      <c r="A1241" s="3" t="s">
        <v>1889</v>
      </c>
      <c r="B1241" s="5">
        <v>45619</v>
      </c>
      <c r="C1241" s="3" t="s">
        <v>1890</v>
      </c>
      <c r="D1241" s="3" t="s">
        <v>46</v>
      </c>
      <c r="E1241" s="3" t="s">
        <v>42</v>
      </c>
      <c r="F1241" s="3" t="s">
        <v>126</v>
      </c>
      <c r="G1241" s="3" t="s">
        <v>151</v>
      </c>
      <c r="H1241" s="3">
        <v>1</v>
      </c>
      <c r="I1241" s="7">
        <v>1555.57</v>
      </c>
      <c r="J1241" s="9">
        <v>0</v>
      </c>
      <c r="K1241" s="7">
        <v>1555.57</v>
      </c>
      <c r="L1241" s="7">
        <v>843.2</v>
      </c>
      <c r="M1241" s="3" t="s">
        <v>58</v>
      </c>
      <c r="N1241" s="3"/>
      <c r="O1241" s="3"/>
      <c r="P1241" s="3"/>
      <c r="Q1241" s="3"/>
    </row>
    <row r="1242" spans="1:17" ht="21" customHeight="1">
      <c r="A1242" s="3" t="s">
        <v>1891</v>
      </c>
      <c r="B1242" s="5">
        <v>45620</v>
      </c>
      <c r="C1242" s="3" t="s">
        <v>456</v>
      </c>
      <c r="D1242" s="3" t="s">
        <v>45</v>
      </c>
      <c r="E1242" s="3" t="s">
        <v>40</v>
      </c>
      <c r="F1242" s="3" t="s">
        <v>221</v>
      </c>
      <c r="G1242" s="3" t="s">
        <v>222</v>
      </c>
      <c r="H1242" s="3">
        <v>3</v>
      </c>
      <c r="I1242" s="7">
        <v>1046.2</v>
      </c>
      <c r="J1242" s="9">
        <v>0.1</v>
      </c>
      <c r="K1242" s="7">
        <v>2824.74</v>
      </c>
      <c r="L1242" s="7">
        <v>545.84</v>
      </c>
      <c r="M1242" s="3" t="s">
        <v>58</v>
      </c>
      <c r="N1242" s="3"/>
      <c r="O1242" s="3"/>
      <c r="P1242" s="3"/>
      <c r="Q1242" s="3"/>
    </row>
    <row r="1243" spans="1:17" ht="21" customHeight="1">
      <c r="A1243" s="3" t="s">
        <v>1892</v>
      </c>
      <c r="B1243" s="5">
        <v>45620</v>
      </c>
      <c r="C1243" s="3" t="s">
        <v>463</v>
      </c>
      <c r="D1243" s="3" t="s">
        <v>44</v>
      </c>
      <c r="E1243" s="3" t="s">
        <v>38</v>
      </c>
      <c r="F1243" s="3" t="s">
        <v>98</v>
      </c>
      <c r="G1243" s="3" t="s">
        <v>182</v>
      </c>
      <c r="H1243" s="3">
        <v>1</v>
      </c>
      <c r="I1243" s="7">
        <v>70994.84</v>
      </c>
      <c r="J1243" s="9">
        <v>0</v>
      </c>
      <c r="K1243" s="7">
        <v>70994.84</v>
      </c>
      <c r="L1243" s="7">
        <v>15156.59</v>
      </c>
      <c r="M1243" s="3" t="s">
        <v>56</v>
      </c>
      <c r="N1243" s="3"/>
      <c r="O1243" s="3"/>
      <c r="P1243" s="3"/>
      <c r="Q1243" s="3"/>
    </row>
    <row r="1244" spans="1:17" ht="21" customHeight="1">
      <c r="A1244" s="3" t="s">
        <v>1893</v>
      </c>
      <c r="B1244" s="5">
        <v>45620</v>
      </c>
      <c r="C1244" s="3" t="s">
        <v>118</v>
      </c>
      <c r="D1244" s="3" t="s">
        <v>47</v>
      </c>
      <c r="E1244" s="3" t="s">
        <v>39</v>
      </c>
      <c r="F1244" s="3" t="s">
        <v>164</v>
      </c>
      <c r="G1244" s="3" t="s">
        <v>200</v>
      </c>
      <c r="H1244" s="3">
        <v>1</v>
      </c>
      <c r="I1244" s="7">
        <v>1280.5999999999999</v>
      </c>
      <c r="J1244" s="9">
        <v>0.05</v>
      </c>
      <c r="K1244" s="7">
        <v>1216.57</v>
      </c>
      <c r="L1244" s="7">
        <v>481.55</v>
      </c>
      <c r="M1244" s="3" t="s">
        <v>58</v>
      </c>
      <c r="N1244" s="3"/>
      <c r="O1244" s="3"/>
      <c r="P1244" s="3"/>
      <c r="Q1244" s="3"/>
    </row>
    <row r="1245" spans="1:17" ht="21" customHeight="1">
      <c r="A1245" s="3" t="s">
        <v>1894</v>
      </c>
      <c r="B1245" s="5">
        <v>45620</v>
      </c>
      <c r="C1245" s="3" t="s">
        <v>628</v>
      </c>
      <c r="D1245" s="3" t="s">
        <v>45</v>
      </c>
      <c r="E1245" s="3" t="s">
        <v>39</v>
      </c>
      <c r="F1245" s="3" t="s">
        <v>109</v>
      </c>
      <c r="G1245" s="3" t="s">
        <v>355</v>
      </c>
      <c r="H1245" s="3">
        <v>1</v>
      </c>
      <c r="I1245" s="7">
        <v>3575.88</v>
      </c>
      <c r="J1245" s="9">
        <v>0</v>
      </c>
      <c r="K1245" s="7">
        <v>3575.88</v>
      </c>
      <c r="L1245" s="7">
        <v>1614.71</v>
      </c>
      <c r="M1245" s="3" t="s">
        <v>60</v>
      </c>
      <c r="N1245" s="3"/>
      <c r="O1245" s="3"/>
      <c r="P1245" s="3"/>
      <c r="Q1245" s="3"/>
    </row>
    <row r="1246" spans="1:17" ht="21" customHeight="1">
      <c r="A1246" s="3" t="s">
        <v>1895</v>
      </c>
      <c r="B1246" s="5">
        <v>45620</v>
      </c>
      <c r="C1246" s="3" t="s">
        <v>1131</v>
      </c>
      <c r="D1246" s="3" t="s">
        <v>46</v>
      </c>
      <c r="E1246" s="3" t="s">
        <v>42</v>
      </c>
      <c r="F1246" s="3" t="s">
        <v>90</v>
      </c>
      <c r="G1246" s="3" t="s">
        <v>91</v>
      </c>
      <c r="H1246" s="3">
        <v>2</v>
      </c>
      <c r="I1246" s="7">
        <v>1213.33</v>
      </c>
      <c r="J1246" s="9">
        <v>0.05</v>
      </c>
      <c r="K1246" s="7">
        <v>2305.33</v>
      </c>
      <c r="L1246" s="7">
        <v>1126.22</v>
      </c>
      <c r="M1246" s="3" t="s">
        <v>56</v>
      </c>
      <c r="N1246" s="3"/>
      <c r="O1246" s="3"/>
      <c r="P1246" s="3"/>
      <c r="Q1246" s="3"/>
    </row>
    <row r="1247" spans="1:17" ht="21" customHeight="1">
      <c r="A1247" s="3" t="s">
        <v>1896</v>
      </c>
      <c r="B1247" s="5">
        <v>45620</v>
      </c>
      <c r="C1247" s="3" t="s">
        <v>702</v>
      </c>
      <c r="D1247" s="3" t="s">
        <v>46</v>
      </c>
      <c r="E1247" s="3" t="s">
        <v>41</v>
      </c>
      <c r="F1247" s="3" t="s">
        <v>113</v>
      </c>
      <c r="G1247" s="3" t="s">
        <v>123</v>
      </c>
      <c r="H1247" s="3">
        <v>1</v>
      </c>
      <c r="I1247" s="7">
        <v>3548.87</v>
      </c>
      <c r="J1247" s="9">
        <v>0</v>
      </c>
      <c r="K1247" s="7">
        <v>3548.87</v>
      </c>
      <c r="L1247" s="7">
        <v>1414.3</v>
      </c>
      <c r="M1247" s="3" t="s">
        <v>57</v>
      </c>
      <c r="N1247" s="3"/>
      <c r="O1247" s="3"/>
      <c r="P1247" s="3"/>
      <c r="Q1247" s="3"/>
    </row>
    <row r="1248" spans="1:17" ht="21" customHeight="1">
      <c r="A1248" s="3" t="s">
        <v>1897</v>
      </c>
      <c r="B1248" s="5">
        <v>45620</v>
      </c>
      <c r="C1248" s="3" t="s">
        <v>846</v>
      </c>
      <c r="D1248" s="3" t="s">
        <v>46</v>
      </c>
      <c r="E1248" s="3" t="s">
        <v>39</v>
      </c>
      <c r="F1248" s="3" t="s">
        <v>109</v>
      </c>
      <c r="G1248" s="3" t="s">
        <v>355</v>
      </c>
      <c r="H1248" s="3">
        <v>2</v>
      </c>
      <c r="I1248" s="7">
        <v>3347.46</v>
      </c>
      <c r="J1248" s="9">
        <v>0.15</v>
      </c>
      <c r="K1248" s="7">
        <v>5690.68</v>
      </c>
      <c r="L1248" s="7">
        <v>1192.8800000000001</v>
      </c>
      <c r="M1248" s="3" t="s">
        <v>57</v>
      </c>
      <c r="N1248" s="3"/>
      <c r="O1248" s="3"/>
      <c r="P1248" s="3"/>
      <c r="Q1248" s="3"/>
    </row>
    <row r="1249" spans="1:17" ht="21" customHeight="1">
      <c r="A1249" s="3" t="s">
        <v>1898</v>
      </c>
      <c r="B1249" s="5">
        <v>45621</v>
      </c>
      <c r="C1249" s="3" t="s">
        <v>1042</v>
      </c>
      <c r="D1249" s="3" t="s">
        <v>44</v>
      </c>
      <c r="E1249" s="3" t="s">
        <v>41</v>
      </c>
      <c r="F1249" s="3" t="s">
        <v>113</v>
      </c>
      <c r="G1249" s="3" t="s">
        <v>123</v>
      </c>
      <c r="H1249" s="3">
        <v>2</v>
      </c>
      <c r="I1249" s="7">
        <v>3515.77</v>
      </c>
      <c r="J1249" s="9">
        <v>0.05</v>
      </c>
      <c r="K1249" s="7">
        <v>6679.96</v>
      </c>
      <c r="L1249" s="7">
        <v>1887.31</v>
      </c>
      <c r="M1249" s="3" t="s">
        <v>57</v>
      </c>
      <c r="N1249" s="3"/>
      <c r="O1249" s="3"/>
      <c r="P1249" s="3"/>
      <c r="Q1249" s="3"/>
    </row>
    <row r="1250" spans="1:17" ht="21" customHeight="1">
      <c r="A1250" s="3" t="s">
        <v>1899</v>
      </c>
      <c r="B1250" s="5">
        <v>45621</v>
      </c>
      <c r="C1250" s="3" t="s">
        <v>188</v>
      </c>
      <c r="D1250" s="3" t="s">
        <v>45</v>
      </c>
      <c r="E1250" s="3" t="s">
        <v>42</v>
      </c>
      <c r="F1250" s="3" t="s">
        <v>126</v>
      </c>
      <c r="G1250" s="3" t="s">
        <v>127</v>
      </c>
      <c r="H1250" s="3">
        <v>1</v>
      </c>
      <c r="I1250" s="7">
        <v>1014.87</v>
      </c>
      <c r="J1250" s="9">
        <v>0.1</v>
      </c>
      <c r="K1250" s="7">
        <v>913.38</v>
      </c>
      <c r="L1250" s="7">
        <v>395.51</v>
      </c>
      <c r="M1250" s="3" t="s">
        <v>56</v>
      </c>
      <c r="N1250" s="3"/>
      <c r="O1250" s="3"/>
      <c r="P1250" s="3"/>
      <c r="Q1250" s="3"/>
    </row>
    <row r="1251" spans="1:17" ht="21" customHeight="1">
      <c r="A1251" s="3" t="s">
        <v>1900</v>
      </c>
      <c r="B1251" s="5">
        <v>45621</v>
      </c>
      <c r="C1251" s="3" t="s">
        <v>873</v>
      </c>
      <c r="D1251" s="3" t="s">
        <v>44</v>
      </c>
      <c r="E1251" s="3" t="s">
        <v>40</v>
      </c>
      <c r="F1251" s="3" t="s">
        <v>221</v>
      </c>
      <c r="G1251" s="3" t="s">
        <v>279</v>
      </c>
      <c r="H1251" s="3">
        <v>1</v>
      </c>
      <c r="I1251" s="7">
        <v>1519.21</v>
      </c>
      <c r="J1251" s="9">
        <v>0.1</v>
      </c>
      <c r="K1251" s="7">
        <v>1367.29</v>
      </c>
      <c r="L1251" s="7">
        <v>323.35000000000002</v>
      </c>
      <c r="M1251" s="3" t="s">
        <v>57</v>
      </c>
      <c r="N1251" s="3"/>
      <c r="O1251" s="3"/>
      <c r="P1251" s="3"/>
      <c r="Q1251" s="3"/>
    </row>
    <row r="1252" spans="1:17" ht="21" customHeight="1">
      <c r="A1252" s="3" t="s">
        <v>1901</v>
      </c>
      <c r="B1252" s="5">
        <v>45621</v>
      </c>
      <c r="C1252" s="3" t="s">
        <v>1257</v>
      </c>
      <c r="D1252" s="3" t="s">
        <v>46</v>
      </c>
      <c r="E1252" s="3" t="s">
        <v>42</v>
      </c>
      <c r="F1252" s="3" t="s">
        <v>126</v>
      </c>
      <c r="G1252" s="3" t="s">
        <v>127</v>
      </c>
      <c r="H1252" s="3">
        <v>1</v>
      </c>
      <c r="I1252" s="7">
        <v>1000.8</v>
      </c>
      <c r="J1252" s="9">
        <v>0</v>
      </c>
      <c r="K1252" s="7">
        <v>1000.8</v>
      </c>
      <c r="L1252" s="7">
        <v>511.81</v>
      </c>
      <c r="M1252" s="3" t="s">
        <v>58</v>
      </c>
      <c r="N1252" s="3"/>
      <c r="O1252" s="3"/>
      <c r="P1252" s="3"/>
      <c r="Q1252" s="3"/>
    </row>
    <row r="1253" spans="1:17" ht="21" customHeight="1">
      <c r="A1253" s="3" t="s">
        <v>1902</v>
      </c>
      <c r="B1253" s="5">
        <v>45621</v>
      </c>
      <c r="C1253" s="3" t="s">
        <v>475</v>
      </c>
      <c r="D1253" s="3" t="s">
        <v>46</v>
      </c>
      <c r="E1253" s="3" t="s">
        <v>38</v>
      </c>
      <c r="F1253" s="3" t="s">
        <v>98</v>
      </c>
      <c r="G1253" s="3" t="s">
        <v>362</v>
      </c>
      <c r="H1253" s="3">
        <v>1</v>
      </c>
      <c r="I1253" s="7">
        <v>32270.54</v>
      </c>
      <c r="J1253" s="9">
        <v>0.1</v>
      </c>
      <c r="K1253" s="7">
        <v>29043.49</v>
      </c>
      <c r="L1253" s="7">
        <v>1406.95</v>
      </c>
      <c r="M1253" s="3" t="s">
        <v>59</v>
      </c>
      <c r="N1253" s="3"/>
      <c r="O1253" s="3"/>
      <c r="P1253" s="3"/>
      <c r="Q1253" s="3"/>
    </row>
    <row r="1254" spans="1:17" ht="21" customHeight="1">
      <c r="A1254" s="3" t="s">
        <v>1903</v>
      </c>
      <c r="B1254" s="5">
        <v>45621</v>
      </c>
      <c r="C1254" s="3" t="s">
        <v>585</v>
      </c>
      <c r="D1254" s="3" t="s">
        <v>46</v>
      </c>
      <c r="E1254" s="3" t="s">
        <v>40</v>
      </c>
      <c r="F1254" s="3" t="s">
        <v>102</v>
      </c>
      <c r="G1254" s="3" t="s">
        <v>103</v>
      </c>
      <c r="H1254" s="3">
        <v>3</v>
      </c>
      <c r="I1254" s="7">
        <v>6234.77</v>
      </c>
      <c r="J1254" s="9">
        <v>0</v>
      </c>
      <c r="K1254" s="7">
        <v>18704.310000000001</v>
      </c>
      <c r="L1254" s="7">
        <v>6240.14</v>
      </c>
      <c r="M1254" s="3" t="s">
        <v>56</v>
      </c>
      <c r="N1254" s="3"/>
      <c r="O1254" s="3"/>
      <c r="P1254" s="3"/>
      <c r="Q1254" s="3"/>
    </row>
    <row r="1255" spans="1:17" ht="21" customHeight="1">
      <c r="A1255" s="3" t="s">
        <v>1904</v>
      </c>
      <c r="B1255" s="5">
        <v>45621</v>
      </c>
      <c r="C1255" s="3" t="s">
        <v>715</v>
      </c>
      <c r="D1255" s="3" t="s">
        <v>45</v>
      </c>
      <c r="E1255" s="3" t="s">
        <v>42</v>
      </c>
      <c r="F1255" s="3" t="s">
        <v>126</v>
      </c>
      <c r="G1255" s="3" t="s">
        <v>151</v>
      </c>
      <c r="H1255" s="3">
        <v>2</v>
      </c>
      <c r="I1255" s="7">
        <v>1427.2</v>
      </c>
      <c r="J1255" s="9">
        <v>0.1</v>
      </c>
      <c r="K1255" s="7">
        <v>2568.96</v>
      </c>
      <c r="L1255" s="7">
        <v>1106.1600000000001</v>
      </c>
      <c r="M1255" s="3" t="s">
        <v>56</v>
      </c>
      <c r="N1255" s="3"/>
      <c r="O1255" s="3"/>
      <c r="P1255" s="3"/>
      <c r="Q1255" s="3"/>
    </row>
    <row r="1256" spans="1:17" ht="21" customHeight="1">
      <c r="A1256" s="3" t="s">
        <v>1905</v>
      </c>
      <c r="B1256" s="5">
        <v>45622</v>
      </c>
      <c r="C1256" s="3" t="s">
        <v>135</v>
      </c>
      <c r="D1256" s="3" t="s">
        <v>44</v>
      </c>
      <c r="E1256" s="3" t="s">
        <v>40</v>
      </c>
      <c r="F1256" s="3" t="s">
        <v>102</v>
      </c>
      <c r="G1256" s="3" t="s">
        <v>103</v>
      </c>
      <c r="H1256" s="3">
        <v>4</v>
      </c>
      <c r="I1256" s="7">
        <v>6494.97</v>
      </c>
      <c r="J1256" s="9">
        <v>0.05</v>
      </c>
      <c r="K1256" s="7">
        <v>24680.89</v>
      </c>
      <c r="L1256" s="7">
        <v>5897.14</v>
      </c>
      <c r="M1256" s="3" t="s">
        <v>57</v>
      </c>
      <c r="N1256" s="3"/>
      <c r="O1256" s="3"/>
      <c r="P1256" s="3"/>
      <c r="Q1256" s="3"/>
    </row>
    <row r="1257" spans="1:17" ht="21" customHeight="1">
      <c r="A1257" s="3" t="s">
        <v>1906</v>
      </c>
      <c r="B1257" s="5">
        <v>45622</v>
      </c>
      <c r="C1257" s="3" t="s">
        <v>1162</v>
      </c>
      <c r="D1257" s="3" t="s">
        <v>46</v>
      </c>
      <c r="E1257" s="3" t="s">
        <v>38</v>
      </c>
      <c r="F1257" s="3" t="s">
        <v>98</v>
      </c>
      <c r="G1257" s="3" t="s">
        <v>362</v>
      </c>
      <c r="H1257" s="3">
        <v>5</v>
      </c>
      <c r="I1257" s="7">
        <v>32287.48</v>
      </c>
      <c r="J1257" s="9">
        <v>0</v>
      </c>
      <c r="K1257" s="7">
        <v>161437.4</v>
      </c>
      <c r="L1257" s="7">
        <v>31137.07</v>
      </c>
      <c r="M1257" s="3" t="s">
        <v>57</v>
      </c>
      <c r="N1257" s="3"/>
      <c r="O1257" s="3"/>
      <c r="P1257" s="3"/>
      <c r="Q1257" s="3"/>
    </row>
    <row r="1258" spans="1:17" ht="21" customHeight="1">
      <c r="A1258" s="3" t="s">
        <v>1907</v>
      </c>
      <c r="B1258" s="5">
        <v>45622</v>
      </c>
      <c r="C1258" s="3" t="s">
        <v>507</v>
      </c>
      <c r="D1258" s="3" t="s">
        <v>47</v>
      </c>
      <c r="E1258" s="3" t="s">
        <v>38</v>
      </c>
      <c r="F1258" s="3" t="s">
        <v>94</v>
      </c>
      <c r="G1258" s="3" t="s">
        <v>95</v>
      </c>
      <c r="H1258" s="3">
        <v>1</v>
      </c>
      <c r="I1258" s="7">
        <v>76398.42</v>
      </c>
      <c r="J1258" s="9">
        <v>0</v>
      </c>
      <c r="K1258" s="7">
        <v>76398.42</v>
      </c>
      <c r="L1258" s="7">
        <v>15618.23</v>
      </c>
      <c r="M1258" s="3" t="s">
        <v>56</v>
      </c>
      <c r="N1258" s="3"/>
      <c r="O1258" s="3"/>
      <c r="P1258" s="3"/>
      <c r="Q1258" s="3"/>
    </row>
    <row r="1259" spans="1:17" ht="21" customHeight="1">
      <c r="A1259" s="3" t="s">
        <v>1908</v>
      </c>
      <c r="B1259" s="5">
        <v>45622</v>
      </c>
      <c r="C1259" s="3" t="s">
        <v>1088</v>
      </c>
      <c r="D1259" s="3" t="s">
        <v>45</v>
      </c>
      <c r="E1259" s="3" t="s">
        <v>40</v>
      </c>
      <c r="F1259" s="3" t="s">
        <v>160</v>
      </c>
      <c r="G1259" s="3" t="s">
        <v>173</v>
      </c>
      <c r="H1259" s="3">
        <v>1</v>
      </c>
      <c r="I1259" s="7">
        <v>8737.34</v>
      </c>
      <c r="J1259" s="9">
        <v>0.05</v>
      </c>
      <c r="K1259" s="7">
        <v>8300.4699999999993</v>
      </c>
      <c r="L1259" s="7">
        <v>2575.21</v>
      </c>
      <c r="M1259" s="3" t="s">
        <v>56</v>
      </c>
      <c r="N1259" s="3"/>
      <c r="O1259" s="3"/>
      <c r="P1259" s="3"/>
      <c r="Q1259" s="3"/>
    </row>
    <row r="1260" spans="1:17" ht="21" customHeight="1">
      <c r="A1260" s="3" t="s">
        <v>1909</v>
      </c>
      <c r="B1260" s="5">
        <v>45623</v>
      </c>
      <c r="C1260" s="3" t="s">
        <v>118</v>
      </c>
      <c r="D1260" s="3" t="s">
        <v>45</v>
      </c>
      <c r="E1260" s="3" t="s">
        <v>42</v>
      </c>
      <c r="F1260" s="3" t="s">
        <v>126</v>
      </c>
      <c r="G1260" s="3" t="s">
        <v>151</v>
      </c>
      <c r="H1260" s="3">
        <v>4</v>
      </c>
      <c r="I1260" s="7">
        <v>1573.48</v>
      </c>
      <c r="J1260" s="9">
        <v>0.1</v>
      </c>
      <c r="K1260" s="7">
        <v>5664.53</v>
      </c>
      <c r="L1260" s="7">
        <v>2620.35</v>
      </c>
      <c r="M1260" s="3" t="s">
        <v>57</v>
      </c>
      <c r="N1260" s="3"/>
      <c r="O1260" s="3"/>
      <c r="P1260" s="3"/>
      <c r="Q1260" s="3"/>
    </row>
    <row r="1261" spans="1:17" ht="21" customHeight="1">
      <c r="A1261" s="3" t="s">
        <v>1910</v>
      </c>
      <c r="B1261" s="5">
        <v>45623</v>
      </c>
      <c r="C1261" s="3" t="s">
        <v>481</v>
      </c>
      <c r="D1261" s="3" t="s">
        <v>44</v>
      </c>
      <c r="E1261" s="3" t="s">
        <v>40</v>
      </c>
      <c r="F1261" s="3" t="s">
        <v>102</v>
      </c>
      <c r="G1261" s="3" t="s">
        <v>146</v>
      </c>
      <c r="H1261" s="3">
        <v>2</v>
      </c>
      <c r="I1261" s="7">
        <v>7915.06</v>
      </c>
      <c r="J1261" s="9">
        <v>0.25</v>
      </c>
      <c r="K1261" s="7">
        <v>11872.59</v>
      </c>
      <c r="L1261" s="7">
        <v>436.09</v>
      </c>
      <c r="M1261" s="3" t="s">
        <v>56</v>
      </c>
      <c r="N1261" s="3"/>
      <c r="O1261" s="3"/>
      <c r="P1261" s="3"/>
      <c r="Q1261" s="3"/>
    </row>
    <row r="1262" spans="1:17" ht="21" customHeight="1">
      <c r="A1262" s="3" t="s">
        <v>1911</v>
      </c>
      <c r="B1262" s="5">
        <v>45623</v>
      </c>
      <c r="C1262" s="3" t="s">
        <v>197</v>
      </c>
      <c r="D1262" s="3" t="s">
        <v>45</v>
      </c>
      <c r="E1262" s="3" t="s">
        <v>39</v>
      </c>
      <c r="F1262" s="3" t="s">
        <v>130</v>
      </c>
      <c r="G1262" s="3" t="s">
        <v>131</v>
      </c>
      <c r="H1262" s="3">
        <v>2</v>
      </c>
      <c r="I1262" s="7">
        <v>2231.1799999999998</v>
      </c>
      <c r="J1262" s="9">
        <v>0.1</v>
      </c>
      <c r="K1262" s="7">
        <v>4016.12</v>
      </c>
      <c r="L1262" s="7">
        <v>1191.3499999999999</v>
      </c>
      <c r="M1262" s="3" t="s">
        <v>58</v>
      </c>
      <c r="N1262" s="3"/>
      <c r="O1262" s="3"/>
      <c r="P1262" s="3"/>
      <c r="Q1262" s="3"/>
    </row>
    <row r="1263" spans="1:17" ht="21" customHeight="1">
      <c r="A1263" s="3" t="s">
        <v>1912</v>
      </c>
      <c r="B1263" s="5">
        <v>45623</v>
      </c>
      <c r="C1263" s="3" t="s">
        <v>1146</v>
      </c>
      <c r="D1263" s="3" t="s">
        <v>45</v>
      </c>
      <c r="E1263" s="3" t="s">
        <v>41</v>
      </c>
      <c r="F1263" s="3" t="s">
        <v>113</v>
      </c>
      <c r="G1263" s="3" t="s">
        <v>123</v>
      </c>
      <c r="H1263" s="3">
        <v>1</v>
      </c>
      <c r="I1263" s="7">
        <v>3418.96</v>
      </c>
      <c r="J1263" s="9">
        <v>0</v>
      </c>
      <c r="K1263" s="7">
        <v>3418.96</v>
      </c>
      <c r="L1263" s="7">
        <v>1241.48</v>
      </c>
      <c r="M1263" s="3" t="s">
        <v>56</v>
      </c>
      <c r="N1263" s="3"/>
      <c r="O1263" s="3"/>
      <c r="P1263" s="3"/>
      <c r="Q1263" s="3"/>
    </row>
    <row r="1264" spans="1:17" ht="21" customHeight="1">
      <c r="A1264" s="3" t="s">
        <v>1913</v>
      </c>
      <c r="B1264" s="5">
        <v>45623</v>
      </c>
      <c r="C1264" s="3" t="s">
        <v>163</v>
      </c>
      <c r="D1264" s="3" t="s">
        <v>47</v>
      </c>
      <c r="E1264" s="3" t="s">
        <v>39</v>
      </c>
      <c r="F1264" s="3" t="s">
        <v>130</v>
      </c>
      <c r="G1264" s="3" t="s">
        <v>193</v>
      </c>
      <c r="H1264" s="3">
        <v>1</v>
      </c>
      <c r="I1264" s="7">
        <v>1853.62</v>
      </c>
      <c r="J1264" s="9">
        <v>0.2</v>
      </c>
      <c r="K1264" s="7">
        <v>1482.9</v>
      </c>
      <c r="L1264" s="7">
        <v>268.64999999999998</v>
      </c>
      <c r="M1264" s="3" t="s">
        <v>57</v>
      </c>
      <c r="N1264" s="3"/>
      <c r="O1264" s="3"/>
      <c r="P1264" s="3"/>
      <c r="Q1264" s="3"/>
    </row>
    <row r="1265" spans="1:17" ht="21" customHeight="1">
      <c r="A1265" s="3" t="s">
        <v>1914</v>
      </c>
      <c r="B1265" s="5">
        <v>45623</v>
      </c>
      <c r="C1265" s="3" t="s">
        <v>483</v>
      </c>
      <c r="D1265" s="3" t="s">
        <v>46</v>
      </c>
      <c r="E1265" s="3" t="s">
        <v>40</v>
      </c>
      <c r="F1265" s="3" t="s">
        <v>221</v>
      </c>
      <c r="G1265" s="3" t="s">
        <v>279</v>
      </c>
      <c r="H1265" s="3">
        <v>3</v>
      </c>
      <c r="I1265" s="7">
        <v>1435.52</v>
      </c>
      <c r="J1265" s="9">
        <v>0.1</v>
      </c>
      <c r="K1265" s="7">
        <v>3875.9</v>
      </c>
      <c r="L1265" s="7">
        <v>955.27</v>
      </c>
      <c r="M1265" s="3" t="s">
        <v>57</v>
      </c>
      <c r="N1265" s="3"/>
      <c r="O1265" s="3"/>
      <c r="P1265" s="3"/>
      <c r="Q1265" s="3"/>
    </row>
    <row r="1266" spans="1:17" ht="21" customHeight="1">
      <c r="A1266" s="3" t="s">
        <v>1915</v>
      </c>
      <c r="B1266" s="5">
        <v>45623</v>
      </c>
      <c r="C1266" s="3" t="s">
        <v>577</v>
      </c>
      <c r="D1266" s="3" t="s">
        <v>44</v>
      </c>
      <c r="E1266" s="3" t="s">
        <v>39</v>
      </c>
      <c r="F1266" s="3" t="s">
        <v>130</v>
      </c>
      <c r="G1266" s="3" t="s">
        <v>131</v>
      </c>
      <c r="H1266" s="3">
        <v>1</v>
      </c>
      <c r="I1266" s="7">
        <v>2267.59</v>
      </c>
      <c r="J1266" s="9">
        <v>0.2</v>
      </c>
      <c r="K1266" s="7">
        <v>1814.07</v>
      </c>
      <c r="L1266" s="7">
        <v>315.45</v>
      </c>
      <c r="M1266" s="3" t="s">
        <v>56</v>
      </c>
      <c r="N1266" s="3"/>
      <c r="O1266" s="3"/>
      <c r="P1266" s="3"/>
      <c r="Q1266" s="3"/>
    </row>
    <row r="1267" spans="1:17" ht="21" customHeight="1">
      <c r="A1267" s="3" t="s">
        <v>1916</v>
      </c>
      <c r="B1267" s="5">
        <v>45624</v>
      </c>
      <c r="C1267" s="3" t="s">
        <v>184</v>
      </c>
      <c r="D1267" s="3" t="s">
        <v>46</v>
      </c>
      <c r="E1267" s="3" t="s">
        <v>38</v>
      </c>
      <c r="F1267" s="3" t="s">
        <v>142</v>
      </c>
      <c r="G1267" s="3" t="s">
        <v>143</v>
      </c>
      <c r="H1267" s="3">
        <v>2</v>
      </c>
      <c r="I1267" s="7">
        <v>8603.82</v>
      </c>
      <c r="J1267" s="9">
        <v>0.05</v>
      </c>
      <c r="K1267" s="7">
        <v>16347.26</v>
      </c>
      <c r="L1267" s="7">
        <v>2500.77</v>
      </c>
      <c r="M1267" s="3" t="s">
        <v>57</v>
      </c>
      <c r="N1267" s="3"/>
      <c r="O1267" s="3"/>
      <c r="P1267" s="3"/>
      <c r="Q1267" s="3"/>
    </row>
    <row r="1268" spans="1:17" ht="21" customHeight="1">
      <c r="A1268" s="3" t="s">
        <v>1917</v>
      </c>
      <c r="B1268" s="5">
        <v>45624</v>
      </c>
      <c r="C1268" s="3" t="s">
        <v>607</v>
      </c>
      <c r="D1268" s="3" t="s">
        <v>47</v>
      </c>
      <c r="E1268" s="3" t="s">
        <v>42</v>
      </c>
      <c r="F1268" s="3" t="s">
        <v>126</v>
      </c>
      <c r="G1268" s="3" t="s">
        <v>151</v>
      </c>
      <c r="H1268" s="3">
        <v>1</v>
      </c>
      <c r="I1268" s="7">
        <v>1510.24</v>
      </c>
      <c r="J1268" s="9">
        <v>0.15</v>
      </c>
      <c r="K1268" s="7">
        <v>1283.7</v>
      </c>
      <c r="L1268" s="7">
        <v>488.34</v>
      </c>
      <c r="M1268" s="3" t="s">
        <v>56</v>
      </c>
      <c r="N1268" s="3"/>
      <c r="O1268" s="3"/>
      <c r="P1268" s="3"/>
      <c r="Q1268" s="3"/>
    </row>
    <row r="1269" spans="1:17" ht="21" customHeight="1">
      <c r="A1269" s="3" t="s">
        <v>1918</v>
      </c>
      <c r="B1269" s="5">
        <v>45625</v>
      </c>
      <c r="C1269" s="3" t="s">
        <v>1243</v>
      </c>
      <c r="D1269" s="3" t="s">
        <v>45</v>
      </c>
      <c r="E1269" s="3" t="s">
        <v>41</v>
      </c>
      <c r="F1269" s="3" t="s">
        <v>113</v>
      </c>
      <c r="G1269" s="3" t="s">
        <v>123</v>
      </c>
      <c r="H1269" s="3">
        <v>2</v>
      </c>
      <c r="I1269" s="7">
        <v>3485.33</v>
      </c>
      <c r="J1269" s="9">
        <v>0.05</v>
      </c>
      <c r="K1269" s="7">
        <v>6622.13</v>
      </c>
      <c r="L1269" s="7">
        <v>2109.11</v>
      </c>
      <c r="M1269" s="3" t="s">
        <v>59</v>
      </c>
      <c r="N1269" s="3"/>
      <c r="O1269" s="3"/>
      <c r="P1269" s="3"/>
      <c r="Q1269" s="3"/>
    </row>
    <row r="1270" spans="1:17" ht="21" customHeight="1">
      <c r="A1270" s="3" t="s">
        <v>1919</v>
      </c>
      <c r="B1270" s="5">
        <v>45625</v>
      </c>
      <c r="C1270" s="3" t="s">
        <v>220</v>
      </c>
      <c r="D1270" s="3" t="s">
        <v>47</v>
      </c>
      <c r="E1270" s="3" t="s">
        <v>42</v>
      </c>
      <c r="F1270" s="3" t="s">
        <v>90</v>
      </c>
      <c r="G1270" s="3" t="s">
        <v>91</v>
      </c>
      <c r="H1270" s="3">
        <v>2</v>
      </c>
      <c r="I1270" s="7">
        <v>1245.23</v>
      </c>
      <c r="J1270" s="9">
        <v>0</v>
      </c>
      <c r="K1270" s="7">
        <v>2490.46</v>
      </c>
      <c r="L1270" s="7">
        <v>1301.5999999999999</v>
      </c>
      <c r="M1270" s="3" t="s">
        <v>57</v>
      </c>
      <c r="N1270" s="3"/>
      <c r="O1270" s="3"/>
      <c r="P1270" s="3"/>
      <c r="Q1270" s="3"/>
    </row>
    <row r="1271" spans="1:17" ht="21" customHeight="1">
      <c r="A1271" s="3" t="s">
        <v>1920</v>
      </c>
      <c r="B1271" s="5">
        <v>45626</v>
      </c>
      <c r="C1271" s="3" t="s">
        <v>500</v>
      </c>
      <c r="D1271" s="3" t="s">
        <v>44</v>
      </c>
      <c r="E1271" s="3" t="s">
        <v>41</v>
      </c>
      <c r="F1271" s="3" t="s">
        <v>119</v>
      </c>
      <c r="G1271" s="3" t="s">
        <v>120</v>
      </c>
      <c r="H1271" s="3">
        <v>2</v>
      </c>
      <c r="I1271" s="7">
        <v>1237.27</v>
      </c>
      <c r="J1271" s="9">
        <v>0</v>
      </c>
      <c r="K1271" s="7">
        <v>2474.54</v>
      </c>
      <c r="L1271" s="7">
        <v>963.59</v>
      </c>
      <c r="M1271" s="3" t="s">
        <v>56</v>
      </c>
      <c r="N1271" s="3"/>
      <c r="O1271" s="3"/>
      <c r="P1271" s="3"/>
      <c r="Q1271" s="3"/>
    </row>
    <row r="1272" spans="1:17" ht="21" customHeight="1">
      <c r="A1272" s="3" t="s">
        <v>1921</v>
      </c>
      <c r="B1272" s="5">
        <v>45626</v>
      </c>
      <c r="C1272" s="3" t="s">
        <v>1922</v>
      </c>
      <c r="D1272" s="3" t="s">
        <v>46</v>
      </c>
      <c r="E1272" s="3" t="s">
        <v>39</v>
      </c>
      <c r="F1272" s="3" t="s">
        <v>164</v>
      </c>
      <c r="G1272" s="3" t="s">
        <v>165</v>
      </c>
      <c r="H1272" s="3">
        <v>2</v>
      </c>
      <c r="I1272" s="7">
        <v>1916.93</v>
      </c>
      <c r="J1272" s="9">
        <v>0.1</v>
      </c>
      <c r="K1272" s="7">
        <v>3450.47</v>
      </c>
      <c r="L1272" s="7">
        <v>1034.42</v>
      </c>
      <c r="M1272" s="3" t="s">
        <v>56</v>
      </c>
      <c r="N1272" s="3"/>
      <c r="O1272" s="3"/>
      <c r="P1272" s="3"/>
      <c r="Q1272" s="3"/>
    </row>
    <row r="1273" spans="1:17" ht="21" customHeight="1">
      <c r="A1273" s="3" t="s">
        <v>1923</v>
      </c>
      <c r="B1273" s="5">
        <v>45626</v>
      </c>
      <c r="C1273" s="3" t="s">
        <v>1835</v>
      </c>
      <c r="D1273" s="3" t="s">
        <v>47</v>
      </c>
      <c r="E1273" s="3" t="s">
        <v>41</v>
      </c>
      <c r="F1273" s="3" t="s">
        <v>113</v>
      </c>
      <c r="G1273" s="3" t="s">
        <v>123</v>
      </c>
      <c r="H1273" s="3">
        <v>2</v>
      </c>
      <c r="I1273" s="7">
        <v>3381.05</v>
      </c>
      <c r="J1273" s="9">
        <v>0.05</v>
      </c>
      <c r="K1273" s="7">
        <v>6423.99</v>
      </c>
      <c r="L1273" s="7">
        <v>1880.83</v>
      </c>
      <c r="M1273" s="3" t="s">
        <v>56</v>
      </c>
      <c r="N1273" s="3"/>
      <c r="O1273" s="3"/>
      <c r="P1273" s="3"/>
      <c r="Q1273" s="3"/>
    </row>
    <row r="1274" spans="1:17" ht="21" customHeight="1">
      <c r="A1274" s="3" t="s">
        <v>1924</v>
      </c>
      <c r="B1274" s="5">
        <v>45626</v>
      </c>
      <c r="C1274" s="3" t="s">
        <v>339</v>
      </c>
      <c r="D1274" s="3" t="s">
        <v>46</v>
      </c>
      <c r="E1274" s="3" t="s">
        <v>42</v>
      </c>
      <c r="F1274" s="3" t="s">
        <v>126</v>
      </c>
      <c r="G1274" s="3" t="s">
        <v>151</v>
      </c>
      <c r="H1274" s="3">
        <v>2</v>
      </c>
      <c r="I1274" s="7">
        <v>1448.01</v>
      </c>
      <c r="J1274" s="9">
        <v>0.05</v>
      </c>
      <c r="K1274" s="7">
        <v>2751.22</v>
      </c>
      <c r="L1274" s="7">
        <v>1289.3</v>
      </c>
      <c r="M1274" s="3" t="s">
        <v>56</v>
      </c>
      <c r="N1274" s="3"/>
      <c r="O1274" s="3"/>
      <c r="P1274" s="3"/>
      <c r="Q1274" s="3"/>
    </row>
    <row r="1275" spans="1:17" ht="21" customHeight="1">
      <c r="A1275" s="3" t="s">
        <v>1925</v>
      </c>
      <c r="B1275" s="5">
        <v>45626</v>
      </c>
      <c r="C1275" s="3" t="s">
        <v>1926</v>
      </c>
      <c r="D1275" s="3" t="s">
        <v>47</v>
      </c>
      <c r="E1275" s="3" t="s">
        <v>41</v>
      </c>
      <c r="F1275" s="3" t="s">
        <v>113</v>
      </c>
      <c r="G1275" s="3" t="s">
        <v>123</v>
      </c>
      <c r="H1275" s="3">
        <v>1</v>
      </c>
      <c r="I1275" s="7">
        <v>3418.83</v>
      </c>
      <c r="J1275" s="9">
        <v>0</v>
      </c>
      <c r="K1275" s="7">
        <v>3418.83</v>
      </c>
      <c r="L1275" s="7">
        <v>1303.8</v>
      </c>
      <c r="M1275" s="3" t="s">
        <v>58</v>
      </c>
      <c r="N1275" s="3"/>
      <c r="O1275" s="3"/>
      <c r="P1275" s="3"/>
      <c r="Q1275" s="3"/>
    </row>
    <row r="1276" spans="1:17" ht="21" customHeight="1">
      <c r="A1276" s="3" t="s">
        <v>1927</v>
      </c>
      <c r="B1276" s="5">
        <v>45627</v>
      </c>
      <c r="C1276" s="3" t="s">
        <v>329</v>
      </c>
      <c r="D1276" s="3" t="s">
        <v>45</v>
      </c>
      <c r="E1276" s="3" t="s">
        <v>39</v>
      </c>
      <c r="F1276" s="3" t="s">
        <v>109</v>
      </c>
      <c r="G1276" s="3" t="s">
        <v>110</v>
      </c>
      <c r="H1276" s="3">
        <v>1</v>
      </c>
      <c r="I1276" s="7">
        <v>2903.31</v>
      </c>
      <c r="J1276" s="9">
        <v>0</v>
      </c>
      <c r="K1276" s="7">
        <v>2903.31</v>
      </c>
      <c r="L1276" s="7">
        <v>1180.82</v>
      </c>
      <c r="M1276" s="3" t="s">
        <v>58</v>
      </c>
      <c r="N1276" s="3"/>
      <c r="O1276" s="3"/>
      <c r="P1276" s="3"/>
      <c r="Q1276" s="3"/>
    </row>
    <row r="1277" spans="1:17" ht="21" customHeight="1">
      <c r="A1277" s="3" t="s">
        <v>1928</v>
      </c>
      <c r="B1277" s="5">
        <v>45627</v>
      </c>
      <c r="C1277" s="3" t="s">
        <v>785</v>
      </c>
      <c r="D1277" s="3" t="s">
        <v>47</v>
      </c>
      <c r="E1277" s="3" t="s">
        <v>39</v>
      </c>
      <c r="F1277" s="3" t="s">
        <v>130</v>
      </c>
      <c r="G1277" s="3" t="s">
        <v>193</v>
      </c>
      <c r="H1277" s="3">
        <v>1</v>
      </c>
      <c r="I1277" s="7">
        <v>1833.45</v>
      </c>
      <c r="J1277" s="9">
        <v>0</v>
      </c>
      <c r="K1277" s="7">
        <v>1833.45</v>
      </c>
      <c r="L1277" s="7">
        <v>756.64</v>
      </c>
      <c r="M1277" s="3" t="s">
        <v>56</v>
      </c>
      <c r="N1277" s="3"/>
      <c r="O1277" s="3"/>
      <c r="P1277" s="3"/>
      <c r="Q1277" s="3"/>
    </row>
    <row r="1278" spans="1:17" ht="21" customHeight="1">
      <c r="A1278" s="3" t="s">
        <v>1929</v>
      </c>
      <c r="B1278" s="5">
        <v>45628</v>
      </c>
      <c r="C1278" s="3" t="s">
        <v>359</v>
      </c>
      <c r="D1278" s="3" t="s">
        <v>47</v>
      </c>
      <c r="E1278" s="3" t="s">
        <v>38</v>
      </c>
      <c r="F1278" s="3" t="s">
        <v>142</v>
      </c>
      <c r="G1278" s="3" t="s">
        <v>245</v>
      </c>
      <c r="H1278" s="3">
        <v>1</v>
      </c>
      <c r="I1278" s="7">
        <v>4826.22</v>
      </c>
      <c r="J1278" s="9">
        <v>0.1</v>
      </c>
      <c r="K1278" s="7">
        <v>4343.6000000000004</v>
      </c>
      <c r="L1278" s="7">
        <v>271.73</v>
      </c>
      <c r="M1278" s="3" t="s">
        <v>56</v>
      </c>
      <c r="N1278" s="3"/>
      <c r="O1278" s="3"/>
      <c r="P1278" s="3"/>
      <c r="Q1278" s="3"/>
    </row>
    <row r="1279" spans="1:17" ht="21" customHeight="1">
      <c r="A1279" s="3" t="s">
        <v>1930</v>
      </c>
      <c r="B1279" s="5">
        <v>45628</v>
      </c>
      <c r="C1279" s="3" t="s">
        <v>297</v>
      </c>
      <c r="D1279" s="3" t="s">
        <v>47</v>
      </c>
      <c r="E1279" s="3" t="s">
        <v>39</v>
      </c>
      <c r="F1279" s="3" t="s">
        <v>130</v>
      </c>
      <c r="G1279" s="3" t="s">
        <v>131</v>
      </c>
      <c r="H1279" s="3">
        <v>5</v>
      </c>
      <c r="I1279" s="7">
        <v>2175.2399999999998</v>
      </c>
      <c r="J1279" s="9">
        <v>0.1</v>
      </c>
      <c r="K1279" s="7">
        <v>9788.58</v>
      </c>
      <c r="L1279" s="7">
        <v>3059.94</v>
      </c>
      <c r="M1279" s="3" t="s">
        <v>56</v>
      </c>
      <c r="N1279" s="3"/>
      <c r="O1279" s="3"/>
      <c r="P1279" s="3"/>
      <c r="Q1279" s="3"/>
    </row>
    <row r="1280" spans="1:17" ht="21" customHeight="1">
      <c r="A1280" s="3" t="s">
        <v>1931</v>
      </c>
      <c r="B1280" s="5">
        <v>45628</v>
      </c>
      <c r="C1280" s="3" t="s">
        <v>236</v>
      </c>
      <c r="D1280" s="3" t="s">
        <v>46</v>
      </c>
      <c r="E1280" s="3" t="s">
        <v>39</v>
      </c>
      <c r="F1280" s="3" t="s">
        <v>109</v>
      </c>
      <c r="G1280" s="3" t="s">
        <v>110</v>
      </c>
      <c r="H1280" s="3">
        <v>1</v>
      </c>
      <c r="I1280" s="7">
        <v>2973.93</v>
      </c>
      <c r="J1280" s="9">
        <v>0.1</v>
      </c>
      <c r="K1280" s="7">
        <v>2676.54</v>
      </c>
      <c r="L1280" s="7">
        <v>725.74</v>
      </c>
      <c r="M1280" s="3" t="s">
        <v>57</v>
      </c>
      <c r="N1280" s="3"/>
      <c r="O1280" s="3"/>
      <c r="P1280" s="3"/>
      <c r="Q1280" s="3"/>
    </row>
    <row r="1281" spans="1:17" ht="21" customHeight="1">
      <c r="A1281" s="3" t="s">
        <v>1932</v>
      </c>
      <c r="B1281" s="5">
        <v>45628</v>
      </c>
      <c r="C1281" s="3" t="s">
        <v>1885</v>
      </c>
      <c r="D1281" s="3" t="s">
        <v>45</v>
      </c>
      <c r="E1281" s="3" t="s">
        <v>40</v>
      </c>
      <c r="F1281" s="3" t="s">
        <v>102</v>
      </c>
      <c r="G1281" s="3" t="s">
        <v>103</v>
      </c>
      <c r="H1281" s="3">
        <v>5</v>
      </c>
      <c r="I1281" s="7">
        <v>6351.48</v>
      </c>
      <c r="J1281" s="9">
        <v>0.15</v>
      </c>
      <c r="K1281" s="7">
        <v>26993.79</v>
      </c>
      <c r="L1281" s="7">
        <v>4601.96</v>
      </c>
      <c r="M1281" s="3" t="s">
        <v>56</v>
      </c>
      <c r="N1281" s="3"/>
      <c r="O1281" s="3"/>
      <c r="P1281" s="3"/>
      <c r="Q1281" s="3"/>
    </row>
    <row r="1282" spans="1:17" ht="21" customHeight="1">
      <c r="A1282" s="3" t="s">
        <v>1933</v>
      </c>
      <c r="B1282" s="5">
        <v>45628</v>
      </c>
      <c r="C1282" s="3" t="s">
        <v>529</v>
      </c>
      <c r="D1282" s="3" t="s">
        <v>45</v>
      </c>
      <c r="E1282" s="3" t="s">
        <v>38</v>
      </c>
      <c r="F1282" s="3" t="s">
        <v>142</v>
      </c>
      <c r="G1282" s="3" t="s">
        <v>143</v>
      </c>
      <c r="H1282" s="3">
        <v>1</v>
      </c>
      <c r="I1282" s="7">
        <v>9204.32</v>
      </c>
      <c r="J1282" s="9">
        <v>0.1</v>
      </c>
      <c r="K1282" s="7">
        <v>8283.89</v>
      </c>
      <c r="L1282" s="7">
        <v>610.9</v>
      </c>
      <c r="M1282" s="3" t="s">
        <v>57</v>
      </c>
      <c r="N1282" s="3"/>
      <c r="O1282" s="3"/>
      <c r="P1282" s="3"/>
      <c r="Q1282" s="3"/>
    </row>
    <row r="1283" spans="1:17" ht="21" customHeight="1">
      <c r="A1283" s="3" t="s">
        <v>1934</v>
      </c>
      <c r="B1283" s="5">
        <v>45628</v>
      </c>
      <c r="C1283" s="3" t="s">
        <v>1734</v>
      </c>
      <c r="D1283" s="3" t="s">
        <v>44</v>
      </c>
      <c r="E1283" s="3" t="s">
        <v>42</v>
      </c>
      <c r="F1283" s="3" t="s">
        <v>90</v>
      </c>
      <c r="G1283" s="3" t="s">
        <v>91</v>
      </c>
      <c r="H1283" s="3">
        <v>5</v>
      </c>
      <c r="I1283" s="7">
        <v>1218.3399999999999</v>
      </c>
      <c r="J1283" s="9">
        <v>0</v>
      </c>
      <c r="K1283" s="7">
        <v>6091.7</v>
      </c>
      <c r="L1283" s="7">
        <v>3246.9</v>
      </c>
      <c r="M1283" s="3" t="s">
        <v>56</v>
      </c>
      <c r="N1283" s="3"/>
      <c r="O1283" s="3"/>
      <c r="P1283" s="3"/>
      <c r="Q1283" s="3"/>
    </row>
    <row r="1284" spans="1:17" ht="21" customHeight="1">
      <c r="A1284" s="3" t="s">
        <v>1935</v>
      </c>
      <c r="B1284" s="5">
        <v>45628</v>
      </c>
      <c r="C1284" s="3" t="s">
        <v>759</v>
      </c>
      <c r="D1284" s="3" t="s">
        <v>44</v>
      </c>
      <c r="E1284" s="3" t="s">
        <v>39</v>
      </c>
      <c r="F1284" s="3" t="s">
        <v>130</v>
      </c>
      <c r="G1284" s="3" t="s">
        <v>131</v>
      </c>
      <c r="H1284" s="3">
        <v>1</v>
      </c>
      <c r="I1284" s="7">
        <v>2114.0100000000002</v>
      </c>
      <c r="J1284" s="9">
        <v>0.3</v>
      </c>
      <c r="K1284" s="7">
        <v>1479.81</v>
      </c>
      <c r="L1284" s="7">
        <v>156.53</v>
      </c>
      <c r="M1284" s="3" t="s">
        <v>56</v>
      </c>
      <c r="N1284" s="3"/>
      <c r="O1284" s="3"/>
      <c r="P1284" s="3"/>
      <c r="Q1284" s="3"/>
    </row>
    <row r="1285" spans="1:17" ht="21" customHeight="1">
      <c r="A1285" s="3" t="s">
        <v>1936</v>
      </c>
      <c r="B1285" s="5">
        <v>45628</v>
      </c>
      <c r="C1285" s="3" t="s">
        <v>377</v>
      </c>
      <c r="D1285" s="3" t="s">
        <v>44</v>
      </c>
      <c r="E1285" s="3" t="s">
        <v>41</v>
      </c>
      <c r="F1285" s="3" t="s">
        <v>119</v>
      </c>
      <c r="G1285" s="3" t="s">
        <v>168</v>
      </c>
      <c r="H1285" s="3">
        <v>1</v>
      </c>
      <c r="I1285" s="7">
        <v>9991.84</v>
      </c>
      <c r="J1285" s="9">
        <v>0</v>
      </c>
      <c r="K1285" s="7">
        <v>9991.84</v>
      </c>
      <c r="L1285" s="7">
        <v>3909.24</v>
      </c>
      <c r="M1285" s="3" t="s">
        <v>59</v>
      </c>
      <c r="N1285" s="3"/>
      <c r="O1285" s="3"/>
      <c r="P1285" s="3"/>
      <c r="Q1285" s="3"/>
    </row>
    <row r="1286" spans="1:17" ht="21" customHeight="1">
      <c r="A1286" s="3" t="s">
        <v>1937</v>
      </c>
      <c r="B1286" s="5">
        <v>45629</v>
      </c>
      <c r="C1286" s="3" t="s">
        <v>1938</v>
      </c>
      <c r="D1286" s="3" t="s">
        <v>47</v>
      </c>
      <c r="E1286" s="3" t="s">
        <v>39</v>
      </c>
      <c r="F1286" s="3" t="s">
        <v>109</v>
      </c>
      <c r="G1286" s="3" t="s">
        <v>110</v>
      </c>
      <c r="H1286" s="3">
        <v>1</v>
      </c>
      <c r="I1286" s="7">
        <v>3015.49</v>
      </c>
      <c r="J1286" s="9">
        <v>0.1</v>
      </c>
      <c r="K1286" s="7">
        <v>2713.94</v>
      </c>
      <c r="L1286" s="7">
        <v>866.21</v>
      </c>
      <c r="M1286" s="3" t="s">
        <v>60</v>
      </c>
      <c r="N1286" s="3"/>
      <c r="O1286" s="3"/>
      <c r="P1286" s="3"/>
      <c r="Q1286" s="3"/>
    </row>
    <row r="1287" spans="1:17" ht="21" customHeight="1">
      <c r="A1287" s="3" t="s">
        <v>1939</v>
      </c>
      <c r="B1287" s="5">
        <v>45629</v>
      </c>
      <c r="C1287" s="3" t="s">
        <v>1266</v>
      </c>
      <c r="D1287" s="3" t="s">
        <v>47</v>
      </c>
      <c r="E1287" s="3" t="s">
        <v>39</v>
      </c>
      <c r="F1287" s="3" t="s">
        <v>109</v>
      </c>
      <c r="G1287" s="3" t="s">
        <v>110</v>
      </c>
      <c r="H1287" s="3">
        <v>3</v>
      </c>
      <c r="I1287" s="7">
        <v>2939.05</v>
      </c>
      <c r="J1287" s="9">
        <v>0</v>
      </c>
      <c r="K1287" s="7">
        <v>8817.15</v>
      </c>
      <c r="L1287" s="7">
        <v>3789.3</v>
      </c>
      <c r="M1287" s="3" t="s">
        <v>58</v>
      </c>
      <c r="N1287" s="3"/>
      <c r="O1287" s="3"/>
      <c r="P1287" s="3"/>
      <c r="Q1287" s="3"/>
    </row>
    <row r="1288" spans="1:17" ht="21" customHeight="1">
      <c r="A1288" s="3" t="s">
        <v>1940</v>
      </c>
      <c r="B1288" s="5">
        <v>45630</v>
      </c>
      <c r="C1288" s="3" t="s">
        <v>1274</v>
      </c>
      <c r="D1288" s="3" t="s">
        <v>44</v>
      </c>
      <c r="E1288" s="3" t="s">
        <v>38</v>
      </c>
      <c r="F1288" s="3" t="s">
        <v>142</v>
      </c>
      <c r="G1288" s="3" t="s">
        <v>245</v>
      </c>
      <c r="H1288" s="3">
        <v>2</v>
      </c>
      <c r="I1288" s="7">
        <v>5102.8999999999996</v>
      </c>
      <c r="J1288" s="9">
        <v>0</v>
      </c>
      <c r="K1288" s="7">
        <v>10205.799999999999</v>
      </c>
      <c r="L1288" s="7">
        <v>1476.88</v>
      </c>
      <c r="M1288" s="3" t="s">
        <v>56</v>
      </c>
      <c r="N1288" s="3"/>
      <c r="O1288" s="3"/>
      <c r="P1288" s="3"/>
      <c r="Q1288" s="3"/>
    </row>
    <row r="1289" spans="1:17" ht="21" customHeight="1">
      <c r="A1289" s="3" t="s">
        <v>1941</v>
      </c>
      <c r="B1289" s="5">
        <v>45630</v>
      </c>
      <c r="C1289" s="3" t="s">
        <v>775</v>
      </c>
      <c r="D1289" s="3" t="s">
        <v>45</v>
      </c>
      <c r="E1289" s="3" t="s">
        <v>39</v>
      </c>
      <c r="F1289" s="3" t="s">
        <v>130</v>
      </c>
      <c r="G1289" s="3" t="s">
        <v>193</v>
      </c>
      <c r="H1289" s="3">
        <v>3</v>
      </c>
      <c r="I1289" s="7">
        <v>1775.84</v>
      </c>
      <c r="J1289" s="9">
        <v>0.3</v>
      </c>
      <c r="K1289" s="7">
        <v>3729.26</v>
      </c>
      <c r="L1289" s="7">
        <v>310.88</v>
      </c>
      <c r="M1289" s="3" t="s">
        <v>56</v>
      </c>
      <c r="N1289" s="3"/>
      <c r="O1289" s="3"/>
      <c r="P1289" s="3"/>
      <c r="Q1289" s="3"/>
    </row>
    <row r="1290" spans="1:17" ht="21" customHeight="1">
      <c r="A1290" s="3" t="s">
        <v>1942</v>
      </c>
      <c r="B1290" s="5">
        <v>45630</v>
      </c>
      <c r="C1290" s="3" t="s">
        <v>566</v>
      </c>
      <c r="D1290" s="3" t="s">
        <v>46</v>
      </c>
      <c r="E1290" s="3" t="s">
        <v>38</v>
      </c>
      <c r="F1290" s="3" t="s">
        <v>142</v>
      </c>
      <c r="G1290" s="3" t="s">
        <v>245</v>
      </c>
      <c r="H1290" s="3">
        <v>1</v>
      </c>
      <c r="I1290" s="7">
        <v>4800.2</v>
      </c>
      <c r="J1290" s="9">
        <v>0</v>
      </c>
      <c r="K1290" s="7">
        <v>4800.2</v>
      </c>
      <c r="L1290" s="7">
        <v>978.04</v>
      </c>
      <c r="M1290" s="3" t="s">
        <v>58</v>
      </c>
      <c r="N1290" s="3"/>
      <c r="O1290" s="3"/>
      <c r="P1290" s="3"/>
      <c r="Q1290" s="3"/>
    </row>
    <row r="1291" spans="1:17" ht="21" customHeight="1">
      <c r="A1291" s="3" t="s">
        <v>1943</v>
      </c>
      <c r="B1291" s="5">
        <v>45630</v>
      </c>
      <c r="C1291" s="3" t="s">
        <v>1559</v>
      </c>
      <c r="D1291" s="3" t="s">
        <v>45</v>
      </c>
      <c r="E1291" s="3" t="s">
        <v>40</v>
      </c>
      <c r="F1291" s="3" t="s">
        <v>102</v>
      </c>
      <c r="G1291" s="3" t="s">
        <v>146</v>
      </c>
      <c r="H1291" s="3">
        <v>1</v>
      </c>
      <c r="I1291" s="7">
        <v>8200.98</v>
      </c>
      <c r="J1291" s="9">
        <v>0.15</v>
      </c>
      <c r="K1291" s="7">
        <v>6970.83</v>
      </c>
      <c r="L1291" s="7">
        <v>1241.22</v>
      </c>
      <c r="M1291" s="3" t="s">
        <v>57</v>
      </c>
      <c r="N1291" s="3"/>
      <c r="O1291" s="3"/>
      <c r="P1291" s="3"/>
      <c r="Q1291" s="3"/>
    </row>
    <row r="1292" spans="1:17" ht="21" customHeight="1">
      <c r="A1292" s="3" t="s">
        <v>1944</v>
      </c>
      <c r="B1292" s="5">
        <v>45630</v>
      </c>
      <c r="C1292" s="3" t="s">
        <v>163</v>
      </c>
      <c r="D1292" s="3" t="s">
        <v>47</v>
      </c>
      <c r="E1292" s="3" t="s">
        <v>40</v>
      </c>
      <c r="F1292" s="3" t="s">
        <v>102</v>
      </c>
      <c r="G1292" s="3" t="s">
        <v>103</v>
      </c>
      <c r="H1292" s="3">
        <v>3</v>
      </c>
      <c r="I1292" s="7">
        <v>6341.78</v>
      </c>
      <c r="J1292" s="9">
        <v>0.3</v>
      </c>
      <c r="K1292" s="7">
        <v>13317.74</v>
      </c>
      <c r="L1292" s="7">
        <v>-137.37</v>
      </c>
      <c r="M1292" s="3" t="s">
        <v>58</v>
      </c>
      <c r="N1292" s="3"/>
      <c r="O1292" s="3"/>
      <c r="P1292" s="3"/>
      <c r="Q1292" s="3"/>
    </row>
    <row r="1293" spans="1:17" ht="21" customHeight="1">
      <c r="A1293" s="3" t="s">
        <v>1945</v>
      </c>
      <c r="B1293" s="5">
        <v>45630</v>
      </c>
      <c r="C1293" s="3" t="s">
        <v>904</v>
      </c>
      <c r="D1293" s="3" t="s">
        <v>46</v>
      </c>
      <c r="E1293" s="3" t="s">
        <v>40</v>
      </c>
      <c r="F1293" s="3" t="s">
        <v>102</v>
      </c>
      <c r="G1293" s="3" t="s">
        <v>146</v>
      </c>
      <c r="H1293" s="3">
        <v>1</v>
      </c>
      <c r="I1293" s="7">
        <v>8031.86</v>
      </c>
      <c r="J1293" s="9">
        <v>0.1</v>
      </c>
      <c r="K1293" s="7">
        <v>7228.67</v>
      </c>
      <c r="L1293" s="7">
        <v>1645.13</v>
      </c>
      <c r="M1293" s="3" t="s">
        <v>56</v>
      </c>
      <c r="N1293" s="3"/>
      <c r="O1293" s="3"/>
      <c r="P1293" s="3"/>
      <c r="Q1293" s="3"/>
    </row>
    <row r="1294" spans="1:17" ht="21" customHeight="1">
      <c r="A1294" s="3" t="s">
        <v>1946</v>
      </c>
      <c r="B1294" s="5">
        <v>45630</v>
      </c>
      <c r="C1294" s="3" t="s">
        <v>481</v>
      </c>
      <c r="D1294" s="3" t="s">
        <v>45</v>
      </c>
      <c r="E1294" s="3" t="s">
        <v>40</v>
      </c>
      <c r="F1294" s="3" t="s">
        <v>102</v>
      </c>
      <c r="G1294" s="3" t="s">
        <v>103</v>
      </c>
      <c r="H1294" s="3">
        <v>1</v>
      </c>
      <c r="I1294" s="7">
        <v>6647.02</v>
      </c>
      <c r="J1294" s="9">
        <v>0.05</v>
      </c>
      <c r="K1294" s="7">
        <v>6314.67</v>
      </c>
      <c r="L1294" s="7">
        <v>1930.97</v>
      </c>
      <c r="M1294" s="3" t="s">
        <v>56</v>
      </c>
      <c r="N1294" s="3"/>
      <c r="O1294" s="3"/>
      <c r="P1294" s="3"/>
      <c r="Q1294" s="3"/>
    </row>
    <row r="1295" spans="1:17" ht="21" customHeight="1">
      <c r="A1295" s="3" t="s">
        <v>1947</v>
      </c>
      <c r="B1295" s="5">
        <v>45630</v>
      </c>
      <c r="C1295" s="3" t="s">
        <v>1729</v>
      </c>
      <c r="D1295" s="3" t="s">
        <v>45</v>
      </c>
      <c r="E1295" s="3" t="s">
        <v>38</v>
      </c>
      <c r="F1295" s="3" t="s">
        <v>94</v>
      </c>
      <c r="G1295" s="3" t="s">
        <v>213</v>
      </c>
      <c r="H1295" s="3">
        <v>1</v>
      </c>
      <c r="I1295" s="7">
        <v>54480.18</v>
      </c>
      <c r="J1295" s="9">
        <v>0</v>
      </c>
      <c r="K1295" s="7">
        <v>54480.18</v>
      </c>
      <c r="L1295" s="7">
        <v>11522.01</v>
      </c>
      <c r="M1295" s="3" t="s">
        <v>57</v>
      </c>
      <c r="N1295" s="3"/>
      <c r="O1295" s="3"/>
      <c r="P1295" s="3"/>
      <c r="Q1295" s="3"/>
    </row>
    <row r="1296" spans="1:17" ht="21" customHeight="1">
      <c r="A1296" s="3" t="s">
        <v>1948</v>
      </c>
      <c r="B1296" s="5">
        <v>45631</v>
      </c>
      <c r="C1296" s="3" t="s">
        <v>247</v>
      </c>
      <c r="D1296" s="3" t="s">
        <v>45</v>
      </c>
      <c r="E1296" s="3" t="s">
        <v>39</v>
      </c>
      <c r="F1296" s="3" t="s">
        <v>164</v>
      </c>
      <c r="G1296" s="3" t="s">
        <v>165</v>
      </c>
      <c r="H1296" s="3">
        <v>1</v>
      </c>
      <c r="I1296" s="7">
        <v>1912.93</v>
      </c>
      <c r="J1296" s="9">
        <v>0</v>
      </c>
      <c r="K1296" s="7">
        <v>1912.93</v>
      </c>
      <c r="L1296" s="7">
        <v>845.26</v>
      </c>
      <c r="M1296" s="3" t="s">
        <v>57</v>
      </c>
      <c r="N1296" s="3"/>
      <c r="O1296" s="3"/>
      <c r="P1296" s="3"/>
      <c r="Q1296" s="3"/>
    </row>
    <row r="1297" spans="1:17" ht="21" customHeight="1">
      <c r="A1297" s="3" t="s">
        <v>1949</v>
      </c>
      <c r="B1297" s="5">
        <v>45631</v>
      </c>
      <c r="C1297" s="3" t="s">
        <v>509</v>
      </c>
      <c r="D1297" s="3" t="s">
        <v>44</v>
      </c>
      <c r="E1297" s="3" t="s">
        <v>42</v>
      </c>
      <c r="F1297" s="3" t="s">
        <v>90</v>
      </c>
      <c r="G1297" s="3" t="s">
        <v>106</v>
      </c>
      <c r="H1297" s="3">
        <v>2</v>
      </c>
      <c r="I1297" s="7">
        <v>885.97</v>
      </c>
      <c r="J1297" s="9">
        <v>0.1</v>
      </c>
      <c r="K1297" s="7">
        <v>1594.75</v>
      </c>
      <c r="L1297" s="7">
        <v>712.47</v>
      </c>
      <c r="M1297" s="3" t="s">
        <v>60</v>
      </c>
      <c r="N1297" s="3"/>
      <c r="O1297" s="3"/>
      <c r="P1297" s="3"/>
      <c r="Q1297" s="3"/>
    </row>
    <row r="1298" spans="1:17" ht="21" customHeight="1">
      <c r="A1298" s="3" t="s">
        <v>1950</v>
      </c>
      <c r="B1298" s="5">
        <v>45631</v>
      </c>
      <c r="C1298" s="3" t="s">
        <v>204</v>
      </c>
      <c r="D1298" s="3" t="s">
        <v>44</v>
      </c>
      <c r="E1298" s="3" t="s">
        <v>40</v>
      </c>
      <c r="F1298" s="3" t="s">
        <v>102</v>
      </c>
      <c r="G1298" s="3" t="s">
        <v>146</v>
      </c>
      <c r="H1298" s="3">
        <v>2</v>
      </c>
      <c r="I1298" s="7">
        <v>8249.17</v>
      </c>
      <c r="J1298" s="9">
        <v>0</v>
      </c>
      <c r="K1298" s="7">
        <v>16498.34</v>
      </c>
      <c r="L1298" s="7">
        <v>4813.29</v>
      </c>
      <c r="M1298" s="3" t="s">
        <v>59</v>
      </c>
      <c r="N1298" s="3"/>
      <c r="O1298" s="3"/>
      <c r="P1298" s="3"/>
      <c r="Q1298" s="3"/>
    </row>
    <row r="1299" spans="1:17" ht="21" customHeight="1">
      <c r="A1299" s="3" t="s">
        <v>1951</v>
      </c>
      <c r="B1299" s="5">
        <v>45631</v>
      </c>
      <c r="C1299" s="3" t="s">
        <v>841</v>
      </c>
      <c r="D1299" s="3" t="s">
        <v>47</v>
      </c>
      <c r="E1299" s="3" t="s">
        <v>38</v>
      </c>
      <c r="F1299" s="3" t="s">
        <v>142</v>
      </c>
      <c r="G1299" s="3" t="s">
        <v>245</v>
      </c>
      <c r="H1299" s="3">
        <v>3</v>
      </c>
      <c r="I1299" s="7">
        <v>5230.54</v>
      </c>
      <c r="J1299" s="9">
        <v>0.15</v>
      </c>
      <c r="K1299" s="7">
        <v>13337.88</v>
      </c>
      <c r="L1299" s="7">
        <v>246.79</v>
      </c>
      <c r="M1299" s="3" t="s">
        <v>57</v>
      </c>
      <c r="N1299" s="3"/>
      <c r="O1299" s="3"/>
      <c r="P1299" s="3"/>
      <c r="Q1299" s="3"/>
    </row>
    <row r="1300" spans="1:17" ht="21" customHeight="1">
      <c r="A1300" s="3" t="s">
        <v>1952</v>
      </c>
      <c r="B1300" s="5">
        <v>45631</v>
      </c>
      <c r="C1300" s="3" t="s">
        <v>1953</v>
      </c>
      <c r="D1300" s="3" t="s">
        <v>44</v>
      </c>
      <c r="E1300" s="3" t="s">
        <v>39</v>
      </c>
      <c r="F1300" s="3" t="s">
        <v>109</v>
      </c>
      <c r="G1300" s="3" t="s">
        <v>355</v>
      </c>
      <c r="H1300" s="3">
        <v>1</v>
      </c>
      <c r="I1300" s="7">
        <v>3479.28</v>
      </c>
      <c r="J1300" s="9">
        <v>0.1</v>
      </c>
      <c r="K1300" s="7">
        <v>3131.35</v>
      </c>
      <c r="L1300" s="7">
        <v>890.4</v>
      </c>
      <c r="M1300" s="3" t="s">
        <v>57</v>
      </c>
      <c r="N1300" s="3"/>
      <c r="O1300" s="3"/>
      <c r="P1300" s="3"/>
      <c r="Q1300" s="3"/>
    </row>
    <row r="1301" spans="1:17" ht="21" customHeight="1">
      <c r="A1301" s="3" t="s">
        <v>1954</v>
      </c>
      <c r="B1301" s="5">
        <v>45631</v>
      </c>
      <c r="C1301" s="3" t="s">
        <v>1224</v>
      </c>
      <c r="D1301" s="3" t="s">
        <v>44</v>
      </c>
      <c r="E1301" s="3" t="s">
        <v>40</v>
      </c>
      <c r="F1301" s="3" t="s">
        <v>102</v>
      </c>
      <c r="G1301" s="3" t="s">
        <v>146</v>
      </c>
      <c r="H1301" s="3">
        <v>3</v>
      </c>
      <c r="I1301" s="7">
        <v>7649.95</v>
      </c>
      <c r="J1301" s="9">
        <v>0</v>
      </c>
      <c r="K1301" s="7">
        <v>22949.85</v>
      </c>
      <c r="L1301" s="7">
        <v>7415.03</v>
      </c>
      <c r="M1301" s="3" t="s">
        <v>56</v>
      </c>
      <c r="N1301" s="3"/>
      <c r="O1301" s="3"/>
      <c r="P1301" s="3"/>
      <c r="Q1301" s="3"/>
    </row>
    <row r="1302" spans="1:17" ht="21" customHeight="1">
      <c r="A1302" s="3" t="s">
        <v>1955</v>
      </c>
      <c r="B1302" s="5">
        <v>45631</v>
      </c>
      <c r="C1302" s="3" t="s">
        <v>545</v>
      </c>
      <c r="D1302" s="3" t="s">
        <v>44</v>
      </c>
      <c r="E1302" s="3" t="s">
        <v>39</v>
      </c>
      <c r="F1302" s="3" t="s">
        <v>130</v>
      </c>
      <c r="G1302" s="3" t="s">
        <v>131</v>
      </c>
      <c r="H1302" s="3">
        <v>2</v>
      </c>
      <c r="I1302" s="7">
        <v>2204.56</v>
      </c>
      <c r="J1302" s="9">
        <v>0.1</v>
      </c>
      <c r="K1302" s="7">
        <v>3968.21</v>
      </c>
      <c r="L1302" s="7">
        <v>1333.94</v>
      </c>
      <c r="M1302" s="3" t="s">
        <v>57</v>
      </c>
      <c r="N1302" s="3"/>
      <c r="O1302" s="3"/>
      <c r="P1302" s="3"/>
      <c r="Q1302" s="3"/>
    </row>
    <row r="1303" spans="1:17" ht="21" customHeight="1">
      <c r="A1303" s="3" t="s">
        <v>1956</v>
      </c>
      <c r="B1303" s="5">
        <v>45632</v>
      </c>
      <c r="C1303" s="3" t="s">
        <v>1039</v>
      </c>
      <c r="D1303" s="3" t="s">
        <v>45</v>
      </c>
      <c r="E1303" s="3" t="s">
        <v>38</v>
      </c>
      <c r="F1303" s="3" t="s">
        <v>94</v>
      </c>
      <c r="G1303" s="3" t="s">
        <v>95</v>
      </c>
      <c r="H1303" s="3">
        <v>4</v>
      </c>
      <c r="I1303" s="7">
        <v>78965.84</v>
      </c>
      <c r="J1303" s="9">
        <v>0.15</v>
      </c>
      <c r="K1303" s="7">
        <v>268483.86</v>
      </c>
      <c r="L1303" s="7">
        <v>4519.5200000000004</v>
      </c>
      <c r="M1303" s="3" t="s">
        <v>56</v>
      </c>
      <c r="N1303" s="3"/>
      <c r="O1303" s="3"/>
      <c r="P1303" s="3"/>
      <c r="Q1303" s="3"/>
    </row>
    <row r="1304" spans="1:17" ht="21" customHeight="1">
      <c r="A1304" s="3" t="s">
        <v>1957</v>
      </c>
      <c r="B1304" s="5">
        <v>45632</v>
      </c>
      <c r="C1304" s="3" t="s">
        <v>666</v>
      </c>
      <c r="D1304" s="3" t="s">
        <v>45</v>
      </c>
      <c r="E1304" s="3" t="s">
        <v>41</v>
      </c>
      <c r="F1304" s="3" t="s">
        <v>113</v>
      </c>
      <c r="G1304" s="3" t="s">
        <v>114</v>
      </c>
      <c r="H1304" s="3">
        <v>3</v>
      </c>
      <c r="I1304" s="7">
        <v>11495.16</v>
      </c>
      <c r="J1304" s="9">
        <v>0</v>
      </c>
      <c r="K1304" s="7">
        <v>34485.480000000003</v>
      </c>
      <c r="L1304" s="7">
        <v>13875.46</v>
      </c>
      <c r="M1304" s="3" t="s">
        <v>58</v>
      </c>
      <c r="N1304" s="3"/>
      <c r="O1304" s="3"/>
      <c r="P1304" s="3"/>
      <c r="Q1304" s="3"/>
    </row>
    <row r="1305" spans="1:17" ht="21" customHeight="1">
      <c r="A1305" s="3" t="s">
        <v>1958</v>
      </c>
      <c r="B1305" s="5">
        <v>45632</v>
      </c>
      <c r="C1305" s="3" t="s">
        <v>368</v>
      </c>
      <c r="D1305" s="3" t="s">
        <v>44</v>
      </c>
      <c r="E1305" s="3" t="s">
        <v>38</v>
      </c>
      <c r="F1305" s="3" t="s">
        <v>142</v>
      </c>
      <c r="G1305" s="3" t="s">
        <v>245</v>
      </c>
      <c r="H1305" s="3">
        <v>2</v>
      </c>
      <c r="I1305" s="7">
        <v>5247.03</v>
      </c>
      <c r="J1305" s="9">
        <v>0</v>
      </c>
      <c r="K1305" s="7">
        <v>10494.06</v>
      </c>
      <c r="L1305" s="7">
        <v>1752.52</v>
      </c>
      <c r="M1305" s="3" t="s">
        <v>60</v>
      </c>
      <c r="N1305" s="3"/>
      <c r="O1305" s="3"/>
      <c r="P1305" s="3"/>
      <c r="Q1305" s="3"/>
    </row>
    <row r="1306" spans="1:17" ht="21" customHeight="1">
      <c r="A1306" s="3" t="s">
        <v>1959</v>
      </c>
      <c r="B1306" s="5">
        <v>45633</v>
      </c>
      <c r="C1306" s="3" t="s">
        <v>420</v>
      </c>
      <c r="D1306" s="3" t="s">
        <v>44</v>
      </c>
      <c r="E1306" s="3" t="s">
        <v>38</v>
      </c>
      <c r="F1306" s="3" t="s">
        <v>98</v>
      </c>
      <c r="G1306" s="3" t="s">
        <v>99</v>
      </c>
      <c r="H1306" s="3">
        <v>1</v>
      </c>
      <c r="I1306" s="7">
        <v>26064.83</v>
      </c>
      <c r="J1306" s="9">
        <v>0.05</v>
      </c>
      <c r="K1306" s="7">
        <v>24761.59</v>
      </c>
      <c r="L1306" s="7">
        <v>2085.4</v>
      </c>
      <c r="M1306" s="3" t="s">
        <v>57</v>
      </c>
      <c r="N1306" s="3"/>
      <c r="O1306" s="3"/>
      <c r="P1306" s="3"/>
      <c r="Q1306" s="3"/>
    </row>
    <row r="1307" spans="1:17" ht="21" customHeight="1">
      <c r="A1307" s="3" t="s">
        <v>1960</v>
      </c>
      <c r="B1307" s="5">
        <v>45633</v>
      </c>
      <c r="C1307" s="3" t="s">
        <v>1645</v>
      </c>
      <c r="D1307" s="3" t="s">
        <v>45</v>
      </c>
      <c r="E1307" s="3" t="s">
        <v>39</v>
      </c>
      <c r="F1307" s="3" t="s">
        <v>164</v>
      </c>
      <c r="G1307" s="3" t="s">
        <v>200</v>
      </c>
      <c r="H1307" s="3">
        <v>5</v>
      </c>
      <c r="I1307" s="7">
        <v>1284.06</v>
      </c>
      <c r="J1307" s="9">
        <v>0</v>
      </c>
      <c r="K1307" s="7">
        <v>6420.3</v>
      </c>
      <c r="L1307" s="7">
        <v>2603.7199999999998</v>
      </c>
      <c r="M1307" s="3" t="s">
        <v>57</v>
      </c>
      <c r="N1307" s="3"/>
      <c r="O1307" s="3"/>
      <c r="P1307" s="3"/>
      <c r="Q1307" s="3"/>
    </row>
    <row r="1308" spans="1:17" ht="21" customHeight="1">
      <c r="A1308" s="3" t="s">
        <v>1961</v>
      </c>
      <c r="B1308" s="5">
        <v>45633</v>
      </c>
      <c r="C1308" s="3" t="s">
        <v>888</v>
      </c>
      <c r="D1308" s="3" t="s">
        <v>44</v>
      </c>
      <c r="E1308" s="3" t="s">
        <v>42</v>
      </c>
      <c r="F1308" s="3" t="s">
        <v>90</v>
      </c>
      <c r="G1308" s="3" t="s">
        <v>106</v>
      </c>
      <c r="H1308" s="3">
        <v>1</v>
      </c>
      <c r="I1308" s="7">
        <v>913.88</v>
      </c>
      <c r="J1308" s="9">
        <v>0.15</v>
      </c>
      <c r="K1308" s="7">
        <v>776.8</v>
      </c>
      <c r="L1308" s="7">
        <v>321.83</v>
      </c>
      <c r="M1308" s="3" t="s">
        <v>59</v>
      </c>
      <c r="N1308" s="3"/>
      <c r="O1308" s="3"/>
      <c r="P1308" s="3"/>
      <c r="Q1308" s="3"/>
    </row>
    <row r="1309" spans="1:17" ht="21" customHeight="1">
      <c r="A1309" s="3" t="s">
        <v>1962</v>
      </c>
      <c r="B1309" s="5">
        <v>45634</v>
      </c>
      <c r="C1309" s="3" t="s">
        <v>188</v>
      </c>
      <c r="D1309" s="3" t="s">
        <v>46</v>
      </c>
      <c r="E1309" s="3" t="s">
        <v>38</v>
      </c>
      <c r="F1309" s="3" t="s">
        <v>94</v>
      </c>
      <c r="G1309" s="3" t="s">
        <v>213</v>
      </c>
      <c r="H1309" s="3">
        <v>2</v>
      </c>
      <c r="I1309" s="7">
        <v>56724.97</v>
      </c>
      <c r="J1309" s="9">
        <v>0</v>
      </c>
      <c r="K1309" s="7">
        <v>113449.94</v>
      </c>
      <c r="L1309" s="7">
        <v>20208.060000000001</v>
      </c>
      <c r="M1309" s="3" t="s">
        <v>57</v>
      </c>
      <c r="N1309" s="3"/>
      <c r="O1309" s="3"/>
      <c r="P1309" s="3"/>
      <c r="Q1309" s="3"/>
    </row>
    <row r="1310" spans="1:17" ht="21" customHeight="1">
      <c r="A1310" s="3" t="s">
        <v>1963</v>
      </c>
      <c r="B1310" s="5">
        <v>45634</v>
      </c>
      <c r="C1310" s="3" t="s">
        <v>122</v>
      </c>
      <c r="D1310" s="3" t="s">
        <v>45</v>
      </c>
      <c r="E1310" s="3" t="s">
        <v>42</v>
      </c>
      <c r="F1310" s="3" t="s">
        <v>126</v>
      </c>
      <c r="G1310" s="3" t="s">
        <v>151</v>
      </c>
      <c r="H1310" s="3">
        <v>3</v>
      </c>
      <c r="I1310" s="7">
        <v>1484.69</v>
      </c>
      <c r="J1310" s="9">
        <v>0.15</v>
      </c>
      <c r="K1310" s="7">
        <v>3785.96</v>
      </c>
      <c r="L1310" s="7">
        <v>1337.52</v>
      </c>
      <c r="M1310" s="3" t="s">
        <v>56</v>
      </c>
      <c r="N1310" s="3"/>
      <c r="O1310" s="3"/>
      <c r="P1310" s="3"/>
      <c r="Q1310" s="3"/>
    </row>
    <row r="1311" spans="1:17" ht="21" customHeight="1">
      <c r="A1311" s="3" t="s">
        <v>1964</v>
      </c>
      <c r="B1311" s="5">
        <v>45634</v>
      </c>
      <c r="C1311" s="3" t="s">
        <v>197</v>
      </c>
      <c r="D1311" s="3" t="s">
        <v>47</v>
      </c>
      <c r="E1311" s="3" t="s">
        <v>38</v>
      </c>
      <c r="F1311" s="3" t="s">
        <v>94</v>
      </c>
      <c r="G1311" s="3" t="s">
        <v>95</v>
      </c>
      <c r="H1311" s="3">
        <v>1</v>
      </c>
      <c r="I1311" s="7">
        <v>76303.61</v>
      </c>
      <c r="J1311" s="9">
        <v>0</v>
      </c>
      <c r="K1311" s="7">
        <v>76303.61</v>
      </c>
      <c r="L1311" s="7">
        <v>16418.439999999999</v>
      </c>
      <c r="M1311" s="3" t="s">
        <v>56</v>
      </c>
      <c r="N1311" s="3"/>
      <c r="O1311" s="3"/>
      <c r="P1311" s="3"/>
      <c r="Q1311" s="3"/>
    </row>
    <row r="1312" spans="1:17" ht="21" customHeight="1">
      <c r="A1312" s="3" t="s">
        <v>1965</v>
      </c>
      <c r="B1312" s="5">
        <v>45634</v>
      </c>
      <c r="C1312" s="3" t="s">
        <v>135</v>
      </c>
      <c r="D1312" s="3" t="s">
        <v>44</v>
      </c>
      <c r="E1312" s="3" t="s">
        <v>41</v>
      </c>
      <c r="F1312" s="3" t="s">
        <v>119</v>
      </c>
      <c r="G1312" s="3" t="s">
        <v>120</v>
      </c>
      <c r="H1312" s="3">
        <v>1</v>
      </c>
      <c r="I1312" s="7">
        <v>1284.3499999999999</v>
      </c>
      <c r="J1312" s="9">
        <v>0.3</v>
      </c>
      <c r="K1312" s="7">
        <v>899.04</v>
      </c>
      <c r="L1312" s="7">
        <v>10.039999999999999</v>
      </c>
      <c r="M1312" s="3" t="s">
        <v>56</v>
      </c>
      <c r="N1312" s="3"/>
      <c r="O1312" s="3"/>
      <c r="P1312" s="3"/>
      <c r="Q1312" s="3"/>
    </row>
    <row r="1313" spans="1:17" ht="21" customHeight="1">
      <c r="A1313" s="3" t="s">
        <v>1966</v>
      </c>
      <c r="B1313" s="5">
        <v>45634</v>
      </c>
      <c r="C1313" s="3" t="s">
        <v>1967</v>
      </c>
      <c r="D1313" s="3" t="s">
        <v>46</v>
      </c>
      <c r="E1313" s="3" t="s">
        <v>40</v>
      </c>
      <c r="F1313" s="3" t="s">
        <v>221</v>
      </c>
      <c r="G1313" s="3" t="s">
        <v>222</v>
      </c>
      <c r="H1313" s="3">
        <v>3</v>
      </c>
      <c r="I1313" s="7">
        <v>988.27</v>
      </c>
      <c r="J1313" s="9">
        <v>0</v>
      </c>
      <c r="K1313" s="7">
        <v>2964.81</v>
      </c>
      <c r="L1313" s="7">
        <v>968.54</v>
      </c>
      <c r="M1313" s="3" t="s">
        <v>58</v>
      </c>
      <c r="N1313" s="3"/>
      <c r="O1313" s="3"/>
      <c r="P1313" s="3"/>
      <c r="Q1313" s="3"/>
    </row>
    <row r="1314" spans="1:17" ht="21" customHeight="1">
      <c r="A1314" s="3" t="s">
        <v>1968</v>
      </c>
      <c r="B1314" s="5">
        <v>45634</v>
      </c>
      <c r="C1314" s="3" t="s">
        <v>1938</v>
      </c>
      <c r="D1314" s="3" t="s">
        <v>46</v>
      </c>
      <c r="E1314" s="3" t="s">
        <v>39</v>
      </c>
      <c r="F1314" s="3" t="s">
        <v>130</v>
      </c>
      <c r="G1314" s="3" t="s">
        <v>193</v>
      </c>
      <c r="H1314" s="3">
        <v>1</v>
      </c>
      <c r="I1314" s="7">
        <v>1814.21</v>
      </c>
      <c r="J1314" s="9">
        <v>0</v>
      </c>
      <c r="K1314" s="7">
        <v>1814.21</v>
      </c>
      <c r="L1314" s="7">
        <v>798.32</v>
      </c>
      <c r="M1314" s="3" t="s">
        <v>57</v>
      </c>
      <c r="N1314" s="3"/>
      <c r="O1314" s="3"/>
      <c r="P1314" s="3"/>
      <c r="Q1314" s="3"/>
    </row>
    <row r="1315" spans="1:17" ht="21" customHeight="1">
      <c r="A1315" s="3" t="s">
        <v>1969</v>
      </c>
      <c r="B1315" s="5">
        <v>45635</v>
      </c>
      <c r="C1315" s="3" t="s">
        <v>771</v>
      </c>
      <c r="D1315" s="3" t="s">
        <v>44</v>
      </c>
      <c r="E1315" s="3" t="s">
        <v>39</v>
      </c>
      <c r="F1315" s="3" t="s">
        <v>109</v>
      </c>
      <c r="G1315" s="3" t="s">
        <v>355</v>
      </c>
      <c r="H1315" s="3">
        <v>3</v>
      </c>
      <c r="I1315" s="7">
        <v>3581.56</v>
      </c>
      <c r="J1315" s="9">
        <v>0.3</v>
      </c>
      <c r="K1315" s="7">
        <v>7521.28</v>
      </c>
      <c r="L1315" s="7">
        <v>659.68</v>
      </c>
      <c r="M1315" s="3" t="s">
        <v>57</v>
      </c>
      <c r="N1315" s="3"/>
      <c r="O1315" s="3"/>
      <c r="P1315" s="3"/>
      <c r="Q1315" s="3"/>
    </row>
    <row r="1316" spans="1:17" ht="21" customHeight="1">
      <c r="A1316" s="3" t="s">
        <v>1970</v>
      </c>
      <c r="B1316" s="5">
        <v>45635</v>
      </c>
      <c r="C1316" s="3" t="s">
        <v>1971</v>
      </c>
      <c r="D1316" s="3" t="s">
        <v>44</v>
      </c>
      <c r="E1316" s="3" t="s">
        <v>38</v>
      </c>
      <c r="F1316" s="3" t="s">
        <v>94</v>
      </c>
      <c r="G1316" s="3" t="s">
        <v>95</v>
      </c>
      <c r="H1316" s="3">
        <v>1</v>
      </c>
      <c r="I1316" s="7">
        <v>81940.06</v>
      </c>
      <c r="J1316" s="9">
        <v>0.15</v>
      </c>
      <c r="K1316" s="7">
        <v>69649.05</v>
      </c>
      <c r="L1316" s="7">
        <v>-650.71</v>
      </c>
      <c r="M1316" s="3" t="s">
        <v>56</v>
      </c>
      <c r="N1316" s="3"/>
      <c r="O1316" s="3"/>
      <c r="P1316" s="3"/>
      <c r="Q1316" s="3"/>
    </row>
    <row r="1317" spans="1:17" ht="21" customHeight="1">
      <c r="A1317" s="3" t="s">
        <v>1972</v>
      </c>
      <c r="B1317" s="5">
        <v>45635</v>
      </c>
      <c r="C1317" s="3" t="s">
        <v>1973</v>
      </c>
      <c r="D1317" s="3" t="s">
        <v>47</v>
      </c>
      <c r="E1317" s="3" t="s">
        <v>42</v>
      </c>
      <c r="F1317" s="3" t="s">
        <v>90</v>
      </c>
      <c r="G1317" s="3" t="s">
        <v>106</v>
      </c>
      <c r="H1317" s="3">
        <v>4</v>
      </c>
      <c r="I1317" s="7">
        <v>921.06</v>
      </c>
      <c r="J1317" s="9">
        <v>0</v>
      </c>
      <c r="K1317" s="7">
        <v>3684.24</v>
      </c>
      <c r="L1317" s="7">
        <v>1949.11</v>
      </c>
      <c r="M1317" s="3" t="s">
        <v>56</v>
      </c>
      <c r="N1317" s="3"/>
      <c r="O1317" s="3"/>
      <c r="P1317" s="3"/>
      <c r="Q1317" s="3"/>
    </row>
    <row r="1318" spans="1:17" ht="21" customHeight="1">
      <c r="A1318" s="3" t="s">
        <v>1974</v>
      </c>
      <c r="B1318" s="5">
        <v>45635</v>
      </c>
      <c r="C1318" s="3" t="s">
        <v>1736</v>
      </c>
      <c r="D1318" s="3" t="s">
        <v>46</v>
      </c>
      <c r="E1318" s="3" t="s">
        <v>42</v>
      </c>
      <c r="F1318" s="3" t="s">
        <v>90</v>
      </c>
      <c r="G1318" s="3" t="s">
        <v>91</v>
      </c>
      <c r="H1318" s="3">
        <v>1</v>
      </c>
      <c r="I1318" s="7">
        <v>1170.06</v>
      </c>
      <c r="J1318" s="9">
        <v>0</v>
      </c>
      <c r="K1318" s="7">
        <v>1170.06</v>
      </c>
      <c r="L1318" s="7">
        <v>672.4</v>
      </c>
      <c r="M1318" s="3" t="s">
        <v>56</v>
      </c>
      <c r="N1318" s="3"/>
      <c r="O1318" s="3"/>
      <c r="P1318" s="3"/>
      <c r="Q1318" s="3"/>
    </row>
    <row r="1319" spans="1:17" ht="21" customHeight="1">
      <c r="A1319" s="3" t="s">
        <v>1975</v>
      </c>
      <c r="B1319" s="5">
        <v>45635</v>
      </c>
      <c r="C1319" s="3" t="s">
        <v>285</v>
      </c>
      <c r="D1319" s="3" t="s">
        <v>44</v>
      </c>
      <c r="E1319" s="3" t="s">
        <v>41</v>
      </c>
      <c r="F1319" s="3" t="s">
        <v>119</v>
      </c>
      <c r="G1319" s="3" t="s">
        <v>120</v>
      </c>
      <c r="H1319" s="3">
        <v>3</v>
      </c>
      <c r="I1319" s="7">
        <v>1259.3499999999999</v>
      </c>
      <c r="J1319" s="9">
        <v>0.1</v>
      </c>
      <c r="K1319" s="7">
        <v>3400.24</v>
      </c>
      <c r="L1319" s="7">
        <v>794.54</v>
      </c>
      <c r="M1319" s="3" t="s">
        <v>57</v>
      </c>
      <c r="N1319" s="3"/>
      <c r="O1319" s="3"/>
      <c r="P1319" s="3"/>
      <c r="Q1319" s="3"/>
    </row>
    <row r="1320" spans="1:17" ht="21" customHeight="1">
      <c r="A1320" s="3" t="s">
        <v>1976</v>
      </c>
      <c r="B1320" s="5">
        <v>45635</v>
      </c>
      <c r="C1320" s="3" t="s">
        <v>752</v>
      </c>
      <c r="D1320" s="3" t="s">
        <v>44</v>
      </c>
      <c r="E1320" s="3" t="s">
        <v>40</v>
      </c>
      <c r="F1320" s="3" t="s">
        <v>102</v>
      </c>
      <c r="G1320" s="3" t="s">
        <v>146</v>
      </c>
      <c r="H1320" s="3">
        <v>5</v>
      </c>
      <c r="I1320" s="7">
        <v>8194.4</v>
      </c>
      <c r="J1320" s="9">
        <v>0.15</v>
      </c>
      <c r="K1320" s="7">
        <v>34826.199999999997</v>
      </c>
      <c r="L1320" s="7">
        <v>4711.82</v>
      </c>
      <c r="M1320" s="3" t="s">
        <v>56</v>
      </c>
      <c r="N1320" s="3"/>
      <c r="O1320" s="3"/>
      <c r="P1320" s="3"/>
      <c r="Q1320" s="3"/>
    </row>
    <row r="1321" spans="1:17" ht="21" customHeight="1">
      <c r="A1321" s="3" t="s">
        <v>1977</v>
      </c>
      <c r="B1321" s="5">
        <v>45635</v>
      </c>
      <c r="C1321" s="3" t="s">
        <v>568</v>
      </c>
      <c r="D1321" s="3" t="s">
        <v>47</v>
      </c>
      <c r="E1321" s="3" t="s">
        <v>38</v>
      </c>
      <c r="F1321" s="3" t="s">
        <v>98</v>
      </c>
      <c r="G1321" s="3" t="s">
        <v>182</v>
      </c>
      <c r="H1321" s="3">
        <v>1</v>
      </c>
      <c r="I1321" s="7">
        <v>67943.62</v>
      </c>
      <c r="J1321" s="9">
        <v>0.05</v>
      </c>
      <c r="K1321" s="7">
        <v>64546.44</v>
      </c>
      <c r="L1321" s="7">
        <v>6872.7</v>
      </c>
      <c r="M1321" s="3" t="s">
        <v>59</v>
      </c>
      <c r="N1321" s="3"/>
      <c r="O1321" s="3"/>
      <c r="P1321" s="3"/>
      <c r="Q1321" s="3"/>
    </row>
    <row r="1322" spans="1:17" ht="21" customHeight="1">
      <c r="A1322" s="3" t="s">
        <v>1978</v>
      </c>
      <c r="B1322" s="5">
        <v>45635</v>
      </c>
      <c r="C1322" s="3" t="s">
        <v>733</v>
      </c>
      <c r="D1322" s="3" t="s">
        <v>46</v>
      </c>
      <c r="E1322" s="3" t="s">
        <v>40</v>
      </c>
      <c r="F1322" s="3" t="s">
        <v>160</v>
      </c>
      <c r="G1322" s="3" t="s">
        <v>161</v>
      </c>
      <c r="H1322" s="3">
        <v>2</v>
      </c>
      <c r="I1322" s="7">
        <v>12718.17</v>
      </c>
      <c r="J1322" s="9">
        <v>0</v>
      </c>
      <c r="K1322" s="7">
        <v>25436.34</v>
      </c>
      <c r="L1322" s="7">
        <v>7473.98</v>
      </c>
      <c r="M1322" s="3" t="s">
        <v>56</v>
      </c>
      <c r="N1322" s="3"/>
      <c r="O1322" s="3"/>
      <c r="P1322" s="3"/>
      <c r="Q1322" s="3"/>
    </row>
    <row r="1323" spans="1:17" ht="21" customHeight="1">
      <c r="A1323" s="3" t="s">
        <v>1979</v>
      </c>
      <c r="B1323" s="5">
        <v>45635</v>
      </c>
      <c r="C1323" s="3" t="s">
        <v>224</v>
      </c>
      <c r="D1323" s="3" t="s">
        <v>47</v>
      </c>
      <c r="E1323" s="3" t="s">
        <v>39</v>
      </c>
      <c r="F1323" s="3" t="s">
        <v>109</v>
      </c>
      <c r="G1323" s="3" t="s">
        <v>110</v>
      </c>
      <c r="H1323" s="3">
        <v>1</v>
      </c>
      <c r="I1323" s="7">
        <v>3046.82</v>
      </c>
      <c r="J1323" s="9">
        <v>0.05</v>
      </c>
      <c r="K1323" s="7">
        <v>2894.48</v>
      </c>
      <c r="L1323" s="7">
        <v>955.3</v>
      </c>
      <c r="M1323" s="3" t="s">
        <v>58</v>
      </c>
      <c r="N1323" s="3"/>
      <c r="O1323" s="3"/>
      <c r="P1323" s="3"/>
      <c r="Q1323" s="3"/>
    </row>
    <row r="1324" spans="1:17" ht="21" customHeight="1">
      <c r="A1324" s="3" t="s">
        <v>1980</v>
      </c>
      <c r="B1324" s="5">
        <v>45636</v>
      </c>
      <c r="C1324" s="3" t="s">
        <v>976</v>
      </c>
      <c r="D1324" s="3" t="s">
        <v>47</v>
      </c>
      <c r="E1324" s="3" t="s">
        <v>39</v>
      </c>
      <c r="F1324" s="3" t="s">
        <v>164</v>
      </c>
      <c r="G1324" s="3" t="s">
        <v>200</v>
      </c>
      <c r="H1324" s="3">
        <v>3</v>
      </c>
      <c r="I1324" s="7">
        <v>1334.19</v>
      </c>
      <c r="J1324" s="9">
        <v>0</v>
      </c>
      <c r="K1324" s="7">
        <v>4002.57</v>
      </c>
      <c r="L1324" s="7">
        <v>1788.39</v>
      </c>
      <c r="M1324" s="3" t="s">
        <v>56</v>
      </c>
      <c r="N1324" s="3"/>
      <c r="O1324" s="3"/>
      <c r="P1324" s="3"/>
      <c r="Q1324" s="3"/>
    </row>
    <row r="1325" spans="1:17" ht="21" customHeight="1">
      <c r="A1325" s="3" t="s">
        <v>1981</v>
      </c>
      <c r="B1325" s="5">
        <v>45636</v>
      </c>
      <c r="C1325" s="3" t="s">
        <v>301</v>
      </c>
      <c r="D1325" s="3" t="s">
        <v>45</v>
      </c>
      <c r="E1325" s="3" t="s">
        <v>39</v>
      </c>
      <c r="F1325" s="3" t="s">
        <v>164</v>
      </c>
      <c r="G1325" s="3" t="s">
        <v>200</v>
      </c>
      <c r="H1325" s="3">
        <v>1</v>
      </c>
      <c r="I1325" s="7">
        <v>1240.8399999999999</v>
      </c>
      <c r="J1325" s="9">
        <v>0.05</v>
      </c>
      <c r="K1325" s="7">
        <v>1178.8</v>
      </c>
      <c r="L1325" s="7">
        <v>408.94</v>
      </c>
      <c r="M1325" s="3" t="s">
        <v>56</v>
      </c>
      <c r="N1325" s="3"/>
      <c r="O1325" s="3"/>
      <c r="P1325" s="3"/>
      <c r="Q1325" s="3"/>
    </row>
    <row r="1326" spans="1:17" ht="21" customHeight="1">
      <c r="A1326" s="3" t="s">
        <v>1982</v>
      </c>
      <c r="B1326" s="5">
        <v>45636</v>
      </c>
      <c r="C1326" s="3" t="s">
        <v>1983</v>
      </c>
      <c r="D1326" s="3" t="s">
        <v>44</v>
      </c>
      <c r="E1326" s="3" t="s">
        <v>41</v>
      </c>
      <c r="F1326" s="3" t="s">
        <v>113</v>
      </c>
      <c r="G1326" s="3" t="s">
        <v>123</v>
      </c>
      <c r="H1326" s="3">
        <v>2</v>
      </c>
      <c r="I1326" s="7">
        <v>3547.69</v>
      </c>
      <c r="J1326" s="9">
        <v>0.05</v>
      </c>
      <c r="K1326" s="7">
        <v>6740.61</v>
      </c>
      <c r="L1326" s="7">
        <v>2024.35</v>
      </c>
      <c r="M1326" s="3" t="s">
        <v>56</v>
      </c>
      <c r="N1326" s="3"/>
      <c r="O1326" s="3"/>
      <c r="P1326" s="3"/>
      <c r="Q1326" s="3"/>
    </row>
    <row r="1327" spans="1:17" ht="21" customHeight="1">
      <c r="A1327" s="3" t="s">
        <v>1984</v>
      </c>
      <c r="B1327" s="5">
        <v>45637</v>
      </c>
      <c r="C1327" s="3" t="s">
        <v>145</v>
      </c>
      <c r="D1327" s="3" t="s">
        <v>46</v>
      </c>
      <c r="E1327" s="3" t="s">
        <v>40</v>
      </c>
      <c r="F1327" s="3" t="s">
        <v>160</v>
      </c>
      <c r="G1327" s="3" t="s">
        <v>173</v>
      </c>
      <c r="H1327" s="3">
        <v>2</v>
      </c>
      <c r="I1327" s="7">
        <v>9125.8700000000008</v>
      </c>
      <c r="J1327" s="9">
        <v>0</v>
      </c>
      <c r="K1327" s="7">
        <v>18251.740000000002</v>
      </c>
      <c r="L1327" s="7">
        <v>6157.13</v>
      </c>
      <c r="M1327" s="3" t="s">
        <v>56</v>
      </c>
      <c r="N1327" s="3"/>
      <c r="O1327" s="3"/>
      <c r="P1327" s="3"/>
      <c r="Q1327" s="3"/>
    </row>
    <row r="1328" spans="1:17" ht="21" customHeight="1">
      <c r="A1328" s="3" t="s">
        <v>1985</v>
      </c>
      <c r="B1328" s="5">
        <v>45637</v>
      </c>
      <c r="C1328" s="3" t="s">
        <v>391</v>
      </c>
      <c r="D1328" s="3" t="s">
        <v>44</v>
      </c>
      <c r="E1328" s="3" t="s">
        <v>41</v>
      </c>
      <c r="F1328" s="3" t="s">
        <v>113</v>
      </c>
      <c r="G1328" s="3" t="s">
        <v>123</v>
      </c>
      <c r="H1328" s="3">
        <v>1</v>
      </c>
      <c r="I1328" s="7">
        <v>3545.09</v>
      </c>
      <c r="J1328" s="9">
        <v>0</v>
      </c>
      <c r="K1328" s="7">
        <v>3545.09</v>
      </c>
      <c r="L1328" s="7">
        <v>1246.4100000000001</v>
      </c>
      <c r="M1328" s="3" t="s">
        <v>58</v>
      </c>
      <c r="N1328" s="3"/>
      <c r="O1328" s="3"/>
      <c r="P1328" s="3"/>
      <c r="Q1328" s="3"/>
    </row>
    <row r="1329" spans="1:17" ht="21" customHeight="1">
      <c r="A1329" s="3" t="s">
        <v>1986</v>
      </c>
      <c r="B1329" s="5">
        <v>45637</v>
      </c>
      <c r="C1329" s="3" t="s">
        <v>1415</v>
      </c>
      <c r="D1329" s="3" t="s">
        <v>44</v>
      </c>
      <c r="E1329" s="3" t="s">
        <v>38</v>
      </c>
      <c r="F1329" s="3" t="s">
        <v>98</v>
      </c>
      <c r="G1329" s="3" t="s">
        <v>99</v>
      </c>
      <c r="H1329" s="3">
        <v>1</v>
      </c>
      <c r="I1329" s="7">
        <v>25645.09</v>
      </c>
      <c r="J1329" s="9">
        <v>0.15</v>
      </c>
      <c r="K1329" s="7">
        <v>21798.33</v>
      </c>
      <c r="L1329" s="7">
        <v>-237.51</v>
      </c>
      <c r="M1329" s="3" t="s">
        <v>58</v>
      </c>
      <c r="N1329" s="3"/>
      <c r="O1329" s="3"/>
      <c r="P1329" s="3"/>
      <c r="Q1329" s="3"/>
    </row>
    <row r="1330" spans="1:17" ht="21" customHeight="1">
      <c r="A1330" s="3" t="s">
        <v>1987</v>
      </c>
      <c r="B1330" s="5">
        <v>45637</v>
      </c>
      <c r="C1330" s="3" t="s">
        <v>985</v>
      </c>
      <c r="D1330" s="3" t="s">
        <v>44</v>
      </c>
      <c r="E1330" s="3" t="s">
        <v>42</v>
      </c>
      <c r="F1330" s="3" t="s">
        <v>126</v>
      </c>
      <c r="G1330" s="3" t="s">
        <v>127</v>
      </c>
      <c r="H1330" s="3">
        <v>1</v>
      </c>
      <c r="I1330" s="7">
        <v>1024.93</v>
      </c>
      <c r="J1330" s="9">
        <v>0.2</v>
      </c>
      <c r="K1330" s="7">
        <v>819.94</v>
      </c>
      <c r="L1330" s="7">
        <v>275.48</v>
      </c>
      <c r="M1330" s="3" t="s">
        <v>56</v>
      </c>
      <c r="N1330" s="3"/>
      <c r="O1330" s="3"/>
      <c r="P1330" s="3"/>
      <c r="Q1330" s="3"/>
    </row>
    <row r="1331" spans="1:17" ht="21" customHeight="1">
      <c r="A1331" s="3" t="s">
        <v>1988</v>
      </c>
      <c r="B1331" s="5">
        <v>45637</v>
      </c>
      <c r="C1331" s="3" t="s">
        <v>1269</v>
      </c>
      <c r="D1331" s="3" t="s">
        <v>45</v>
      </c>
      <c r="E1331" s="3" t="s">
        <v>39</v>
      </c>
      <c r="F1331" s="3" t="s">
        <v>109</v>
      </c>
      <c r="G1331" s="3" t="s">
        <v>355</v>
      </c>
      <c r="H1331" s="3">
        <v>1</v>
      </c>
      <c r="I1331" s="7">
        <v>3448.7</v>
      </c>
      <c r="J1331" s="9">
        <v>0.05</v>
      </c>
      <c r="K1331" s="7">
        <v>3276.26</v>
      </c>
      <c r="L1331" s="7">
        <v>1241.8900000000001</v>
      </c>
      <c r="M1331" s="3" t="s">
        <v>56</v>
      </c>
      <c r="N1331" s="3"/>
      <c r="O1331" s="3"/>
      <c r="P1331" s="3"/>
      <c r="Q1331" s="3"/>
    </row>
    <row r="1332" spans="1:17" ht="21" customHeight="1">
      <c r="A1332" s="3" t="s">
        <v>1989</v>
      </c>
      <c r="B1332" s="5">
        <v>45638</v>
      </c>
      <c r="C1332" s="3" t="s">
        <v>1365</v>
      </c>
      <c r="D1332" s="3" t="s">
        <v>46</v>
      </c>
      <c r="E1332" s="3" t="s">
        <v>38</v>
      </c>
      <c r="F1332" s="3" t="s">
        <v>94</v>
      </c>
      <c r="G1332" s="3" t="s">
        <v>95</v>
      </c>
      <c r="H1332" s="3">
        <v>1</v>
      </c>
      <c r="I1332" s="7">
        <v>77531.5</v>
      </c>
      <c r="J1332" s="9">
        <v>0</v>
      </c>
      <c r="K1332" s="7">
        <v>77531.5</v>
      </c>
      <c r="L1332" s="7">
        <v>15224.51</v>
      </c>
      <c r="M1332" s="3" t="s">
        <v>58</v>
      </c>
      <c r="N1332" s="3"/>
      <c r="O1332" s="3"/>
      <c r="P1332" s="3"/>
      <c r="Q1332" s="3"/>
    </row>
    <row r="1333" spans="1:17" ht="21" customHeight="1">
      <c r="A1333" s="3" t="s">
        <v>1990</v>
      </c>
      <c r="B1333" s="5">
        <v>45639</v>
      </c>
      <c r="C1333" s="3" t="s">
        <v>1171</v>
      </c>
      <c r="D1333" s="3" t="s">
        <v>46</v>
      </c>
      <c r="E1333" s="3" t="s">
        <v>41</v>
      </c>
      <c r="F1333" s="3" t="s">
        <v>113</v>
      </c>
      <c r="G1333" s="3" t="s">
        <v>114</v>
      </c>
      <c r="H1333" s="3">
        <v>1</v>
      </c>
      <c r="I1333" s="7">
        <v>11464.05</v>
      </c>
      <c r="J1333" s="9">
        <v>0.2</v>
      </c>
      <c r="K1333" s="7">
        <v>9171.24</v>
      </c>
      <c r="L1333" s="7">
        <v>1488.28</v>
      </c>
      <c r="M1333" s="3" t="s">
        <v>56</v>
      </c>
      <c r="N1333" s="3"/>
      <c r="O1333" s="3"/>
      <c r="P1333" s="3"/>
      <c r="Q1333" s="3"/>
    </row>
    <row r="1334" spans="1:17" ht="21" customHeight="1">
      <c r="A1334" s="3" t="s">
        <v>1991</v>
      </c>
      <c r="B1334" s="5">
        <v>45639</v>
      </c>
      <c r="C1334" s="3" t="s">
        <v>1303</v>
      </c>
      <c r="D1334" s="3" t="s">
        <v>45</v>
      </c>
      <c r="E1334" s="3" t="s">
        <v>41</v>
      </c>
      <c r="F1334" s="3" t="s">
        <v>113</v>
      </c>
      <c r="G1334" s="3" t="s">
        <v>123</v>
      </c>
      <c r="H1334" s="3">
        <v>1</v>
      </c>
      <c r="I1334" s="7">
        <v>3488.24</v>
      </c>
      <c r="J1334" s="9">
        <v>0.15</v>
      </c>
      <c r="K1334" s="7">
        <v>2965</v>
      </c>
      <c r="L1334" s="7">
        <v>600.55999999999995</v>
      </c>
      <c r="M1334" s="3" t="s">
        <v>57</v>
      </c>
      <c r="N1334" s="3"/>
      <c r="O1334" s="3"/>
      <c r="P1334" s="3"/>
      <c r="Q1334" s="3"/>
    </row>
    <row r="1335" spans="1:17" ht="21" customHeight="1">
      <c r="A1335" s="3" t="s">
        <v>1992</v>
      </c>
      <c r="B1335" s="5">
        <v>45639</v>
      </c>
      <c r="C1335" s="3" t="s">
        <v>1645</v>
      </c>
      <c r="D1335" s="3" t="s">
        <v>47</v>
      </c>
      <c r="E1335" s="3" t="s">
        <v>39</v>
      </c>
      <c r="F1335" s="3" t="s">
        <v>109</v>
      </c>
      <c r="G1335" s="3" t="s">
        <v>355</v>
      </c>
      <c r="H1335" s="3">
        <v>1</v>
      </c>
      <c r="I1335" s="7">
        <v>3393.27</v>
      </c>
      <c r="J1335" s="9">
        <v>0</v>
      </c>
      <c r="K1335" s="7">
        <v>3393.27</v>
      </c>
      <c r="L1335" s="7">
        <v>1336.72</v>
      </c>
      <c r="M1335" s="3" t="s">
        <v>58</v>
      </c>
      <c r="N1335" s="3"/>
      <c r="O1335" s="3"/>
      <c r="P1335" s="3"/>
      <c r="Q1335" s="3"/>
    </row>
    <row r="1336" spans="1:17" ht="21" customHeight="1">
      <c r="A1336" s="3" t="s">
        <v>1993</v>
      </c>
      <c r="B1336" s="5">
        <v>45639</v>
      </c>
      <c r="C1336" s="3" t="s">
        <v>483</v>
      </c>
      <c r="D1336" s="3" t="s">
        <v>45</v>
      </c>
      <c r="E1336" s="3" t="s">
        <v>42</v>
      </c>
      <c r="F1336" s="3" t="s">
        <v>126</v>
      </c>
      <c r="G1336" s="3" t="s">
        <v>127</v>
      </c>
      <c r="H1336" s="3">
        <v>1</v>
      </c>
      <c r="I1336" s="7">
        <v>982.54</v>
      </c>
      <c r="J1336" s="9">
        <v>0.05</v>
      </c>
      <c r="K1336" s="7">
        <v>933.41</v>
      </c>
      <c r="L1336" s="7">
        <v>441.72</v>
      </c>
      <c r="M1336" s="3" t="s">
        <v>57</v>
      </c>
      <c r="N1336" s="3"/>
      <c r="O1336" s="3"/>
      <c r="P1336" s="3"/>
      <c r="Q1336" s="3"/>
    </row>
    <row r="1337" spans="1:17" ht="21" customHeight="1">
      <c r="A1337" s="3" t="s">
        <v>1994</v>
      </c>
      <c r="B1337" s="5">
        <v>45640</v>
      </c>
      <c r="C1337" s="3" t="s">
        <v>733</v>
      </c>
      <c r="D1337" s="3" t="s">
        <v>44</v>
      </c>
      <c r="E1337" s="3" t="s">
        <v>42</v>
      </c>
      <c r="F1337" s="3" t="s">
        <v>126</v>
      </c>
      <c r="G1337" s="3" t="s">
        <v>127</v>
      </c>
      <c r="H1337" s="3">
        <v>2</v>
      </c>
      <c r="I1337" s="7">
        <v>959.3</v>
      </c>
      <c r="J1337" s="9">
        <v>0.15</v>
      </c>
      <c r="K1337" s="7">
        <v>1630.81</v>
      </c>
      <c r="L1337" s="7">
        <v>552</v>
      </c>
      <c r="M1337" s="3" t="s">
        <v>57</v>
      </c>
      <c r="N1337" s="3"/>
      <c r="O1337" s="3"/>
      <c r="P1337" s="3"/>
      <c r="Q1337" s="3"/>
    </row>
    <row r="1338" spans="1:17" ht="21" customHeight="1">
      <c r="A1338" s="3" t="s">
        <v>1995</v>
      </c>
      <c r="B1338" s="5">
        <v>45640</v>
      </c>
      <c r="C1338" s="3" t="s">
        <v>865</v>
      </c>
      <c r="D1338" s="3" t="s">
        <v>47</v>
      </c>
      <c r="E1338" s="3" t="s">
        <v>40</v>
      </c>
      <c r="F1338" s="3" t="s">
        <v>102</v>
      </c>
      <c r="G1338" s="3" t="s">
        <v>103</v>
      </c>
      <c r="H1338" s="3">
        <v>1</v>
      </c>
      <c r="I1338" s="7">
        <v>6577.56</v>
      </c>
      <c r="J1338" s="9">
        <v>0.05</v>
      </c>
      <c r="K1338" s="7">
        <v>6248.68</v>
      </c>
      <c r="L1338" s="7">
        <v>1726.73</v>
      </c>
      <c r="M1338" s="3" t="s">
        <v>56</v>
      </c>
      <c r="N1338" s="3"/>
      <c r="O1338" s="3"/>
      <c r="P1338" s="3"/>
      <c r="Q1338" s="3"/>
    </row>
    <row r="1339" spans="1:17" ht="21" customHeight="1">
      <c r="A1339" s="3" t="s">
        <v>1996</v>
      </c>
      <c r="B1339" s="5">
        <v>45640</v>
      </c>
      <c r="C1339" s="3" t="s">
        <v>337</v>
      </c>
      <c r="D1339" s="3" t="s">
        <v>47</v>
      </c>
      <c r="E1339" s="3" t="s">
        <v>38</v>
      </c>
      <c r="F1339" s="3" t="s">
        <v>98</v>
      </c>
      <c r="G1339" s="3" t="s">
        <v>362</v>
      </c>
      <c r="H1339" s="3">
        <v>1</v>
      </c>
      <c r="I1339" s="7">
        <v>34466.06</v>
      </c>
      <c r="J1339" s="9">
        <v>0</v>
      </c>
      <c r="K1339" s="7">
        <v>34466.06</v>
      </c>
      <c r="L1339" s="7">
        <v>6723.04</v>
      </c>
      <c r="M1339" s="3" t="s">
        <v>59</v>
      </c>
      <c r="N1339" s="3"/>
      <c r="O1339" s="3"/>
      <c r="P1339" s="3"/>
      <c r="Q1339" s="3"/>
    </row>
    <row r="1340" spans="1:17" ht="21" customHeight="1">
      <c r="A1340" s="3" t="s">
        <v>1997</v>
      </c>
      <c r="B1340" s="5">
        <v>45640</v>
      </c>
      <c r="C1340" s="3" t="s">
        <v>833</v>
      </c>
      <c r="D1340" s="3" t="s">
        <v>47</v>
      </c>
      <c r="E1340" s="3" t="s">
        <v>40</v>
      </c>
      <c r="F1340" s="3" t="s">
        <v>102</v>
      </c>
      <c r="G1340" s="3" t="s">
        <v>103</v>
      </c>
      <c r="H1340" s="3">
        <v>1</v>
      </c>
      <c r="I1340" s="7">
        <v>6706.18</v>
      </c>
      <c r="J1340" s="9">
        <v>0.3</v>
      </c>
      <c r="K1340" s="7">
        <v>4694.33</v>
      </c>
      <c r="L1340" s="7">
        <v>72.290000000000006</v>
      </c>
      <c r="M1340" s="3" t="s">
        <v>57</v>
      </c>
      <c r="N1340" s="3"/>
      <c r="O1340" s="3"/>
      <c r="P1340" s="3"/>
      <c r="Q1340" s="3"/>
    </row>
    <row r="1341" spans="1:17" ht="21" customHeight="1">
      <c r="A1341" s="3" t="s">
        <v>1998</v>
      </c>
      <c r="B1341" s="5">
        <v>45640</v>
      </c>
      <c r="C1341" s="3" t="s">
        <v>473</v>
      </c>
      <c r="D1341" s="3" t="s">
        <v>45</v>
      </c>
      <c r="E1341" s="3" t="s">
        <v>38</v>
      </c>
      <c r="F1341" s="3" t="s">
        <v>94</v>
      </c>
      <c r="G1341" s="3" t="s">
        <v>95</v>
      </c>
      <c r="H1341" s="3">
        <v>3</v>
      </c>
      <c r="I1341" s="7">
        <v>78355.53</v>
      </c>
      <c r="J1341" s="9">
        <v>0.1</v>
      </c>
      <c r="K1341" s="7">
        <v>211559.93</v>
      </c>
      <c r="L1341" s="7">
        <v>5742.31</v>
      </c>
      <c r="M1341" s="3" t="s">
        <v>56</v>
      </c>
      <c r="N1341" s="3"/>
      <c r="O1341" s="3"/>
      <c r="P1341" s="3"/>
      <c r="Q1341" s="3"/>
    </row>
    <row r="1342" spans="1:17" ht="21" customHeight="1">
      <c r="A1342" s="3" t="s">
        <v>1999</v>
      </c>
      <c r="B1342" s="5">
        <v>45640</v>
      </c>
      <c r="C1342" s="3" t="s">
        <v>1631</v>
      </c>
      <c r="D1342" s="3" t="s">
        <v>45</v>
      </c>
      <c r="E1342" s="3" t="s">
        <v>40</v>
      </c>
      <c r="F1342" s="3" t="s">
        <v>160</v>
      </c>
      <c r="G1342" s="3" t="s">
        <v>161</v>
      </c>
      <c r="H1342" s="3">
        <v>1</v>
      </c>
      <c r="I1342" s="7">
        <v>12732.39</v>
      </c>
      <c r="J1342" s="9">
        <v>0.05</v>
      </c>
      <c r="K1342" s="7">
        <v>12095.77</v>
      </c>
      <c r="L1342" s="7">
        <v>2954.2</v>
      </c>
      <c r="M1342" s="3" t="s">
        <v>56</v>
      </c>
      <c r="N1342" s="3"/>
      <c r="O1342" s="3"/>
      <c r="P1342" s="3"/>
      <c r="Q1342" s="3"/>
    </row>
    <row r="1343" spans="1:17" ht="21" customHeight="1">
      <c r="A1343" s="3" t="s">
        <v>2000</v>
      </c>
      <c r="B1343" s="5">
        <v>45641</v>
      </c>
      <c r="C1343" s="3" t="s">
        <v>159</v>
      </c>
      <c r="D1343" s="3" t="s">
        <v>45</v>
      </c>
      <c r="E1343" s="3" t="s">
        <v>42</v>
      </c>
      <c r="F1343" s="3" t="s">
        <v>126</v>
      </c>
      <c r="G1343" s="3" t="s">
        <v>151</v>
      </c>
      <c r="H1343" s="3">
        <v>1</v>
      </c>
      <c r="I1343" s="7">
        <v>1430.81</v>
      </c>
      <c r="J1343" s="9">
        <v>0</v>
      </c>
      <c r="K1343" s="7">
        <v>1430.81</v>
      </c>
      <c r="L1343" s="7">
        <v>825.51</v>
      </c>
      <c r="M1343" s="3" t="s">
        <v>58</v>
      </c>
      <c r="N1343" s="3"/>
      <c r="O1343" s="3"/>
      <c r="P1343" s="3"/>
      <c r="Q1343" s="3"/>
    </row>
    <row r="1344" spans="1:17" ht="21" customHeight="1">
      <c r="A1344" s="3" t="s">
        <v>2001</v>
      </c>
      <c r="B1344" s="5">
        <v>45641</v>
      </c>
      <c r="C1344" s="3" t="s">
        <v>529</v>
      </c>
      <c r="D1344" s="3" t="s">
        <v>47</v>
      </c>
      <c r="E1344" s="3" t="s">
        <v>38</v>
      </c>
      <c r="F1344" s="3" t="s">
        <v>98</v>
      </c>
      <c r="G1344" s="3" t="s">
        <v>182</v>
      </c>
      <c r="H1344" s="3">
        <v>3</v>
      </c>
      <c r="I1344" s="7">
        <v>66881.3</v>
      </c>
      <c r="J1344" s="9">
        <v>0.1</v>
      </c>
      <c r="K1344" s="7">
        <v>180579.51</v>
      </c>
      <c r="L1344" s="7">
        <v>9481.3799999999992</v>
      </c>
      <c r="M1344" s="3" t="s">
        <v>57</v>
      </c>
      <c r="N1344" s="3"/>
      <c r="O1344" s="3"/>
      <c r="P1344" s="3"/>
      <c r="Q1344" s="3"/>
    </row>
    <row r="1345" spans="1:17" ht="21" customHeight="1">
      <c r="A1345" s="3" t="s">
        <v>2002</v>
      </c>
      <c r="B1345" s="5">
        <v>45641</v>
      </c>
      <c r="C1345" s="3" t="s">
        <v>851</v>
      </c>
      <c r="D1345" s="3" t="s">
        <v>47</v>
      </c>
      <c r="E1345" s="3" t="s">
        <v>42</v>
      </c>
      <c r="F1345" s="3" t="s">
        <v>126</v>
      </c>
      <c r="G1345" s="3" t="s">
        <v>127</v>
      </c>
      <c r="H1345" s="3">
        <v>2</v>
      </c>
      <c r="I1345" s="7">
        <v>1000.45</v>
      </c>
      <c r="J1345" s="9">
        <v>0.1</v>
      </c>
      <c r="K1345" s="7">
        <v>1800.81</v>
      </c>
      <c r="L1345" s="7">
        <v>759.92</v>
      </c>
      <c r="M1345" s="3" t="s">
        <v>56</v>
      </c>
      <c r="N1345" s="3"/>
      <c r="O1345" s="3"/>
      <c r="P1345" s="3"/>
      <c r="Q1345" s="3"/>
    </row>
    <row r="1346" spans="1:17" ht="21" customHeight="1">
      <c r="A1346" s="3" t="s">
        <v>2003</v>
      </c>
      <c r="B1346" s="5">
        <v>45641</v>
      </c>
      <c r="C1346" s="3" t="s">
        <v>112</v>
      </c>
      <c r="D1346" s="3" t="s">
        <v>44</v>
      </c>
      <c r="E1346" s="3" t="s">
        <v>39</v>
      </c>
      <c r="F1346" s="3" t="s">
        <v>109</v>
      </c>
      <c r="G1346" s="3" t="s">
        <v>355</v>
      </c>
      <c r="H1346" s="3">
        <v>1</v>
      </c>
      <c r="I1346" s="7">
        <v>3583.99</v>
      </c>
      <c r="J1346" s="9">
        <v>0</v>
      </c>
      <c r="K1346" s="7">
        <v>3583.99</v>
      </c>
      <c r="L1346" s="7">
        <v>1492.19</v>
      </c>
      <c r="M1346" s="3" t="s">
        <v>60</v>
      </c>
      <c r="N1346" s="3"/>
      <c r="O1346" s="3"/>
      <c r="P1346" s="3"/>
      <c r="Q1346" s="3"/>
    </row>
    <row r="1347" spans="1:17" ht="21" customHeight="1">
      <c r="A1347" s="3" t="s">
        <v>2004</v>
      </c>
      <c r="B1347" s="5">
        <v>45642</v>
      </c>
      <c r="C1347" s="3" t="s">
        <v>253</v>
      </c>
      <c r="D1347" s="3" t="s">
        <v>45</v>
      </c>
      <c r="E1347" s="3" t="s">
        <v>38</v>
      </c>
      <c r="F1347" s="3" t="s">
        <v>142</v>
      </c>
      <c r="G1347" s="3" t="s">
        <v>245</v>
      </c>
      <c r="H1347" s="3">
        <v>1</v>
      </c>
      <c r="I1347" s="7">
        <v>5248.01</v>
      </c>
      <c r="J1347" s="9">
        <v>0.1</v>
      </c>
      <c r="K1347" s="7">
        <v>4723.21</v>
      </c>
      <c r="L1347" s="7">
        <v>298.83999999999997</v>
      </c>
      <c r="M1347" s="3" t="s">
        <v>60</v>
      </c>
      <c r="N1347" s="3"/>
      <c r="O1347" s="3"/>
      <c r="P1347" s="3"/>
      <c r="Q1347" s="3"/>
    </row>
    <row r="1348" spans="1:17" ht="21" customHeight="1">
      <c r="A1348" s="3" t="s">
        <v>2005</v>
      </c>
      <c r="B1348" s="5">
        <v>45642</v>
      </c>
      <c r="C1348" s="3" t="s">
        <v>312</v>
      </c>
      <c r="D1348" s="3" t="s">
        <v>44</v>
      </c>
      <c r="E1348" s="3" t="s">
        <v>41</v>
      </c>
      <c r="F1348" s="3" t="s">
        <v>119</v>
      </c>
      <c r="G1348" s="3" t="s">
        <v>120</v>
      </c>
      <c r="H1348" s="3">
        <v>1</v>
      </c>
      <c r="I1348" s="7">
        <v>1238.3900000000001</v>
      </c>
      <c r="J1348" s="9">
        <v>0.15</v>
      </c>
      <c r="K1348" s="7">
        <v>1052.6300000000001</v>
      </c>
      <c r="L1348" s="7">
        <v>178.01</v>
      </c>
      <c r="M1348" s="3" t="s">
        <v>56</v>
      </c>
      <c r="N1348" s="3"/>
      <c r="O1348" s="3"/>
      <c r="P1348" s="3"/>
      <c r="Q1348" s="3"/>
    </row>
    <row r="1349" spans="1:17" ht="21" customHeight="1">
      <c r="A1349" s="3" t="s">
        <v>2006</v>
      </c>
      <c r="B1349" s="5">
        <v>45642</v>
      </c>
      <c r="C1349" s="3" t="s">
        <v>620</v>
      </c>
      <c r="D1349" s="3" t="s">
        <v>46</v>
      </c>
      <c r="E1349" s="3" t="s">
        <v>41</v>
      </c>
      <c r="F1349" s="3" t="s">
        <v>113</v>
      </c>
      <c r="G1349" s="3" t="s">
        <v>123</v>
      </c>
      <c r="H1349" s="3">
        <v>1</v>
      </c>
      <c r="I1349" s="7">
        <v>3330.13</v>
      </c>
      <c r="J1349" s="9">
        <v>0</v>
      </c>
      <c r="K1349" s="7">
        <v>3330.13</v>
      </c>
      <c r="L1349" s="7">
        <v>1225.01</v>
      </c>
      <c r="M1349" s="3" t="s">
        <v>56</v>
      </c>
      <c r="N1349" s="3"/>
      <c r="O1349" s="3"/>
      <c r="P1349" s="3"/>
      <c r="Q1349" s="3"/>
    </row>
    <row r="1350" spans="1:17" ht="21" customHeight="1">
      <c r="A1350" s="3" t="s">
        <v>2007</v>
      </c>
      <c r="B1350" s="5">
        <v>45642</v>
      </c>
      <c r="C1350" s="3" t="s">
        <v>116</v>
      </c>
      <c r="D1350" s="3" t="s">
        <v>47</v>
      </c>
      <c r="E1350" s="3" t="s">
        <v>40</v>
      </c>
      <c r="F1350" s="3" t="s">
        <v>221</v>
      </c>
      <c r="G1350" s="3" t="s">
        <v>279</v>
      </c>
      <c r="H1350" s="3">
        <v>1</v>
      </c>
      <c r="I1350" s="7">
        <v>1507.17</v>
      </c>
      <c r="J1350" s="9">
        <v>0.05</v>
      </c>
      <c r="K1350" s="7">
        <v>1431.81</v>
      </c>
      <c r="L1350" s="7">
        <v>423.82</v>
      </c>
      <c r="M1350" s="3" t="s">
        <v>58</v>
      </c>
      <c r="N1350" s="3"/>
      <c r="O1350" s="3"/>
      <c r="P1350" s="3"/>
      <c r="Q1350" s="3"/>
    </row>
    <row r="1351" spans="1:17" ht="21" customHeight="1">
      <c r="A1351" s="3" t="s">
        <v>2008</v>
      </c>
      <c r="B1351" s="5">
        <v>45642</v>
      </c>
      <c r="C1351" s="3" t="s">
        <v>1324</v>
      </c>
      <c r="D1351" s="3" t="s">
        <v>46</v>
      </c>
      <c r="E1351" s="3" t="s">
        <v>38</v>
      </c>
      <c r="F1351" s="3" t="s">
        <v>98</v>
      </c>
      <c r="G1351" s="3" t="s">
        <v>182</v>
      </c>
      <c r="H1351" s="3">
        <v>1</v>
      </c>
      <c r="I1351" s="7">
        <v>67926.27</v>
      </c>
      <c r="J1351" s="9">
        <v>0</v>
      </c>
      <c r="K1351" s="7">
        <v>67926.27</v>
      </c>
      <c r="L1351" s="7">
        <v>10874.88</v>
      </c>
      <c r="M1351" s="3" t="s">
        <v>59</v>
      </c>
      <c r="N1351" s="3"/>
      <c r="O1351" s="3"/>
      <c r="P1351" s="3"/>
      <c r="Q1351" s="3"/>
    </row>
    <row r="1352" spans="1:17" ht="21" customHeight="1">
      <c r="A1352" s="3" t="s">
        <v>2009</v>
      </c>
      <c r="B1352" s="5">
        <v>45643</v>
      </c>
      <c r="C1352" s="3" t="s">
        <v>150</v>
      </c>
      <c r="D1352" s="3" t="s">
        <v>46</v>
      </c>
      <c r="E1352" s="3" t="s">
        <v>38</v>
      </c>
      <c r="F1352" s="3" t="s">
        <v>142</v>
      </c>
      <c r="G1352" s="3" t="s">
        <v>143</v>
      </c>
      <c r="H1352" s="3">
        <v>3</v>
      </c>
      <c r="I1352" s="7">
        <v>8871.82</v>
      </c>
      <c r="J1352" s="9">
        <v>0.05</v>
      </c>
      <c r="K1352" s="7">
        <v>25284.69</v>
      </c>
      <c r="L1352" s="7">
        <v>3029.72</v>
      </c>
      <c r="M1352" s="3" t="s">
        <v>59</v>
      </c>
      <c r="N1352" s="3"/>
      <c r="O1352" s="3"/>
      <c r="P1352" s="3"/>
      <c r="Q1352" s="3"/>
    </row>
    <row r="1353" spans="1:17" ht="21" customHeight="1">
      <c r="A1353" s="3" t="s">
        <v>2010</v>
      </c>
      <c r="B1353" s="5">
        <v>45643</v>
      </c>
      <c r="C1353" s="3" t="s">
        <v>1107</v>
      </c>
      <c r="D1353" s="3" t="s">
        <v>46</v>
      </c>
      <c r="E1353" s="3" t="s">
        <v>39</v>
      </c>
      <c r="F1353" s="3" t="s">
        <v>109</v>
      </c>
      <c r="G1353" s="3" t="s">
        <v>355</v>
      </c>
      <c r="H1353" s="3">
        <v>4</v>
      </c>
      <c r="I1353" s="7">
        <v>3576.25</v>
      </c>
      <c r="J1353" s="9">
        <v>0.25</v>
      </c>
      <c r="K1353" s="7">
        <v>10728.75</v>
      </c>
      <c r="L1353" s="7">
        <v>1351.07</v>
      </c>
      <c r="M1353" s="3" t="s">
        <v>57</v>
      </c>
      <c r="N1353" s="3"/>
      <c r="O1353" s="3"/>
      <c r="P1353" s="3"/>
      <c r="Q1353" s="3"/>
    </row>
    <row r="1354" spans="1:17" ht="21" customHeight="1">
      <c r="A1354" s="3" t="s">
        <v>2011</v>
      </c>
      <c r="B1354" s="5">
        <v>45644</v>
      </c>
      <c r="C1354" s="3" t="s">
        <v>195</v>
      </c>
      <c r="D1354" s="3" t="s">
        <v>45</v>
      </c>
      <c r="E1354" s="3" t="s">
        <v>39</v>
      </c>
      <c r="F1354" s="3" t="s">
        <v>164</v>
      </c>
      <c r="G1354" s="3" t="s">
        <v>165</v>
      </c>
      <c r="H1354" s="3">
        <v>1</v>
      </c>
      <c r="I1354" s="7">
        <v>2006.43</v>
      </c>
      <c r="J1354" s="9">
        <v>0.1</v>
      </c>
      <c r="K1354" s="7">
        <v>1805.79</v>
      </c>
      <c r="L1354" s="7">
        <v>615.34</v>
      </c>
      <c r="M1354" s="3" t="s">
        <v>58</v>
      </c>
      <c r="N1354" s="3"/>
      <c r="O1354" s="3"/>
      <c r="P1354" s="3"/>
      <c r="Q1354" s="3"/>
    </row>
    <row r="1355" spans="1:17" ht="21" customHeight="1">
      <c r="A1355" s="3" t="s">
        <v>2012</v>
      </c>
      <c r="B1355" s="5">
        <v>45644</v>
      </c>
      <c r="C1355" s="3" t="s">
        <v>1415</v>
      </c>
      <c r="D1355" s="3" t="s">
        <v>47</v>
      </c>
      <c r="E1355" s="3" t="s">
        <v>38</v>
      </c>
      <c r="F1355" s="3" t="s">
        <v>94</v>
      </c>
      <c r="G1355" s="3" t="s">
        <v>95</v>
      </c>
      <c r="H1355" s="3">
        <v>1</v>
      </c>
      <c r="I1355" s="7">
        <v>77447.25</v>
      </c>
      <c r="J1355" s="9">
        <v>0</v>
      </c>
      <c r="K1355" s="7">
        <v>77447.25</v>
      </c>
      <c r="L1355" s="7">
        <v>10843.19</v>
      </c>
      <c r="M1355" s="3" t="s">
        <v>58</v>
      </c>
      <c r="N1355" s="3"/>
      <c r="O1355" s="3"/>
      <c r="P1355" s="3"/>
      <c r="Q1355" s="3"/>
    </row>
    <row r="1356" spans="1:17" ht="21" customHeight="1">
      <c r="A1356" s="3" t="s">
        <v>2013</v>
      </c>
      <c r="B1356" s="5">
        <v>45644</v>
      </c>
      <c r="C1356" s="3" t="s">
        <v>979</v>
      </c>
      <c r="D1356" s="3" t="s">
        <v>45</v>
      </c>
      <c r="E1356" s="3" t="s">
        <v>41</v>
      </c>
      <c r="F1356" s="3" t="s">
        <v>119</v>
      </c>
      <c r="G1356" s="3" t="s">
        <v>120</v>
      </c>
      <c r="H1356" s="3">
        <v>2</v>
      </c>
      <c r="I1356" s="7">
        <v>1308.1300000000001</v>
      </c>
      <c r="J1356" s="9">
        <v>0.05</v>
      </c>
      <c r="K1356" s="7">
        <v>2485.4499999999998</v>
      </c>
      <c r="L1356" s="7">
        <v>883.72</v>
      </c>
      <c r="M1356" s="3" t="s">
        <v>60</v>
      </c>
      <c r="N1356" s="3"/>
      <c r="O1356" s="3"/>
      <c r="P1356" s="3"/>
      <c r="Q1356" s="3"/>
    </row>
    <row r="1357" spans="1:17" ht="21" customHeight="1">
      <c r="A1357" s="3" t="s">
        <v>2014</v>
      </c>
      <c r="B1357" s="5">
        <v>45644</v>
      </c>
      <c r="C1357" s="3" t="s">
        <v>1384</v>
      </c>
      <c r="D1357" s="3" t="s">
        <v>47</v>
      </c>
      <c r="E1357" s="3" t="s">
        <v>38</v>
      </c>
      <c r="F1357" s="3" t="s">
        <v>142</v>
      </c>
      <c r="G1357" s="3" t="s">
        <v>143</v>
      </c>
      <c r="H1357" s="3">
        <v>1</v>
      </c>
      <c r="I1357" s="7">
        <v>9270.68</v>
      </c>
      <c r="J1357" s="9">
        <v>0.25</v>
      </c>
      <c r="K1357" s="7">
        <v>6953.01</v>
      </c>
      <c r="L1357" s="7">
        <v>-620.04</v>
      </c>
      <c r="M1357" s="3" t="s">
        <v>56</v>
      </c>
      <c r="N1357" s="3"/>
      <c r="O1357" s="3"/>
      <c r="P1357" s="3"/>
      <c r="Q1357" s="3"/>
    </row>
    <row r="1358" spans="1:17" ht="21" customHeight="1">
      <c r="A1358" s="3" t="s">
        <v>2015</v>
      </c>
      <c r="B1358" s="5">
        <v>45644</v>
      </c>
      <c r="C1358" s="3" t="s">
        <v>341</v>
      </c>
      <c r="D1358" s="3" t="s">
        <v>44</v>
      </c>
      <c r="E1358" s="3" t="s">
        <v>39</v>
      </c>
      <c r="F1358" s="3" t="s">
        <v>109</v>
      </c>
      <c r="G1358" s="3" t="s">
        <v>110</v>
      </c>
      <c r="H1358" s="3">
        <v>2</v>
      </c>
      <c r="I1358" s="7">
        <v>2854.3</v>
      </c>
      <c r="J1358" s="9">
        <v>0.1</v>
      </c>
      <c r="K1358" s="7">
        <v>5137.74</v>
      </c>
      <c r="L1358" s="7">
        <v>1698.03</v>
      </c>
      <c r="M1358" s="3" t="s">
        <v>56</v>
      </c>
      <c r="N1358" s="3"/>
      <c r="O1358" s="3"/>
      <c r="P1358" s="3"/>
      <c r="Q1358" s="3"/>
    </row>
    <row r="1359" spans="1:17" ht="21" customHeight="1">
      <c r="A1359" s="3" t="s">
        <v>2016</v>
      </c>
      <c r="B1359" s="5">
        <v>45644</v>
      </c>
      <c r="C1359" s="3" t="s">
        <v>428</v>
      </c>
      <c r="D1359" s="3" t="s">
        <v>44</v>
      </c>
      <c r="E1359" s="3" t="s">
        <v>41</v>
      </c>
      <c r="F1359" s="3" t="s">
        <v>113</v>
      </c>
      <c r="G1359" s="3" t="s">
        <v>114</v>
      </c>
      <c r="H1359" s="3">
        <v>1</v>
      </c>
      <c r="I1359" s="7">
        <v>11852.41</v>
      </c>
      <c r="J1359" s="9">
        <v>0.25</v>
      </c>
      <c r="K1359" s="7">
        <v>8889.31</v>
      </c>
      <c r="L1359" s="7">
        <v>1026.6400000000001</v>
      </c>
      <c r="M1359" s="3" t="s">
        <v>56</v>
      </c>
      <c r="N1359" s="3"/>
      <c r="O1359" s="3"/>
      <c r="P1359" s="3"/>
      <c r="Q1359" s="3"/>
    </row>
    <row r="1360" spans="1:17" ht="21" customHeight="1">
      <c r="A1360" s="3" t="s">
        <v>2017</v>
      </c>
      <c r="B1360" s="5">
        <v>45644</v>
      </c>
      <c r="C1360" s="3" t="s">
        <v>1060</v>
      </c>
      <c r="D1360" s="3" t="s">
        <v>44</v>
      </c>
      <c r="E1360" s="3" t="s">
        <v>42</v>
      </c>
      <c r="F1360" s="3" t="s">
        <v>90</v>
      </c>
      <c r="G1360" s="3" t="s">
        <v>106</v>
      </c>
      <c r="H1360" s="3">
        <v>1</v>
      </c>
      <c r="I1360" s="7">
        <v>903.99</v>
      </c>
      <c r="J1360" s="9">
        <v>0.05</v>
      </c>
      <c r="K1360" s="7">
        <v>858.79</v>
      </c>
      <c r="L1360" s="7">
        <v>430.53</v>
      </c>
      <c r="M1360" s="3" t="s">
        <v>56</v>
      </c>
      <c r="N1360" s="3"/>
      <c r="O1360" s="3"/>
      <c r="P1360" s="3"/>
      <c r="Q1360" s="3"/>
    </row>
    <row r="1361" spans="1:17" ht="21" customHeight="1">
      <c r="A1361" s="3" t="s">
        <v>2018</v>
      </c>
      <c r="B1361" s="5">
        <v>45644</v>
      </c>
      <c r="C1361" s="3" t="s">
        <v>733</v>
      </c>
      <c r="D1361" s="3" t="s">
        <v>46</v>
      </c>
      <c r="E1361" s="3" t="s">
        <v>41</v>
      </c>
      <c r="F1361" s="3" t="s">
        <v>113</v>
      </c>
      <c r="G1361" s="3" t="s">
        <v>123</v>
      </c>
      <c r="H1361" s="3">
        <v>3</v>
      </c>
      <c r="I1361" s="7">
        <v>3376.18</v>
      </c>
      <c r="J1361" s="9">
        <v>0.15</v>
      </c>
      <c r="K1361" s="7">
        <v>8609.26</v>
      </c>
      <c r="L1361" s="7">
        <v>1741.05</v>
      </c>
      <c r="M1361" s="3" t="s">
        <v>59</v>
      </c>
      <c r="N1361" s="3"/>
      <c r="O1361" s="3"/>
      <c r="P1361" s="3"/>
      <c r="Q1361" s="3"/>
    </row>
    <row r="1362" spans="1:17" ht="21" customHeight="1">
      <c r="A1362" s="3" t="s">
        <v>2019</v>
      </c>
      <c r="B1362" s="5">
        <v>45645</v>
      </c>
      <c r="C1362" s="3" t="s">
        <v>175</v>
      </c>
      <c r="D1362" s="3" t="s">
        <v>46</v>
      </c>
      <c r="E1362" s="3" t="s">
        <v>40</v>
      </c>
      <c r="F1362" s="3" t="s">
        <v>102</v>
      </c>
      <c r="G1362" s="3" t="s">
        <v>103</v>
      </c>
      <c r="H1362" s="3">
        <v>2</v>
      </c>
      <c r="I1362" s="7">
        <v>6585.17</v>
      </c>
      <c r="J1362" s="9">
        <v>0.25</v>
      </c>
      <c r="K1362" s="7">
        <v>9877.76</v>
      </c>
      <c r="L1362" s="7">
        <v>183.44</v>
      </c>
      <c r="M1362" s="3" t="s">
        <v>56</v>
      </c>
      <c r="N1362" s="3"/>
      <c r="O1362" s="3"/>
      <c r="P1362" s="3"/>
      <c r="Q1362" s="3"/>
    </row>
    <row r="1363" spans="1:17" ht="21" customHeight="1">
      <c r="A1363" s="3" t="s">
        <v>2020</v>
      </c>
      <c r="B1363" s="5">
        <v>45645</v>
      </c>
      <c r="C1363" s="3" t="s">
        <v>587</v>
      </c>
      <c r="D1363" s="3" t="s">
        <v>45</v>
      </c>
      <c r="E1363" s="3" t="s">
        <v>42</v>
      </c>
      <c r="F1363" s="3" t="s">
        <v>90</v>
      </c>
      <c r="G1363" s="3" t="s">
        <v>91</v>
      </c>
      <c r="H1363" s="3">
        <v>1</v>
      </c>
      <c r="I1363" s="7">
        <v>1238.73</v>
      </c>
      <c r="J1363" s="9">
        <v>0</v>
      </c>
      <c r="K1363" s="7">
        <v>1238.73</v>
      </c>
      <c r="L1363" s="7">
        <v>632.47</v>
      </c>
      <c r="M1363" s="3" t="s">
        <v>57</v>
      </c>
      <c r="N1363" s="3"/>
      <c r="O1363" s="3"/>
      <c r="P1363" s="3"/>
      <c r="Q1363" s="3"/>
    </row>
    <row r="1364" spans="1:17" ht="21" customHeight="1">
      <c r="A1364" s="3" t="s">
        <v>2021</v>
      </c>
      <c r="B1364" s="5">
        <v>45645</v>
      </c>
      <c r="C1364" s="3" t="s">
        <v>1062</v>
      </c>
      <c r="D1364" s="3" t="s">
        <v>46</v>
      </c>
      <c r="E1364" s="3" t="s">
        <v>42</v>
      </c>
      <c r="F1364" s="3" t="s">
        <v>126</v>
      </c>
      <c r="G1364" s="3" t="s">
        <v>151</v>
      </c>
      <c r="H1364" s="3">
        <v>1</v>
      </c>
      <c r="I1364" s="7">
        <v>1513.16</v>
      </c>
      <c r="J1364" s="9">
        <v>0.1</v>
      </c>
      <c r="K1364" s="7">
        <v>1361.84</v>
      </c>
      <c r="L1364" s="7">
        <v>545.20000000000005</v>
      </c>
      <c r="M1364" s="3" t="s">
        <v>59</v>
      </c>
      <c r="N1364" s="3"/>
      <c r="O1364" s="3"/>
      <c r="P1364" s="3"/>
      <c r="Q1364" s="3"/>
    </row>
    <row r="1365" spans="1:17" ht="21" customHeight="1">
      <c r="A1365" s="3" t="s">
        <v>2022</v>
      </c>
      <c r="B1365" s="5">
        <v>45645</v>
      </c>
      <c r="C1365" s="3" t="s">
        <v>307</v>
      </c>
      <c r="D1365" s="3" t="s">
        <v>44</v>
      </c>
      <c r="E1365" s="3" t="s">
        <v>39</v>
      </c>
      <c r="F1365" s="3" t="s">
        <v>164</v>
      </c>
      <c r="G1365" s="3" t="s">
        <v>200</v>
      </c>
      <c r="H1365" s="3">
        <v>2</v>
      </c>
      <c r="I1365" s="7">
        <v>1312.19</v>
      </c>
      <c r="J1365" s="9">
        <v>0.1</v>
      </c>
      <c r="K1365" s="7">
        <v>2361.94</v>
      </c>
      <c r="L1365" s="7">
        <v>721.65</v>
      </c>
      <c r="M1365" s="3" t="s">
        <v>57</v>
      </c>
      <c r="N1365" s="3"/>
      <c r="O1365" s="3"/>
      <c r="P1365" s="3"/>
      <c r="Q1365" s="3"/>
    </row>
    <row r="1366" spans="1:17" ht="21" customHeight="1">
      <c r="A1366" s="3" t="s">
        <v>2023</v>
      </c>
      <c r="B1366" s="5">
        <v>45646</v>
      </c>
      <c r="C1366" s="3" t="s">
        <v>471</v>
      </c>
      <c r="D1366" s="3" t="s">
        <v>44</v>
      </c>
      <c r="E1366" s="3" t="s">
        <v>42</v>
      </c>
      <c r="F1366" s="3" t="s">
        <v>126</v>
      </c>
      <c r="G1366" s="3" t="s">
        <v>151</v>
      </c>
      <c r="H1366" s="3">
        <v>1</v>
      </c>
      <c r="I1366" s="7">
        <v>1542.55</v>
      </c>
      <c r="J1366" s="9">
        <v>0.15</v>
      </c>
      <c r="K1366" s="7">
        <v>1311.17</v>
      </c>
      <c r="L1366" s="7">
        <v>514.82000000000005</v>
      </c>
      <c r="M1366" s="3" t="s">
        <v>58</v>
      </c>
      <c r="N1366" s="3"/>
      <c r="O1366" s="3"/>
      <c r="P1366" s="3"/>
      <c r="Q1366" s="3"/>
    </row>
    <row r="1367" spans="1:17" ht="21" customHeight="1">
      <c r="A1367" s="3" t="s">
        <v>2024</v>
      </c>
      <c r="B1367" s="5">
        <v>45646</v>
      </c>
      <c r="C1367" s="3" t="s">
        <v>2025</v>
      </c>
      <c r="D1367" s="3" t="s">
        <v>46</v>
      </c>
      <c r="E1367" s="3" t="s">
        <v>42</v>
      </c>
      <c r="F1367" s="3" t="s">
        <v>126</v>
      </c>
      <c r="G1367" s="3" t="s">
        <v>151</v>
      </c>
      <c r="H1367" s="3">
        <v>2</v>
      </c>
      <c r="I1367" s="7">
        <v>1442.07</v>
      </c>
      <c r="J1367" s="9">
        <v>0</v>
      </c>
      <c r="K1367" s="7">
        <v>2884.14</v>
      </c>
      <c r="L1367" s="7">
        <v>1678.51</v>
      </c>
      <c r="M1367" s="3" t="s">
        <v>56</v>
      </c>
      <c r="N1367" s="3"/>
      <c r="O1367" s="3"/>
      <c r="P1367" s="3"/>
      <c r="Q1367" s="3"/>
    </row>
    <row r="1368" spans="1:17" ht="21" customHeight="1">
      <c r="A1368" s="3" t="s">
        <v>2026</v>
      </c>
      <c r="B1368" s="5">
        <v>45647</v>
      </c>
      <c r="C1368" s="3" t="s">
        <v>1773</v>
      </c>
      <c r="D1368" s="3" t="s">
        <v>47</v>
      </c>
      <c r="E1368" s="3" t="s">
        <v>40</v>
      </c>
      <c r="F1368" s="3" t="s">
        <v>221</v>
      </c>
      <c r="G1368" s="3" t="s">
        <v>279</v>
      </c>
      <c r="H1368" s="3">
        <v>2</v>
      </c>
      <c r="I1368" s="7">
        <v>1502.86</v>
      </c>
      <c r="J1368" s="9">
        <v>0</v>
      </c>
      <c r="K1368" s="7">
        <v>3005.72</v>
      </c>
      <c r="L1368" s="7">
        <v>973.41</v>
      </c>
      <c r="M1368" s="3" t="s">
        <v>56</v>
      </c>
      <c r="N1368" s="3"/>
      <c r="O1368" s="3"/>
      <c r="P1368" s="3"/>
      <c r="Q1368" s="3"/>
    </row>
    <row r="1369" spans="1:17" ht="21" customHeight="1">
      <c r="A1369" s="3" t="s">
        <v>2027</v>
      </c>
      <c r="B1369" s="5">
        <v>45647</v>
      </c>
      <c r="C1369" s="3" t="s">
        <v>1816</v>
      </c>
      <c r="D1369" s="3" t="s">
        <v>46</v>
      </c>
      <c r="E1369" s="3" t="s">
        <v>42</v>
      </c>
      <c r="F1369" s="3" t="s">
        <v>90</v>
      </c>
      <c r="G1369" s="3" t="s">
        <v>91</v>
      </c>
      <c r="H1369" s="3">
        <v>2</v>
      </c>
      <c r="I1369" s="7">
        <v>1206.67</v>
      </c>
      <c r="J1369" s="9">
        <v>0.1</v>
      </c>
      <c r="K1369" s="7">
        <v>2172.0100000000002</v>
      </c>
      <c r="L1369" s="7">
        <v>948.9</v>
      </c>
      <c r="M1369" s="3" t="s">
        <v>56</v>
      </c>
      <c r="N1369" s="3"/>
      <c r="O1369" s="3"/>
      <c r="P1369" s="3"/>
      <c r="Q1369" s="3"/>
    </row>
    <row r="1370" spans="1:17" ht="21" customHeight="1">
      <c r="A1370" s="3" t="s">
        <v>2028</v>
      </c>
      <c r="B1370" s="5">
        <v>45647</v>
      </c>
      <c r="C1370" s="3" t="s">
        <v>384</v>
      </c>
      <c r="D1370" s="3" t="s">
        <v>46</v>
      </c>
      <c r="E1370" s="3" t="s">
        <v>41</v>
      </c>
      <c r="F1370" s="3" t="s">
        <v>119</v>
      </c>
      <c r="G1370" s="3" t="s">
        <v>120</v>
      </c>
      <c r="H1370" s="3">
        <v>3</v>
      </c>
      <c r="I1370" s="7">
        <v>1271.6199999999999</v>
      </c>
      <c r="J1370" s="9">
        <v>0.05</v>
      </c>
      <c r="K1370" s="7">
        <v>3624.12</v>
      </c>
      <c r="L1370" s="7">
        <v>1055.24</v>
      </c>
      <c r="M1370" s="3" t="s">
        <v>57</v>
      </c>
      <c r="N1370" s="3"/>
      <c r="O1370" s="3"/>
      <c r="P1370" s="3"/>
      <c r="Q1370" s="3"/>
    </row>
    <row r="1371" spans="1:17" ht="21" customHeight="1">
      <c r="A1371" s="3" t="s">
        <v>2029</v>
      </c>
      <c r="B1371" s="5">
        <v>45647</v>
      </c>
      <c r="C1371" s="3" t="s">
        <v>247</v>
      </c>
      <c r="D1371" s="3" t="s">
        <v>45</v>
      </c>
      <c r="E1371" s="3" t="s">
        <v>41</v>
      </c>
      <c r="F1371" s="3" t="s">
        <v>119</v>
      </c>
      <c r="G1371" s="3" t="s">
        <v>120</v>
      </c>
      <c r="H1371" s="3">
        <v>2</v>
      </c>
      <c r="I1371" s="7">
        <v>1340.62</v>
      </c>
      <c r="J1371" s="9">
        <v>0.2</v>
      </c>
      <c r="K1371" s="7">
        <v>2144.9899999999998</v>
      </c>
      <c r="L1371" s="7">
        <v>277.02999999999997</v>
      </c>
      <c r="M1371" s="3" t="s">
        <v>56</v>
      </c>
      <c r="N1371" s="3"/>
      <c r="O1371" s="3"/>
      <c r="P1371" s="3"/>
      <c r="Q1371" s="3"/>
    </row>
    <row r="1372" spans="1:17" ht="21" customHeight="1">
      <c r="A1372" s="3" t="s">
        <v>2030</v>
      </c>
      <c r="B1372" s="5">
        <v>45647</v>
      </c>
      <c r="C1372" s="3" t="s">
        <v>1624</v>
      </c>
      <c r="D1372" s="3" t="s">
        <v>47</v>
      </c>
      <c r="E1372" s="3" t="s">
        <v>42</v>
      </c>
      <c r="F1372" s="3" t="s">
        <v>90</v>
      </c>
      <c r="G1372" s="3" t="s">
        <v>91</v>
      </c>
      <c r="H1372" s="3">
        <v>2</v>
      </c>
      <c r="I1372" s="7">
        <v>1221.55</v>
      </c>
      <c r="J1372" s="9">
        <v>0.3</v>
      </c>
      <c r="K1372" s="7">
        <v>1710.17</v>
      </c>
      <c r="L1372" s="7">
        <v>398.93</v>
      </c>
      <c r="M1372" s="3" t="s">
        <v>56</v>
      </c>
      <c r="N1372" s="3"/>
      <c r="O1372" s="3"/>
      <c r="P1372" s="3"/>
      <c r="Q1372" s="3"/>
    </row>
    <row r="1373" spans="1:17" ht="21" customHeight="1">
      <c r="A1373" s="3" t="s">
        <v>2031</v>
      </c>
      <c r="B1373" s="5">
        <v>45648</v>
      </c>
      <c r="C1373" s="3" t="s">
        <v>2032</v>
      </c>
      <c r="D1373" s="3" t="s">
        <v>47</v>
      </c>
      <c r="E1373" s="3" t="s">
        <v>39</v>
      </c>
      <c r="F1373" s="3" t="s">
        <v>130</v>
      </c>
      <c r="G1373" s="3" t="s">
        <v>193</v>
      </c>
      <c r="H1373" s="3">
        <v>1</v>
      </c>
      <c r="I1373" s="7">
        <v>1874.66</v>
      </c>
      <c r="J1373" s="9">
        <v>0</v>
      </c>
      <c r="K1373" s="7">
        <v>1874.66</v>
      </c>
      <c r="L1373" s="7">
        <v>725.25</v>
      </c>
      <c r="M1373" s="3" t="s">
        <v>58</v>
      </c>
      <c r="N1373" s="3"/>
      <c r="O1373" s="3"/>
      <c r="P1373" s="3"/>
      <c r="Q1373" s="3"/>
    </row>
    <row r="1374" spans="1:17" ht="21" customHeight="1">
      <c r="A1374" s="3" t="s">
        <v>2033</v>
      </c>
      <c r="B1374" s="5">
        <v>45648</v>
      </c>
      <c r="C1374" s="3" t="s">
        <v>2034</v>
      </c>
      <c r="D1374" s="3" t="s">
        <v>44</v>
      </c>
      <c r="E1374" s="3" t="s">
        <v>38</v>
      </c>
      <c r="F1374" s="3" t="s">
        <v>98</v>
      </c>
      <c r="G1374" s="3" t="s">
        <v>182</v>
      </c>
      <c r="H1374" s="3">
        <v>1</v>
      </c>
      <c r="I1374" s="7">
        <v>67792.5</v>
      </c>
      <c r="J1374" s="9">
        <v>0.25</v>
      </c>
      <c r="K1374" s="7">
        <v>50844.38</v>
      </c>
      <c r="L1374" s="7">
        <v>-6069.67</v>
      </c>
      <c r="M1374" s="3" t="s">
        <v>58</v>
      </c>
      <c r="N1374" s="3"/>
      <c r="O1374" s="3"/>
      <c r="P1374" s="3"/>
      <c r="Q1374" s="3"/>
    </row>
    <row r="1375" spans="1:17" ht="21" customHeight="1">
      <c r="A1375" s="3" t="s">
        <v>2035</v>
      </c>
      <c r="B1375" s="5">
        <v>45648</v>
      </c>
      <c r="C1375" s="3" t="s">
        <v>1067</v>
      </c>
      <c r="D1375" s="3" t="s">
        <v>47</v>
      </c>
      <c r="E1375" s="3" t="s">
        <v>39</v>
      </c>
      <c r="F1375" s="3" t="s">
        <v>164</v>
      </c>
      <c r="G1375" s="3" t="s">
        <v>165</v>
      </c>
      <c r="H1375" s="3">
        <v>1</v>
      </c>
      <c r="I1375" s="7">
        <v>1904.29</v>
      </c>
      <c r="J1375" s="9">
        <v>0</v>
      </c>
      <c r="K1375" s="7">
        <v>1904.29</v>
      </c>
      <c r="L1375" s="7">
        <v>815.33</v>
      </c>
      <c r="M1375" s="3" t="s">
        <v>58</v>
      </c>
      <c r="N1375" s="3"/>
      <c r="O1375" s="3"/>
      <c r="P1375" s="3"/>
      <c r="Q1375" s="3"/>
    </row>
    <row r="1376" spans="1:17" ht="21" customHeight="1">
      <c r="A1376" s="3" t="s">
        <v>2036</v>
      </c>
      <c r="B1376" s="5">
        <v>45648</v>
      </c>
      <c r="C1376" s="3" t="s">
        <v>274</v>
      </c>
      <c r="D1376" s="3" t="s">
        <v>44</v>
      </c>
      <c r="E1376" s="3" t="s">
        <v>39</v>
      </c>
      <c r="F1376" s="3" t="s">
        <v>164</v>
      </c>
      <c r="G1376" s="3" t="s">
        <v>165</v>
      </c>
      <c r="H1376" s="3">
        <v>1</v>
      </c>
      <c r="I1376" s="7">
        <v>1996.82</v>
      </c>
      <c r="J1376" s="9">
        <v>0.05</v>
      </c>
      <c r="K1376" s="7">
        <v>1896.98</v>
      </c>
      <c r="L1376" s="7">
        <v>624.20000000000005</v>
      </c>
      <c r="M1376" s="3" t="s">
        <v>56</v>
      </c>
      <c r="N1376" s="3"/>
      <c r="O1376" s="3"/>
      <c r="P1376" s="3"/>
      <c r="Q1376" s="3"/>
    </row>
    <row r="1377" spans="1:17" ht="21" customHeight="1">
      <c r="A1377" s="3" t="s">
        <v>2037</v>
      </c>
      <c r="B1377" s="5">
        <v>45648</v>
      </c>
      <c r="C1377" s="3" t="s">
        <v>2038</v>
      </c>
      <c r="D1377" s="3" t="s">
        <v>47</v>
      </c>
      <c r="E1377" s="3" t="s">
        <v>42</v>
      </c>
      <c r="F1377" s="3" t="s">
        <v>90</v>
      </c>
      <c r="G1377" s="3" t="s">
        <v>91</v>
      </c>
      <c r="H1377" s="3">
        <v>1</v>
      </c>
      <c r="I1377" s="7">
        <v>1167.99</v>
      </c>
      <c r="J1377" s="9">
        <v>0.1</v>
      </c>
      <c r="K1377" s="7">
        <v>1051.19</v>
      </c>
      <c r="L1377" s="7">
        <v>432.15</v>
      </c>
      <c r="M1377" s="3" t="s">
        <v>58</v>
      </c>
      <c r="N1377" s="3"/>
      <c r="O1377" s="3"/>
      <c r="P1377" s="3"/>
      <c r="Q1377" s="3"/>
    </row>
    <row r="1378" spans="1:17" ht="21" customHeight="1">
      <c r="A1378" s="3" t="s">
        <v>2039</v>
      </c>
      <c r="B1378" s="5">
        <v>45650</v>
      </c>
      <c r="C1378" s="3" t="s">
        <v>1314</v>
      </c>
      <c r="D1378" s="3" t="s">
        <v>47</v>
      </c>
      <c r="E1378" s="3" t="s">
        <v>39</v>
      </c>
      <c r="F1378" s="3" t="s">
        <v>164</v>
      </c>
      <c r="G1378" s="3" t="s">
        <v>200</v>
      </c>
      <c r="H1378" s="3">
        <v>1</v>
      </c>
      <c r="I1378" s="7">
        <v>1340.99</v>
      </c>
      <c r="J1378" s="9">
        <v>0</v>
      </c>
      <c r="K1378" s="7">
        <v>1340.99</v>
      </c>
      <c r="L1378" s="7">
        <v>530.35</v>
      </c>
      <c r="M1378" s="3" t="s">
        <v>60</v>
      </c>
      <c r="N1378" s="3"/>
      <c r="O1378" s="3"/>
      <c r="P1378" s="3"/>
      <c r="Q1378" s="3"/>
    </row>
    <row r="1379" spans="1:17" ht="21" customHeight="1">
      <c r="A1379" s="3" t="s">
        <v>2040</v>
      </c>
      <c r="B1379" s="5">
        <v>45650</v>
      </c>
      <c r="C1379" s="3" t="s">
        <v>992</v>
      </c>
      <c r="D1379" s="3" t="s">
        <v>44</v>
      </c>
      <c r="E1379" s="3" t="s">
        <v>38</v>
      </c>
      <c r="F1379" s="3" t="s">
        <v>94</v>
      </c>
      <c r="G1379" s="3" t="s">
        <v>213</v>
      </c>
      <c r="H1379" s="3">
        <v>1</v>
      </c>
      <c r="I1379" s="7">
        <v>55436.55</v>
      </c>
      <c r="J1379" s="9">
        <v>0.1</v>
      </c>
      <c r="K1379" s="7">
        <v>49892.9</v>
      </c>
      <c r="L1379" s="7">
        <v>3375.72</v>
      </c>
      <c r="M1379" s="3" t="s">
        <v>57</v>
      </c>
      <c r="N1379" s="3"/>
      <c r="O1379" s="3"/>
      <c r="P1379" s="3"/>
      <c r="Q1379" s="3"/>
    </row>
    <row r="1380" spans="1:17" ht="21" customHeight="1">
      <c r="A1380" s="3" t="s">
        <v>2041</v>
      </c>
      <c r="B1380" s="5">
        <v>45651</v>
      </c>
      <c r="C1380" s="3" t="s">
        <v>746</v>
      </c>
      <c r="D1380" s="3" t="s">
        <v>44</v>
      </c>
      <c r="E1380" s="3" t="s">
        <v>40</v>
      </c>
      <c r="F1380" s="3" t="s">
        <v>160</v>
      </c>
      <c r="G1380" s="3" t="s">
        <v>173</v>
      </c>
      <c r="H1380" s="3">
        <v>3</v>
      </c>
      <c r="I1380" s="7">
        <v>9118.89</v>
      </c>
      <c r="J1380" s="9">
        <v>0</v>
      </c>
      <c r="K1380" s="7">
        <v>27356.67</v>
      </c>
      <c r="L1380" s="7">
        <v>9094.68</v>
      </c>
      <c r="M1380" s="3" t="s">
        <v>58</v>
      </c>
      <c r="N1380" s="3"/>
      <c r="O1380" s="3"/>
      <c r="P1380" s="3"/>
      <c r="Q1380" s="3"/>
    </row>
    <row r="1381" spans="1:17" ht="21" customHeight="1">
      <c r="A1381" s="3" t="s">
        <v>2042</v>
      </c>
      <c r="B1381" s="5">
        <v>45651</v>
      </c>
      <c r="C1381" s="3" t="s">
        <v>2043</v>
      </c>
      <c r="D1381" s="3" t="s">
        <v>45</v>
      </c>
      <c r="E1381" s="3" t="s">
        <v>39</v>
      </c>
      <c r="F1381" s="3" t="s">
        <v>164</v>
      </c>
      <c r="G1381" s="3" t="s">
        <v>165</v>
      </c>
      <c r="H1381" s="3">
        <v>1</v>
      </c>
      <c r="I1381" s="7">
        <v>2043.06</v>
      </c>
      <c r="J1381" s="9">
        <v>0.15</v>
      </c>
      <c r="K1381" s="7">
        <v>1736.6</v>
      </c>
      <c r="L1381" s="7">
        <v>367.03</v>
      </c>
      <c r="M1381" s="3" t="s">
        <v>56</v>
      </c>
      <c r="N1381" s="3"/>
      <c r="O1381" s="3"/>
      <c r="P1381" s="3"/>
      <c r="Q1381" s="3"/>
    </row>
    <row r="1382" spans="1:17" ht="21" customHeight="1">
      <c r="A1382" s="3" t="s">
        <v>2044</v>
      </c>
      <c r="B1382" s="5">
        <v>45651</v>
      </c>
      <c r="C1382" s="3" t="s">
        <v>1394</v>
      </c>
      <c r="D1382" s="3" t="s">
        <v>47</v>
      </c>
      <c r="E1382" s="3" t="s">
        <v>42</v>
      </c>
      <c r="F1382" s="3" t="s">
        <v>126</v>
      </c>
      <c r="G1382" s="3" t="s">
        <v>127</v>
      </c>
      <c r="H1382" s="3">
        <v>1</v>
      </c>
      <c r="I1382" s="7">
        <v>997.22</v>
      </c>
      <c r="J1382" s="9">
        <v>0.25</v>
      </c>
      <c r="K1382" s="7">
        <v>747.91</v>
      </c>
      <c r="L1382" s="7">
        <v>202.18</v>
      </c>
      <c r="M1382" s="3" t="s">
        <v>56</v>
      </c>
      <c r="N1382" s="3"/>
      <c r="O1382" s="3"/>
      <c r="P1382" s="3"/>
      <c r="Q1382" s="3"/>
    </row>
    <row r="1383" spans="1:17" ht="21" customHeight="1">
      <c r="A1383" s="3" t="s">
        <v>2045</v>
      </c>
      <c r="B1383" s="5">
        <v>45651</v>
      </c>
      <c r="C1383" s="3" t="s">
        <v>1085</v>
      </c>
      <c r="D1383" s="3" t="s">
        <v>44</v>
      </c>
      <c r="E1383" s="3" t="s">
        <v>39</v>
      </c>
      <c r="F1383" s="3" t="s">
        <v>130</v>
      </c>
      <c r="G1383" s="3" t="s">
        <v>131</v>
      </c>
      <c r="H1383" s="3">
        <v>1</v>
      </c>
      <c r="I1383" s="7">
        <v>2230.64</v>
      </c>
      <c r="J1383" s="9">
        <v>0.05</v>
      </c>
      <c r="K1383" s="7">
        <v>2119.11</v>
      </c>
      <c r="L1383" s="7">
        <v>735</v>
      </c>
      <c r="M1383" s="3" t="s">
        <v>56</v>
      </c>
      <c r="N1383" s="3"/>
      <c r="O1383" s="3"/>
      <c r="P1383" s="3"/>
      <c r="Q1383" s="3"/>
    </row>
    <row r="1384" spans="1:17" ht="21" customHeight="1">
      <c r="A1384" s="3" t="s">
        <v>2046</v>
      </c>
      <c r="B1384" s="5">
        <v>45651</v>
      </c>
      <c r="C1384" s="3" t="s">
        <v>1293</v>
      </c>
      <c r="D1384" s="3" t="s">
        <v>46</v>
      </c>
      <c r="E1384" s="3" t="s">
        <v>38</v>
      </c>
      <c r="F1384" s="3" t="s">
        <v>94</v>
      </c>
      <c r="G1384" s="3" t="s">
        <v>95</v>
      </c>
      <c r="H1384" s="3">
        <v>3</v>
      </c>
      <c r="I1384" s="7">
        <v>79307.23</v>
      </c>
      <c r="J1384" s="9">
        <v>0.05</v>
      </c>
      <c r="K1384" s="7">
        <v>226025.61</v>
      </c>
      <c r="L1384" s="7">
        <v>20419.28</v>
      </c>
      <c r="M1384" s="3" t="s">
        <v>57</v>
      </c>
      <c r="N1384" s="3"/>
      <c r="O1384" s="3"/>
      <c r="P1384" s="3"/>
      <c r="Q1384" s="3"/>
    </row>
    <row r="1385" spans="1:17" ht="21" customHeight="1">
      <c r="A1385" s="3" t="s">
        <v>2047</v>
      </c>
      <c r="B1385" s="5">
        <v>45651</v>
      </c>
      <c r="C1385" s="3" t="s">
        <v>1099</v>
      </c>
      <c r="D1385" s="3" t="s">
        <v>46</v>
      </c>
      <c r="E1385" s="3" t="s">
        <v>38</v>
      </c>
      <c r="F1385" s="3" t="s">
        <v>142</v>
      </c>
      <c r="G1385" s="3" t="s">
        <v>245</v>
      </c>
      <c r="H1385" s="3">
        <v>5</v>
      </c>
      <c r="I1385" s="7">
        <v>4920.07</v>
      </c>
      <c r="J1385" s="9">
        <v>0</v>
      </c>
      <c r="K1385" s="7">
        <v>24600.35</v>
      </c>
      <c r="L1385" s="7">
        <v>4471.53</v>
      </c>
      <c r="M1385" s="3" t="s">
        <v>56</v>
      </c>
      <c r="N1385" s="3"/>
      <c r="O1385" s="3"/>
      <c r="P1385" s="3"/>
      <c r="Q1385" s="3"/>
    </row>
    <row r="1386" spans="1:17" ht="21" customHeight="1">
      <c r="A1386" s="3" t="s">
        <v>2048</v>
      </c>
      <c r="B1386" s="5">
        <v>45651</v>
      </c>
      <c r="C1386" s="3" t="s">
        <v>997</v>
      </c>
      <c r="D1386" s="3" t="s">
        <v>45</v>
      </c>
      <c r="E1386" s="3" t="s">
        <v>40</v>
      </c>
      <c r="F1386" s="3" t="s">
        <v>160</v>
      </c>
      <c r="G1386" s="3" t="s">
        <v>173</v>
      </c>
      <c r="H1386" s="3">
        <v>1</v>
      </c>
      <c r="I1386" s="7">
        <v>8973.5400000000009</v>
      </c>
      <c r="J1386" s="9">
        <v>0</v>
      </c>
      <c r="K1386" s="7">
        <v>8973.5400000000009</v>
      </c>
      <c r="L1386" s="7">
        <v>2723.29</v>
      </c>
      <c r="M1386" s="3" t="s">
        <v>56</v>
      </c>
      <c r="N1386" s="3"/>
      <c r="O1386" s="3"/>
      <c r="P1386" s="3"/>
      <c r="Q1386" s="3"/>
    </row>
    <row r="1387" spans="1:17" ht="21" customHeight="1">
      <c r="A1387" s="3" t="s">
        <v>2049</v>
      </c>
      <c r="B1387" s="5">
        <v>45652</v>
      </c>
      <c r="C1387" s="3" t="s">
        <v>215</v>
      </c>
      <c r="D1387" s="3" t="s">
        <v>46</v>
      </c>
      <c r="E1387" s="3" t="s">
        <v>40</v>
      </c>
      <c r="F1387" s="3" t="s">
        <v>160</v>
      </c>
      <c r="G1387" s="3" t="s">
        <v>161</v>
      </c>
      <c r="H1387" s="3">
        <v>4</v>
      </c>
      <c r="I1387" s="7">
        <v>13431.66</v>
      </c>
      <c r="J1387" s="9">
        <v>0.15</v>
      </c>
      <c r="K1387" s="7">
        <v>45667.64</v>
      </c>
      <c r="L1387" s="7">
        <v>8664.74</v>
      </c>
      <c r="M1387" s="3" t="s">
        <v>56</v>
      </c>
      <c r="N1387" s="3"/>
      <c r="O1387" s="3"/>
      <c r="P1387" s="3"/>
      <c r="Q1387" s="3"/>
    </row>
    <row r="1388" spans="1:17" ht="21" customHeight="1">
      <c r="A1388" s="3" t="s">
        <v>2050</v>
      </c>
      <c r="B1388" s="5">
        <v>45652</v>
      </c>
      <c r="C1388" s="3" t="s">
        <v>2051</v>
      </c>
      <c r="D1388" s="3" t="s">
        <v>45</v>
      </c>
      <c r="E1388" s="3" t="s">
        <v>38</v>
      </c>
      <c r="F1388" s="3" t="s">
        <v>94</v>
      </c>
      <c r="G1388" s="3" t="s">
        <v>95</v>
      </c>
      <c r="H1388" s="3">
        <v>1</v>
      </c>
      <c r="I1388" s="7">
        <v>80573.59</v>
      </c>
      <c r="J1388" s="9">
        <v>0.2</v>
      </c>
      <c r="K1388" s="7">
        <v>64458.87</v>
      </c>
      <c r="L1388" s="7">
        <v>-2455.0500000000002</v>
      </c>
      <c r="M1388" s="3" t="s">
        <v>56</v>
      </c>
      <c r="N1388" s="3"/>
      <c r="O1388" s="3"/>
      <c r="P1388" s="3"/>
      <c r="Q1388" s="3"/>
    </row>
    <row r="1389" spans="1:17" ht="21" customHeight="1">
      <c r="A1389" s="3" t="s">
        <v>2052</v>
      </c>
      <c r="B1389" s="5">
        <v>45652</v>
      </c>
      <c r="C1389" s="3" t="s">
        <v>314</v>
      </c>
      <c r="D1389" s="3" t="s">
        <v>44</v>
      </c>
      <c r="E1389" s="3" t="s">
        <v>38</v>
      </c>
      <c r="F1389" s="3" t="s">
        <v>94</v>
      </c>
      <c r="G1389" s="3" t="s">
        <v>95</v>
      </c>
      <c r="H1389" s="3">
        <v>1</v>
      </c>
      <c r="I1389" s="7">
        <v>79565.08</v>
      </c>
      <c r="J1389" s="9">
        <v>0.1</v>
      </c>
      <c r="K1389" s="7">
        <v>71608.570000000007</v>
      </c>
      <c r="L1389" s="7">
        <v>7251.93</v>
      </c>
      <c r="M1389" s="3" t="s">
        <v>60</v>
      </c>
      <c r="N1389" s="3"/>
      <c r="O1389" s="3"/>
      <c r="P1389" s="3"/>
      <c r="Q1389" s="3"/>
    </row>
    <row r="1390" spans="1:17" ht="21" customHeight="1">
      <c r="A1390" s="3" t="s">
        <v>2053</v>
      </c>
      <c r="B1390" s="5">
        <v>45653</v>
      </c>
      <c r="C1390" s="3" t="s">
        <v>238</v>
      </c>
      <c r="D1390" s="3" t="s">
        <v>46</v>
      </c>
      <c r="E1390" s="3" t="s">
        <v>38</v>
      </c>
      <c r="F1390" s="3" t="s">
        <v>98</v>
      </c>
      <c r="G1390" s="3" t="s">
        <v>362</v>
      </c>
      <c r="H1390" s="3">
        <v>2</v>
      </c>
      <c r="I1390" s="7">
        <v>33337.64</v>
      </c>
      <c r="J1390" s="9">
        <v>0.05</v>
      </c>
      <c r="K1390" s="7">
        <v>63341.52</v>
      </c>
      <c r="L1390" s="7">
        <v>7384.94</v>
      </c>
      <c r="M1390" s="3" t="s">
        <v>56</v>
      </c>
      <c r="N1390" s="3"/>
      <c r="O1390" s="3"/>
      <c r="P1390" s="3"/>
      <c r="Q1390" s="3"/>
    </row>
    <row r="1391" spans="1:17" ht="21" customHeight="1">
      <c r="A1391" s="3" t="s">
        <v>2054</v>
      </c>
      <c r="B1391" s="5">
        <v>45653</v>
      </c>
      <c r="C1391" s="3" t="s">
        <v>204</v>
      </c>
      <c r="D1391" s="3" t="s">
        <v>46</v>
      </c>
      <c r="E1391" s="3" t="s">
        <v>40</v>
      </c>
      <c r="F1391" s="3" t="s">
        <v>221</v>
      </c>
      <c r="G1391" s="3" t="s">
        <v>222</v>
      </c>
      <c r="H1391" s="3">
        <v>2</v>
      </c>
      <c r="I1391" s="7">
        <v>1048.8599999999999</v>
      </c>
      <c r="J1391" s="9">
        <v>0.05</v>
      </c>
      <c r="K1391" s="7">
        <v>1992.83</v>
      </c>
      <c r="L1391" s="7">
        <v>493.67</v>
      </c>
      <c r="M1391" s="3" t="s">
        <v>56</v>
      </c>
      <c r="N1391" s="3"/>
      <c r="O1391" s="3"/>
      <c r="P1391" s="3"/>
      <c r="Q1391" s="3"/>
    </row>
    <row r="1392" spans="1:17" ht="21" customHeight="1">
      <c r="A1392" s="3" t="s">
        <v>2055</v>
      </c>
      <c r="B1392" s="5">
        <v>45653</v>
      </c>
      <c r="C1392" s="3" t="s">
        <v>159</v>
      </c>
      <c r="D1392" s="3" t="s">
        <v>45</v>
      </c>
      <c r="E1392" s="3" t="s">
        <v>41</v>
      </c>
      <c r="F1392" s="3" t="s">
        <v>113</v>
      </c>
      <c r="G1392" s="3" t="s">
        <v>114</v>
      </c>
      <c r="H1392" s="3">
        <v>2</v>
      </c>
      <c r="I1392" s="7">
        <v>11808.01</v>
      </c>
      <c r="J1392" s="9">
        <v>0.2</v>
      </c>
      <c r="K1392" s="7">
        <v>18892.82</v>
      </c>
      <c r="L1392" s="7">
        <v>2396.08</v>
      </c>
      <c r="M1392" s="3" t="s">
        <v>56</v>
      </c>
      <c r="N1392" s="3"/>
      <c r="O1392" s="3"/>
      <c r="P1392" s="3"/>
      <c r="Q1392" s="3"/>
    </row>
    <row r="1393" spans="1:17" ht="21" customHeight="1">
      <c r="A1393" s="3" t="s">
        <v>2056</v>
      </c>
      <c r="B1393" s="5">
        <v>45654</v>
      </c>
      <c r="C1393" s="3" t="s">
        <v>1476</v>
      </c>
      <c r="D1393" s="3" t="s">
        <v>44</v>
      </c>
      <c r="E1393" s="3" t="s">
        <v>38</v>
      </c>
      <c r="F1393" s="3" t="s">
        <v>98</v>
      </c>
      <c r="G1393" s="3" t="s">
        <v>99</v>
      </c>
      <c r="H1393" s="3">
        <v>1</v>
      </c>
      <c r="I1393" s="7">
        <v>24441.96</v>
      </c>
      <c r="J1393" s="9">
        <v>0.1</v>
      </c>
      <c r="K1393" s="7">
        <v>21997.759999999998</v>
      </c>
      <c r="L1393" s="7">
        <v>1306.32</v>
      </c>
      <c r="M1393" s="3" t="s">
        <v>57</v>
      </c>
      <c r="N1393" s="3"/>
      <c r="O1393" s="3"/>
      <c r="P1393" s="3"/>
      <c r="Q1393" s="3"/>
    </row>
    <row r="1394" spans="1:17" ht="21" customHeight="1">
      <c r="A1394" s="3" t="s">
        <v>2057</v>
      </c>
      <c r="B1394" s="5">
        <v>45654</v>
      </c>
      <c r="C1394" s="3" t="s">
        <v>636</v>
      </c>
      <c r="D1394" s="3" t="s">
        <v>44</v>
      </c>
      <c r="E1394" s="3" t="s">
        <v>38</v>
      </c>
      <c r="F1394" s="3" t="s">
        <v>142</v>
      </c>
      <c r="G1394" s="3" t="s">
        <v>245</v>
      </c>
      <c r="H1394" s="3">
        <v>3</v>
      </c>
      <c r="I1394" s="7">
        <v>4768.33</v>
      </c>
      <c r="J1394" s="9">
        <v>0</v>
      </c>
      <c r="K1394" s="7">
        <v>14304.99</v>
      </c>
      <c r="L1394" s="7">
        <v>2018.9</v>
      </c>
      <c r="M1394" s="3" t="s">
        <v>56</v>
      </c>
      <c r="N1394" s="3"/>
      <c r="O1394" s="3"/>
      <c r="P1394" s="3"/>
      <c r="Q1394" s="3"/>
    </row>
    <row r="1395" spans="1:17" ht="21" customHeight="1">
      <c r="A1395" s="3" t="s">
        <v>2058</v>
      </c>
      <c r="B1395" s="5">
        <v>45654</v>
      </c>
      <c r="C1395" s="3" t="s">
        <v>628</v>
      </c>
      <c r="D1395" s="3" t="s">
        <v>45</v>
      </c>
      <c r="E1395" s="3" t="s">
        <v>38</v>
      </c>
      <c r="F1395" s="3" t="s">
        <v>142</v>
      </c>
      <c r="G1395" s="3" t="s">
        <v>245</v>
      </c>
      <c r="H1395" s="3">
        <v>2</v>
      </c>
      <c r="I1395" s="7">
        <v>5096.95</v>
      </c>
      <c r="J1395" s="9">
        <v>0.05</v>
      </c>
      <c r="K1395" s="7">
        <v>9684.2000000000007</v>
      </c>
      <c r="L1395" s="7">
        <v>1435.76</v>
      </c>
      <c r="M1395" s="3" t="s">
        <v>58</v>
      </c>
      <c r="N1395" s="3"/>
      <c r="O1395" s="3"/>
      <c r="P1395" s="3"/>
      <c r="Q1395" s="3"/>
    </row>
    <row r="1396" spans="1:17" ht="21" customHeight="1">
      <c r="A1396" s="3" t="s">
        <v>2059</v>
      </c>
      <c r="B1396" s="5">
        <v>45655</v>
      </c>
      <c r="C1396" s="3" t="s">
        <v>768</v>
      </c>
      <c r="D1396" s="3" t="s">
        <v>46</v>
      </c>
      <c r="E1396" s="3" t="s">
        <v>38</v>
      </c>
      <c r="F1396" s="3" t="s">
        <v>98</v>
      </c>
      <c r="G1396" s="3" t="s">
        <v>99</v>
      </c>
      <c r="H1396" s="3">
        <v>1</v>
      </c>
      <c r="I1396" s="7">
        <v>25887.9</v>
      </c>
      <c r="J1396" s="9">
        <v>0</v>
      </c>
      <c r="K1396" s="7">
        <v>25887.9</v>
      </c>
      <c r="L1396" s="7">
        <v>4834.57</v>
      </c>
      <c r="M1396" s="3" t="s">
        <v>57</v>
      </c>
      <c r="N1396" s="3"/>
      <c r="O1396" s="3"/>
      <c r="P1396" s="3"/>
      <c r="Q1396" s="3"/>
    </row>
    <row r="1397" spans="1:17" ht="21" customHeight="1">
      <c r="A1397" s="3" t="s">
        <v>2060</v>
      </c>
      <c r="B1397" s="5">
        <v>45655</v>
      </c>
      <c r="C1397" s="3" t="s">
        <v>2061</v>
      </c>
      <c r="D1397" s="3" t="s">
        <v>47</v>
      </c>
      <c r="E1397" s="3" t="s">
        <v>40</v>
      </c>
      <c r="F1397" s="3" t="s">
        <v>160</v>
      </c>
      <c r="G1397" s="3" t="s">
        <v>173</v>
      </c>
      <c r="H1397" s="3">
        <v>2</v>
      </c>
      <c r="I1397" s="7">
        <v>9316.6299999999992</v>
      </c>
      <c r="J1397" s="9">
        <v>0</v>
      </c>
      <c r="K1397" s="7">
        <v>18633.259999999998</v>
      </c>
      <c r="L1397" s="7">
        <v>5759.64</v>
      </c>
      <c r="M1397" s="3" t="s">
        <v>56</v>
      </c>
      <c r="N1397" s="3"/>
      <c r="O1397" s="3"/>
      <c r="P1397" s="3"/>
      <c r="Q1397" s="3"/>
    </row>
    <row r="1398" spans="1:17" ht="21" customHeight="1">
      <c r="A1398" s="3" t="s">
        <v>2062</v>
      </c>
      <c r="B1398" s="5">
        <v>45655</v>
      </c>
      <c r="C1398" s="3" t="s">
        <v>733</v>
      </c>
      <c r="D1398" s="3" t="s">
        <v>47</v>
      </c>
      <c r="E1398" s="3" t="s">
        <v>38</v>
      </c>
      <c r="F1398" s="3" t="s">
        <v>142</v>
      </c>
      <c r="G1398" s="3" t="s">
        <v>143</v>
      </c>
      <c r="H1398" s="3">
        <v>2</v>
      </c>
      <c r="I1398" s="7">
        <v>8590.07</v>
      </c>
      <c r="J1398" s="9">
        <v>0.1</v>
      </c>
      <c r="K1398" s="7">
        <v>15462.13</v>
      </c>
      <c r="L1398" s="7">
        <v>1313.31</v>
      </c>
      <c r="M1398" s="3" t="s">
        <v>58</v>
      </c>
      <c r="N1398" s="3"/>
      <c r="O1398" s="3"/>
      <c r="P1398" s="3"/>
      <c r="Q1398" s="3"/>
    </row>
    <row r="1399" spans="1:17" ht="21" customHeight="1">
      <c r="A1399" s="3" t="s">
        <v>2063</v>
      </c>
      <c r="B1399" s="5">
        <v>45656</v>
      </c>
      <c r="C1399" s="3" t="s">
        <v>1459</v>
      </c>
      <c r="D1399" s="3" t="s">
        <v>46</v>
      </c>
      <c r="E1399" s="3" t="s">
        <v>38</v>
      </c>
      <c r="F1399" s="3" t="s">
        <v>94</v>
      </c>
      <c r="G1399" s="3" t="s">
        <v>95</v>
      </c>
      <c r="H1399" s="3">
        <v>2</v>
      </c>
      <c r="I1399" s="7">
        <v>78062.87</v>
      </c>
      <c r="J1399" s="9">
        <v>0.2</v>
      </c>
      <c r="K1399" s="7">
        <v>124900.59</v>
      </c>
      <c r="L1399" s="7">
        <v>-10600.68</v>
      </c>
      <c r="M1399" s="3" t="s">
        <v>56</v>
      </c>
      <c r="N1399" s="3"/>
      <c r="O1399" s="3"/>
      <c r="P1399" s="3"/>
      <c r="Q1399" s="3"/>
    </row>
    <row r="1400" spans="1:17" ht="21" customHeight="1">
      <c r="A1400" s="3" t="s">
        <v>2064</v>
      </c>
      <c r="B1400" s="5">
        <v>45656</v>
      </c>
      <c r="C1400" s="3" t="s">
        <v>1421</v>
      </c>
      <c r="D1400" s="3" t="s">
        <v>44</v>
      </c>
      <c r="E1400" s="3" t="s">
        <v>38</v>
      </c>
      <c r="F1400" s="3" t="s">
        <v>98</v>
      </c>
      <c r="G1400" s="3" t="s">
        <v>182</v>
      </c>
      <c r="H1400" s="3">
        <v>1</v>
      </c>
      <c r="I1400" s="7">
        <v>68350.58</v>
      </c>
      <c r="J1400" s="9">
        <v>0</v>
      </c>
      <c r="K1400" s="7">
        <v>68350.58</v>
      </c>
      <c r="L1400" s="7">
        <v>10481.469999999999</v>
      </c>
      <c r="M1400" s="3" t="s">
        <v>56</v>
      </c>
      <c r="N1400" s="3"/>
      <c r="O1400" s="3"/>
      <c r="P1400" s="3"/>
      <c r="Q1400" s="3"/>
    </row>
    <row r="1401" spans="1:17" ht="21" customHeight="1">
      <c r="A1401" s="3" t="s">
        <v>2065</v>
      </c>
      <c r="B1401" s="5">
        <v>45656</v>
      </c>
      <c r="C1401" s="3" t="s">
        <v>2066</v>
      </c>
      <c r="D1401" s="3" t="s">
        <v>47</v>
      </c>
      <c r="E1401" s="3" t="s">
        <v>41</v>
      </c>
      <c r="F1401" s="3" t="s">
        <v>113</v>
      </c>
      <c r="G1401" s="3" t="s">
        <v>123</v>
      </c>
      <c r="H1401" s="3">
        <v>4</v>
      </c>
      <c r="I1401" s="7">
        <v>3441.71</v>
      </c>
      <c r="J1401" s="9">
        <v>0</v>
      </c>
      <c r="K1401" s="7">
        <v>13766.84</v>
      </c>
      <c r="L1401" s="7">
        <v>5382.5</v>
      </c>
      <c r="M1401" s="3" t="s">
        <v>57</v>
      </c>
      <c r="N1401" s="3"/>
      <c r="O1401" s="3"/>
      <c r="P1401" s="3"/>
      <c r="Q1401" s="3"/>
    </row>
    <row r="1402" spans="1:17" ht="21" customHeight="1">
      <c r="A1402" s="3" t="s">
        <v>2067</v>
      </c>
      <c r="B1402" s="5">
        <v>45656</v>
      </c>
      <c r="C1402" s="3" t="s">
        <v>1019</v>
      </c>
      <c r="D1402" s="3" t="s">
        <v>44</v>
      </c>
      <c r="E1402" s="3" t="s">
        <v>38</v>
      </c>
      <c r="F1402" s="3" t="s">
        <v>142</v>
      </c>
      <c r="G1402" s="3" t="s">
        <v>245</v>
      </c>
      <c r="H1402" s="3">
        <v>2</v>
      </c>
      <c r="I1402" s="7">
        <v>4790.88</v>
      </c>
      <c r="J1402" s="9">
        <v>0</v>
      </c>
      <c r="K1402" s="7">
        <v>9581.76</v>
      </c>
      <c r="L1402" s="7">
        <v>1648.66</v>
      </c>
      <c r="M1402" s="3" t="s">
        <v>56</v>
      </c>
      <c r="N1402" s="3"/>
      <c r="O1402" s="3"/>
      <c r="P1402" s="3"/>
      <c r="Q1402" s="3"/>
    </row>
    <row r="1403" spans="1:17" ht="21" customHeight="1">
      <c r="A1403" s="3" t="s">
        <v>2068</v>
      </c>
      <c r="B1403" s="5">
        <v>45656</v>
      </c>
      <c r="C1403" s="3" t="s">
        <v>487</v>
      </c>
      <c r="D1403" s="3" t="s">
        <v>47</v>
      </c>
      <c r="E1403" s="3" t="s">
        <v>39</v>
      </c>
      <c r="F1403" s="3" t="s">
        <v>164</v>
      </c>
      <c r="G1403" s="3" t="s">
        <v>165</v>
      </c>
      <c r="H1403" s="3">
        <v>2</v>
      </c>
      <c r="I1403" s="7">
        <v>1983.45</v>
      </c>
      <c r="J1403" s="9">
        <v>0</v>
      </c>
      <c r="K1403" s="7">
        <v>3966.9</v>
      </c>
      <c r="L1403" s="7">
        <v>1581.3</v>
      </c>
      <c r="M1403" s="3" t="s">
        <v>58</v>
      </c>
      <c r="N1403" s="3"/>
      <c r="O1403" s="3"/>
      <c r="P1403" s="3"/>
      <c r="Q1403" s="3"/>
    </row>
    <row r="1404" spans="1:17" ht="21" customHeight="1">
      <c r="A1404" s="3" t="s">
        <v>2069</v>
      </c>
      <c r="B1404" s="5">
        <v>45657</v>
      </c>
      <c r="C1404" s="3" t="s">
        <v>739</v>
      </c>
      <c r="D1404" s="3" t="s">
        <v>44</v>
      </c>
      <c r="E1404" s="3" t="s">
        <v>38</v>
      </c>
      <c r="F1404" s="3" t="s">
        <v>142</v>
      </c>
      <c r="G1404" s="3" t="s">
        <v>245</v>
      </c>
      <c r="H1404" s="3">
        <v>3</v>
      </c>
      <c r="I1404" s="7">
        <v>4753.38</v>
      </c>
      <c r="J1404" s="9">
        <v>0</v>
      </c>
      <c r="K1404" s="7">
        <v>14260.14</v>
      </c>
      <c r="L1404" s="7">
        <v>2980.08</v>
      </c>
      <c r="M1404" s="3" t="s">
        <v>59</v>
      </c>
      <c r="N1404" s="3"/>
      <c r="O1404" s="3"/>
      <c r="P1404" s="3"/>
      <c r="Q1404" s="3"/>
    </row>
    <row r="1405" spans="1:17" ht="21" customHeight="1">
      <c r="A1405" s="3" t="s">
        <v>2070</v>
      </c>
      <c r="B1405" s="5">
        <v>45657</v>
      </c>
      <c r="C1405" s="3" t="s">
        <v>827</v>
      </c>
      <c r="D1405" s="3" t="s">
        <v>47</v>
      </c>
      <c r="E1405" s="3" t="s">
        <v>41</v>
      </c>
      <c r="F1405" s="3" t="s">
        <v>119</v>
      </c>
      <c r="G1405" s="3" t="s">
        <v>120</v>
      </c>
      <c r="H1405" s="3">
        <v>5</v>
      </c>
      <c r="I1405" s="7">
        <v>1257.1199999999999</v>
      </c>
      <c r="J1405" s="9">
        <v>0</v>
      </c>
      <c r="K1405" s="7">
        <v>6285.6</v>
      </c>
      <c r="L1405" s="7">
        <v>2204.23</v>
      </c>
      <c r="M1405" s="3" t="s">
        <v>56</v>
      </c>
      <c r="N1405" s="3"/>
      <c r="O1405" s="3"/>
      <c r="P1405" s="3"/>
      <c r="Q1405" s="3"/>
    </row>
    <row r="1406" spans="1:17" ht="21" customHeight="1">
      <c r="A1406" s="3" t="s">
        <v>2071</v>
      </c>
      <c r="B1406" s="5">
        <v>45657</v>
      </c>
      <c r="C1406" s="3" t="s">
        <v>192</v>
      </c>
      <c r="D1406" s="3" t="s">
        <v>47</v>
      </c>
      <c r="E1406" s="3" t="s">
        <v>41</v>
      </c>
      <c r="F1406" s="3" t="s">
        <v>119</v>
      </c>
      <c r="G1406" s="3" t="s">
        <v>120</v>
      </c>
      <c r="H1406" s="3">
        <v>1</v>
      </c>
      <c r="I1406" s="7">
        <v>1333.31</v>
      </c>
      <c r="J1406" s="9">
        <v>0.05</v>
      </c>
      <c r="K1406" s="7">
        <v>1266.6400000000001</v>
      </c>
      <c r="L1406" s="7">
        <v>383.28</v>
      </c>
      <c r="M1406" s="3" t="s">
        <v>57</v>
      </c>
      <c r="N1406" s="3"/>
      <c r="O1406" s="3"/>
      <c r="P1406" s="3"/>
      <c r="Q1406" s="3"/>
    </row>
    <row r="1407" spans="1:17" ht="21" customHeight="1">
      <c r="A1407" s="3" t="s">
        <v>2072</v>
      </c>
      <c r="B1407" s="5">
        <v>45657</v>
      </c>
      <c r="C1407" s="3" t="s">
        <v>473</v>
      </c>
      <c r="D1407" s="3" t="s">
        <v>45</v>
      </c>
      <c r="E1407" s="3" t="s">
        <v>41</v>
      </c>
      <c r="F1407" s="3" t="s">
        <v>113</v>
      </c>
      <c r="G1407" s="3" t="s">
        <v>123</v>
      </c>
      <c r="H1407" s="3">
        <v>2</v>
      </c>
      <c r="I1407" s="7">
        <v>3437.39</v>
      </c>
      <c r="J1407" s="9">
        <v>0.05</v>
      </c>
      <c r="K1407" s="7">
        <v>6531.04</v>
      </c>
      <c r="L1407" s="7">
        <v>1943.4</v>
      </c>
      <c r="M1407" s="3" t="s">
        <v>56</v>
      </c>
      <c r="N1407" s="3"/>
      <c r="O1407" s="3"/>
      <c r="P1407" s="3"/>
      <c r="Q1407" s="3"/>
    </row>
    <row r="1408" spans="1:17" ht="21" customHeight="1">
      <c r="A1408" s="3" t="s">
        <v>2073</v>
      </c>
      <c r="B1408" s="5">
        <v>45657</v>
      </c>
      <c r="C1408" s="3" t="s">
        <v>1193</v>
      </c>
      <c r="D1408" s="3" t="s">
        <v>47</v>
      </c>
      <c r="E1408" s="3" t="s">
        <v>41</v>
      </c>
      <c r="F1408" s="3" t="s">
        <v>113</v>
      </c>
      <c r="G1408" s="3" t="s">
        <v>114</v>
      </c>
      <c r="H1408" s="3">
        <v>3</v>
      </c>
      <c r="I1408" s="7">
        <v>12198.64</v>
      </c>
      <c r="J1408" s="9">
        <v>0</v>
      </c>
      <c r="K1408" s="7">
        <v>36595.919999999998</v>
      </c>
      <c r="L1408" s="7">
        <v>12500.94</v>
      </c>
      <c r="M1408" s="3" t="s">
        <v>57</v>
      </c>
      <c r="N1408" s="3"/>
      <c r="O1408" s="3"/>
      <c r="P1408" s="3"/>
      <c r="Q1408" s="3"/>
    </row>
    <row r="1409" spans="1:17" ht="21" customHeight="1">
      <c r="A1409" s="3" t="s">
        <v>2074</v>
      </c>
      <c r="B1409" s="5">
        <v>45658</v>
      </c>
      <c r="C1409" s="3" t="s">
        <v>1736</v>
      </c>
      <c r="D1409" s="3" t="s">
        <v>45</v>
      </c>
      <c r="E1409" s="3" t="s">
        <v>41</v>
      </c>
      <c r="F1409" s="3" t="s">
        <v>119</v>
      </c>
      <c r="G1409" s="3" t="s">
        <v>120</v>
      </c>
      <c r="H1409" s="3">
        <v>1</v>
      </c>
      <c r="I1409" s="7">
        <v>1353.64</v>
      </c>
      <c r="J1409" s="9">
        <v>0.15</v>
      </c>
      <c r="K1409" s="7">
        <v>1150.5899999999999</v>
      </c>
      <c r="L1409" s="7">
        <v>199.97</v>
      </c>
      <c r="M1409" s="3" t="s">
        <v>58</v>
      </c>
      <c r="N1409" s="3"/>
      <c r="O1409" s="3"/>
      <c r="P1409" s="3"/>
      <c r="Q1409" s="3"/>
    </row>
    <row r="1410" spans="1:17" ht="21" customHeight="1">
      <c r="A1410" s="3" t="s">
        <v>2075</v>
      </c>
      <c r="B1410" s="5">
        <v>45658</v>
      </c>
      <c r="C1410" s="3" t="s">
        <v>186</v>
      </c>
      <c r="D1410" s="3" t="s">
        <v>46</v>
      </c>
      <c r="E1410" s="3" t="s">
        <v>41</v>
      </c>
      <c r="F1410" s="3" t="s">
        <v>119</v>
      </c>
      <c r="G1410" s="3" t="s">
        <v>168</v>
      </c>
      <c r="H1410" s="3">
        <v>3</v>
      </c>
      <c r="I1410" s="7">
        <v>9595.08</v>
      </c>
      <c r="J1410" s="9">
        <v>0.2</v>
      </c>
      <c r="K1410" s="7">
        <v>23028.19</v>
      </c>
      <c r="L1410" s="7">
        <v>3503.18</v>
      </c>
      <c r="M1410" s="3" t="s">
        <v>57</v>
      </c>
      <c r="N1410" s="3"/>
      <c r="O1410" s="3"/>
      <c r="P1410" s="3"/>
      <c r="Q1410" s="3"/>
    </row>
    <row r="1411" spans="1:17" ht="21" customHeight="1">
      <c r="A1411" s="3" t="s">
        <v>2076</v>
      </c>
      <c r="B1411" s="5">
        <v>45658</v>
      </c>
      <c r="C1411" s="3" t="s">
        <v>2077</v>
      </c>
      <c r="D1411" s="3" t="s">
        <v>46</v>
      </c>
      <c r="E1411" s="3" t="s">
        <v>40</v>
      </c>
      <c r="F1411" s="3" t="s">
        <v>102</v>
      </c>
      <c r="G1411" s="3" t="s">
        <v>103</v>
      </c>
      <c r="H1411" s="3">
        <v>2</v>
      </c>
      <c r="I1411" s="7">
        <v>6558.9</v>
      </c>
      <c r="J1411" s="9">
        <v>0.05</v>
      </c>
      <c r="K1411" s="7">
        <v>12461.91</v>
      </c>
      <c r="L1411" s="7">
        <v>3764.18</v>
      </c>
      <c r="M1411" s="3" t="s">
        <v>57</v>
      </c>
      <c r="N1411" s="3"/>
      <c r="O1411" s="3"/>
      <c r="P1411" s="3"/>
      <c r="Q1411" s="3"/>
    </row>
    <row r="1412" spans="1:17" ht="21" customHeight="1">
      <c r="A1412" s="3" t="s">
        <v>2078</v>
      </c>
      <c r="B1412" s="5">
        <v>45658</v>
      </c>
      <c r="C1412" s="3" t="s">
        <v>739</v>
      </c>
      <c r="D1412" s="3" t="s">
        <v>45</v>
      </c>
      <c r="E1412" s="3" t="s">
        <v>40</v>
      </c>
      <c r="F1412" s="3" t="s">
        <v>160</v>
      </c>
      <c r="G1412" s="3" t="s">
        <v>161</v>
      </c>
      <c r="H1412" s="3">
        <v>1</v>
      </c>
      <c r="I1412" s="7">
        <v>12552.99</v>
      </c>
      <c r="J1412" s="9">
        <v>0</v>
      </c>
      <c r="K1412" s="7">
        <v>12552.99</v>
      </c>
      <c r="L1412" s="7">
        <v>3685.72</v>
      </c>
      <c r="M1412" s="3" t="s">
        <v>60</v>
      </c>
      <c r="N1412" s="3"/>
      <c r="O1412" s="3"/>
      <c r="P1412" s="3"/>
      <c r="Q1412" s="3"/>
    </row>
    <row r="1413" spans="1:17" ht="21" customHeight="1">
      <c r="A1413" s="3" t="s">
        <v>2079</v>
      </c>
      <c r="B1413" s="5">
        <v>45658</v>
      </c>
      <c r="C1413" s="3" t="s">
        <v>1013</v>
      </c>
      <c r="D1413" s="3" t="s">
        <v>45</v>
      </c>
      <c r="E1413" s="3" t="s">
        <v>40</v>
      </c>
      <c r="F1413" s="3" t="s">
        <v>102</v>
      </c>
      <c r="G1413" s="3" t="s">
        <v>103</v>
      </c>
      <c r="H1413" s="3">
        <v>3</v>
      </c>
      <c r="I1413" s="7">
        <v>6306.18</v>
      </c>
      <c r="J1413" s="9">
        <v>0.25</v>
      </c>
      <c r="K1413" s="7">
        <v>14188.91</v>
      </c>
      <c r="L1413" s="7">
        <v>397.17</v>
      </c>
      <c r="M1413" s="3" t="s">
        <v>58</v>
      </c>
      <c r="N1413" s="3"/>
      <c r="O1413" s="3"/>
      <c r="P1413" s="3"/>
      <c r="Q1413" s="3"/>
    </row>
    <row r="1414" spans="1:17" ht="21" customHeight="1">
      <c r="A1414" s="3" t="s">
        <v>2080</v>
      </c>
      <c r="B1414" s="5">
        <v>45658</v>
      </c>
      <c r="C1414" s="3" t="s">
        <v>444</v>
      </c>
      <c r="D1414" s="3" t="s">
        <v>47</v>
      </c>
      <c r="E1414" s="3" t="s">
        <v>38</v>
      </c>
      <c r="F1414" s="3" t="s">
        <v>142</v>
      </c>
      <c r="G1414" s="3" t="s">
        <v>245</v>
      </c>
      <c r="H1414" s="3">
        <v>2</v>
      </c>
      <c r="I1414" s="7">
        <v>4788.24</v>
      </c>
      <c r="J1414" s="9">
        <v>0.05</v>
      </c>
      <c r="K1414" s="7">
        <v>9097.66</v>
      </c>
      <c r="L1414" s="7">
        <v>1234.96</v>
      </c>
      <c r="M1414" s="3" t="s">
        <v>56</v>
      </c>
      <c r="N1414" s="3"/>
      <c r="O1414" s="3"/>
      <c r="P1414" s="3"/>
      <c r="Q1414" s="3"/>
    </row>
    <row r="1415" spans="1:17" ht="21" customHeight="1">
      <c r="A1415" s="3" t="s">
        <v>2081</v>
      </c>
      <c r="B1415" s="5">
        <v>45659</v>
      </c>
      <c r="C1415" s="3" t="s">
        <v>686</v>
      </c>
      <c r="D1415" s="3" t="s">
        <v>47</v>
      </c>
      <c r="E1415" s="3" t="s">
        <v>38</v>
      </c>
      <c r="F1415" s="3" t="s">
        <v>142</v>
      </c>
      <c r="G1415" s="3" t="s">
        <v>143</v>
      </c>
      <c r="H1415" s="3">
        <v>1</v>
      </c>
      <c r="I1415" s="7">
        <v>8761.5300000000007</v>
      </c>
      <c r="J1415" s="9">
        <v>0.05</v>
      </c>
      <c r="K1415" s="7">
        <v>8323.4500000000007</v>
      </c>
      <c r="L1415" s="7">
        <v>928.19</v>
      </c>
      <c r="M1415" s="3" t="s">
        <v>56</v>
      </c>
      <c r="N1415" s="3"/>
      <c r="O1415" s="3"/>
      <c r="P1415" s="3"/>
      <c r="Q1415" s="3"/>
    </row>
    <row r="1416" spans="1:17" ht="21" customHeight="1">
      <c r="A1416" s="3" t="s">
        <v>2082</v>
      </c>
      <c r="B1416" s="5">
        <v>45659</v>
      </c>
      <c r="C1416" s="3" t="s">
        <v>285</v>
      </c>
      <c r="D1416" s="3" t="s">
        <v>47</v>
      </c>
      <c r="E1416" s="3" t="s">
        <v>38</v>
      </c>
      <c r="F1416" s="3" t="s">
        <v>142</v>
      </c>
      <c r="G1416" s="3" t="s">
        <v>143</v>
      </c>
      <c r="H1416" s="3">
        <v>3</v>
      </c>
      <c r="I1416" s="7">
        <v>8605.2099999999991</v>
      </c>
      <c r="J1416" s="9">
        <v>0.2</v>
      </c>
      <c r="K1416" s="7">
        <v>20652.5</v>
      </c>
      <c r="L1416" s="7">
        <v>-369.97</v>
      </c>
      <c r="M1416" s="3" t="s">
        <v>56</v>
      </c>
      <c r="N1416" s="3"/>
      <c r="O1416" s="3"/>
      <c r="P1416" s="3"/>
      <c r="Q1416" s="3"/>
    </row>
    <row r="1417" spans="1:17" ht="21" customHeight="1">
      <c r="A1417" s="3" t="s">
        <v>2083</v>
      </c>
      <c r="B1417" s="5">
        <v>45659</v>
      </c>
      <c r="C1417" s="3" t="s">
        <v>1859</v>
      </c>
      <c r="D1417" s="3" t="s">
        <v>47</v>
      </c>
      <c r="E1417" s="3" t="s">
        <v>40</v>
      </c>
      <c r="F1417" s="3" t="s">
        <v>102</v>
      </c>
      <c r="G1417" s="3" t="s">
        <v>146</v>
      </c>
      <c r="H1417" s="3">
        <v>4</v>
      </c>
      <c r="I1417" s="7">
        <v>7868.46</v>
      </c>
      <c r="J1417" s="9">
        <v>0.4</v>
      </c>
      <c r="K1417" s="7">
        <v>18884.3</v>
      </c>
      <c r="L1417" s="7">
        <v>-2280.66</v>
      </c>
      <c r="M1417" s="3" t="s">
        <v>60</v>
      </c>
      <c r="N1417" s="3"/>
      <c r="O1417" s="3"/>
      <c r="P1417" s="3"/>
      <c r="Q1417" s="3"/>
    </row>
    <row r="1418" spans="1:17" ht="21" customHeight="1">
      <c r="A1418" s="3" t="s">
        <v>2084</v>
      </c>
      <c r="B1418" s="5">
        <v>45659</v>
      </c>
      <c r="C1418" s="3" t="s">
        <v>722</v>
      </c>
      <c r="D1418" s="3" t="s">
        <v>44</v>
      </c>
      <c r="E1418" s="3" t="s">
        <v>40</v>
      </c>
      <c r="F1418" s="3" t="s">
        <v>221</v>
      </c>
      <c r="G1418" s="3" t="s">
        <v>279</v>
      </c>
      <c r="H1418" s="3">
        <v>4</v>
      </c>
      <c r="I1418" s="7">
        <v>1505.42</v>
      </c>
      <c r="J1418" s="9">
        <v>0.05</v>
      </c>
      <c r="K1418" s="7">
        <v>5720.6</v>
      </c>
      <c r="L1418" s="7">
        <v>1652.58</v>
      </c>
      <c r="M1418" s="3" t="s">
        <v>57</v>
      </c>
      <c r="N1418" s="3"/>
      <c r="O1418" s="3"/>
      <c r="P1418" s="3"/>
      <c r="Q1418" s="3"/>
    </row>
    <row r="1419" spans="1:17" ht="21" customHeight="1">
      <c r="A1419" s="3" t="s">
        <v>2085</v>
      </c>
      <c r="B1419" s="5">
        <v>45660</v>
      </c>
      <c r="C1419" s="3" t="s">
        <v>1278</v>
      </c>
      <c r="D1419" s="3" t="s">
        <v>44</v>
      </c>
      <c r="E1419" s="3" t="s">
        <v>38</v>
      </c>
      <c r="F1419" s="3" t="s">
        <v>94</v>
      </c>
      <c r="G1419" s="3" t="s">
        <v>95</v>
      </c>
      <c r="H1419" s="3">
        <v>1</v>
      </c>
      <c r="I1419" s="7">
        <v>80676.33</v>
      </c>
      <c r="J1419" s="9">
        <v>0</v>
      </c>
      <c r="K1419" s="7">
        <v>80676.33</v>
      </c>
      <c r="L1419" s="7">
        <v>15016.46</v>
      </c>
      <c r="M1419" s="3" t="s">
        <v>57</v>
      </c>
      <c r="N1419" s="3"/>
      <c r="O1419" s="3"/>
      <c r="P1419" s="3"/>
      <c r="Q1419" s="3"/>
    </row>
    <row r="1420" spans="1:17" ht="21" customHeight="1">
      <c r="A1420" s="3" t="s">
        <v>2086</v>
      </c>
      <c r="B1420" s="5">
        <v>45661</v>
      </c>
      <c r="C1420" s="3" t="s">
        <v>2087</v>
      </c>
      <c r="D1420" s="3" t="s">
        <v>45</v>
      </c>
      <c r="E1420" s="3" t="s">
        <v>38</v>
      </c>
      <c r="F1420" s="3" t="s">
        <v>94</v>
      </c>
      <c r="G1420" s="3" t="s">
        <v>213</v>
      </c>
      <c r="H1420" s="3">
        <v>2</v>
      </c>
      <c r="I1420" s="7">
        <v>54784.75</v>
      </c>
      <c r="J1420" s="9">
        <v>0</v>
      </c>
      <c r="K1420" s="7">
        <v>109569.5</v>
      </c>
      <c r="L1420" s="7">
        <v>21416.74</v>
      </c>
      <c r="M1420" s="3" t="s">
        <v>56</v>
      </c>
      <c r="N1420" s="3"/>
      <c r="O1420" s="3"/>
      <c r="P1420" s="3"/>
      <c r="Q1420" s="3"/>
    </row>
    <row r="1421" spans="1:17" ht="21" customHeight="1">
      <c r="A1421" s="3" t="s">
        <v>2088</v>
      </c>
      <c r="B1421" s="5">
        <v>45661</v>
      </c>
      <c r="C1421" s="3" t="s">
        <v>1167</v>
      </c>
      <c r="D1421" s="3" t="s">
        <v>47</v>
      </c>
      <c r="E1421" s="3" t="s">
        <v>39</v>
      </c>
      <c r="F1421" s="3" t="s">
        <v>130</v>
      </c>
      <c r="G1421" s="3" t="s">
        <v>131</v>
      </c>
      <c r="H1421" s="3">
        <v>1</v>
      </c>
      <c r="I1421" s="7">
        <v>2203.83</v>
      </c>
      <c r="J1421" s="9">
        <v>0.3</v>
      </c>
      <c r="K1421" s="7">
        <v>1542.68</v>
      </c>
      <c r="L1421" s="7">
        <v>122.99</v>
      </c>
      <c r="M1421" s="3" t="s">
        <v>56</v>
      </c>
      <c r="N1421" s="3"/>
      <c r="O1421" s="3"/>
      <c r="P1421" s="3"/>
      <c r="Q1421" s="3"/>
    </row>
    <row r="1422" spans="1:17" ht="21" customHeight="1">
      <c r="A1422" s="3" t="s">
        <v>2089</v>
      </c>
      <c r="B1422" s="5">
        <v>45662</v>
      </c>
      <c r="C1422" s="3" t="s">
        <v>295</v>
      </c>
      <c r="D1422" s="3" t="s">
        <v>45</v>
      </c>
      <c r="E1422" s="3" t="s">
        <v>41</v>
      </c>
      <c r="F1422" s="3" t="s">
        <v>113</v>
      </c>
      <c r="G1422" s="3" t="s">
        <v>114</v>
      </c>
      <c r="H1422" s="3">
        <v>4</v>
      </c>
      <c r="I1422" s="7">
        <v>11447.74</v>
      </c>
      <c r="J1422" s="9">
        <v>0.2</v>
      </c>
      <c r="K1422" s="7">
        <v>36632.769999999997</v>
      </c>
      <c r="L1422" s="7">
        <v>4714.9799999999996</v>
      </c>
      <c r="M1422" s="3" t="s">
        <v>56</v>
      </c>
      <c r="N1422" s="3"/>
      <c r="O1422" s="3"/>
      <c r="P1422" s="3"/>
      <c r="Q1422" s="3"/>
    </row>
    <row r="1423" spans="1:17" ht="21" customHeight="1">
      <c r="A1423" s="3" t="s">
        <v>2090</v>
      </c>
      <c r="B1423" s="5">
        <v>45662</v>
      </c>
      <c r="C1423" s="3" t="s">
        <v>234</v>
      </c>
      <c r="D1423" s="3" t="s">
        <v>46</v>
      </c>
      <c r="E1423" s="3" t="s">
        <v>42</v>
      </c>
      <c r="F1423" s="3" t="s">
        <v>126</v>
      </c>
      <c r="G1423" s="3" t="s">
        <v>151</v>
      </c>
      <c r="H1423" s="3">
        <v>3</v>
      </c>
      <c r="I1423" s="7">
        <v>1552.4</v>
      </c>
      <c r="J1423" s="9">
        <v>0.05</v>
      </c>
      <c r="K1423" s="7">
        <v>4424.34</v>
      </c>
      <c r="L1423" s="7">
        <v>2097.42</v>
      </c>
      <c r="M1423" s="3" t="s">
        <v>57</v>
      </c>
      <c r="N1423" s="3"/>
      <c r="O1423" s="3"/>
      <c r="P1423" s="3"/>
      <c r="Q1423" s="3"/>
    </row>
    <row r="1424" spans="1:17" ht="21" customHeight="1">
      <c r="A1424" s="3" t="s">
        <v>2091</v>
      </c>
      <c r="B1424" s="5">
        <v>45662</v>
      </c>
      <c r="C1424" s="3" t="s">
        <v>135</v>
      </c>
      <c r="D1424" s="3" t="s">
        <v>44</v>
      </c>
      <c r="E1424" s="3" t="s">
        <v>42</v>
      </c>
      <c r="F1424" s="3" t="s">
        <v>126</v>
      </c>
      <c r="G1424" s="3" t="s">
        <v>127</v>
      </c>
      <c r="H1424" s="3">
        <v>3</v>
      </c>
      <c r="I1424" s="7">
        <v>1012.8</v>
      </c>
      <c r="J1424" s="9">
        <v>0</v>
      </c>
      <c r="K1424" s="7">
        <v>3038.4</v>
      </c>
      <c r="L1424" s="7">
        <v>1570.59</v>
      </c>
      <c r="M1424" s="3" t="s">
        <v>56</v>
      </c>
      <c r="N1424" s="3"/>
      <c r="O1424" s="3"/>
      <c r="P1424" s="3"/>
      <c r="Q1424" s="3"/>
    </row>
    <row r="1425" spans="1:17" ht="21" customHeight="1">
      <c r="A1425" s="3" t="s">
        <v>2092</v>
      </c>
      <c r="B1425" s="5">
        <v>45664</v>
      </c>
      <c r="C1425" s="3" t="s">
        <v>238</v>
      </c>
      <c r="D1425" s="3" t="s">
        <v>47</v>
      </c>
      <c r="E1425" s="3" t="s">
        <v>38</v>
      </c>
      <c r="F1425" s="3" t="s">
        <v>98</v>
      </c>
      <c r="G1425" s="3" t="s">
        <v>182</v>
      </c>
      <c r="H1425" s="3">
        <v>3</v>
      </c>
      <c r="I1425" s="7">
        <v>69981.600000000006</v>
      </c>
      <c r="J1425" s="9">
        <v>0.25</v>
      </c>
      <c r="K1425" s="7">
        <v>157458.6</v>
      </c>
      <c r="L1425" s="7">
        <v>-21212.7</v>
      </c>
      <c r="M1425" s="3" t="s">
        <v>56</v>
      </c>
      <c r="N1425" s="3"/>
      <c r="O1425" s="3"/>
      <c r="P1425" s="3"/>
      <c r="Q1425" s="3"/>
    </row>
    <row r="1426" spans="1:17" ht="21" customHeight="1">
      <c r="A1426" s="3" t="s">
        <v>2093</v>
      </c>
      <c r="B1426" s="5">
        <v>45664</v>
      </c>
      <c r="C1426" s="3" t="s">
        <v>1555</v>
      </c>
      <c r="D1426" s="3" t="s">
        <v>46</v>
      </c>
      <c r="E1426" s="3" t="s">
        <v>38</v>
      </c>
      <c r="F1426" s="3" t="s">
        <v>98</v>
      </c>
      <c r="G1426" s="3" t="s">
        <v>362</v>
      </c>
      <c r="H1426" s="3">
        <v>1</v>
      </c>
      <c r="I1426" s="7">
        <v>32806.01</v>
      </c>
      <c r="J1426" s="9">
        <v>0</v>
      </c>
      <c r="K1426" s="7">
        <v>32806.01</v>
      </c>
      <c r="L1426" s="7">
        <v>5920.56</v>
      </c>
      <c r="M1426" s="3" t="s">
        <v>56</v>
      </c>
      <c r="N1426" s="3"/>
      <c r="O1426" s="3"/>
      <c r="P1426" s="3"/>
      <c r="Q1426" s="3"/>
    </row>
    <row r="1427" spans="1:17" ht="21" customHeight="1">
      <c r="A1427" s="3" t="s">
        <v>2094</v>
      </c>
      <c r="B1427" s="5">
        <v>45664</v>
      </c>
      <c r="C1427" s="3" t="s">
        <v>192</v>
      </c>
      <c r="D1427" s="3" t="s">
        <v>46</v>
      </c>
      <c r="E1427" s="3" t="s">
        <v>40</v>
      </c>
      <c r="F1427" s="3" t="s">
        <v>160</v>
      </c>
      <c r="G1427" s="3" t="s">
        <v>161</v>
      </c>
      <c r="H1427" s="3">
        <v>3</v>
      </c>
      <c r="I1427" s="7">
        <v>12453.7</v>
      </c>
      <c r="J1427" s="9">
        <v>0.1</v>
      </c>
      <c r="K1427" s="7">
        <v>33624.99</v>
      </c>
      <c r="L1427" s="7">
        <v>6596.77</v>
      </c>
      <c r="M1427" s="3" t="s">
        <v>56</v>
      </c>
      <c r="N1427" s="3"/>
      <c r="O1427" s="3"/>
      <c r="P1427" s="3"/>
      <c r="Q1427" s="3"/>
    </row>
    <row r="1428" spans="1:17" ht="21" customHeight="1">
      <c r="A1428" s="3" t="s">
        <v>2095</v>
      </c>
      <c r="B1428" s="5">
        <v>45665</v>
      </c>
      <c r="C1428" s="3" t="s">
        <v>1731</v>
      </c>
      <c r="D1428" s="3" t="s">
        <v>45</v>
      </c>
      <c r="E1428" s="3" t="s">
        <v>42</v>
      </c>
      <c r="F1428" s="3" t="s">
        <v>126</v>
      </c>
      <c r="G1428" s="3" t="s">
        <v>127</v>
      </c>
      <c r="H1428" s="3">
        <v>3</v>
      </c>
      <c r="I1428" s="7">
        <v>1045.19</v>
      </c>
      <c r="J1428" s="9">
        <v>0.15</v>
      </c>
      <c r="K1428" s="7">
        <v>2665.23</v>
      </c>
      <c r="L1428" s="7">
        <v>959.59</v>
      </c>
      <c r="M1428" s="3" t="s">
        <v>60</v>
      </c>
      <c r="N1428" s="3"/>
      <c r="O1428" s="3"/>
      <c r="P1428" s="3"/>
      <c r="Q1428" s="3"/>
    </row>
    <row r="1429" spans="1:17" ht="21" customHeight="1">
      <c r="A1429" s="3" t="s">
        <v>2096</v>
      </c>
      <c r="B1429" s="5">
        <v>45665</v>
      </c>
      <c r="C1429" s="3" t="s">
        <v>218</v>
      </c>
      <c r="D1429" s="3" t="s">
        <v>44</v>
      </c>
      <c r="E1429" s="3" t="s">
        <v>39</v>
      </c>
      <c r="F1429" s="3" t="s">
        <v>109</v>
      </c>
      <c r="G1429" s="3" t="s">
        <v>110</v>
      </c>
      <c r="H1429" s="3">
        <v>2</v>
      </c>
      <c r="I1429" s="7">
        <v>2969.7</v>
      </c>
      <c r="J1429" s="9">
        <v>0.2</v>
      </c>
      <c r="K1429" s="7">
        <v>4751.5200000000004</v>
      </c>
      <c r="L1429" s="7">
        <v>762.79</v>
      </c>
      <c r="M1429" s="3" t="s">
        <v>57</v>
      </c>
      <c r="N1429" s="3"/>
      <c r="O1429" s="3"/>
      <c r="P1429" s="3"/>
      <c r="Q1429" s="3"/>
    </row>
    <row r="1430" spans="1:17" ht="21" customHeight="1">
      <c r="A1430" s="3" t="s">
        <v>2097</v>
      </c>
      <c r="B1430" s="5">
        <v>45665</v>
      </c>
      <c r="C1430" s="3" t="s">
        <v>1479</v>
      </c>
      <c r="D1430" s="3" t="s">
        <v>47</v>
      </c>
      <c r="E1430" s="3" t="s">
        <v>39</v>
      </c>
      <c r="F1430" s="3" t="s">
        <v>130</v>
      </c>
      <c r="G1430" s="3" t="s">
        <v>131</v>
      </c>
      <c r="H1430" s="3">
        <v>1</v>
      </c>
      <c r="I1430" s="7">
        <v>2169.6799999999998</v>
      </c>
      <c r="J1430" s="9">
        <v>0.1</v>
      </c>
      <c r="K1430" s="7">
        <v>1952.71</v>
      </c>
      <c r="L1430" s="7">
        <v>542.69000000000005</v>
      </c>
      <c r="M1430" s="3" t="s">
        <v>56</v>
      </c>
      <c r="N1430" s="3"/>
      <c r="O1430" s="3"/>
      <c r="P1430" s="3"/>
      <c r="Q1430" s="3"/>
    </row>
    <row r="1431" spans="1:17" ht="21" customHeight="1">
      <c r="A1431" s="3" t="s">
        <v>2098</v>
      </c>
      <c r="B1431" s="5">
        <v>45666</v>
      </c>
      <c r="C1431" s="3" t="s">
        <v>756</v>
      </c>
      <c r="D1431" s="3" t="s">
        <v>44</v>
      </c>
      <c r="E1431" s="3" t="s">
        <v>40</v>
      </c>
      <c r="F1431" s="3" t="s">
        <v>102</v>
      </c>
      <c r="G1431" s="3" t="s">
        <v>103</v>
      </c>
      <c r="H1431" s="3">
        <v>3</v>
      </c>
      <c r="I1431" s="7">
        <v>6222.99</v>
      </c>
      <c r="J1431" s="9">
        <v>0.05</v>
      </c>
      <c r="K1431" s="7">
        <v>17735.52</v>
      </c>
      <c r="L1431" s="7">
        <v>5193.53</v>
      </c>
      <c r="M1431" s="3" t="s">
        <v>57</v>
      </c>
      <c r="N1431" s="3"/>
      <c r="O1431" s="3"/>
      <c r="P1431" s="3"/>
      <c r="Q1431" s="3"/>
    </row>
    <row r="1432" spans="1:17" ht="21" customHeight="1">
      <c r="A1432" s="3" t="s">
        <v>2099</v>
      </c>
      <c r="B1432" s="5">
        <v>45666</v>
      </c>
      <c r="C1432" s="3" t="s">
        <v>1707</v>
      </c>
      <c r="D1432" s="3" t="s">
        <v>44</v>
      </c>
      <c r="E1432" s="3" t="s">
        <v>38</v>
      </c>
      <c r="F1432" s="3" t="s">
        <v>94</v>
      </c>
      <c r="G1432" s="3" t="s">
        <v>95</v>
      </c>
      <c r="H1432" s="3">
        <v>1</v>
      </c>
      <c r="I1432" s="7">
        <v>79496.710000000006</v>
      </c>
      <c r="J1432" s="9">
        <v>0.05</v>
      </c>
      <c r="K1432" s="7">
        <v>75521.87</v>
      </c>
      <c r="L1432" s="7">
        <v>7655.21</v>
      </c>
      <c r="M1432" s="3" t="s">
        <v>56</v>
      </c>
      <c r="N1432" s="3"/>
      <c r="O1432" s="3"/>
      <c r="P1432" s="3"/>
      <c r="Q1432" s="3"/>
    </row>
    <row r="1433" spans="1:17" ht="21" customHeight="1">
      <c r="A1433" s="3" t="s">
        <v>2100</v>
      </c>
      <c r="B1433" s="5">
        <v>45666</v>
      </c>
      <c r="C1433" s="3" t="s">
        <v>579</v>
      </c>
      <c r="D1433" s="3" t="s">
        <v>46</v>
      </c>
      <c r="E1433" s="3" t="s">
        <v>41</v>
      </c>
      <c r="F1433" s="3" t="s">
        <v>119</v>
      </c>
      <c r="G1433" s="3" t="s">
        <v>120</v>
      </c>
      <c r="H1433" s="3">
        <v>2</v>
      </c>
      <c r="I1433" s="7">
        <v>1263.1400000000001</v>
      </c>
      <c r="J1433" s="9">
        <v>0</v>
      </c>
      <c r="K1433" s="7">
        <v>2526.2800000000002</v>
      </c>
      <c r="L1433" s="7">
        <v>929.53</v>
      </c>
      <c r="M1433" s="3" t="s">
        <v>56</v>
      </c>
      <c r="N1433" s="3"/>
      <c r="O1433" s="3"/>
      <c r="P1433" s="3"/>
      <c r="Q1433" s="3"/>
    </row>
    <row r="1434" spans="1:17" ht="21" customHeight="1">
      <c r="A1434" s="3" t="s">
        <v>2101</v>
      </c>
      <c r="B1434" s="5">
        <v>45667</v>
      </c>
      <c r="C1434" s="3" t="s">
        <v>1299</v>
      </c>
      <c r="D1434" s="3" t="s">
        <v>44</v>
      </c>
      <c r="E1434" s="3" t="s">
        <v>40</v>
      </c>
      <c r="F1434" s="3" t="s">
        <v>160</v>
      </c>
      <c r="G1434" s="3" t="s">
        <v>161</v>
      </c>
      <c r="H1434" s="3">
        <v>1</v>
      </c>
      <c r="I1434" s="7">
        <v>13518.53</v>
      </c>
      <c r="J1434" s="9">
        <v>0.1</v>
      </c>
      <c r="K1434" s="7">
        <v>12166.68</v>
      </c>
      <c r="L1434" s="7">
        <v>3002.97</v>
      </c>
      <c r="M1434" s="3" t="s">
        <v>60</v>
      </c>
      <c r="N1434" s="3"/>
      <c r="O1434" s="3"/>
      <c r="P1434" s="3"/>
      <c r="Q1434" s="3"/>
    </row>
    <row r="1435" spans="1:17" ht="21" customHeight="1">
      <c r="A1435" s="3" t="s">
        <v>2102</v>
      </c>
      <c r="B1435" s="5">
        <v>45667</v>
      </c>
      <c r="C1435" s="3" t="s">
        <v>1835</v>
      </c>
      <c r="D1435" s="3" t="s">
        <v>45</v>
      </c>
      <c r="E1435" s="3" t="s">
        <v>41</v>
      </c>
      <c r="F1435" s="3" t="s">
        <v>119</v>
      </c>
      <c r="G1435" s="3" t="s">
        <v>120</v>
      </c>
      <c r="H1435" s="3">
        <v>2</v>
      </c>
      <c r="I1435" s="7">
        <v>1260.42</v>
      </c>
      <c r="J1435" s="9">
        <v>0.15</v>
      </c>
      <c r="K1435" s="7">
        <v>2142.71</v>
      </c>
      <c r="L1435" s="7">
        <v>379.22</v>
      </c>
      <c r="M1435" s="3" t="s">
        <v>57</v>
      </c>
      <c r="N1435" s="3"/>
      <c r="O1435" s="3"/>
      <c r="P1435" s="3"/>
      <c r="Q1435" s="3"/>
    </row>
    <row r="1436" spans="1:17" ht="21" customHeight="1">
      <c r="A1436" s="3" t="s">
        <v>2103</v>
      </c>
      <c r="B1436" s="5">
        <v>45668</v>
      </c>
      <c r="C1436" s="3" t="s">
        <v>750</v>
      </c>
      <c r="D1436" s="3" t="s">
        <v>44</v>
      </c>
      <c r="E1436" s="3" t="s">
        <v>38</v>
      </c>
      <c r="F1436" s="3" t="s">
        <v>94</v>
      </c>
      <c r="G1436" s="3" t="s">
        <v>95</v>
      </c>
      <c r="H1436" s="3">
        <v>1</v>
      </c>
      <c r="I1436" s="7">
        <v>76729.67</v>
      </c>
      <c r="J1436" s="9">
        <v>0.1</v>
      </c>
      <c r="K1436" s="7">
        <v>69056.7</v>
      </c>
      <c r="L1436" s="7">
        <v>5354.58</v>
      </c>
      <c r="M1436" s="3" t="s">
        <v>56</v>
      </c>
      <c r="N1436" s="3"/>
      <c r="O1436" s="3"/>
      <c r="P1436" s="3"/>
      <c r="Q1436" s="3"/>
    </row>
    <row r="1437" spans="1:17" ht="21" customHeight="1">
      <c r="A1437" s="3" t="s">
        <v>2104</v>
      </c>
      <c r="B1437" s="5">
        <v>45668</v>
      </c>
      <c r="C1437" s="3" t="s">
        <v>1142</v>
      </c>
      <c r="D1437" s="3" t="s">
        <v>47</v>
      </c>
      <c r="E1437" s="3" t="s">
        <v>41</v>
      </c>
      <c r="F1437" s="3" t="s">
        <v>119</v>
      </c>
      <c r="G1437" s="3" t="s">
        <v>168</v>
      </c>
      <c r="H1437" s="3">
        <v>1</v>
      </c>
      <c r="I1437" s="7">
        <v>9687.82</v>
      </c>
      <c r="J1437" s="9">
        <v>0.2</v>
      </c>
      <c r="K1437" s="7">
        <v>7750.26</v>
      </c>
      <c r="L1437" s="7">
        <v>895.69</v>
      </c>
      <c r="M1437" s="3" t="s">
        <v>57</v>
      </c>
      <c r="N1437" s="3"/>
      <c r="O1437" s="3"/>
      <c r="P1437" s="3"/>
      <c r="Q1437" s="3"/>
    </row>
    <row r="1438" spans="1:17" ht="21" customHeight="1">
      <c r="A1438" s="3" t="s">
        <v>2105</v>
      </c>
      <c r="B1438" s="5">
        <v>45669</v>
      </c>
      <c r="C1438" s="3" t="s">
        <v>2106</v>
      </c>
      <c r="D1438" s="3" t="s">
        <v>47</v>
      </c>
      <c r="E1438" s="3" t="s">
        <v>41</v>
      </c>
      <c r="F1438" s="3" t="s">
        <v>113</v>
      </c>
      <c r="G1438" s="3" t="s">
        <v>114</v>
      </c>
      <c r="H1438" s="3">
        <v>1</v>
      </c>
      <c r="I1438" s="7">
        <v>11847.41</v>
      </c>
      <c r="J1438" s="9">
        <v>0.25</v>
      </c>
      <c r="K1438" s="7">
        <v>8885.56</v>
      </c>
      <c r="L1438" s="7">
        <v>673.07</v>
      </c>
      <c r="M1438" s="3" t="s">
        <v>56</v>
      </c>
      <c r="N1438" s="3"/>
      <c r="O1438" s="3"/>
      <c r="P1438" s="3"/>
      <c r="Q1438" s="3"/>
    </row>
    <row r="1439" spans="1:17" ht="21" customHeight="1">
      <c r="A1439" s="3" t="s">
        <v>2107</v>
      </c>
      <c r="B1439" s="5">
        <v>45669</v>
      </c>
      <c r="C1439" s="3" t="s">
        <v>1232</v>
      </c>
      <c r="D1439" s="3" t="s">
        <v>46</v>
      </c>
      <c r="E1439" s="3" t="s">
        <v>40</v>
      </c>
      <c r="F1439" s="3" t="s">
        <v>102</v>
      </c>
      <c r="G1439" s="3" t="s">
        <v>103</v>
      </c>
      <c r="H1439" s="3">
        <v>1</v>
      </c>
      <c r="I1439" s="7">
        <v>6412.1</v>
      </c>
      <c r="J1439" s="9">
        <v>0</v>
      </c>
      <c r="K1439" s="7">
        <v>6412.1</v>
      </c>
      <c r="L1439" s="7">
        <v>2123.85</v>
      </c>
      <c r="M1439" s="3" t="s">
        <v>56</v>
      </c>
      <c r="N1439" s="3"/>
      <c r="O1439" s="3"/>
      <c r="P1439" s="3"/>
      <c r="Q1439" s="3"/>
    </row>
    <row r="1440" spans="1:17" ht="21" customHeight="1">
      <c r="A1440" s="3" t="s">
        <v>2108</v>
      </c>
      <c r="B1440" s="5">
        <v>45669</v>
      </c>
      <c r="C1440" s="3" t="s">
        <v>1451</v>
      </c>
      <c r="D1440" s="3" t="s">
        <v>44</v>
      </c>
      <c r="E1440" s="3" t="s">
        <v>40</v>
      </c>
      <c r="F1440" s="3" t="s">
        <v>160</v>
      </c>
      <c r="G1440" s="3" t="s">
        <v>161</v>
      </c>
      <c r="H1440" s="3">
        <v>1</v>
      </c>
      <c r="I1440" s="7">
        <v>13455.37</v>
      </c>
      <c r="J1440" s="9">
        <v>0.1</v>
      </c>
      <c r="K1440" s="7">
        <v>12109.83</v>
      </c>
      <c r="L1440" s="7">
        <v>2408.96</v>
      </c>
      <c r="M1440" s="3" t="s">
        <v>57</v>
      </c>
      <c r="N1440" s="3"/>
      <c r="O1440" s="3"/>
      <c r="P1440" s="3"/>
      <c r="Q1440" s="3"/>
    </row>
    <row r="1441" spans="1:17" ht="21" customHeight="1">
      <c r="A1441" s="3" t="s">
        <v>2109</v>
      </c>
      <c r="B1441" s="5">
        <v>45670</v>
      </c>
      <c r="C1441" s="3" t="s">
        <v>418</v>
      </c>
      <c r="D1441" s="3" t="s">
        <v>45</v>
      </c>
      <c r="E1441" s="3" t="s">
        <v>41</v>
      </c>
      <c r="F1441" s="3" t="s">
        <v>113</v>
      </c>
      <c r="G1441" s="3" t="s">
        <v>123</v>
      </c>
      <c r="H1441" s="3">
        <v>1</v>
      </c>
      <c r="I1441" s="7">
        <v>3521.04</v>
      </c>
      <c r="J1441" s="9">
        <v>0.1</v>
      </c>
      <c r="K1441" s="7">
        <v>3168.94</v>
      </c>
      <c r="L1441" s="7">
        <v>738.36</v>
      </c>
      <c r="M1441" s="3" t="s">
        <v>57</v>
      </c>
      <c r="N1441" s="3"/>
      <c r="O1441" s="3"/>
      <c r="P1441" s="3"/>
      <c r="Q1441" s="3"/>
    </row>
    <row r="1442" spans="1:17" ht="21" customHeight="1">
      <c r="A1442" s="3" t="s">
        <v>2110</v>
      </c>
      <c r="B1442" s="5">
        <v>45670</v>
      </c>
      <c r="C1442" s="3" t="s">
        <v>775</v>
      </c>
      <c r="D1442" s="3" t="s">
        <v>47</v>
      </c>
      <c r="E1442" s="3" t="s">
        <v>41</v>
      </c>
      <c r="F1442" s="3" t="s">
        <v>119</v>
      </c>
      <c r="G1442" s="3" t="s">
        <v>168</v>
      </c>
      <c r="H1442" s="3">
        <v>4</v>
      </c>
      <c r="I1442" s="7">
        <v>10445.56</v>
      </c>
      <c r="J1442" s="9">
        <v>0.3</v>
      </c>
      <c r="K1442" s="7">
        <v>29247.57</v>
      </c>
      <c r="L1442" s="7">
        <v>1179.92</v>
      </c>
      <c r="M1442" s="3" t="s">
        <v>60</v>
      </c>
      <c r="N1442" s="3"/>
      <c r="O1442" s="3"/>
      <c r="P1442" s="3"/>
      <c r="Q1442" s="3"/>
    </row>
    <row r="1443" spans="1:17" ht="21" customHeight="1">
      <c r="A1443" s="3" t="s">
        <v>2111</v>
      </c>
      <c r="B1443" s="5">
        <v>45670</v>
      </c>
      <c r="C1443" s="3" t="s">
        <v>1783</v>
      </c>
      <c r="D1443" s="3" t="s">
        <v>46</v>
      </c>
      <c r="E1443" s="3" t="s">
        <v>42</v>
      </c>
      <c r="F1443" s="3" t="s">
        <v>126</v>
      </c>
      <c r="G1443" s="3" t="s">
        <v>151</v>
      </c>
      <c r="H1443" s="3">
        <v>2</v>
      </c>
      <c r="I1443" s="7">
        <v>1452.87</v>
      </c>
      <c r="J1443" s="9">
        <v>0.3</v>
      </c>
      <c r="K1443" s="7">
        <v>2034.02</v>
      </c>
      <c r="L1443" s="7">
        <v>418.02</v>
      </c>
      <c r="M1443" s="3" t="s">
        <v>57</v>
      </c>
      <c r="N1443" s="3"/>
      <c r="O1443" s="3"/>
      <c r="P1443" s="3"/>
      <c r="Q1443" s="3"/>
    </row>
    <row r="1444" spans="1:17" ht="21" customHeight="1">
      <c r="A1444" s="3" t="s">
        <v>2112</v>
      </c>
      <c r="B1444" s="5">
        <v>45670</v>
      </c>
      <c r="C1444" s="3" t="s">
        <v>795</v>
      </c>
      <c r="D1444" s="3" t="s">
        <v>45</v>
      </c>
      <c r="E1444" s="3" t="s">
        <v>39</v>
      </c>
      <c r="F1444" s="3" t="s">
        <v>130</v>
      </c>
      <c r="G1444" s="3" t="s">
        <v>193</v>
      </c>
      <c r="H1444" s="3">
        <v>1</v>
      </c>
      <c r="I1444" s="7">
        <v>1721.1</v>
      </c>
      <c r="J1444" s="9">
        <v>0.1</v>
      </c>
      <c r="K1444" s="7">
        <v>1548.99</v>
      </c>
      <c r="L1444" s="7">
        <v>453.58</v>
      </c>
      <c r="M1444" s="3" t="s">
        <v>58</v>
      </c>
      <c r="N1444" s="3"/>
      <c r="O1444" s="3"/>
      <c r="P1444" s="3"/>
      <c r="Q1444" s="3"/>
    </row>
    <row r="1445" spans="1:17" ht="21" customHeight="1">
      <c r="A1445" s="3" t="s">
        <v>2113</v>
      </c>
      <c r="B1445" s="5">
        <v>45671</v>
      </c>
      <c r="C1445" s="3" t="s">
        <v>450</v>
      </c>
      <c r="D1445" s="3" t="s">
        <v>47</v>
      </c>
      <c r="E1445" s="3" t="s">
        <v>39</v>
      </c>
      <c r="F1445" s="3" t="s">
        <v>130</v>
      </c>
      <c r="G1445" s="3" t="s">
        <v>193</v>
      </c>
      <c r="H1445" s="3">
        <v>1</v>
      </c>
      <c r="I1445" s="7">
        <v>1841.13</v>
      </c>
      <c r="J1445" s="9">
        <v>0.15</v>
      </c>
      <c r="K1445" s="7">
        <v>1564.96</v>
      </c>
      <c r="L1445" s="7">
        <v>432.5</v>
      </c>
      <c r="M1445" s="3" t="s">
        <v>56</v>
      </c>
      <c r="N1445" s="3"/>
      <c r="O1445" s="3"/>
      <c r="P1445" s="3"/>
      <c r="Q1445" s="3"/>
    </row>
    <row r="1446" spans="1:17" ht="21" customHeight="1">
      <c r="A1446" s="3" t="s">
        <v>2114</v>
      </c>
      <c r="B1446" s="5">
        <v>45671</v>
      </c>
      <c r="C1446" s="3" t="s">
        <v>1099</v>
      </c>
      <c r="D1446" s="3" t="s">
        <v>45</v>
      </c>
      <c r="E1446" s="3" t="s">
        <v>38</v>
      </c>
      <c r="F1446" s="3" t="s">
        <v>142</v>
      </c>
      <c r="G1446" s="3" t="s">
        <v>143</v>
      </c>
      <c r="H1446" s="3">
        <v>4</v>
      </c>
      <c r="I1446" s="7">
        <v>8773.9699999999993</v>
      </c>
      <c r="J1446" s="9">
        <v>0.05</v>
      </c>
      <c r="K1446" s="7">
        <v>33341.089999999997</v>
      </c>
      <c r="L1446" s="7">
        <v>4269.1400000000003</v>
      </c>
      <c r="M1446" s="3" t="s">
        <v>56</v>
      </c>
      <c r="N1446" s="3"/>
      <c r="O1446" s="3"/>
      <c r="P1446" s="3"/>
      <c r="Q1446" s="3"/>
    </row>
    <row r="1447" spans="1:17" ht="21" customHeight="1">
      <c r="A1447" s="3" t="s">
        <v>2115</v>
      </c>
      <c r="B1447" s="5">
        <v>45671</v>
      </c>
      <c r="C1447" s="3" t="s">
        <v>910</v>
      </c>
      <c r="D1447" s="3" t="s">
        <v>45</v>
      </c>
      <c r="E1447" s="3" t="s">
        <v>42</v>
      </c>
      <c r="F1447" s="3" t="s">
        <v>90</v>
      </c>
      <c r="G1447" s="3" t="s">
        <v>91</v>
      </c>
      <c r="H1447" s="3">
        <v>3</v>
      </c>
      <c r="I1447" s="7">
        <v>1230.42</v>
      </c>
      <c r="J1447" s="9">
        <v>0.2</v>
      </c>
      <c r="K1447" s="7">
        <v>2953.01</v>
      </c>
      <c r="L1447" s="7">
        <v>920.9</v>
      </c>
      <c r="M1447" s="3" t="s">
        <v>59</v>
      </c>
      <c r="N1447" s="3"/>
      <c r="O1447" s="3"/>
      <c r="P1447" s="3"/>
      <c r="Q1447" s="3"/>
    </row>
    <row r="1448" spans="1:17" ht="21" customHeight="1">
      <c r="A1448" s="3" t="s">
        <v>2116</v>
      </c>
      <c r="B1448" s="5">
        <v>45671</v>
      </c>
      <c r="C1448" s="3" t="s">
        <v>2117</v>
      </c>
      <c r="D1448" s="3" t="s">
        <v>44</v>
      </c>
      <c r="E1448" s="3" t="s">
        <v>38</v>
      </c>
      <c r="F1448" s="3" t="s">
        <v>142</v>
      </c>
      <c r="G1448" s="3" t="s">
        <v>245</v>
      </c>
      <c r="H1448" s="3">
        <v>2</v>
      </c>
      <c r="I1448" s="7">
        <v>4867.8</v>
      </c>
      <c r="J1448" s="9">
        <v>0.15</v>
      </c>
      <c r="K1448" s="7">
        <v>8275.26</v>
      </c>
      <c r="L1448" s="7">
        <v>-105.88</v>
      </c>
      <c r="M1448" s="3" t="s">
        <v>56</v>
      </c>
      <c r="N1448" s="3"/>
      <c r="O1448" s="3"/>
      <c r="P1448" s="3"/>
      <c r="Q1448" s="3"/>
    </row>
    <row r="1449" spans="1:17" ht="21" customHeight="1">
      <c r="A1449" s="3" t="s">
        <v>2118</v>
      </c>
      <c r="B1449" s="5">
        <v>45672</v>
      </c>
      <c r="C1449" s="3" t="s">
        <v>2119</v>
      </c>
      <c r="D1449" s="3" t="s">
        <v>46</v>
      </c>
      <c r="E1449" s="3" t="s">
        <v>41</v>
      </c>
      <c r="F1449" s="3" t="s">
        <v>113</v>
      </c>
      <c r="G1449" s="3" t="s">
        <v>123</v>
      </c>
      <c r="H1449" s="3">
        <v>1</v>
      </c>
      <c r="I1449" s="7">
        <v>3427</v>
      </c>
      <c r="J1449" s="9">
        <v>0.05</v>
      </c>
      <c r="K1449" s="7">
        <v>3255.65</v>
      </c>
      <c r="L1449" s="7">
        <v>1159.8499999999999</v>
      </c>
      <c r="M1449" s="3" t="s">
        <v>57</v>
      </c>
      <c r="N1449" s="3"/>
      <c r="O1449" s="3"/>
      <c r="P1449" s="3"/>
      <c r="Q1449" s="3"/>
    </row>
    <row r="1450" spans="1:17" ht="21" customHeight="1">
      <c r="A1450" s="3" t="s">
        <v>2120</v>
      </c>
      <c r="B1450" s="5">
        <v>45673</v>
      </c>
      <c r="C1450" s="3" t="s">
        <v>295</v>
      </c>
      <c r="D1450" s="3" t="s">
        <v>46</v>
      </c>
      <c r="E1450" s="3" t="s">
        <v>41</v>
      </c>
      <c r="F1450" s="3" t="s">
        <v>119</v>
      </c>
      <c r="G1450" s="3" t="s">
        <v>168</v>
      </c>
      <c r="H1450" s="3">
        <v>1</v>
      </c>
      <c r="I1450" s="7">
        <v>9830.51</v>
      </c>
      <c r="J1450" s="9">
        <v>0.2</v>
      </c>
      <c r="K1450" s="7">
        <v>7864.41</v>
      </c>
      <c r="L1450" s="7">
        <v>1014.56</v>
      </c>
      <c r="M1450" s="3" t="s">
        <v>59</v>
      </c>
      <c r="N1450" s="3"/>
      <c r="O1450" s="3"/>
      <c r="P1450" s="3"/>
      <c r="Q1450" s="3"/>
    </row>
    <row r="1451" spans="1:17" ht="21" customHeight="1">
      <c r="A1451" s="3" t="s">
        <v>2121</v>
      </c>
      <c r="B1451" s="5">
        <v>45673</v>
      </c>
      <c r="C1451" s="3" t="s">
        <v>1191</v>
      </c>
      <c r="D1451" s="3" t="s">
        <v>44</v>
      </c>
      <c r="E1451" s="3" t="s">
        <v>38</v>
      </c>
      <c r="F1451" s="3" t="s">
        <v>94</v>
      </c>
      <c r="G1451" s="3" t="s">
        <v>213</v>
      </c>
      <c r="H1451" s="3">
        <v>1</v>
      </c>
      <c r="I1451" s="7">
        <v>55027.19</v>
      </c>
      <c r="J1451" s="9">
        <v>0.2</v>
      </c>
      <c r="K1451" s="7">
        <v>44021.75</v>
      </c>
      <c r="L1451" s="7">
        <v>-1724.21</v>
      </c>
      <c r="M1451" s="3" t="s">
        <v>56</v>
      </c>
      <c r="N1451" s="3"/>
      <c r="O1451" s="3"/>
      <c r="P1451" s="3"/>
      <c r="Q1451" s="3"/>
    </row>
    <row r="1452" spans="1:17" ht="21" customHeight="1">
      <c r="A1452" s="3" t="s">
        <v>2122</v>
      </c>
      <c r="B1452" s="5">
        <v>45673</v>
      </c>
      <c r="C1452" s="3" t="s">
        <v>2123</v>
      </c>
      <c r="D1452" s="3" t="s">
        <v>45</v>
      </c>
      <c r="E1452" s="3" t="s">
        <v>41</v>
      </c>
      <c r="F1452" s="3" t="s">
        <v>119</v>
      </c>
      <c r="G1452" s="3" t="s">
        <v>168</v>
      </c>
      <c r="H1452" s="3">
        <v>2</v>
      </c>
      <c r="I1452" s="7">
        <v>10415.209999999999</v>
      </c>
      <c r="J1452" s="9">
        <v>0.05</v>
      </c>
      <c r="K1452" s="7">
        <v>19788.900000000001</v>
      </c>
      <c r="L1452" s="7">
        <v>5756.96</v>
      </c>
      <c r="M1452" s="3" t="s">
        <v>57</v>
      </c>
      <c r="N1452" s="3"/>
      <c r="O1452" s="3"/>
      <c r="P1452" s="3"/>
      <c r="Q1452" s="3"/>
    </row>
    <row r="1453" spans="1:17" ht="21" customHeight="1">
      <c r="A1453" s="3" t="s">
        <v>2124</v>
      </c>
      <c r="B1453" s="5">
        <v>45674</v>
      </c>
      <c r="C1453" s="3" t="s">
        <v>446</v>
      </c>
      <c r="D1453" s="3" t="s">
        <v>46</v>
      </c>
      <c r="E1453" s="3" t="s">
        <v>42</v>
      </c>
      <c r="F1453" s="3" t="s">
        <v>126</v>
      </c>
      <c r="G1453" s="3" t="s">
        <v>127</v>
      </c>
      <c r="H1453" s="3">
        <v>2</v>
      </c>
      <c r="I1453" s="7">
        <v>951.66</v>
      </c>
      <c r="J1453" s="9">
        <v>0</v>
      </c>
      <c r="K1453" s="7">
        <v>1903.32</v>
      </c>
      <c r="L1453" s="7">
        <v>982.79</v>
      </c>
      <c r="M1453" s="3" t="s">
        <v>56</v>
      </c>
      <c r="N1453" s="3"/>
      <c r="O1453" s="3"/>
      <c r="P1453" s="3"/>
      <c r="Q1453" s="3"/>
    </row>
    <row r="1454" spans="1:17" ht="21" customHeight="1">
      <c r="A1454" s="3" t="s">
        <v>2125</v>
      </c>
      <c r="B1454" s="5">
        <v>45674</v>
      </c>
      <c r="C1454" s="3" t="s">
        <v>471</v>
      </c>
      <c r="D1454" s="3" t="s">
        <v>44</v>
      </c>
      <c r="E1454" s="3" t="s">
        <v>39</v>
      </c>
      <c r="F1454" s="3" t="s">
        <v>164</v>
      </c>
      <c r="G1454" s="3" t="s">
        <v>200</v>
      </c>
      <c r="H1454" s="3">
        <v>1</v>
      </c>
      <c r="I1454" s="7">
        <v>1337.72</v>
      </c>
      <c r="J1454" s="9">
        <v>0.15</v>
      </c>
      <c r="K1454" s="7">
        <v>1137.06</v>
      </c>
      <c r="L1454" s="7">
        <v>311.58999999999997</v>
      </c>
      <c r="M1454" s="3" t="s">
        <v>60</v>
      </c>
      <c r="N1454" s="3"/>
      <c r="O1454" s="3"/>
      <c r="P1454" s="3"/>
      <c r="Q1454" s="3"/>
    </row>
    <row r="1455" spans="1:17" ht="21" customHeight="1">
      <c r="A1455" s="3" t="s">
        <v>2126</v>
      </c>
      <c r="B1455" s="5">
        <v>45674</v>
      </c>
      <c r="C1455" s="3" t="s">
        <v>1156</v>
      </c>
      <c r="D1455" s="3" t="s">
        <v>46</v>
      </c>
      <c r="E1455" s="3" t="s">
        <v>41</v>
      </c>
      <c r="F1455" s="3" t="s">
        <v>113</v>
      </c>
      <c r="G1455" s="3" t="s">
        <v>123</v>
      </c>
      <c r="H1455" s="3">
        <v>4</v>
      </c>
      <c r="I1455" s="7">
        <v>3366.39</v>
      </c>
      <c r="J1455" s="9">
        <v>0.2</v>
      </c>
      <c r="K1455" s="7">
        <v>10772.45</v>
      </c>
      <c r="L1455" s="7">
        <v>1324.58</v>
      </c>
      <c r="M1455" s="3" t="s">
        <v>57</v>
      </c>
      <c r="N1455" s="3"/>
      <c r="O1455" s="3"/>
      <c r="P1455" s="3"/>
      <c r="Q1455" s="3"/>
    </row>
    <row r="1456" spans="1:17" ht="21" customHeight="1">
      <c r="A1456" s="3" t="s">
        <v>2127</v>
      </c>
      <c r="B1456" s="5">
        <v>45674</v>
      </c>
      <c r="C1456" s="3" t="s">
        <v>527</v>
      </c>
      <c r="D1456" s="3" t="s">
        <v>44</v>
      </c>
      <c r="E1456" s="3" t="s">
        <v>41</v>
      </c>
      <c r="F1456" s="3" t="s">
        <v>119</v>
      </c>
      <c r="G1456" s="3" t="s">
        <v>120</v>
      </c>
      <c r="H1456" s="3">
        <v>1</v>
      </c>
      <c r="I1456" s="7">
        <v>1358.44</v>
      </c>
      <c r="J1456" s="9">
        <v>0.15</v>
      </c>
      <c r="K1456" s="7">
        <v>1154.67</v>
      </c>
      <c r="L1456" s="7">
        <v>254.55</v>
      </c>
      <c r="M1456" s="3" t="s">
        <v>56</v>
      </c>
      <c r="N1456" s="3"/>
      <c r="O1456" s="3"/>
      <c r="P1456" s="3"/>
      <c r="Q1456" s="3"/>
    </row>
    <row r="1457" spans="1:17" ht="21" customHeight="1">
      <c r="A1457" s="3" t="s">
        <v>2128</v>
      </c>
      <c r="B1457" s="5">
        <v>45674</v>
      </c>
      <c r="C1457" s="3" t="s">
        <v>1044</v>
      </c>
      <c r="D1457" s="3" t="s">
        <v>45</v>
      </c>
      <c r="E1457" s="3" t="s">
        <v>38</v>
      </c>
      <c r="F1457" s="3" t="s">
        <v>142</v>
      </c>
      <c r="G1457" s="3" t="s">
        <v>143</v>
      </c>
      <c r="H1457" s="3">
        <v>1</v>
      </c>
      <c r="I1457" s="7">
        <v>8779.2099999999991</v>
      </c>
      <c r="J1457" s="9">
        <v>0.05</v>
      </c>
      <c r="K1457" s="7">
        <v>8340.25</v>
      </c>
      <c r="L1457" s="7">
        <v>1310.79</v>
      </c>
      <c r="M1457" s="3" t="s">
        <v>56</v>
      </c>
      <c r="N1457" s="3"/>
      <c r="O1457" s="3"/>
      <c r="P1457" s="3"/>
      <c r="Q1457" s="3"/>
    </row>
    <row r="1458" spans="1:17" ht="21" customHeight="1">
      <c r="A1458" s="3" t="s">
        <v>2129</v>
      </c>
      <c r="B1458" s="5">
        <v>45674</v>
      </c>
      <c r="C1458" s="3" t="s">
        <v>2130</v>
      </c>
      <c r="D1458" s="3" t="s">
        <v>45</v>
      </c>
      <c r="E1458" s="3" t="s">
        <v>38</v>
      </c>
      <c r="F1458" s="3" t="s">
        <v>94</v>
      </c>
      <c r="G1458" s="3" t="s">
        <v>213</v>
      </c>
      <c r="H1458" s="3">
        <v>2</v>
      </c>
      <c r="I1458" s="7">
        <v>54673.47</v>
      </c>
      <c r="J1458" s="9">
        <v>0</v>
      </c>
      <c r="K1458" s="7">
        <v>109346.94</v>
      </c>
      <c r="L1458" s="7">
        <v>21000.14</v>
      </c>
      <c r="M1458" s="3" t="s">
        <v>57</v>
      </c>
      <c r="N1458" s="3"/>
      <c r="O1458" s="3"/>
      <c r="P1458" s="3"/>
      <c r="Q1458" s="3"/>
    </row>
    <row r="1459" spans="1:17" ht="21" customHeight="1">
      <c r="A1459" s="3" t="s">
        <v>2131</v>
      </c>
      <c r="B1459" s="5">
        <v>45675</v>
      </c>
      <c r="C1459" s="3" t="s">
        <v>545</v>
      </c>
      <c r="D1459" s="3" t="s">
        <v>45</v>
      </c>
      <c r="E1459" s="3" t="s">
        <v>42</v>
      </c>
      <c r="F1459" s="3" t="s">
        <v>90</v>
      </c>
      <c r="G1459" s="3" t="s">
        <v>106</v>
      </c>
      <c r="H1459" s="3">
        <v>1</v>
      </c>
      <c r="I1459" s="7">
        <v>931.65</v>
      </c>
      <c r="J1459" s="9">
        <v>0</v>
      </c>
      <c r="K1459" s="7">
        <v>931.65</v>
      </c>
      <c r="L1459" s="7">
        <v>504.65</v>
      </c>
      <c r="M1459" s="3" t="s">
        <v>59</v>
      </c>
      <c r="N1459" s="3"/>
      <c r="O1459" s="3"/>
      <c r="P1459" s="3"/>
      <c r="Q1459" s="3"/>
    </row>
    <row r="1460" spans="1:17" ht="21" customHeight="1">
      <c r="A1460" s="3" t="s">
        <v>2132</v>
      </c>
      <c r="B1460" s="5">
        <v>45675</v>
      </c>
      <c r="C1460" s="3" t="s">
        <v>555</v>
      </c>
      <c r="D1460" s="3" t="s">
        <v>47</v>
      </c>
      <c r="E1460" s="3" t="s">
        <v>38</v>
      </c>
      <c r="F1460" s="3" t="s">
        <v>94</v>
      </c>
      <c r="G1460" s="3" t="s">
        <v>213</v>
      </c>
      <c r="H1460" s="3">
        <v>2</v>
      </c>
      <c r="I1460" s="7">
        <v>57287.68</v>
      </c>
      <c r="J1460" s="9">
        <v>0</v>
      </c>
      <c r="K1460" s="7">
        <v>114575.36</v>
      </c>
      <c r="L1460" s="7">
        <v>16078.87</v>
      </c>
      <c r="M1460" s="3" t="s">
        <v>58</v>
      </c>
      <c r="N1460" s="3"/>
      <c r="O1460" s="3"/>
      <c r="P1460" s="3"/>
      <c r="Q1460" s="3"/>
    </row>
    <row r="1461" spans="1:17" ht="21" customHeight="1">
      <c r="A1461" s="3" t="s">
        <v>2133</v>
      </c>
      <c r="B1461" s="5">
        <v>45675</v>
      </c>
      <c r="C1461" s="3" t="s">
        <v>1451</v>
      </c>
      <c r="D1461" s="3" t="s">
        <v>46</v>
      </c>
      <c r="E1461" s="3" t="s">
        <v>42</v>
      </c>
      <c r="F1461" s="3" t="s">
        <v>126</v>
      </c>
      <c r="G1461" s="3" t="s">
        <v>151</v>
      </c>
      <c r="H1461" s="3">
        <v>1</v>
      </c>
      <c r="I1461" s="7">
        <v>1466.48</v>
      </c>
      <c r="J1461" s="9">
        <v>0.05</v>
      </c>
      <c r="K1461" s="7">
        <v>1393.16</v>
      </c>
      <c r="L1461" s="7">
        <v>633.16</v>
      </c>
      <c r="M1461" s="3" t="s">
        <v>56</v>
      </c>
      <c r="N1461" s="3"/>
      <c r="O1461" s="3"/>
      <c r="P1461" s="3"/>
      <c r="Q1461" s="3"/>
    </row>
    <row r="1462" spans="1:17" ht="21" customHeight="1">
      <c r="A1462" s="3" t="s">
        <v>2134</v>
      </c>
      <c r="B1462" s="5">
        <v>45675</v>
      </c>
      <c r="C1462" s="3" t="s">
        <v>1085</v>
      </c>
      <c r="D1462" s="3" t="s">
        <v>46</v>
      </c>
      <c r="E1462" s="3" t="s">
        <v>39</v>
      </c>
      <c r="F1462" s="3" t="s">
        <v>109</v>
      </c>
      <c r="G1462" s="3" t="s">
        <v>110</v>
      </c>
      <c r="H1462" s="3">
        <v>1</v>
      </c>
      <c r="I1462" s="7">
        <v>3138.68</v>
      </c>
      <c r="J1462" s="9">
        <v>0.1</v>
      </c>
      <c r="K1462" s="7">
        <v>2824.81</v>
      </c>
      <c r="L1462" s="7">
        <v>921.84</v>
      </c>
      <c r="M1462" s="3" t="s">
        <v>56</v>
      </c>
      <c r="N1462" s="3"/>
      <c r="O1462" s="3"/>
      <c r="P1462" s="3"/>
      <c r="Q1462" s="3"/>
    </row>
    <row r="1463" spans="1:17" ht="21" customHeight="1">
      <c r="A1463" s="3" t="s">
        <v>2135</v>
      </c>
      <c r="B1463" s="5">
        <v>45675</v>
      </c>
      <c r="C1463" s="3" t="s">
        <v>1953</v>
      </c>
      <c r="D1463" s="3" t="s">
        <v>44</v>
      </c>
      <c r="E1463" s="3" t="s">
        <v>39</v>
      </c>
      <c r="F1463" s="3" t="s">
        <v>164</v>
      </c>
      <c r="G1463" s="3" t="s">
        <v>165</v>
      </c>
      <c r="H1463" s="3">
        <v>1</v>
      </c>
      <c r="I1463" s="7">
        <v>1946.26</v>
      </c>
      <c r="J1463" s="9">
        <v>0</v>
      </c>
      <c r="K1463" s="7">
        <v>1946.26</v>
      </c>
      <c r="L1463" s="7">
        <v>771.24</v>
      </c>
      <c r="M1463" s="3" t="s">
        <v>56</v>
      </c>
      <c r="N1463" s="3"/>
      <c r="O1463" s="3"/>
      <c r="P1463" s="3"/>
      <c r="Q1463" s="3"/>
    </row>
    <row r="1464" spans="1:17" ht="21" customHeight="1">
      <c r="A1464" s="3" t="s">
        <v>2136</v>
      </c>
      <c r="B1464" s="5">
        <v>45675</v>
      </c>
      <c r="C1464" s="3" t="s">
        <v>1427</v>
      </c>
      <c r="D1464" s="3" t="s">
        <v>44</v>
      </c>
      <c r="E1464" s="3" t="s">
        <v>38</v>
      </c>
      <c r="F1464" s="3" t="s">
        <v>94</v>
      </c>
      <c r="G1464" s="3" t="s">
        <v>213</v>
      </c>
      <c r="H1464" s="3">
        <v>1</v>
      </c>
      <c r="I1464" s="7">
        <v>56534.22</v>
      </c>
      <c r="J1464" s="9">
        <v>0.05</v>
      </c>
      <c r="K1464" s="7">
        <v>53707.51</v>
      </c>
      <c r="L1464" s="7">
        <v>7370.59</v>
      </c>
      <c r="M1464" s="3" t="s">
        <v>57</v>
      </c>
      <c r="N1464" s="3"/>
      <c r="O1464" s="3"/>
      <c r="P1464" s="3"/>
      <c r="Q1464" s="3"/>
    </row>
    <row r="1465" spans="1:17" ht="21" customHeight="1">
      <c r="A1465" s="3" t="s">
        <v>2137</v>
      </c>
      <c r="B1465" s="5">
        <v>45676</v>
      </c>
      <c r="C1465" s="3" t="s">
        <v>2138</v>
      </c>
      <c r="D1465" s="3" t="s">
        <v>45</v>
      </c>
      <c r="E1465" s="3" t="s">
        <v>41</v>
      </c>
      <c r="F1465" s="3" t="s">
        <v>119</v>
      </c>
      <c r="G1465" s="3" t="s">
        <v>168</v>
      </c>
      <c r="H1465" s="3">
        <v>2</v>
      </c>
      <c r="I1465" s="7">
        <v>10225.629999999999</v>
      </c>
      <c r="J1465" s="9">
        <v>0</v>
      </c>
      <c r="K1465" s="7">
        <v>20451.259999999998</v>
      </c>
      <c r="L1465" s="7">
        <v>7374.38</v>
      </c>
      <c r="M1465" s="3" t="s">
        <v>57</v>
      </c>
      <c r="N1465" s="3"/>
      <c r="O1465" s="3"/>
      <c r="P1465" s="3"/>
      <c r="Q1465" s="3"/>
    </row>
    <row r="1466" spans="1:17" ht="21" customHeight="1">
      <c r="A1466" s="3" t="s">
        <v>2139</v>
      </c>
      <c r="B1466" s="5">
        <v>45676</v>
      </c>
      <c r="C1466" s="3" t="s">
        <v>195</v>
      </c>
      <c r="D1466" s="3" t="s">
        <v>46</v>
      </c>
      <c r="E1466" s="3" t="s">
        <v>42</v>
      </c>
      <c r="F1466" s="3" t="s">
        <v>90</v>
      </c>
      <c r="G1466" s="3" t="s">
        <v>106</v>
      </c>
      <c r="H1466" s="3">
        <v>1</v>
      </c>
      <c r="I1466" s="7">
        <v>896.31</v>
      </c>
      <c r="J1466" s="9">
        <v>0</v>
      </c>
      <c r="K1466" s="7">
        <v>896.31</v>
      </c>
      <c r="L1466" s="7">
        <v>484.97</v>
      </c>
      <c r="M1466" s="3" t="s">
        <v>56</v>
      </c>
      <c r="N1466" s="3"/>
      <c r="O1466" s="3"/>
      <c r="P1466" s="3"/>
      <c r="Q1466" s="3"/>
    </row>
    <row r="1467" spans="1:17" ht="21" customHeight="1">
      <c r="A1467" s="3" t="s">
        <v>2140</v>
      </c>
      <c r="B1467" s="5">
        <v>45677</v>
      </c>
      <c r="C1467" s="3" t="s">
        <v>1967</v>
      </c>
      <c r="D1467" s="3" t="s">
        <v>45</v>
      </c>
      <c r="E1467" s="3" t="s">
        <v>39</v>
      </c>
      <c r="F1467" s="3" t="s">
        <v>130</v>
      </c>
      <c r="G1467" s="3" t="s">
        <v>193</v>
      </c>
      <c r="H1467" s="3">
        <v>3</v>
      </c>
      <c r="I1467" s="7">
        <v>1766.21</v>
      </c>
      <c r="J1467" s="9">
        <v>0.3</v>
      </c>
      <c r="K1467" s="7">
        <v>3709.04</v>
      </c>
      <c r="L1467" s="7">
        <v>268.60000000000002</v>
      </c>
      <c r="M1467" s="3" t="s">
        <v>60</v>
      </c>
      <c r="N1467" s="3"/>
      <c r="O1467" s="3"/>
      <c r="P1467" s="3"/>
      <c r="Q1467" s="3"/>
    </row>
    <row r="1468" spans="1:17" ht="21" customHeight="1">
      <c r="A1468" s="3" t="s">
        <v>2141</v>
      </c>
      <c r="B1468" s="5">
        <v>45678</v>
      </c>
      <c r="C1468" s="3" t="s">
        <v>891</v>
      </c>
      <c r="D1468" s="3" t="s">
        <v>44</v>
      </c>
      <c r="E1468" s="3" t="s">
        <v>42</v>
      </c>
      <c r="F1468" s="3" t="s">
        <v>126</v>
      </c>
      <c r="G1468" s="3" t="s">
        <v>127</v>
      </c>
      <c r="H1468" s="3">
        <v>1</v>
      </c>
      <c r="I1468" s="7">
        <v>1005.8</v>
      </c>
      <c r="J1468" s="9">
        <v>0.2</v>
      </c>
      <c r="K1468" s="7">
        <v>804.64</v>
      </c>
      <c r="L1468" s="7">
        <v>283.32</v>
      </c>
      <c r="M1468" s="3" t="s">
        <v>57</v>
      </c>
      <c r="N1468" s="3"/>
      <c r="O1468" s="3"/>
      <c r="P1468" s="3"/>
      <c r="Q1468" s="3"/>
    </row>
    <row r="1469" spans="1:17" ht="21" customHeight="1">
      <c r="A1469" s="3" t="s">
        <v>2142</v>
      </c>
      <c r="B1469" s="5">
        <v>45678</v>
      </c>
      <c r="C1469" s="3" t="s">
        <v>1138</v>
      </c>
      <c r="D1469" s="3" t="s">
        <v>46</v>
      </c>
      <c r="E1469" s="3" t="s">
        <v>42</v>
      </c>
      <c r="F1469" s="3" t="s">
        <v>126</v>
      </c>
      <c r="G1469" s="3" t="s">
        <v>127</v>
      </c>
      <c r="H1469" s="3">
        <v>1</v>
      </c>
      <c r="I1469" s="7">
        <v>1025.33</v>
      </c>
      <c r="J1469" s="9">
        <v>0</v>
      </c>
      <c r="K1469" s="7">
        <v>1025.33</v>
      </c>
      <c r="L1469" s="7">
        <v>546.95000000000005</v>
      </c>
      <c r="M1469" s="3" t="s">
        <v>56</v>
      </c>
      <c r="N1469" s="3"/>
      <c r="O1469" s="3"/>
      <c r="P1469" s="3"/>
      <c r="Q1469" s="3"/>
    </row>
    <row r="1470" spans="1:17" ht="21" customHeight="1">
      <c r="A1470" s="3" t="s">
        <v>2143</v>
      </c>
      <c r="B1470" s="5">
        <v>45678</v>
      </c>
      <c r="C1470" s="3" t="s">
        <v>771</v>
      </c>
      <c r="D1470" s="3" t="s">
        <v>46</v>
      </c>
      <c r="E1470" s="3" t="s">
        <v>42</v>
      </c>
      <c r="F1470" s="3" t="s">
        <v>126</v>
      </c>
      <c r="G1470" s="3" t="s">
        <v>151</v>
      </c>
      <c r="H1470" s="3">
        <v>3</v>
      </c>
      <c r="I1470" s="7">
        <v>1492.29</v>
      </c>
      <c r="J1470" s="9">
        <v>0.05</v>
      </c>
      <c r="K1470" s="7">
        <v>4253.03</v>
      </c>
      <c r="L1470" s="7">
        <v>2025.21</v>
      </c>
      <c r="M1470" s="3" t="s">
        <v>58</v>
      </c>
      <c r="N1470" s="3"/>
      <c r="O1470" s="3"/>
      <c r="P1470" s="3"/>
      <c r="Q1470" s="3"/>
    </row>
    <row r="1471" spans="1:17" ht="21" customHeight="1">
      <c r="A1471" s="3" t="s">
        <v>2144</v>
      </c>
      <c r="B1471" s="5">
        <v>45679</v>
      </c>
      <c r="C1471" s="3" t="s">
        <v>2145</v>
      </c>
      <c r="D1471" s="3" t="s">
        <v>47</v>
      </c>
      <c r="E1471" s="3" t="s">
        <v>40</v>
      </c>
      <c r="F1471" s="3" t="s">
        <v>160</v>
      </c>
      <c r="G1471" s="3" t="s">
        <v>161</v>
      </c>
      <c r="H1471" s="3">
        <v>4</v>
      </c>
      <c r="I1471" s="7">
        <v>12469.61</v>
      </c>
      <c r="J1471" s="9">
        <v>0.05</v>
      </c>
      <c r="K1471" s="7">
        <v>47384.52</v>
      </c>
      <c r="L1471" s="7">
        <v>11383.53</v>
      </c>
      <c r="M1471" s="3" t="s">
        <v>57</v>
      </c>
      <c r="N1471" s="3"/>
      <c r="O1471" s="3"/>
      <c r="P1471" s="3"/>
      <c r="Q1471" s="3"/>
    </row>
    <row r="1472" spans="1:17" ht="21" customHeight="1">
      <c r="A1472" s="3" t="s">
        <v>2146</v>
      </c>
      <c r="B1472" s="5">
        <v>45679</v>
      </c>
      <c r="C1472" s="3" t="s">
        <v>432</v>
      </c>
      <c r="D1472" s="3" t="s">
        <v>44</v>
      </c>
      <c r="E1472" s="3" t="s">
        <v>39</v>
      </c>
      <c r="F1472" s="3" t="s">
        <v>130</v>
      </c>
      <c r="G1472" s="3" t="s">
        <v>131</v>
      </c>
      <c r="H1472" s="3">
        <v>1</v>
      </c>
      <c r="I1472" s="7">
        <v>2091.14</v>
      </c>
      <c r="J1472" s="9">
        <v>0</v>
      </c>
      <c r="K1472" s="7">
        <v>2091.14</v>
      </c>
      <c r="L1472" s="7">
        <v>880.55</v>
      </c>
      <c r="M1472" s="3" t="s">
        <v>56</v>
      </c>
      <c r="N1472" s="3"/>
      <c r="O1472" s="3"/>
      <c r="P1472" s="3"/>
      <c r="Q1472" s="3"/>
    </row>
    <row r="1473" spans="1:17" ht="21" customHeight="1">
      <c r="A1473" s="3" t="s">
        <v>2147</v>
      </c>
      <c r="B1473" s="5">
        <v>45680</v>
      </c>
      <c r="C1473" s="3" t="s">
        <v>2148</v>
      </c>
      <c r="D1473" s="3" t="s">
        <v>44</v>
      </c>
      <c r="E1473" s="3" t="s">
        <v>42</v>
      </c>
      <c r="F1473" s="3" t="s">
        <v>90</v>
      </c>
      <c r="G1473" s="3" t="s">
        <v>106</v>
      </c>
      <c r="H1473" s="3">
        <v>4</v>
      </c>
      <c r="I1473" s="7">
        <v>883.69</v>
      </c>
      <c r="J1473" s="9">
        <v>0.1</v>
      </c>
      <c r="K1473" s="7">
        <v>3181.28</v>
      </c>
      <c r="L1473" s="7">
        <v>1410.57</v>
      </c>
      <c r="M1473" s="3" t="s">
        <v>58</v>
      </c>
      <c r="N1473" s="3"/>
      <c r="O1473" s="3"/>
      <c r="P1473" s="3"/>
      <c r="Q1473" s="3"/>
    </row>
    <row r="1474" spans="1:17" ht="21" customHeight="1">
      <c r="A1474" s="3" t="s">
        <v>2149</v>
      </c>
      <c r="B1474" s="5">
        <v>45680</v>
      </c>
      <c r="C1474" s="3" t="s">
        <v>2038</v>
      </c>
      <c r="D1474" s="3" t="s">
        <v>45</v>
      </c>
      <c r="E1474" s="3" t="s">
        <v>38</v>
      </c>
      <c r="F1474" s="3" t="s">
        <v>98</v>
      </c>
      <c r="G1474" s="3" t="s">
        <v>99</v>
      </c>
      <c r="H1474" s="3">
        <v>1</v>
      </c>
      <c r="I1474" s="7">
        <v>23754.33</v>
      </c>
      <c r="J1474" s="9">
        <v>0</v>
      </c>
      <c r="K1474" s="7">
        <v>23754.33</v>
      </c>
      <c r="L1474" s="7">
        <v>3445.39</v>
      </c>
      <c r="M1474" s="3" t="s">
        <v>57</v>
      </c>
      <c r="N1474" s="3"/>
      <c r="O1474" s="3"/>
      <c r="P1474" s="3"/>
      <c r="Q1474" s="3"/>
    </row>
    <row r="1475" spans="1:17" ht="21" customHeight="1">
      <c r="A1475" s="3" t="s">
        <v>2150</v>
      </c>
      <c r="B1475" s="5">
        <v>45680</v>
      </c>
      <c r="C1475" s="3" t="s">
        <v>1599</v>
      </c>
      <c r="D1475" s="3" t="s">
        <v>47</v>
      </c>
      <c r="E1475" s="3" t="s">
        <v>38</v>
      </c>
      <c r="F1475" s="3" t="s">
        <v>98</v>
      </c>
      <c r="G1475" s="3" t="s">
        <v>99</v>
      </c>
      <c r="H1475" s="3">
        <v>2</v>
      </c>
      <c r="I1475" s="7">
        <v>24891.61</v>
      </c>
      <c r="J1475" s="9">
        <v>0.4</v>
      </c>
      <c r="K1475" s="7">
        <v>29869.93</v>
      </c>
      <c r="L1475" s="7">
        <v>-7762.37</v>
      </c>
      <c r="M1475" s="3" t="s">
        <v>56</v>
      </c>
      <c r="N1475" s="3"/>
      <c r="O1475" s="3"/>
      <c r="P1475" s="3"/>
      <c r="Q1475" s="3"/>
    </row>
    <row r="1476" spans="1:17" ht="21" customHeight="1">
      <c r="A1476" s="3" t="s">
        <v>2151</v>
      </c>
      <c r="B1476" s="5">
        <v>45680</v>
      </c>
      <c r="C1476" s="3" t="s">
        <v>728</v>
      </c>
      <c r="D1476" s="3" t="s">
        <v>45</v>
      </c>
      <c r="E1476" s="3" t="s">
        <v>41</v>
      </c>
      <c r="F1476" s="3" t="s">
        <v>119</v>
      </c>
      <c r="G1476" s="3" t="s">
        <v>120</v>
      </c>
      <c r="H1476" s="3">
        <v>1</v>
      </c>
      <c r="I1476" s="7">
        <v>1244.4000000000001</v>
      </c>
      <c r="J1476" s="9">
        <v>0.15</v>
      </c>
      <c r="K1476" s="7">
        <v>1057.74</v>
      </c>
      <c r="L1476" s="7">
        <v>254.85</v>
      </c>
      <c r="M1476" s="3" t="s">
        <v>57</v>
      </c>
      <c r="N1476" s="3"/>
      <c r="O1476" s="3"/>
      <c r="P1476" s="3"/>
      <c r="Q1476" s="3"/>
    </row>
    <row r="1477" spans="1:17" ht="21" customHeight="1">
      <c r="A1477" s="3" t="s">
        <v>2152</v>
      </c>
      <c r="B1477" s="5">
        <v>45681</v>
      </c>
      <c r="C1477" s="3" t="s">
        <v>1624</v>
      </c>
      <c r="D1477" s="3" t="s">
        <v>46</v>
      </c>
      <c r="E1477" s="3" t="s">
        <v>40</v>
      </c>
      <c r="F1477" s="3" t="s">
        <v>102</v>
      </c>
      <c r="G1477" s="3" t="s">
        <v>103</v>
      </c>
      <c r="H1477" s="3">
        <v>1</v>
      </c>
      <c r="I1477" s="7">
        <v>6447.1</v>
      </c>
      <c r="J1477" s="9">
        <v>0</v>
      </c>
      <c r="K1477" s="7">
        <v>6447.1</v>
      </c>
      <c r="L1477" s="7">
        <v>2336.35</v>
      </c>
      <c r="M1477" s="3" t="s">
        <v>57</v>
      </c>
      <c r="N1477" s="3"/>
      <c r="O1477" s="3"/>
      <c r="P1477" s="3"/>
      <c r="Q1477" s="3"/>
    </row>
    <row r="1478" spans="1:17" ht="21" customHeight="1">
      <c r="A1478" s="3" t="s">
        <v>2153</v>
      </c>
      <c r="B1478" s="5">
        <v>45681</v>
      </c>
      <c r="C1478" s="3" t="s">
        <v>1466</v>
      </c>
      <c r="D1478" s="3" t="s">
        <v>45</v>
      </c>
      <c r="E1478" s="3" t="s">
        <v>40</v>
      </c>
      <c r="F1478" s="3" t="s">
        <v>221</v>
      </c>
      <c r="G1478" s="3" t="s">
        <v>222</v>
      </c>
      <c r="H1478" s="3">
        <v>1</v>
      </c>
      <c r="I1478" s="7">
        <v>1033.69</v>
      </c>
      <c r="J1478" s="9">
        <v>0</v>
      </c>
      <c r="K1478" s="7">
        <v>1033.69</v>
      </c>
      <c r="L1478" s="7">
        <v>333.55</v>
      </c>
      <c r="M1478" s="3" t="s">
        <v>56</v>
      </c>
      <c r="N1478" s="3"/>
      <c r="O1478" s="3"/>
      <c r="P1478" s="3"/>
      <c r="Q1478" s="3"/>
    </row>
    <row r="1479" spans="1:17" ht="21" customHeight="1">
      <c r="A1479" s="3" t="s">
        <v>2154</v>
      </c>
      <c r="B1479" s="5">
        <v>45681</v>
      </c>
      <c r="C1479" s="3" t="s">
        <v>1878</v>
      </c>
      <c r="D1479" s="3" t="s">
        <v>45</v>
      </c>
      <c r="E1479" s="3" t="s">
        <v>42</v>
      </c>
      <c r="F1479" s="3" t="s">
        <v>90</v>
      </c>
      <c r="G1479" s="3" t="s">
        <v>106</v>
      </c>
      <c r="H1479" s="3">
        <v>3</v>
      </c>
      <c r="I1479" s="7">
        <v>858.26</v>
      </c>
      <c r="J1479" s="9">
        <v>0</v>
      </c>
      <c r="K1479" s="7">
        <v>2574.7800000000002</v>
      </c>
      <c r="L1479" s="7">
        <v>1410.84</v>
      </c>
      <c r="M1479" s="3" t="s">
        <v>56</v>
      </c>
      <c r="N1479" s="3"/>
      <c r="O1479" s="3"/>
      <c r="P1479" s="3"/>
      <c r="Q1479" s="3"/>
    </row>
    <row r="1480" spans="1:17" ht="21" customHeight="1">
      <c r="A1480" s="3" t="s">
        <v>2155</v>
      </c>
      <c r="B1480" s="5">
        <v>45681</v>
      </c>
      <c r="C1480" s="3" t="s">
        <v>1734</v>
      </c>
      <c r="D1480" s="3" t="s">
        <v>45</v>
      </c>
      <c r="E1480" s="3" t="s">
        <v>42</v>
      </c>
      <c r="F1480" s="3" t="s">
        <v>126</v>
      </c>
      <c r="G1480" s="3" t="s">
        <v>127</v>
      </c>
      <c r="H1480" s="3">
        <v>2</v>
      </c>
      <c r="I1480" s="7">
        <v>963.79</v>
      </c>
      <c r="J1480" s="9">
        <v>0.25</v>
      </c>
      <c r="K1480" s="7">
        <v>1445.68</v>
      </c>
      <c r="L1480" s="7">
        <v>349.43</v>
      </c>
      <c r="M1480" s="3" t="s">
        <v>58</v>
      </c>
      <c r="N1480" s="3"/>
      <c r="O1480" s="3"/>
      <c r="P1480" s="3"/>
      <c r="Q1480" s="3"/>
    </row>
    <row r="1481" spans="1:17" ht="21" customHeight="1">
      <c r="A1481" s="3" t="s">
        <v>2156</v>
      </c>
      <c r="B1481" s="5">
        <v>45681</v>
      </c>
      <c r="C1481" s="3" t="s">
        <v>129</v>
      </c>
      <c r="D1481" s="3" t="s">
        <v>44</v>
      </c>
      <c r="E1481" s="3" t="s">
        <v>39</v>
      </c>
      <c r="F1481" s="3" t="s">
        <v>109</v>
      </c>
      <c r="G1481" s="3" t="s">
        <v>355</v>
      </c>
      <c r="H1481" s="3">
        <v>1</v>
      </c>
      <c r="I1481" s="7">
        <v>3336.16</v>
      </c>
      <c r="J1481" s="9">
        <v>0.15</v>
      </c>
      <c r="K1481" s="7">
        <v>2835.74</v>
      </c>
      <c r="L1481" s="7">
        <v>690.84</v>
      </c>
      <c r="M1481" s="3" t="s">
        <v>56</v>
      </c>
      <c r="N1481" s="3"/>
      <c r="O1481" s="3"/>
      <c r="P1481" s="3"/>
      <c r="Q1481" s="3"/>
    </row>
    <row r="1482" spans="1:17" ht="21" customHeight="1">
      <c r="A1482" s="3" t="s">
        <v>2157</v>
      </c>
      <c r="B1482" s="5">
        <v>45682</v>
      </c>
      <c r="C1482" s="3" t="s">
        <v>1663</v>
      </c>
      <c r="D1482" s="3" t="s">
        <v>44</v>
      </c>
      <c r="E1482" s="3" t="s">
        <v>42</v>
      </c>
      <c r="F1482" s="3" t="s">
        <v>90</v>
      </c>
      <c r="G1482" s="3" t="s">
        <v>106</v>
      </c>
      <c r="H1482" s="3">
        <v>1</v>
      </c>
      <c r="I1482" s="7">
        <v>886.08</v>
      </c>
      <c r="J1482" s="9">
        <v>0.2</v>
      </c>
      <c r="K1482" s="7">
        <v>708.86</v>
      </c>
      <c r="L1482" s="7">
        <v>237.36</v>
      </c>
      <c r="M1482" s="3" t="s">
        <v>56</v>
      </c>
      <c r="N1482" s="3"/>
      <c r="O1482" s="3"/>
      <c r="P1482" s="3"/>
      <c r="Q1482" s="3"/>
    </row>
    <row r="1483" spans="1:17" ht="21" customHeight="1">
      <c r="A1483" s="3" t="s">
        <v>2158</v>
      </c>
      <c r="B1483" s="5">
        <v>45682</v>
      </c>
      <c r="C1483" s="3" t="s">
        <v>129</v>
      </c>
      <c r="D1483" s="3" t="s">
        <v>44</v>
      </c>
      <c r="E1483" s="3" t="s">
        <v>39</v>
      </c>
      <c r="F1483" s="3" t="s">
        <v>130</v>
      </c>
      <c r="G1483" s="3" t="s">
        <v>131</v>
      </c>
      <c r="H1483" s="3">
        <v>3</v>
      </c>
      <c r="I1483" s="7">
        <v>2133.81</v>
      </c>
      <c r="J1483" s="9">
        <v>0.2</v>
      </c>
      <c r="K1483" s="7">
        <v>5121.1400000000003</v>
      </c>
      <c r="L1483" s="7">
        <v>1174.93</v>
      </c>
      <c r="M1483" s="3" t="s">
        <v>58</v>
      </c>
      <c r="N1483" s="3"/>
      <c r="O1483" s="3"/>
      <c r="P1483" s="3"/>
      <c r="Q1483" s="3"/>
    </row>
    <row r="1484" spans="1:17" ht="21" customHeight="1">
      <c r="A1484" s="3" t="s">
        <v>2159</v>
      </c>
      <c r="B1484" s="5">
        <v>45682</v>
      </c>
      <c r="C1484" s="3" t="s">
        <v>748</v>
      </c>
      <c r="D1484" s="3" t="s">
        <v>44</v>
      </c>
      <c r="E1484" s="3" t="s">
        <v>40</v>
      </c>
      <c r="F1484" s="3" t="s">
        <v>102</v>
      </c>
      <c r="G1484" s="3" t="s">
        <v>146</v>
      </c>
      <c r="H1484" s="3">
        <v>1</v>
      </c>
      <c r="I1484" s="7">
        <v>7880.83</v>
      </c>
      <c r="J1484" s="9">
        <v>0.05</v>
      </c>
      <c r="K1484" s="7">
        <v>7486.79</v>
      </c>
      <c r="L1484" s="7">
        <v>1770.59</v>
      </c>
      <c r="M1484" s="3" t="s">
        <v>57</v>
      </c>
      <c r="N1484" s="3"/>
      <c r="O1484" s="3"/>
      <c r="P1484" s="3"/>
      <c r="Q1484" s="3"/>
    </row>
    <row r="1485" spans="1:17" ht="21" customHeight="1">
      <c r="A1485" s="3" t="s">
        <v>2160</v>
      </c>
      <c r="B1485" s="5">
        <v>45683</v>
      </c>
      <c r="C1485" s="3" t="s">
        <v>1567</v>
      </c>
      <c r="D1485" s="3" t="s">
        <v>47</v>
      </c>
      <c r="E1485" s="3" t="s">
        <v>38</v>
      </c>
      <c r="F1485" s="3" t="s">
        <v>142</v>
      </c>
      <c r="G1485" s="3" t="s">
        <v>143</v>
      </c>
      <c r="H1485" s="3">
        <v>1</v>
      </c>
      <c r="I1485" s="7">
        <v>9242.7800000000007</v>
      </c>
      <c r="J1485" s="9">
        <v>0</v>
      </c>
      <c r="K1485" s="7">
        <v>9242.7800000000007</v>
      </c>
      <c r="L1485" s="7">
        <v>1551.26</v>
      </c>
      <c r="M1485" s="3" t="s">
        <v>56</v>
      </c>
      <c r="N1485" s="3"/>
      <c r="O1485" s="3"/>
      <c r="P1485" s="3"/>
      <c r="Q1485" s="3"/>
    </row>
    <row r="1486" spans="1:17" ht="21" customHeight="1">
      <c r="A1486" s="3" t="s">
        <v>2161</v>
      </c>
      <c r="B1486" s="5">
        <v>45683</v>
      </c>
      <c r="C1486" s="3" t="s">
        <v>741</v>
      </c>
      <c r="D1486" s="3" t="s">
        <v>46</v>
      </c>
      <c r="E1486" s="3" t="s">
        <v>39</v>
      </c>
      <c r="F1486" s="3" t="s">
        <v>130</v>
      </c>
      <c r="G1486" s="3" t="s">
        <v>131</v>
      </c>
      <c r="H1486" s="3">
        <v>1</v>
      </c>
      <c r="I1486" s="7">
        <v>2126.98</v>
      </c>
      <c r="J1486" s="9">
        <v>0.1</v>
      </c>
      <c r="K1486" s="7">
        <v>1914.28</v>
      </c>
      <c r="L1486" s="7">
        <v>621.41</v>
      </c>
      <c r="M1486" s="3" t="s">
        <v>60</v>
      </c>
      <c r="N1486" s="3"/>
      <c r="O1486" s="3"/>
      <c r="P1486" s="3"/>
      <c r="Q1486" s="3"/>
    </row>
    <row r="1487" spans="1:17" ht="21" customHeight="1">
      <c r="A1487" s="3" t="s">
        <v>2162</v>
      </c>
      <c r="B1487" s="5">
        <v>45683</v>
      </c>
      <c r="C1487" s="3" t="s">
        <v>902</v>
      </c>
      <c r="D1487" s="3" t="s">
        <v>45</v>
      </c>
      <c r="E1487" s="3" t="s">
        <v>40</v>
      </c>
      <c r="F1487" s="3" t="s">
        <v>221</v>
      </c>
      <c r="G1487" s="3" t="s">
        <v>222</v>
      </c>
      <c r="H1487" s="3">
        <v>1</v>
      </c>
      <c r="I1487" s="7">
        <v>955.02</v>
      </c>
      <c r="J1487" s="9">
        <v>0.3</v>
      </c>
      <c r="K1487" s="7">
        <v>668.51</v>
      </c>
      <c r="L1487" s="7">
        <v>8.94</v>
      </c>
      <c r="M1487" s="3" t="s">
        <v>56</v>
      </c>
      <c r="N1487" s="3"/>
      <c r="O1487" s="3"/>
      <c r="P1487" s="3"/>
      <c r="Q1487" s="3"/>
    </row>
    <row r="1488" spans="1:17" ht="21" customHeight="1">
      <c r="A1488" s="3" t="s">
        <v>2163</v>
      </c>
      <c r="B1488" s="5">
        <v>45685</v>
      </c>
      <c r="C1488" s="3" t="s">
        <v>1859</v>
      </c>
      <c r="D1488" s="3" t="s">
        <v>46</v>
      </c>
      <c r="E1488" s="3" t="s">
        <v>40</v>
      </c>
      <c r="F1488" s="3" t="s">
        <v>160</v>
      </c>
      <c r="G1488" s="3" t="s">
        <v>161</v>
      </c>
      <c r="H1488" s="3">
        <v>1</v>
      </c>
      <c r="I1488" s="7">
        <v>13628.07</v>
      </c>
      <c r="J1488" s="9">
        <v>0</v>
      </c>
      <c r="K1488" s="7">
        <v>13628.07</v>
      </c>
      <c r="L1488" s="7">
        <v>4618.58</v>
      </c>
      <c r="M1488" s="3" t="s">
        <v>57</v>
      </c>
      <c r="N1488" s="3"/>
      <c r="O1488" s="3"/>
      <c r="P1488" s="3"/>
      <c r="Q1488" s="3"/>
    </row>
    <row r="1489" spans="1:17" ht="21" customHeight="1">
      <c r="A1489" s="3" t="s">
        <v>2164</v>
      </c>
      <c r="B1489" s="5">
        <v>45685</v>
      </c>
      <c r="C1489" s="3" t="s">
        <v>249</v>
      </c>
      <c r="D1489" s="3" t="s">
        <v>46</v>
      </c>
      <c r="E1489" s="3" t="s">
        <v>40</v>
      </c>
      <c r="F1489" s="3" t="s">
        <v>160</v>
      </c>
      <c r="G1489" s="3" t="s">
        <v>161</v>
      </c>
      <c r="H1489" s="3">
        <v>3</v>
      </c>
      <c r="I1489" s="7">
        <v>13572.06</v>
      </c>
      <c r="J1489" s="9">
        <v>0.1</v>
      </c>
      <c r="K1489" s="7">
        <v>36644.559999999998</v>
      </c>
      <c r="L1489" s="7">
        <v>8437.58</v>
      </c>
      <c r="M1489" s="3" t="s">
        <v>56</v>
      </c>
      <c r="N1489" s="3"/>
      <c r="O1489" s="3"/>
      <c r="P1489" s="3"/>
      <c r="Q1489" s="3"/>
    </row>
    <row r="1490" spans="1:17" ht="21" customHeight="1">
      <c r="A1490" s="3" t="s">
        <v>2165</v>
      </c>
      <c r="B1490" s="5">
        <v>45685</v>
      </c>
      <c r="C1490" s="3" t="s">
        <v>502</v>
      </c>
      <c r="D1490" s="3" t="s">
        <v>44</v>
      </c>
      <c r="E1490" s="3" t="s">
        <v>42</v>
      </c>
      <c r="F1490" s="3" t="s">
        <v>126</v>
      </c>
      <c r="G1490" s="3" t="s">
        <v>151</v>
      </c>
      <c r="H1490" s="3">
        <v>2</v>
      </c>
      <c r="I1490" s="7">
        <v>1447.2</v>
      </c>
      <c r="J1490" s="9">
        <v>0.1</v>
      </c>
      <c r="K1490" s="7">
        <v>2604.96</v>
      </c>
      <c r="L1490" s="7">
        <v>1196.76</v>
      </c>
      <c r="M1490" s="3" t="s">
        <v>57</v>
      </c>
      <c r="N1490" s="3"/>
      <c r="O1490" s="3"/>
      <c r="P1490" s="3"/>
      <c r="Q1490" s="3"/>
    </row>
    <row r="1491" spans="1:17" ht="21" customHeight="1">
      <c r="A1491" s="3" t="s">
        <v>2166</v>
      </c>
      <c r="B1491" s="5">
        <v>45686</v>
      </c>
      <c r="C1491" s="3" t="s">
        <v>1303</v>
      </c>
      <c r="D1491" s="3" t="s">
        <v>46</v>
      </c>
      <c r="E1491" s="3" t="s">
        <v>42</v>
      </c>
      <c r="F1491" s="3" t="s">
        <v>126</v>
      </c>
      <c r="G1491" s="3" t="s">
        <v>127</v>
      </c>
      <c r="H1491" s="3">
        <v>2</v>
      </c>
      <c r="I1491" s="7">
        <v>964.32</v>
      </c>
      <c r="J1491" s="9">
        <v>0.2</v>
      </c>
      <c r="K1491" s="7">
        <v>1542.91</v>
      </c>
      <c r="L1491" s="7">
        <v>451.76</v>
      </c>
      <c r="M1491" s="3" t="s">
        <v>57</v>
      </c>
      <c r="N1491" s="3"/>
      <c r="O1491" s="3"/>
      <c r="P1491" s="3"/>
      <c r="Q1491" s="3"/>
    </row>
    <row r="1492" spans="1:17" ht="21" customHeight="1">
      <c r="A1492" s="3" t="s">
        <v>2167</v>
      </c>
      <c r="B1492" s="5">
        <v>45686</v>
      </c>
      <c r="C1492" s="3" t="s">
        <v>408</v>
      </c>
      <c r="D1492" s="3" t="s">
        <v>47</v>
      </c>
      <c r="E1492" s="3" t="s">
        <v>42</v>
      </c>
      <c r="F1492" s="3" t="s">
        <v>126</v>
      </c>
      <c r="G1492" s="3" t="s">
        <v>151</v>
      </c>
      <c r="H1492" s="3">
        <v>2</v>
      </c>
      <c r="I1492" s="7">
        <v>1565.1</v>
      </c>
      <c r="J1492" s="9">
        <v>0.15</v>
      </c>
      <c r="K1492" s="7">
        <v>2660.67</v>
      </c>
      <c r="L1492" s="7">
        <v>902.19</v>
      </c>
      <c r="M1492" s="3" t="s">
        <v>57</v>
      </c>
      <c r="N1492" s="3"/>
      <c r="O1492" s="3"/>
      <c r="P1492" s="3"/>
      <c r="Q1492" s="3"/>
    </row>
    <row r="1493" spans="1:17" ht="21" customHeight="1">
      <c r="A1493" s="3" t="s">
        <v>2168</v>
      </c>
      <c r="B1493" s="5">
        <v>45686</v>
      </c>
      <c r="C1493" s="3" t="s">
        <v>381</v>
      </c>
      <c r="D1493" s="3" t="s">
        <v>44</v>
      </c>
      <c r="E1493" s="3" t="s">
        <v>41</v>
      </c>
      <c r="F1493" s="3" t="s">
        <v>119</v>
      </c>
      <c r="G1493" s="3" t="s">
        <v>168</v>
      </c>
      <c r="H1493" s="3">
        <v>1</v>
      </c>
      <c r="I1493" s="7">
        <v>10344.17</v>
      </c>
      <c r="J1493" s="9">
        <v>0</v>
      </c>
      <c r="K1493" s="7">
        <v>10344.17</v>
      </c>
      <c r="L1493" s="7">
        <v>3861.05</v>
      </c>
      <c r="M1493" s="3" t="s">
        <v>57</v>
      </c>
      <c r="N1493" s="3"/>
      <c r="O1493" s="3"/>
      <c r="P1493" s="3"/>
      <c r="Q1493" s="3"/>
    </row>
    <row r="1494" spans="1:17" ht="21" customHeight="1">
      <c r="A1494" s="3" t="s">
        <v>2169</v>
      </c>
      <c r="B1494" s="5">
        <v>45687</v>
      </c>
      <c r="C1494" s="3" t="s">
        <v>2106</v>
      </c>
      <c r="D1494" s="3" t="s">
        <v>47</v>
      </c>
      <c r="E1494" s="3" t="s">
        <v>40</v>
      </c>
      <c r="F1494" s="3" t="s">
        <v>221</v>
      </c>
      <c r="G1494" s="3" t="s">
        <v>279</v>
      </c>
      <c r="H1494" s="3">
        <v>3</v>
      </c>
      <c r="I1494" s="7">
        <v>1442.71</v>
      </c>
      <c r="J1494" s="9">
        <v>0.05</v>
      </c>
      <c r="K1494" s="7">
        <v>4111.72</v>
      </c>
      <c r="L1494" s="7">
        <v>1077.03</v>
      </c>
      <c r="M1494" s="3" t="s">
        <v>58</v>
      </c>
      <c r="N1494" s="3"/>
      <c r="O1494" s="3"/>
      <c r="P1494" s="3"/>
      <c r="Q1494" s="3"/>
    </row>
    <row r="1495" spans="1:17" ht="21" customHeight="1">
      <c r="A1495" s="3" t="s">
        <v>2170</v>
      </c>
      <c r="B1495" s="5">
        <v>45688</v>
      </c>
      <c r="C1495" s="3" t="s">
        <v>1599</v>
      </c>
      <c r="D1495" s="3" t="s">
        <v>47</v>
      </c>
      <c r="E1495" s="3" t="s">
        <v>40</v>
      </c>
      <c r="F1495" s="3" t="s">
        <v>221</v>
      </c>
      <c r="G1495" s="3" t="s">
        <v>279</v>
      </c>
      <c r="H1495" s="3">
        <v>1</v>
      </c>
      <c r="I1495" s="7">
        <v>1552.36</v>
      </c>
      <c r="J1495" s="9">
        <v>0.05</v>
      </c>
      <c r="K1495" s="7">
        <v>1474.74</v>
      </c>
      <c r="L1495" s="7">
        <v>393.71</v>
      </c>
      <c r="M1495" s="3" t="s">
        <v>58</v>
      </c>
      <c r="N1495" s="3"/>
      <c r="O1495" s="3"/>
      <c r="P1495" s="3"/>
      <c r="Q1495" s="3"/>
    </row>
    <row r="1496" spans="1:17" ht="21" customHeight="1">
      <c r="A1496" s="3" t="s">
        <v>2171</v>
      </c>
      <c r="B1496" s="5">
        <v>45690</v>
      </c>
      <c r="C1496" s="3" t="s">
        <v>948</v>
      </c>
      <c r="D1496" s="3" t="s">
        <v>46</v>
      </c>
      <c r="E1496" s="3" t="s">
        <v>38</v>
      </c>
      <c r="F1496" s="3" t="s">
        <v>142</v>
      </c>
      <c r="G1496" s="3" t="s">
        <v>143</v>
      </c>
      <c r="H1496" s="3">
        <v>1</v>
      </c>
      <c r="I1496" s="7">
        <v>8871.83</v>
      </c>
      <c r="J1496" s="9">
        <v>0.1</v>
      </c>
      <c r="K1496" s="7">
        <v>7984.65</v>
      </c>
      <c r="L1496" s="7">
        <v>488.72</v>
      </c>
      <c r="M1496" s="3" t="s">
        <v>57</v>
      </c>
      <c r="N1496" s="3"/>
      <c r="O1496" s="3"/>
      <c r="P1496" s="3"/>
      <c r="Q1496" s="3"/>
    </row>
    <row r="1497" spans="1:17" ht="21" customHeight="1">
      <c r="A1497" s="3" t="s">
        <v>2172</v>
      </c>
      <c r="B1497" s="5">
        <v>45690</v>
      </c>
      <c r="C1497" s="3" t="s">
        <v>1674</v>
      </c>
      <c r="D1497" s="3" t="s">
        <v>47</v>
      </c>
      <c r="E1497" s="3" t="s">
        <v>42</v>
      </c>
      <c r="F1497" s="3" t="s">
        <v>126</v>
      </c>
      <c r="G1497" s="3" t="s">
        <v>127</v>
      </c>
      <c r="H1497" s="3">
        <v>1</v>
      </c>
      <c r="I1497" s="7">
        <v>1037.1400000000001</v>
      </c>
      <c r="J1497" s="9">
        <v>0.15</v>
      </c>
      <c r="K1497" s="7">
        <v>881.57</v>
      </c>
      <c r="L1497" s="7">
        <v>332.92</v>
      </c>
      <c r="M1497" s="3" t="s">
        <v>58</v>
      </c>
      <c r="N1497" s="3"/>
      <c r="O1497" s="3"/>
      <c r="P1497" s="3"/>
      <c r="Q1497" s="3"/>
    </row>
    <row r="1498" spans="1:17" ht="21" customHeight="1">
      <c r="A1498" s="3" t="s">
        <v>2173</v>
      </c>
      <c r="B1498" s="5">
        <v>45690</v>
      </c>
      <c r="C1498" s="3" t="s">
        <v>2034</v>
      </c>
      <c r="D1498" s="3" t="s">
        <v>46</v>
      </c>
      <c r="E1498" s="3" t="s">
        <v>38</v>
      </c>
      <c r="F1498" s="3" t="s">
        <v>142</v>
      </c>
      <c r="G1498" s="3" t="s">
        <v>245</v>
      </c>
      <c r="H1498" s="3">
        <v>4</v>
      </c>
      <c r="I1498" s="7">
        <v>5054.93</v>
      </c>
      <c r="J1498" s="9">
        <v>0.25</v>
      </c>
      <c r="K1498" s="7">
        <v>15164.79</v>
      </c>
      <c r="L1498" s="7">
        <v>-1624.29</v>
      </c>
      <c r="M1498" s="3" t="s">
        <v>56</v>
      </c>
      <c r="N1498" s="3"/>
      <c r="O1498" s="3"/>
      <c r="P1498" s="3"/>
      <c r="Q1498" s="3"/>
    </row>
    <row r="1499" spans="1:17" ht="21" customHeight="1">
      <c r="A1499" s="3" t="s">
        <v>2174</v>
      </c>
      <c r="B1499" s="5">
        <v>45690</v>
      </c>
      <c r="C1499" s="3" t="s">
        <v>170</v>
      </c>
      <c r="D1499" s="3" t="s">
        <v>46</v>
      </c>
      <c r="E1499" s="3" t="s">
        <v>42</v>
      </c>
      <c r="F1499" s="3" t="s">
        <v>126</v>
      </c>
      <c r="G1499" s="3" t="s">
        <v>151</v>
      </c>
      <c r="H1499" s="3">
        <v>4</v>
      </c>
      <c r="I1499" s="7">
        <v>1437.63</v>
      </c>
      <c r="J1499" s="9">
        <v>0</v>
      </c>
      <c r="K1499" s="7">
        <v>5750.52</v>
      </c>
      <c r="L1499" s="7">
        <v>3189.21</v>
      </c>
      <c r="M1499" s="3" t="s">
        <v>56</v>
      </c>
      <c r="N1499" s="3"/>
      <c r="O1499" s="3"/>
      <c r="P1499" s="3"/>
      <c r="Q1499" s="3"/>
    </row>
    <row r="1500" spans="1:17" ht="21" customHeight="1">
      <c r="A1500" s="3" t="s">
        <v>2175</v>
      </c>
      <c r="B1500" s="5">
        <v>45690</v>
      </c>
      <c r="C1500" s="3" t="s">
        <v>170</v>
      </c>
      <c r="D1500" s="3" t="s">
        <v>44</v>
      </c>
      <c r="E1500" s="3" t="s">
        <v>41</v>
      </c>
      <c r="F1500" s="3" t="s">
        <v>119</v>
      </c>
      <c r="G1500" s="3" t="s">
        <v>168</v>
      </c>
      <c r="H1500" s="3">
        <v>2</v>
      </c>
      <c r="I1500" s="7">
        <v>9717.48</v>
      </c>
      <c r="J1500" s="9">
        <v>0.1</v>
      </c>
      <c r="K1500" s="7">
        <v>17491.46</v>
      </c>
      <c r="L1500" s="7">
        <v>4244.37</v>
      </c>
      <c r="M1500" s="3" t="s">
        <v>56</v>
      </c>
      <c r="N1500" s="3"/>
      <c r="O1500" s="3"/>
      <c r="P1500" s="3"/>
      <c r="Q1500" s="3"/>
    </row>
    <row r="1501" spans="1:17" ht="21" customHeight="1">
      <c r="A1501" s="3" t="s">
        <v>2176</v>
      </c>
      <c r="B1501" s="5">
        <v>45691</v>
      </c>
      <c r="C1501" s="3" t="s">
        <v>609</v>
      </c>
      <c r="D1501" s="3" t="s">
        <v>44</v>
      </c>
      <c r="E1501" s="3" t="s">
        <v>38</v>
      </c>
      <c r="F1501" s="3" t="s">
        <v>98</v>
      </c>
      <c r="G1501" s="3" t="s">
        <v>99</v>
      </c>
      <c r="H1501" s="3">
        <v>1</v>
      </c>
      <c r="I1501" s="7">
        <v>24283.4</v>
      </c>
      <c r="J1501" s="9">
        <v>0.05</v>
      </c>
      <c r="K1501" s="7">
        <v>23069.23</v>
      </c>
      <c r="L1501" s="7">
        <v>2643.35</v>
      </c>
      <c r="M1501" s="3" t="s">
        <v>56</v>
      </c>
      <c r="N1501" s="3"/>
      <c r="O1501" s="3"/>
      <c r="P1501" s="3"/>
      <c r="Q1501" s="3"/>
    </row>
    <row r="1502" spans="1:17" ht="21" customHeight="1">
      <c r="A1502" s="3" t="s">
        <v>2177</v>
      </c>
      <c r="B1502" s="5">
        <v>45691</v>
      </c>
      <c r="C1502" s="3" t="s">
        <v>410</v>
      </c>
      <c r="D1502" s="3" t="s">
        <v>46</v>
      </c>
      <c r="E1502" s="3" t="s">
        <v>41</v>
      </c>
      <c r="F1502" s="3" t="s">
        <v>119</v>
      </c>
      <c r="G1502" s="3" t="s">
        <v>168</v>
      </c>
      <c r="H1502" s="3">
        <v>3</v>
      </c>
      <c r="I1502" s="7">
        <v>10085.48</v>
      </c>
      <c r="J1502" s="9">
        <v>0.1</v>
      </c>
      <c r="K1502" s="7">
        <v>27230.799999999999</v>
      </c>
      <c r="L1502" s="7">
        <v>6884.69</v>
      </c>
      <c r="M1502" s="3" t="s">
        <v>57</v>
      </c>
      <c r="N1502" s="3"/>
      <c r="O1502" s="3"/>
      <c r="P1502" s="3"/>
      <c r="Q1502" s="3"/>
    </row>
    <row r="1503" spans="1:17" ht="21" customHeight="1">
      <c r="A1503" s="3" t="s">
        <v>2178</v>
      </c>
      <c r="B1503" s="5">
        <v>45691</v>
      </c>
      <c r="C1503" s="3" t="s">
        <v>585</v>
      </c>
      <c r="D1503" s="3" t="s">
        <v>47</v>
      </c>
      <c r="E1503" s="3" t="s">
        <v>42</v>
      </c>
      <c r="F1503" s="3" t="s">
        <v>126</v>
      </c>
      <c r="G1503" s="3" t="s">
        <v>127</v>
      </c>
      <c r="H1503" s="3">
        <v>2</v>
      </c>
      <c r="I1503" s="7">
        <v>984.71</v>
      </c>
      <c r="J1503" s="9">
        <v>0.05</v>
      </c>
      <c r="K1503" s="7">
        <v>1870.95</v>
      </c>
      <c r="L1503" s="7">
        <v>873.4</v>
      </c>
      <c r="M1503" s="3" t="s">
        <v>56</v>
      </c>
      <c r="N1503" s="3"/>
      <c r="O1503" s="3"/>
      <c r="P1503" s="3"/>
      <c r="Q1503" s="3"/>
    </row>
    <row r="1504" spans="1:17" ht="21" customHeight="1">
      <c r="A1504" s="3" t="s">
        <v>2179</v>
      </c>
      <c r="B1504" s="5">
        <v>45691</v>
      </c>
      <c r="C1504" s="3" t="s">
        <v>337</v>
      </c>
      <c r="D1504" s="3" t="s">
        <v>47</v>
      </c>
      <c r="E1504" s="3" t="s">
        <v>38</v>
      </c>
      <c r="F1504" s="3" t="s">
        <v>94</v>
      </c>
      <c r="G1504" s="3" t="s">
        <v>213</v>
      </c>
      <c r="H1504" s="3">
        <v>2</v>
      </c>
      <c r="I1504" s="7">
        <v>54276.76</v>
      </c>
      <c r="J1504" s="9">
        <v>0.15</v>
      </c>
      <c r="K1504" s="7">
        <v>92270.49</v>
      </c>
      <c r="L1504" s="7">
        <v>2135.15</v>
      </c>
      <c r="M1504" s="3" t="s">
        <v>57</v>
      </c>
      <c r="N1504" s="3"/>
      <c r="O1504" s="3"/>
      <c r="P1504" s="3"/>
      <c r="Q1504" s="3"/>
    </row>
    <row r="1505" spans="1:17" ht="21" customHeight="1">
      <c r="A1505" s="3" t="s">
        <v>2180</v>
      </c>
      <c r="B1505" s="5">
        <v>45692</v>
      </c>
      <c r="C1505" s="3" t="s">
        <v>2034</v>
      </c>
      <c r="D1505" s="3" t="s">
        <v>46</v>
      </c>
      <c r="E1505" s="3" t="s">
        <v>38</v>
      </c>
      <c r="F1505" s="3" t="s">
        <v>98</v>
      </c>
      <c r="G1505" s="3" t="s">
        <v>99</v>
      </c>
      <c r="H1505" s="3">
        <v>1</v>
      </c>
      <c r="I1505" s="7">
        <v>25045.99</v>
      </c>
      <c r="J1505" s="9">
        <v>0.05</v>
      </c>
      <c r="K1505" s="7">
        <v>23793.69</v>
      </c>
      <c r="L1505" s="7">
        <v>3067.99</v>
      </c>
      <c r="M1505" s="3" t="s">
        <v>57</v>
      </c>
      <c r="N1505" s="3"/>
      <c r="O1505" s="3"/>
      <c r="P1505" s="3"/>
      <c r="Q1505" s="3"/>
    </row>
    <row r="1506" spans="1:17" ht="21" customHeight="1">
      <c r="A1506" s="3" t="s">
        <v>2181</v>
      </c>
      <c r="B1506" s="5">
        <v>45692</v>
      </c>
      <c r="C1506" s="3" t="s">
        <v>1140</v>
      </c>
      <c r="D1506" s="3" t="s">
        <v>47</v>
      </c>
      <c r="E1506" s="3" t="s">
        <v>41</v>
      </c>
      <c r="F1506" s="3" t="s">
        <v>119</v>
      </c>
      <c r="G1506" s="3" t="s">
        <v>168</v>
      </c>
      <c r="H1506" s="3">
        <v>2</v>
      </c>
      <c r="I1506" s="7">
        <v>10071.200000000001</v>
      </c>
      <c r="J1506" s="9">
        <v>0.1</v>
      </c>
      <c r="K1506" s="7">
        <v>18128.16</v>
      </c>
      <c r="L1506" s="7">
        <v>4769.03</v>
      </c>
      <c r="M1506" s="3" t="s">
        <v>57</v>
      </c>
      <c r="N1506" s="3"/>
      <c r="O1506" s="3"/>
      <c r="P1506" s="3"/>
      <c r="Q1506" s="3"/>
    </row>
    <row r="1507" spans="1:17" ht="21" customHeight="1">
      <c r="A1507" s="3" t="s">
        <v>2182</v>
      </c>
      <c r="B1507" s="5">
        <v>45692</v>
      </c>
      <c r="C1507" s="3" t="s">
        <v>2183</v>
      </c>
      <c r="D1507" s="3" t="s">
        <v>45</v>
      </c>
      <c r="E1507" s="3" t="s">
        <v>39</v>
      </c>
      <c r="F1507" s="3" t="s">
        <v>164</v>
      </c>
      <c r="G1507" s="3" t="s">
        <v>200</v>
      </c>
      <c r="H1507" s="3">
        <v>2</v>
      </c>
      <c r="I1507" s="7">
        <v>1352.75</v>
      </c>
      <c r="J1507" s="9">
        <v>0.15</v>
      </c>
      <c r="K1507" s="7">
        <v>2299.67</v>
      </c>
      <c r="L1507" s="7">
        <v>582.76</v>
      </c>
      <c r="M1507" s="3" t="s">
        <v>56</v>
      </c>
      <c r="N1507" s="3"/>
      <c r="O1507" s="3"/>
      <c r="P1507" s="3"/>
      <c r="Q1507" s="3"/>
    </row>
    <row r="1508" spans="1:17" ht="21" customHeight="1">
      <c r="A1508" s="3" t="s">
        <v>2184</v>
      </c>
      <c r="B1508" s="5">
        <v>45692</v>
      </c>
      <c r="C1508" s="3" t="s">
        <v>2130</v>
      </c>
      <c r="D1508" s="3" t="s">
        <v>45</v>
      </c>
      <c r="E1508" s="3" t="s">
        <v>38</v>
      </c>
      <c r="F1508" s="3" t="s">
        <v>142</v>
      </c>
      <c r="G1508" s="3" t="s">
        <v>245</v>
      </c>
      <c r="H1508" s="3">
        <v>2</v>
      </c>
      <c r="I1508" s="7">
        <v>4768.92</v>
      </c>
      <c r="J1508" s="9">
        <v>0</v>
      </c>
      <c r="K1508" s="7">
        <v>9537.84</v>
      </c>
      <c r="L1508" s="7">
        <v>1489.77</v>
      </c>
      <c r="M1508" s="3" t="s">
        <v>58</v>
      </c>
      <c r="N1508" s="3"/>
      <c r="O1508" s="3"/>
      <c r="P1508" s="3"/>
      <c r="Q1508" s="3"/>
    </row>
    <row r="1509" spans="1:17" ht="21" customHeight="1">
      <c r="A1509" s="3" t="s">
        <v>2185</v>
      </c>
      <c r="B1509" s="5">
        <v>45693</v>
      </c>
      <c r="C1509" s="3" t="s">
        <v>1953</v>
      </c>
      <c r="D1509" s="3" t="s">
        <v>44</v>
      </c>
      <c r="E1509" s="3" t="s">
        <v>40</v>
      </c>
      <c r="F1509" s="3" t="s">
        <v>102</v>
      </c>
      <c r="G1509" s="3" t="s">
        <v>103</v>
      </c>
      <c r="H1509" s="3">
        <v>2</v>
      </c>
      <c r="I1509" s="7">
        <v>6363.49</v>
      </c>
      <c r="J1509" s="9">
        <v>0</v>
      </c>
      <c r="K1509" s="7">
        <v>12726.98</v>
      </c>
      <c r="L1509" s="7">
        <v>4674.87</v>
      </c>
      <c r="M1509" s="3" t="s">
        <v>58</v>
      </c>
      <c r="N1509" s="3"/>
      <c r="O1509" s="3"/>
      <c r="P1509" s="3"/>
      <c r="Q1509" s="3"/>
    </row>
    <row r="1510" spans="1:17" ht="21" customHeight="1">
      <c r="A1510" s="3" t="s">
        <v>2186</v>
      </c>
      <c r="B1510" s="5">
        <v>45693</v>
      </c>
      <c r="C1510" s="3" t="s">
        <v>1360</v>
      </c>
      <c r="D1510" s="3" t="s">
        <v>46</v>
      </c>
      <c r="E1510" s="3" t="s">
        <v>42</v>
      </c>
      <c r="F1510" s="3" t="s">
        <v>90</v>
      </c>
      <c r="G1510" s="3" t="s">
        <v>91</v>
      </c>
      <c r="H1510" s="3">
        <v>1</v>
      </c>
      <c r="I1510" s="7">
        <v>1236.97</v>
      </c>
      <c r="J1510" s="9">
        <v>0</v>
      </c>
      <c r="K1510" s="7">
        <v>1236.97</v>
      </c>
      <c r="L1510" s="7">
        <v>715.45</v>
      </c>
      <c r="M1510" s="3" t="s">
        <v>56</v>
      </c>
      <c r="N1510" s="3"/>
      <c r="O1510" s="3"/>
      <c r="P1510" s="3"/>
      <c r="Q1510" s="3"/>
    </row>
    <row r="1511" spans="1:17" ht="21" customHeight="1">
      <c r="A1511" s="3" t="s">
        <v>2187</v>
      </c>
      <c r="B1511" s="5">
        <v>45693</v>
      </c>
      <c r="C1511" s="3" t="s">
        <v>259</v>
      </c>
      <c r="D1511" s="3" t="s">
        <v>46</v>
      </c>
      <c r="E1511" s="3" t="s">
        <v>42</v>
      </c>
      <c r="F1511" s="3" t="s">
        <v>90</v>
      </c>
      <c r="G1511" s="3" t="s">
        <v>91</v>
      </c>
      <c r="H1511" s="3">
        <v>1</v>
      </c>
      <c r="I1511" s="7">
        <v>1232.5899999999999</v>
      </c>
      <c r="J1511" s="9">
        <v>0</v>
      </c>
      <c r="K1511" s="7">
        <v>1232.5899999999999</v>
      </c>
      <c r="L1511" s="7">
        <v>714.89</v>
      </c>
      <c r="M1511" s="3" t="s">
        <v>56</v>
      </c>
      <c r="N1511" s="3"/>
      <c r="O1511" s="3"/>
      <c r="P1511" s="3"/>
      <c r="Q1511" s="3"/>
    </row>
    <row r="1512" spans="1:17" ht="21" customHeight="1">
      <c r="A1512" s="3" t="s">
        <v>2188</v>
      </c>
      <c r="B1512" s="5">
        <v>45694</v>
      </c>
      <c r="C1512" s="3" t="s">
        <v>145</v>
      </c>
      <c r="D1512" s="3" t="s">
        <v>45</v>
      </c>
      <c r="E1512" s="3" t="s">
        <v>41</v>
      </c>
      <c r="F1512" s="3" t="s">
        <v>113</v>
      </c>
      <c r="G1512" s="3" t="s">
        <v>114</v>
      </c>
      <c r="H1512" s="3">
        <v>2</v>
      </c>
      <c r="I1512" s="7">
        <v>12560.27</v>
      </c>
      <c r="J1512" s="9">
        <v>0.1</v>
      </c>
      <c r="K1512" s="7">
        <v>22608.49</v>
      </c>
      <c r="L1512" s="7">
        <v>6501.25</v>
      </c>
      <c r="M1512" s="3" t="s">
        <v>56</v>
      </c>
      <c r="N1512" s="3"/>
      <c r="O1512" s="3"/>
      <c r="P1512" s="3"/>
      <c r="Q1512" s="3"/>
    </row>
    <row r="1513" spans="1:17" ht="21" customHeight="1">
      <c r="A1513" s="3" t="s">
        <v>2189</v>
      </c>
      <c r="B1513" s="5">
        <v>45694</v>
      </c>
      <c r="C1513" s="3" t="s">
        <v>1488</v>
      </c>
      <c r="D1513" s="3" t="s">
        <v>44</v>
      </c>
      <c r="E1513" s="3" t="s">
        <v>38</v>
      </c>
      <c r="F1513" s="3" t="s">
        <v>98</v>
      </c>
      <c r="G1513" s="3" t="s">
        <v>99</v>
      </c>
      <c r="H1513" s="3">
        <v>1</v>
      </c>
      <c r="I1513" s="7">
        <v>25605.25</v>
      </c>
      <c r="J1513" s="9">
        <v>0.2</v>
      </c>
      <c r="K1513" s="7">
        <v>20484.2</v>
      </c>
      <c r="L1513" s="7">
        <v>-1172.99</v>
      </c>
      <c r="M1513" s="3" t="s">
        <v>56</v>
      </c>
      <c r="N1513" s="3"/>
      <c r="O1513" s="3"/>
      <c r="P1513" s="3"/>
      <c r="Q1513" s="3"/>
    </row>
    <row r="1514" spans="1:17" ht="21" customHeight="1">
      <c r="A1514" s="3" t="s">
        <v>2190</v>
      </c>
      <c r="B1514" s="5">
        <v>45694</v>
      </c>
      <c r="C1514" s="3" t="s">
        <v>456</v>
      </c>
      <c r="D1514" s="3" t="s">
        <v>45</v>
      </c>
      <c r="E1514" s="3" t="s">
        <v>40</v>
      </c>
      <c r="F1514" s="3" t="s">
        <v>221</v>
      </c>
      <c r="G1514" s="3" t="s">
        <v>222</v>
      </c>
      <c r="H1514" s="3">
        <v>2</v>
      </c>
      <c r="I1514" s="7">
        <v>950.68</v>
      </c>
      <c r="J1514" s="9">
        <v>0.15</v>
      </c>
      <c r="K1514" s="7">
        <v>1616.16</v>
      </c>
      <c r="L1514" s="7">
        <v>285.64</v>
      </c>
      <c r="M1514" s="3" t="s">
        <v>58</v>
      </c>
      <c r="N1514" s="3"/>
      <c r="O1514" s="3"/>
      <c r="P1514" s="3"/>
      <c r="Q1514" s="3"/>
    </row>
    <row r="1515" spans="1:17" ht="21" customHeight="1">
      <c r="A1515" s="3" t="s">
        <v>2191</v>
      </c>
      <c r="B1515" s="5">
        <v>45694</v>
      </c>
      <c r="C1515" s="3" t="s">
        <v>1266</v>
      </c>
      <c r="D1515" s="3" t="s">
        <v>46</v>
      </c>
      <c r="E1515" s="3" t="s">
        <v>38</v>
      </c>
      <c r="F1515" s="3" t="s">
        <v>142</v>
      </c>
      <c r="G1515" s="3" t="s">
        <v>143</v>
      </c>
      <c r="H1515" s="3">
        <v>1</v>
      </c>
      <c r="I1515" s="7">
        <v>8705.2199999999993</v>
      </c>
      <c r="J1515" s="9">
        <v>0</v>
      </c>
      <c r="K1515" s="7">
        <v>8705.2199999999993</v>
      </c>
      <c r="L1515" s="7">
        <v>1605.79</v>
      </c>
      <c r="M1515" s="3" t="s">
        <v>57</v>
      </c>
      <c r="N1515" s="3"/>
      <c r="O1515" s="3"/>
      <c r="P1515" s="3"/>
      <c r="Q1515" s="3"/>
    </row>
    <row r="1516" spans="1:17" ht="21" customHeight="1">
      <c r="A1516" s="3" t="s">
        <v>2192</v>
      </c>
      <c r="B1516" s="5">
        <v>45694</v>
      </c>
      <c r="C1516" s="3" t="s">
        <v>516</v>
      </c>
      <c r="D1516" s="3" t="s">
        <v>45</v>
      </c>
      <c r="E1516" s="3" t="s">
        <v>42</v>
      </c>
      <c r="F1516" s="3" t="s">
        <v>126</v>
      </c>
      <c r="G1516" s="3" t="s">
        <v>151</v>
      </c>
      <c r="H1516" s="3">
        <v>4</v>
      </c>
      <c r="I1516" s="7">
        <v>1460.02</v>
      </c>
      <c r="J1516" s="9">
        <v>0.05</v>
      </c>
      <c r="K1516" s="7">
        <v>5548.08</v>
      </c>
      <c r="L1516" s="7">
        <v>2675.05</v>
      </c>
      <c r="M1516" s="3" t="s">
        <v>59</v>
      </c>
      <c r="N1516" s="3"/>
      <c r="O1516" s="3"/>
      <c r="P1516" s="3"/>
      <c r="Q1516" s="3"/>
    </row>
    <row r="1517" spans="1:17" ht="21" customHeight="1">
      <c r="A1517" s="3" t="s">
        <v>2193</v>
      </c>
      <c r="B1517" s="5">
        <v>45695</v>
      </c>
      <c r="C1517" s="3" t="s">
        <v>322</v>
      </c>
      <c r="D1517" s="3" t="s">
        <v>47</v>
      </c>
      <c r="E1517" s="3" t="s">
        <v>42</v>
      </c>
      <c r="F1517" s="3" t="s">
        <v>90</v>
      </c>
      <c r="G1517" s="3" t="s">
        <v>91</v>
      </c>
      <c r="H1517" s="3">
        <v>1</v>
      </c>
      <c r="I1517" s="7">
        <v>1240.9000000000001</v>
      </c>
      <c r="J1517" s="9">
        <v>0</v>
      </c>
      <c r="K1517" s="7">
        <v>1240.9000000000001</v>
      </c>
      <c r="L1517" s="7">
        <v>700.07</v>
      </c>
      <c r="M1517" s="3" t="s">
        <v>60</v>
      </c>
      <c r="N1517" s="3"/>
      <c r="O1517" s="3"/>
      <c r="P1517" s="3"/>
      <c r="Q1517" s="3"/>
    </row>
    <row r="1518" spans="1:17" ht="21" customHeight="1">
      <c r="A1518" s="3" t="s">
        <v>2194</v>
      </c>
      <c r="B1518" s="5">
        <v>45696</v>
      </c>
      <c r="C1518" s="3" t="s">
        <v>959</v>
      </c>
      <c r="D1518" s="3" t="s">
        <v>46</v>
      </c>
      <c r="E1518" s="3" t="s">
        <v>41</v>
      </c>
      <c r="F1518" s="3" t="s">
        <v>113</v>
      </c>
      <c r="G1518" s="3" t="s">
        <v>114</v>
      </c>
      <c r="H1518" s="3">
        <v>1</v>
      </c>
      <c r="I1518" s="7">
        <v>12379.04</v>
      </c>
      <c r="J1518" s="9">
        <v>0.25</v>
      </c>
      <c r="K1518" s="7">
        <v>9284.2800000000007</v>
      </c>
      <c r="L1518" s="7">
        <v>850.04</v>
      </c>
      <c r="M1518" s="3" t="s">
        <v>57</v>
      </c>
      <c r="N1518" s="3"/>
      <c r="O1518" s="3"/>
      <c r="P1518" s="3"/>
      <c r="Q1518" s="3"/>
    </row>
    <row r="1519" spans="1:17" ht="21" customHeight="1">
      <c r="A1519" s="3" t="s">
        <v>2195</v>
      </c>
      <c r="B1519" s="5">
        <v>45696</v>
      </c>
      <c r="C1519" s="3" t="s">
        <v>1167</v>
      </c>
      <c r="D1519" s="3" t="s">
        <v>45</v>
      </c>
      <c r="E1519" s="3" t="s">
        <v>40</v>
      </c>
      <c r="F1519" s="3" t="s">
        <v>160</v>
      </c>
      <c r="G1519" s="3" t="s">
        <v>173</v>
      </c>
      <c r="H1519" s="3">
        <v>3</v>
      </c>
      <c r="I1519" s="7">
        <v>8651.09</v>
      </c>
      <c r="J1519" s="9">
        <v>0</v>
      </c>
      <c r="K1519" s="7">
        <v>25953.27</v>
      </c>
      <c r="L1519" s="7">
        <v>8511.59</v>
      </c>
      <c r="M1519" s="3" t="s">
        <v>58</v>
      </c>
      <c r="N1519" s="3"/>
      <c r="O1519" s="3"/>
      <c r="P1519" s="3"/>
      <c r="Q1519" s="3"/>
    </row>
    <row r="1520" spans="1:17" ht="21" customHeight="1">
      <c r="A1520" s="3" t="s">
        <v>2196</v>
      </c>
      <c r="B1520" s="5">
        <v>45697</v>
      </c>
      <c r="C1520" s="3" t="s">
        <v>347</v>
      </c>
      <c r="D1520" s="3" t="s">
        <v>44</v>
      </c>
      <c r="E1520" s="3" t="s">
        <v>39</v>
      </c>
      <c r="F1520" s="3" t="s">
        <v>130</v>
      </c>
      <c r="G1520" s="3" t="s">
        <v>131</v>
      </c>
      <c r="H1520" s="3">
        <v>1</v>
      </c>
      <c r="I1520" s="7">
        <v>2243.87</v>
      </c>
      <c r="J1520" s="9">
        <v>0.05</v>
      </c>
      <c r="K1520" s="7">
        <v>2131.6799999999998</v>
      </c>
      <c r="L1520" s="7">
        <v>790.82</v>
      </c>
      <c r="M1520" s="3" t="s">
        <v>60</v>
      </c>
      <c r="N1520" s="3"/>
      <c r="O1520" s="3"/>
      <c r="P1520" s="3"/>
      <c r="Q1520" s="3"/>
    </row>
    <row r="1521" spans="1:17" ht="21" customHeight="1">
      <c r="A1521" s="3" t="s">
        <v>2197</v>
      </c>
      <c r="B1521" s="5">
        <v>45697</v>
      </c>
      <c r="C1521" s="3" t="s">
        <v>520</v>
      </c>
      <c r="D1521" s="3" t="s">
        <v>47</v>
      </c>
      <c r="E1521" s="3" t="s">
        <v>42</v>
      </c>
      <c r="F1521" s="3" t="s">
        <v>126</v>
      </c>
      <c r="G1521" s="3" t="s">
        <v>127</v>
      </c>
      <c r="H1521" s="3">
        <v>1</v>
      </c>
      <c r="I1521" s="7">
        <v>961.48</v>
      </c>
      <c r="J1521" s="9">
        <v>0.05</v>
      </c>
      <c r="K1521" s="7">
        <v>913.41</v>
      </c>
      <c r="L1521" s="7">
        <v>484.02</v>
      </c>
      <c r="M1521" s="3" t="s">
        <v>56</v>
      </c>
      <c r="N1521" s="3"/>
      <c r="O1521" s="3"/>
      <c r="P1521" s="3"/>
      <c r="Q1521" s="3"/>
    </row>
    <row r="1522" spans="1:17" ht="21" customHeight="1">
      <c r="A1522" s="3" t="s">
        <v>2198</v>
      </c>
      <c r="B1522" s="5">
        <v>45697</v>
      </c>
      <c r="C1522" s="3" t="s">
        <v>881</v>
      </c>
      <c r="D1522" s="3" t="s">
        <v>44</v>
      </c>
      <c r="E1522" s="3" t="s">
        <v>39</v>
      </c>
      <c r="F1522" s="3" t="s">
        <v>164</v>
      </c>
      <c r="G1522" s="3" t="s">
        <v>200</v>
      </c>
      <c r="H1522" s="3">
        <v>3</v>
      </c>
      <c r="I1522" s="7">
        <v>1245.79</v>
      </c>
      <c r="J1522" s="9">
        <v>0</v>
      </c>
      <c r="K1522" s="7">
        <v>3737.37</v>
      </c>
      <c r="L1522" s="7">
        <v>1657.26</v>
      </c>
      <c r="M1522" s="3" t="s">
        <v>56</v>
      </c>
      <c r="N1522" s="3"/>
      <c r="O1522" s="3"/>
      <c r="P1522" s="3"/>
      <c r="Q1522" s="3"/>
    </row>
    <row r="1523" spans="1:17" ht="21" customHeight="1">
      <c r="A1523" s="3" t="s">
        <v>2199</v>
      </c>
      <c r="B1523" s="5">
        <v>45697</v>
      </c>
      <c r="C1523" s="3" t="s">
        <v>408</v>
      </c>
      <c r="D1523" s="3" t="s">
        <v>46</v>
      </c>
      <c r="E1523" s="3" t="s">
        <v>41</v>
      </c>
      <c r="F1523" s="3" t="s">
        <v>119</v>
      </c>
      <c r="G1523" s="3" t="s">
        <v>168</v>
      </c>
      <c r="H1523" s="3">
        <v>1</v>
      </c>
      <c r="I1523" s="7">
        <v>10224.959999999999</v>
      </c>
      <c r="J1523" s="9">
        <v>0.1</v>
      </c>
      <c r="K1523" s="7">
        <v>9202.4599999999991</v>
      </c>
      <c r="L1523" s="7">
        <v>2194.75</v>
      </c>
      <c r="M1523" s="3" t="s">
        <v>56</v>
      </c>
      <c r="N1523" s="3"/>
      <c r="O1523" s="3"/>
      <c r="P1523" s="3"/>
      <c r="Q1523" s="3"/>
    </row>
    <row r="1524" spans="1:17" ht="21" customHeight="1">
      <c r="A1524" s="3" t="s">
        <v>2200</v>
      </c>
      <c r="B1524" s="5">
        <v>45697</v>
      </c>
      <c r="C1524" s="3" t="s">
        <v>543</v>
      </c>
      <c r="D1524" s="3" t="s">
        <v>46</v>
      </c>
      <c r="E1524" s="3" t="s">
        <v>40</v>
      </c>
      <c r="F1524" s="3" t="s">
        <v>160</v>
      </c>
      <c r="G1524" s="3" t="s">
        <v>173</v>
      </c>
      <c r="H1524" s="3">
        <v>1</v>
      </c>
      <c r="I1524" s="7">
        <v>9325.86</v>
      </c>
      <c r="J1524" s="9">
        <v>0.2</v>
      </c>
      <c r="K1524" s="7">
        <v>7460.69</v>
      </c>
      <c r="L1524" s="7">
        <v>917.87</v>
      </c>
      <c r="M1524" s="3" t="s">
        <v>57</v>
      </c>
      <c r="N1524" s="3"/>
      <c r="O1524" s="3"/>
      <c r="P1524" s="3"/>
      <c r="Q1524" s="3"/>
    </row>
    <row r="1525" spans="1:17" ht="21" customHeight="1">
      <c r="A1525" s="3" t="s">
        <v>2201</v>
      </c>
      <c r="B1525" s="5">
        <v>45699</v>
      </c>
      <c r="C1525" s="3" t="s">
        <v>1501</v>
      </c>
      <c r="D1525" s="3" t="s">
        <v>46</v>
      </c>
      <c r="E1525" s="3" t="s">
        <v>40</v>
      </c>
      <c r="F1525" s="3" t="s">
        <v>221</v>
      </c>
      <c r="G1525" s="3" t="s">
        <v>222</v>
      </c>
      <c r="H1525" s="3">
        <v>1</v>
      </c>
      <c r="I1525" s="7">
        <v>1026.3900000000001</v>
      </c>
      <c r="J1525" s="9">
        <v>0</v>
      </c>
      <c r="K1525" s="7">
        <v>1026.3900000000001</v>
      </c>
      <c r="L1525" s="7">
        <v>357.82</v>
      </c>
      <c r="M1525" s="3" t="s">
        <v>57</v>
      </c>
      <c r="N1525" s="3"/>
      <c r="O1525" s="3"/>
      <c r="P1525" s="3"/>
      <c r="Q1525" s="3"/>
    </row>
    <row r="1526" spans="1:17" ht="21" customHeight="1">
      <c r="A1526" s="3" t="s">
        <v>2202</v>
      </c>
      <c r="B1526" s="5">
        <v>45699</v>
      </c>
      <c r="C1526" s="3" t="s">
        <v>788</v>
      </c>
      <c r="D1526" s="3" t="s">
        <v>45</v>
      </c>
      <c r="E1526" s="3" t="s">
        <v>42</v>
      </c>
      <c r="F1526" s="3" t="s">
        <v>90</v>
      </c>
      <c r="G1526" s="3" t="s">
        <v>91</v>
      </c>
      <c r="H1526" s="3">
        <v>1</v>
      </c>
      <c r="I1526" s="7">
        <v>1252.18</v>
      </c>
      <c r="J1526" s="9">
        <v>0.05</v>
      </c>
      <c r="K1526" s="7">
        <v>1189.57</v>
      </c>
      <c r="L1526" s="7">
        <v>539.09</v>
      </c>
      <c r="M1526" s="3" t="s">
        <v>56</v>
      </c>
      <c r="N1526" s="3"/>
      <c r="O1526" s="3"/>
      <c r="P1526" s="3"/>
      <c r="Q1526" s="3"/>
    </row>
    <row r="1527" spans="1:17" ht="21" customHeight="1">
      <c r="A1527" s="3" t="s">
        <v>2203</v>
      </c>
      <c r="B1527" s="5">
        <v>45699</v>
      </c>
      <c r="C1527" s="3" t="s">
        <v>946</v>
      </c>
      <c r="D1527" s="3" t="s">
        <v>44</v>
      </c>
      <c r="E1527" s="3" t="s">
        <v>39</v>
      </c>
      <c r="F1527" s="3" t="s">
        <v>109</v>
      </c>
      <c r="G1527" s="3" t="s">
        <v>110</v>
      </c>
      <c r="H1527" s="3">
        <v>1</v>
      </c>
      <c r="I1527" s="7">
        <v>2896.71</v>
      </c>
      <c r="J1527" s="9">
        <v>0</v>
      </c>
      <c r="K1527" s="7">
        <v>2896.71</v>
      </c>
      <c r="L1527" s="7">
        <v>1284.0999999999999</v>
      </c>
      <c r="M1527" s="3" t="s">
        <v>57</v>
      </c>
      <c r="N1527" s="3"/>
      <c r="O1527" s="3"/>
      <c r="P1527" s="3"/>
      <c r="Q1527" s="3"/>
    </row>
    <row r="1528" spans="1:17" ht="21" customHeight="1">
      <c r="A1528" s="3" t="s">
        <v>2204</v>
      </c>
      <c r="B1528" s="5">
        <v>45699</v>
      </c>
      <c r="C1528" s="3" t="s">
        <v>2123</v>
      </c>
      <c r="D1528" s="3" t="s">
        <v>46</v>
      </c>
      <c r="E1528" s="3" t="s">
        <v>42</v>
      </c>
      <c r="F1528" s="3" t="s">
        <v>90</v>
      </c>
      <c r="G1528" s="3" t="s">
        <v>91</v>
      </c>
      <c r="H1528" s="3">
        <v>2</v>
      </c>
      <c r="I1528" s="7">
        <v>1232.46</v>
      </c>
      <c r="J1528" s="9">
        <v>0.05</v>
      </c>
      <c r="K1528" s="7">
        <v>2341.67</v>
      </c>
      <c r="L1528" s="7">
        <v>1145.82</v>
      </c>
      <c r="M1528" s="3" t="s">
        <v>58</v>
      </c>
      <c r="N1528" s="3"/>
      <c r="O1528" s="3"/>
      <c r="P1528" s="3"/>
      <c r="Q1528" s="3"/>
    </row>
    <row r="1529" spans="1:17" ht="21" customHeight="1">
      <c r="A1529" s="3" t="s">
        <v>2205</v>
      </c>
      <c r="B1529" s="5">
        <v>45700</v>
      </c>
      <c r="C1529" s="3" t="s">
        <v>1555</v>
      </c>
      <c r="D1529" s="3" t="s">
        <v>46</v>
      </c>
      <c r="E1529" s="3" t="s">
        <v>41</v>
      </c>
      <c r="F1529" s="3" t="s">
        <v>113</v>
      </c>
      <c r="G1529" s="3" t="s">
        <v>123</v>
      </c>
      <c r="H1529" s="3">
        <v>1</v>
      </c>
      <c r="I1529" s="7">
        <v>3520.47</v>
      </c>
      <c r="J1529" s="9">
        <v>0</v>
      </c>
      <c r="K1529" s="7">
        <v>3520.47</v>
      </c>
      <c r="L1529" s="7">
        <v>1270.96</v>
      </c>
      <c r="M1529" s="3" t="s">
        <v>59</v>
      </c>
      <c r="N1529" s="3"/>
      <c r="O1529" s="3"/>
      <c r="P1529" s="3"/>
      <c r="Q1529" s="3"/>
    </row>
    <row r="1530" spans="1:17" ht="21" customHeight="1">
      <c r="A1530" s="3" t="s">
        <v>2206</v>
      </c>
      <c r="B1530" s="5">
        <v>45700</v>
      </c>
      <c r="C1530" s="3" t="s">
        <v>595</v>
      </c>
      <c r="D1530" s="3" t="s">
        <v>45</v>
      </c>
      <c r="E1530" s="3" t="s">
        <v>38</v>
      </c>
      <c r="F1530" s="3" t="s">
        <v>98</v>
      </c>
      <c r="G1530" s="3" t="s">
        <v>362</v>
      </c>
      <c r="H1530" s="3">
        <v>1</v>
      </c>
      <c r="I1530" s="7">
        <v>33617.870000000003</v>
      </c>
      <c r="J1530" s="9">
        <v>0.05</v>
      </c>
      <c r="K1530" s="7">
        <v>31936.98</v>
      </c>
      <c r="L1530" s="7">
        <v>3184.4</v>
      </c>
      <c r="M1530" s="3" t="s">
        <v>56</v>
      </c>
      <c r="N1530" s="3"/>
      <c r="O1530" s="3"/>
      <c r="P1530" s="3"/>
      <c r="Q1530" s="3"/>
    </row>
    <row r="1531" spans="1:17" ht="21" customHeight="1">
      <c r="A1531" s="3" t="s">
        <v>2207</v>
      </c>
      <c r="B1531" s="5">
        <v>45700</v>
      </c>
      <c r="C1531" s="3" t="s">
        <v>1274</v>
      </c>
      <c r="D1531" s="3" t="s">
        <v>44</v>
      </c>
      <c r="E1531" s="3" t="s">
        <v>39</v>
      </c>
      <c r="F1531" s="3" t="s">
        <v>130</v>
      </c>
      <c r="G1531" s="3" t="s">
        <v>193</v>
      </c>
      <c r="H1531" s="3">
        <v>1</v>
      </c>
      <c r="I1531" s="7">
        <v>1788.8</v>
      </c>
      <c r="J1531" s="9">
        <v>0.1</v>
      </c>
      <c r="K1531" s="7">
        <v>1609.92</v>
      </c>
      <c r="L1531" s="7">
        <v>453.08</v>
      </c>
      <c r="M1531" s="3" t="s">
        <v>56</v>
      </c>
      <c r="N1531" s="3"/>
      <c r="O1531" s="3"/>
      <c r="P1531" s="3"/>
      <c r="Q1531" s="3"/>
    </row>
    <row r="1532" spans="1:17" ht="21" customHeight="1">
      <c r="A1532" s="3" t="s">
        <v>2208</v>
      </c>
      <c r="B1532" s="5">
        <v>45700</v>
      </c>
      <c r="C1532" s="3" t="s">
        <v>730</v>
      </c>
      <c r="D1532" s="3" t="s">
        <v>44</v>
      </c>
      <c r="E1532" s="3" t="s">
        <v>40</v>
      </c>
      <c r="F1532" s="3" t="s">
        <v>221</v>
      </c>
      <c r="G1532" s="3" t="s">
        <v>279</v>
      </c>
      <c r="H1532" s="3">
        <v>2</v>
      </c>
      <c r="I1532" s="7">
        <v>1548.73</v>
      </c>
      <c r="J1532" s="9">
        <v>0.3</v>
      </c>
      <c r="K1532" s="7">
        <v>2168.2199999999998</v>
      </c>
      <c r="L1532" s="7">
        <v>16.36</v>
      </c>
      <c r="M1532" s="3" t="s">
        <v>56</v>
      </c>
      <c r="N1532" s="3"/>
      <c r="O1532" s="3"/>
      <c r="P1532" s="3"/>
      <c r="Q1532" s="3"/>
    </row>
    <row r="1533" spans="1:17" ht="21" customHeight="1">
      <c r="A1533" s="3" t="s">
        <v>2209</v>
      </c>
      <c r="B1533" s="5">
        <v>45702</v>
      </c>
      <c r="C1533" s="3" t="s">
        <v>771</v>
      </c>
      <c r="D1533" s="3" t="s">
        <v>45</v>
      </c>
      <c r="E1533" s="3" t="s">
        <v>38</v>
      </c>
      <c r="F1533" s="3" t="s">
        <v>94</v>
      </c>
      <c r="G1533" s="3" t="s">
        <v>95</v>
      </c>
      <c r="H1533" s="3">
        <v>2</v>
      </c>
      <c r="I1533" s="7">
        <v>81450.11</v>
      </c>
      <c r="J1533" s="9">
        <v>0.1</v>
      </c>
      <c r="K1533" s="7">
        <v>146610.20000000001</v>
      </c>
      <c r="L1533" s="7">
        <v>7872.99</v>
      </c>
      <c r="M1533" s="3" t="s">
        <v>56</v>
      </c>
      <c r="N1533" s="3"/>
      <c r="O1533" s="3"/>
      <c r="P1533" s="3"/>
      <c r="Q1533" s="3"/>
    </row>
    <row r="1534" spans="1:17" ht="21" customHeight="1">
      <c r="A1534" s="3" t="s">
        <v>2210</v>
      </c>
      <c r="B1534" s="5">
        <v>45703</v>
      </c>
      <c r="C1534" s="3" t="s">
        <v>2123</v>
      </c>
      <c r="D1534" s="3" t="s">
        <v>44</v>
      </c>
      <c r="E1534" s="3" t="s">
        <v>39</v>
      </c>
      <c r="F1534" s="3" t="s">
        <v>164</v>
      </c>
      <c r="G1534" s="3" t="s">
        <v>200</v>
      </c>
      <c r="H1534" s="3">
        <v>1</v>
      </c>
      <c r="I1534" s="7">
        <v>1306.51</v>
      </c>
      <c r="J1534" s="9">
        <v>0.4</v>
      </c>
      <c r="K1534" s="7">
        <v>783.91</v>
      </c>
      <c r="L1534" s="7">
        <v>-39.78</v>
      </c>
      <c r="M1534" s="3" t="s">
        <v>57</v>
      </c>
      <c r="N1534" s="3"/>
      <c r="O1534" s="3"/>
      <c r="P1534" s="3"/>
      <c r="Q1534" s="3"/>
    </row>
    <row r="1535" spans="1:17" ht="21" customHeight="1">
      <c r="A1535" s="3" t="s">
        <v>2211</v>
      </c>
      <c r="B1535" s="5">
        <v>45703</v>
      </c>
      <c r="C1535" s="3" t="s">
        <v>792</v>
      </c>
      <c r="D1535" s="3" t="s">
        <v>45</v>
      </c>
      <c r="E1535" s="3" t="s">
        <v>38</v>
      </c>
      <c r="F1535" s="3" t="s">
        <v>98</v>
      </c>
      <c r="G1535" s="3" t="s">
        <v>362</v>
      </c>
      <c r="H1535" s="3">
        <v>2</v>
      </c>
      <c r="I1535" s="7">
        <v>31557.31</v>
      </c>
      <c r="J1535" s="9">
        <v>0.1</v>
      </c>
      <c r="K1535" s="7">
        <v>56803.16</v>
      </c>
      <c r="L1535" s="7">
        <v>2340.9299999999998</v>
      </c>
      <c r="M1535" s="3" t="s">
        <v>58</v>
      </c>
      <c r="N1535" s="3"/>
      <c r="O1535" s="3"/>
      <c r="P1535" s="3"/>
      <c r="Q1535" s="3"/>
    </row>
    <row r="1536" spans="1:17" ht="21" customHeight="1">
      <c r="A1536" s="3" t="s">
        <v>2212</v>
      </c>
      <c r="B1536" s="5">
        <v>45703</v>
      </c>
      <c r="C1536" s="3" t="s">
        <v>1522</v>
      </c>
      <c r="D1536" s="3" t="s">
        <v>47</v>
      </c>
      <c r="E1536" s="3" t="s">
        <v>39</v>
      </c>
      <c r="F1536" s="3" t="s">
        <v>109</v>
      </c>
      <c r="G1536" s="3" t="s">
        <v>110</v>
      </c>
      <c r="H1536" s="3">
        <v>4</v>
      </c>
      <c r="I1536" s="7">
        <v>2921.14</v>
      </c>
      <c r="J1536" s="9">
        <v>0</v>
      </c>
      <c r="K1536" s="7">
        <v>11684.56</v>
      </c>
      <c r="L1536" s="7">
        <v>5200.6899999999996</v>
      </c>
      <c r="M1536" s="3" t="s">
        <v>60</v>
      </c>
      <c r="N1536" s="3"/>
      <c r="O1536" s="3"/>
      <c r="P1536" s="3"/>
      <c r="Q1536" s="3"/>
    </row>
    <row r="1537" spans="1:17" ht="21" customHeight="1">
      <c r="A1537" s="3" t="s">
        <v>2213</v>
      </c>
      <c r="B1537" s="5">
        <v>45703</v>
      </c>
      <c r="C1537" s="3" t="s">
        <v>1619</v>
      </c>
      <c r="D1537" s="3" t="s">
        <v>44</v>
      </c>
      <c r="E1537" s="3" t="s">
        <v>41</v>
      </c>
      <c r="F1537" s="3" t="s">
        <v>119</v>
      </c>
      <c r="G1537" s="3" t="s">
        <v>120</v>
      </c>
      <c r="H1537" s="3">
        <v>1</v>
      </c>
      <c r="I1537" s="7">
        <v>1329.99</v>
      </c>
      <c r="J1537" s="9">
        <v>0</v>
      </c>
      <c r="K1537" s="7">
        <v>1329.99</v>
      </c>
      <c r="L1537" s="7">
        <v>512.46</v>
      </c>
      <c r="M1537" s="3" t="s">
        <v>60</v>
      </c>
      <c r="N1537" s="3"/>
      <c r="O1537" s="3"/>
      <c r="P1537" s="3"/>
      <c r="Q1537" s="3"/>
    </row>
    <row r="1538" spans="1:17" ht="21" customHeight="1">
      <c r="A1538" s="3" t="s">
        <v>2214</v>
      </c>
      <c r="B1538" s="5">
        <v>45703</v>
      </c>
      <c r="C1538" s="3" t="s">
        <v>208</v>
      </c>
      <c r="D1538" s="3" t="s">
        <v>45</v>
      </c>
      <c r="E1538" s="3" t="s">
        <v>42</v>
      </c>
      <c r="F1538" s="3" t="s">
        <v>90</v>
      </c>
      <c r="G1538" s="3" t="s">
        <v>106</v>
      </c>
      <c r="H1538" s="3">
        <v>1</v>
      </c>
      <c r="I1538" s="7">
        <v>943.09</v>
      </c>
      <c r="J1538" s="9">
        <v>0</v>
      </c>
      <c r="K1538" s="7">
        <v>943.09</v>
      </c>
      <c r="L1538" s="7">
        <v>533.85</v>
      </c>
      <c r="M1538" s="3" t="s">
        <v>57</v>
      </c>
      <c r="N1538" s="3"/>
      <c r="O1538" s="3"/>
      <c r="P1538" s="3"/>
      <c r="Q1538" s="3"/>
    </row>
    <row r="1539" spans="1:17" ht="21" customHeight="1">
      <c r="A1539" s="3" t="s">
        <v>2215</v>
      </c>
      <c r="B1539" s="5">
        <v>45704</v>
      </c>
      <c r="C1539" s="3" t="s">
        <v>985</v>
      </c>
      <c r="D1539" s="3" t="s">
        <v>44</v>
      </c>
      <c r="E1539" s="3" t="s">
        <v>42</v>
      </c>
      <c r="F1539" s="3" t="s">
        <v>90</v>
      </c>
      <c r="G1539" s="3" t="s">
        <v>106</v>
      </c>
      <c r="H1539" s="3">
        <v>4</v>
      </c>
      <c r="I1539" s="7">
        <v>860.41</v>
      </c>
      <c r="J1539" s="9">
        <v>0.15</v>
      </c>
      <c r="K1539" s="7">
        <v>2925.39</v>
      </c>
      <c r="L1539" s="7">
        <v>1047.6600000000001</v>
      </c>
      <c r="M1539" s="3" t="s">
        <v>56</v>
      </c>
      <c r="N1539" s="3"/>
      <c r="O1539" s="3"/>
      <c r="P1539" s="3"/>
      <c r="Q1539" s="3"/>
    </row>
    <row r="1540" spans="1:17" ht="21" customHeight="1">
      <c r="A1540" s="3" t="s">
        <v>2216</v>
      </c>
      <c r="B1540" s="5">
        <v>45704</v>
      </c>
      <c r="C1540" s="3" t="s">
        <v>438</v>
      </c>
      <c r="D1540" s="3" t="s">
        <v>44</v>
      </c>
      <c r="E1540" s="3" t="s">
        <v>38</v>
      </c>
      <c r="F1540" s="3" t="s">
        <v>94</v>
      </c>
      <c r="G1540" s="3" t="s">
        <v>95</v>
      </c>
      <c r="H1540" s="3">
        <v>1</v>
      </c>
      <c r="I1540" s="7">
        <v>76769.679999999993</v>
      </c>
      <c r="J1540" s="9">
        <v>0</v>
      </c>
      <c r="K1540" s="7">
        <v>76769.679999999993</v>
      </c>
      <c r="L1540" s="7">
        <v>11122.14</v>
      </c>
      <c r="M1540" s="3" t="s">
        <v>57</v>
      </c>
      <c r="N1540" s="3"/>
      <c r="O1540" s="3"/>
      <c r="P1540" s="3"/>
      <c r="Q1540" s="3"/>
    </row>
    <row r="1541" spans="1:17" ht="21" customHeight="1">
      <c r="A1541" s="3" t="s">
        <v>2217</v>
      </c>
      <c r="B1541" s="5">
        <v>45705</v>
      </c>
      <c r="C1541" s="3" t="s">
        <v>2218</v>
      </c>
      <c r="D1541" s="3" t="s">
        <v>45</v>
      </c>
      <c r="E1541" s="3" t="s">
        <v>42</v>
      </c>
      <c r="F1541" s="3" t="s">
        <v>126</v>
      </c>
      <c r="G1541" s="3" t="s">
        <v>151</v>
      </c>
      <c r="H1541" s="3">
        <v>3</v>
      </c>
      <c r="I1541" s="7">
        <v>1475.43</v>
      </c>
      <c r="J1541" s="9">
        <v>0.4</v>
      </c>
      <c r="K1541" s="7">
        <v>2655.77</v>
      </c>
      <c r="L1541" s="7">
        <v>324.3</v>
      </c>
      <c r="M1541" s="3" t="s">
        <v>56</v>
      </c>
      <c r="N1541" s="3"/>
      <c r="O1541" s="3"/>
      <c r="P1541" s="3"/>
      <c r="Q1541" s="3"/>
    </row>
    <row r="1542" spans="1:17" ht="21" customHeight="1">
      <c r="A1542" s="3" t="s">
        <v>2219</v>
      </c>
      <c r="B1542" s="5">
        <v>45705</v>
      </c>
      <c r="C1542" s="3" t="s">
        <v>1193</v>
      </c>
      <c r="D1542" s="3" t="s">
        <v>45</v>
      </c>
      <c r="E1542" s="3" t="s">
        <v>39</v>
      </c>
      <c r="F1542" s="3" t="s">
        <v>164</v>
      </c>
      <c r="G1542" s="3" t="s">
        <v>165</v>
      </c>
      <c r="H1542" s="3">
        <v>1</v>
      </c>
      <c r="I1542" s="7">
        <v>2087.9699999999998</v>
      </c>
      <c r="J1542" s="9">
        <v>0.05</v>
      </c>
      <c r="K1542" s="7">
        <v>1983.57</v>
      </c>
      <c r="L1542" s="7">
        <v>658.32</v>
      </c>
      <c r="M1542" s="3" t="s">
        <v>56</v>
      </c>
      <c r="N1542" s="3"/>
      <c r="O1542" s="3"/>
      <c r="P1542" s="3"/>
      <c r="Q1542" s="3"/>
    </row>
    <row r="1543" spans="1:17" ht="21" customHeight="1">
      <c r="A1543" s="3" t="s">
        <v>2220</v>
      </c>
      <c r="B1543" s="5">
        <v>45705</v>
      </c>
      <c r="C1543" s="3" t="s">
        <v>1010</v>
      </c>
      <c r="D1543" s="3" t="s">
        <v>45</v>
      </c>
      <c r="E1543" s="3" t="s">
        <v>41</v>
      </c>
      <c r="F1543" s="3" t="s">
        <v>113</v>
      </c>
      <c r="G1543" s="3" t="s">
        <v>114</v>
      </c>
      <c r="H1543" s="3">
        <v>1</v>
      </c>
      <c r="I1543" s="7">
        <v>11823.73</v>
      </c>
      <c r="J1543" s="9">
        <v>0.05</v>
      </c>
      <c r="K1543" s="7">
        <v>11232.54</v>
      </c>
      <c r="L1543" s="7">
        <v>3842.84</v>
      </c>
      <c r="M1543" s="3" t="s">
        <v>57</v>
      </c>
      <c r="N1543" s="3"/>
      <c r="O1543" s="3"/>
      <c r="P1543" s="3"/>
      <c r="Q1543" s="3"/>
    </row>
    <row r="1544" spans="1:17" ht="21" customHeight="1">
      <c r="A1544" s="3" t="s">
        <v>2221</v>
      </c>
      <c r="B1544" s="5">
        <v>45705</v>
      </c>
      <c r="C1544" s="3" t="s">
        <v>1278</v>
      </c>
      <c r="D1544" s="3" t="s">
        <v>46</v>
      </c>
      <c r="E1544" s="3" t="s">
        <v>39</v>
      </c>
      <c r="F1544" s="3" t="s">
        <v>109</v>
      </c>
      <c r="G1544" s="3" t="s">
        <v>110</v>
      </c>
      <c r="H1544" s="3">
        <v>1</v>
      </c>
      <c r="I1544" s="7">
        <v>2997.84</v>
      </c>
      <c r="J1544" s="9">
        <v>0.2</v>
      </c>
      <c r="K1544" s="7">
        <v>2398.27</v>
      </c>
      <c r="L1544" s="7">
        <v>385.83</v>
      </c>
      <c r="M1544" s="3" t="s">
        <v>56</v>
      </c>
      <c r="N1544" s="3"/>
      <c r="O1544" s="3"/>
      <c r="P1544" s="3"/>
      <c r="Q1544" s="3"/>
    </row>
    <row r="1545" spans="1:17" ht="21" customHeight="1">
      <c r="A1545" s="3" t="s">
        <v>2222</v>
      </c>
      <c r="B1545" s="5">
        <v>45705</v>
      </c>
      <c r="C1545" s="3" t="s">
        <v>278</v>
      </c>
      <c r="D1545" s="3" t="s">
        <v>46</v>
      </c>
      <c r="E1545" s="3" t="s">
        <v>40</v>
      </c>
      <c r="F1545" s="3" t="s">
        <v>102</v>
      </c>
      <c r="G1545" s="3" t="s">
        <v>103</v>
      </c>
      <c r="H1545" s="3">
        <v>1</v>
      </c>
      <c r="I1545" s="7">
        <v>6324.86</v>
      </c>
      <c r="J1545" s="9">
        <v>0.05</v>
      </c>
      <c r="K1545" s="7">
        <v>6008.62</v>
      </c>
      <c r="L1545" s="7">
        <v>1591.57</v>
      </c>
      <c r="M1545" s="3" t="s">
        <v>56</v>
      </c>
      <c r="N1545" s="3"/>
      <c r="O1545" s="3"/>
      <c r="P1545" s="3"/>
      <c r="Q1545" s="3"/>
    </row>
    <row r="1546" spans="1:17" ht="21" customHeight="1">
      <c r="A1546" s="3" t="s">
        <v>2223</v>
      </c>
      <c r="B1546" s="5">
        <v>45706</v>
      </c>
      <c r="C1546" s="3" t="s">
        <v>1381</v>
      </c>
      <c r="D1546" s="3" t="s">
        <v>44</v>
      </c>
      <c r="E1546" s="3" t="s">
        <v>39</v>
      </c>
      <c r="F1546" s="3" t="s">
        <v>109</v>
      </c>
      <c r="G1546" s="3" t="s">
        <v>110</v>
      </c>
      <c r="H1546" s="3">
        <v>2</v>
      </c>
      <c r="I1546" s="7">
        <v>2962.31</v>
      </c>
      <c r="J1546" s="9">
        <v>0.1</v>
      </c>
      <c r="K1546" s="7">
        <v>5332.16</v>
      </c>
      <c r="L1546" s="7">
        <v>1749.19</v>
      </c>
      <c r="M1546" s="3" t="s">
        <v>56</v>
      </c>
      <c r="N1546" s="3"/>
      <c r="O1546" s="3"/>
      <c r="P1546" s="3"/>
      <c r="Q1546" s="3"/>
    </row>
    <row r="1547" spans="1:17" ht="21" customHeight="1">
      <c r="A1547" s="3" t="s">
        <v>2224</v>
      </c>
      <c r="B1547" s="5">
        <v>45706</v>
      </c>
      <c r="C1547" s="3" t="s">
        <v>389</v>
      </c>
      <c r="D1547" s="3" t="s">
        <v>45</v>
      </c>
      <c r="E1547" s="3" t="s">
        <v>40</v>
      </c>
      <c r="F1547" s="3" t="s">
        <v>102</v>
      </c>
      <c r="G1547" s="3" t="s">
        <v>146</v>
      </c>
      <c r="H1547" s="3">
        <v>1</v>
      </c>
      <c r="I1547" s="7">
        <v>7834.38</v>
      </c>
      <c r="J1547" s="9">
        <v>0.1</v>
      </c>
      <c r="K1547" s="7">
        <v>7050.94</v>
      </c>
      <c r="L1547" s="7">
        <v>1313.35</v>
      </c>
      <c r="M1547" s="3" t="s">
        <v>57</v>
      </c>
      <c r="N1547" s="3"/>
      <c r="O1547" s="3"/>
      <c r="P1547" s="3"/>
      <c r="Q1547" s="3"/>
    </row>
    <row r="1548" spans="1:17" ht="21" customHeight="1">
      <c r="A1548" s="3" t="s">
        <v>2225</v>
      </c>
      <c r="B1548" s="5">
        <v>45706</v>
      </c>
      <c r="C1548" s="3" t="s">
        <v>2226</v>
      </c>
      <c r="D1548" s="3" t="s">
        <v>45</v>
      </c>
      <c r="E1548" s="3" t="s">
        <v>41</v>
      </c>
      <c r="F1548" s="3" t="s">
        <v>113</v>
      </c>
      <c r="G1548" s="3" t="s">
        <v>123</v>
      </c>
      <c r="H1548" s="3">
        <v>2</v>
      </c>
      <c r="I1548" s="7">
        <v>3661.48</v>
      </c>
      <c r="J1548" s="9">
        <v>0.05</v>
      </c>
      <c r="K1548" s="7">
        <v>6956.81</v>
      </c>
      <c r="L1548" s="7">
        <v>2330.75</v>
      </c>
      <c r="M1548" s="3" t="s">
        <v>57</v>
      </c>
      <c r="N1548" s="3"/>
      <c r="O1548" s="3"/>
      <c r="P1548" s="3"/>
      <c r="Q1548" s="3"/>
    </row>
    <row r="1549" spans="1:17" ht="21" customHeight="1">
      <c r="A1549" s="3" t="s">
        <v>2227</v>
      </c>
      <c r="B1549" s="5">
        <v>45707</v>
      </c>
      <c r="C1549" s="3" t="s">
        <v>1859</v>
      </c>
      <c r="D1549" s="3" t="s">
        <v>45</v>
      </c>
      <c r="E1549" s="3" t="s">
        <v>42</v>
      </c>
      <c r="F1549" s="3" t="s">
        <v>90</v>
      </c>
      <c r="G1549" s="3" t="s">
        <v>106</v>
      </c>
      <c r="H1549" s="3">
        <v>1</v>
      </c>
      <c r="I1549" s="7">
        <v>927.34</v>
      </c>
      <c r="J1549" s="9">
        <v>0.1</v>
      </c>
      <c r="K1549" s="7">
        <v>834.61</v>
      </c>
      <c r="L1549" s="7">
        <v>347.52</v>
      </c>
      <c r="M1549" s="3" t="s">
        <v>56</v>
      </c>
      <c r="N1549" s="3"/>
      <c r="O1549" s="3"/>
      <c r="P1549" s="3"/>
      <c r="Q1549" s="3"/>
    </row>
    <row r="1550" spans="1:17" ht="21" customHeight="1">
      <c r="A1550" s="3" t="s">
        <v>2228</v>
      </c>
      <c r="B1550" s="5">
        <v>45707</v>
      </c>
      <c r="C1550" s="3" t="s">
        <v>148</v>
      </c>
      <c r="D1550" s="3" t="s">
        <v>46</v>
      </c>
      <c r="E1550" s="3" t="s">
        <v>38</v>
      </c>
      <c r="F1550" s="3" t="s">
        <v>98</v>
      </c>
      <c r="G1550" s="3" t="s">
        <v>362</v>
      </c>
      <c r="H1550" s="3">
        <v>2</v>
      </c>
      <c r="I1550" s="7">
        <v>32864.639999999999</v>
      </c>
      <c r="J1550" s="9">
        <v>0</v>
      </c>
      <c r="K1550" s="7">
        <v>65729.279999999999</v>
      </c>
      <c r="L1550" s="7">
        <v>12201.36</v>
      </c>
      <c r="M1550" s="3" t="s">
        <v>60</v>
      </c>
      <c r="N1550" s="3"/>
      <c r="O1550" s="3"/>
      <c r="P1550" s="3"/>
      <c r="Q1550" s="3"/>
    </row>
    <row r="1551" spans="1:17" ht="21" customHeight="1">
      <c r="A1551" s="3" t="s">
        <v>2229</v>
      </c>
      <c r="B1551" s="5">
        <v>45707</v>
      </c>
      <c r="C1551" s="3" t="s">
        <v>1707</v>
      </c>
      <c r="D1551" s="3" t="s">
        <v>46</v>
      </c>
      <c r="E1551" s="3" t="s">
        <v>38</v>
      </c>
      <c r="F1551" s="3" t="s">
        <v>98</v>
      </c>
      <c r="G1551" s="3" t="s">
        <v>182</v>
      </c>
      <c r="H1551" s="3">
        <v>1</v>
      </c>
      <c r="I1551" s="7">
        <v>68314.97</v>
      </c>
      <c r="J1551" s="9">
        <v>0.1</v>
      </c>
      <c r="K1551" s="7">
        <v>61483.47</v>
      </c>
      <c r="L1551" s="7">
        <v>5084.1400000000003</v>
      </c>
      <c r="M1551" s="3" t="s">
        <v>60</v>
      </c>
      <c r="N1551" s="3"/>
      <c r="O1551" s="3"/>
      <c r="P1551" s="3"/>
      <c r="Q1551" s="3"/>
    </row>
    <row r="1552" spans="1:17" ht="21" customHeight="1">
      <c r="A1552" s="3" t="s">
        <v>2230</v>
      </c>
      <c r="B1552" s="5">
        <v>45707</v>
      </c>
      <c r="C1552" s="3" t="s">
        <v>771</v>
      </c>
      <c r="D1552" s="3" t="s">
        <v>45</v>
      </c>
      <c r="E1552" s="3" t="s">
        <v>39</v>
      </c>
      <c r="F1552" s="3" t="s">
        <v>130</v>
      </c>
      <c r="G1552" s="3" t="s">
        <v>131</v>
      </c>
      <c r="H1552" s="3">
        <v>5</v>
      </c>
      <c r="I1552" s="7">
        <v>2170.5</v>
      </c>
      <c r="J1552" s="9">
        <v>0.05</v>
      </c>
      <c r="K1552" s="7">
        <v>10309.879999999999</v>
      </c>
      <c r="L1552" s="7">
        <v>3578.98</v>
      </c>
      <c r="M1552" s="3" t="s">
        <v>60</v>
      </c>
      <c r="N1552" s="3"/>
      <c r="O1552" s="3"/>
      <c r="P1552" s="3"/>
      <c r="Q1552" s="3"/>
    </row>
    <row r="1553" spans="1:17" ht="21" customHeight="1">
      <c r="A1553" s="3" t="s">
        <v>2231</v>
      </c>
      <c r="B1553" s="5">
        <v>45708</v>
      </c>
      <c r="C1553" s="3" t="s">
        <v>2077</v>
      </c>
      <c r="D1553" s="3" t="s">
        <v>45</v>
      </c>
      <c r="E1553" s="3" t="s">
        <v>40</v>
      </c>
      <c r="F1553" s="3" t="s">
        <v>102</v>
      </c>
      <c r="G1553" s="3" t="s">
        <v>103</v>
      </c>
      <c r="H1553" s="3">
        <v>1</v>
      </c>
      <c r="I1553" s="7">
        <v>6782.04</v>
      </c>
      <c r="J1553" s="9">
        <v>0</v>
      </c>
      <c r="K1553" s="7">
        <v>6782.04</v>
      </c>
      <c r="L1553" s="7">
        <v>2276.62</v>
      </c>
      <c r="M1553" s="3" t="s">
        <v>58</v>
      </c>
      <c r="N1553" s="3"/>
      <c r="O1553" s="3"/>
      <c r="P1553" s="3"/>
      <c r="Q1553" s="3"/>
    </row>
    <row r="1554" spans="1:17" ht="21" customHeight="1">
      <c r="A1554" s="3" t="s">
        <v>2232</v>
      </c>
      <c r="B1554" s="5">
        <v>45708</v>
      </c>
      <c r="C1554" s="3" t="s">
        <v>680</v>
      </c>
      <c r="D1554" s="3" t="s">
        <v>47</v>
      </c>
      <c r="E1554" s="3" t="s">
        <v>40</v>
      </c>
      <c r="F1554" s="3" t="s">
        <v>221</v>
      </c>
      <c r="G1554" s="3" t="s">
        <v>222</v>
      </c>
      <c r="H1554" s="3">
        <v>3</v>
      </c>
      <c r="I1554" s="7">
        <v>976.65</v>
      </c>
      <c r="J1554" s="9">
        <v>0.15</v>
      </c>
      <c r="K1554" s="7">
        <v>2490.46</v>
      </c>
      <c r="L1554" s="7">
        <v>294.64999999999998</v>
      </c>
      <c r="M1554" s="3" t="s">
        <v>56</v>
      </c>
      <c r="N1554" s="3"/>
      <c r="O1554" s="3"/>
      <c r="P1554" s="3"/>
      <c r="Q1554" s="3"/>
    </row>
    <row r="1555" spans="1:17" ht="21" customHeight="1">
      <c r="A1555" s="3" t="s">
        <v>2233</v>
      </c>
      <c r="B1555" s="5">
        <v>45708</v>
      </c>
      <c r="C1555" s="3" t="s">
        <v>2034</v>
      </c>
      <c r="D1555" s="3" t="s">
        <v>46</v>
      </c>
      <c r="E1555" s="3" t="s">
        <v>39</v>
      </c>
      <c r="F1555" s="3" t="s">
        <v>164</v>
      </c>
      <c r="G1555" s="3" t="s">
        <v>200</v>
      </c>
      <c r="H1555" s="3">
        <v>2</v>
      </c>
      <c r="I1555" s="7">
        <v>1247.24</v>
      </c>
      <c r="J1555" s="9">
        <v>0.1</v>
      </c>
      <c r="K1555" s="7">
        <v>2245.0300000000002</v>
      </c>
      <c r="L1555" s="7">
        <v>731.97</v>
      </c>
      <c r="M1555" s="3" t="s">
        <v>56</v>
      </c>
      <c r="N1555" s="3"/>
      <c r="O1555" s="3"/>
      <c r="P1555" s="3"/>
      <c r="Q1555" s="3"/>
    </row>
    <row r="1556" spans="1:17" ht="21" customHeight="1">
      <c r="A1556" s="3" t="s">
        <v>2234</v>
      </c>
      <c r="B1556" s="5">
        <v>45708</v>
      </c>
      <c r="C1556" s="3" t="s">
        <v>1013</v>
      </c>
      <c r="D1556" s="3" t="s">
        <v>45</v>
      </c>
      <c r="E1556" s="3" t="s">
        <v>39</v>
      </c>
      <c r="F1556" s="3" t="s">
        <v>130</v>
      </c>
      <c r="G1556" s="3" t="s">
        <v>131</v>
      </c>
      <c r="H1556" s="3">
        <v>1</v>
      </c>
      <c r="I1556" s="7">
        <v>2143.4699999999998</v>
      </c>
      <c r="J1556" s="9">
        <v>0.3</v>
      </c>
      <c r="K1556" s="7">
        <v>1500.43</v>
      </c>
      <c r="L1556" s="7">
        <v>84.94</v>
      </c>
      <c r="M1556" s="3" t="s">
        <v>57</v>
      </c>
      <c r="N1556" s="3"/>
      <c r="O1556" s="3"/>
      <c r="P1556" s="3"/>
      <c r="Q1556" s="3"/>
    </row>
    <row r="1557" spans="1:17" ht="21" customHeight="1">
      <c r="A1557" s="3" t="s">
        <v>2235</v>
      </c>
      <c r="B1557" s="5">
        <v>45708</v>
      </c>
      <c r="C1557" s="3" t="s">
        <v>616</v>
      </c>
      <c r="D1557" s="3" t="s">
        <v>47</v>
      </c>
      <c r="E1557" s="3" t="s">
        <v>39</v>
      </c>
      <c r="F1557" s="3" t="s">
        <v>164</v>
      </c>
      <c r="G1557" s="3" t="s">
        <v>200</v>
      </c>
      <c r="H1557" s="3">
        <v>1</v>
      </c>
      <c r="I1557" s="7">
        <v>1247.33</v>
      </c>
      <c r="J1557" s="9">
        <v>0.1</v>
      </c>
      <c r="K1557" s="7">
        <v>1122.5999999999999</v>
      </c>
      <c r="L1557" s="7">
        <v>310.27</v>
      </c>
      <c r="M1557" s="3" t="s">
        <v>56</v>
      </c>
      <c r="N1557" s="3"/>
      <c r="O1557" s="3"/>
      <c r="P1557" s="3"/>
      <c r="Q1557" s="3"/>
    </row>
    <row r="1558" spans="1:17" ht="21" customHeight="1">
      <c r="A1558" s="3" t="s">
        <v>2236</v>
      </c>
      <c r="B1558" s="5">
        <v>45708</v>
      </c>
      <c r="C1558" s="3" t="s">
        <v>150</v>
      </c>
      <c r="D1558" s="3" t="s">
        <v>45</v>
      </c>
      <c r="E1558" s="3" t="s">
        <v>41</v>
      </c>
      <c r="F1558" s="3" t="s">
        <v>119</v>
      </c>
      <c r="G1558" s="3" t="s">
        <v>120</v>
      </c>
      <c r="H1558" s="3">
        <v>1</v>
      </c>
      <c r="I1558" s="7">
        <v>1242.94</v>
      </c>
      <c r="J1558" s="9">
        <v>0.4</v>
      </c>
      <c r="K1558" s="7">
        <v>745.76</v>
      </c>
      <c r="L1558" s="7">
        <v>-39.72</v>
      </c>
      <c r="M1558" s="3" t="s">
        <v>56</v>
      </c>
      <c r="N1558" s="3"/>
      <c r="O1558" s="3"/>
      <c r="P1558" s="3"/>
      <c r="Q1558" s="3"/>
    </row>
    <row r="1559" spans="1:17" ht="21" customHeight="1">
      <c r="A1559" s="3" t="s">
        <v>2237</v>
      </c>
      <c r="B1559" s="5">
        <v>45709</v>
      </c>
      <c r="C1559" s="3" t="s">
        <v>440</v>
      </c>
      <c r="D1559" s="3" t="s">
        <v>46</v>
      </c>
      <c r="E1559" s="3" t="s">
        <v>41</v>
      </c>
      <c r="F1559" s="3" t="s">
        <v>119</v>
      </c>
      <c r="G1559" s="3" t="s">
        <v>168</v>
      </c>
      <c r="H1559" s="3">
        <v>1</v>
      </c>
      <c r="I1559" s="7">
        <v>10266.290000000001</v>
      </c>
      <c r="J1559" s="9">
        <v>0.4</v>
      </c>
      <c r="K1559" s="7">
        <v>6159.77</v>
      </c>
      <c r="L1559" s="7">
        <v>-666.42</v>
      </c>
      <c r="M1559" s="3" t="s">
        <v>59</v>
      </c>
      <c r="N1559" s="3"/>
      <c r="O1559" s="3"/>
      <c r="P1559" s="3"/>
      <c r="Q1559" s="3"/>
    </row>
    <row r="1560" spans="1:17" ht="21" customHeight="1">
      <c r="A1560" s="3" t="s">
        <v>2238</v>
      </c>
      <c r="B1560" s="5">
        <v>45709</v>
      </c>
      <c r="C1560" s="3" t="s">
        <v>139</v>
      </c>
      <c r="D1560" s="3" t="s">
        <v>45</v>
      </c>
      <c r="E1560" s="3" t="s">
        <v>40</v>
      </c>
      <c r="F1560" s="3" t="s">
        <v>160</v>
      </c>
      <c r="G1560" s="3" t="s">
        <v>173</v>
      </c>
      <c r="H1560" s="3">
        <v>1</v>
      </c>
      <c r="I1560" s="7">
        <v>9056.2999999999993</v>
      </c>
      <c r="J1560" s="9">
        <v>0.3</v>
      </c>
      <c r="K1560" s="7">
        <v>6339.41</v>
      </c>
      <c r="L1560" s="7">
        <v>-283.33999999999997</v>
      </c>
      <c r="M1560" s="3" t="s">
        <v>56</v>
      </c>
      <c r="N1560" s="3"/>
      <c r="O1560" s="3"/>
      <c r="P1560" s="3"/>
      <c r="Q1560" s="3"/>
    </row>
    <row r="1561" spans="1:17" ht="21" customHeight="1">
      <c r="A1561" s="3" t="s">
        <v>2239</v>
      </c>
      <c r="B1561" s="5">
        <v>45709</v>
      </c>
      <c r="C1561" s="3" t="s">
        <v>768</v>
      </c>
      <c r="D1561" s="3" t="s">
        <v>46</v>
      </c>
      <c r="E1561" s="3" t="s">
        <v>40</v>
      </c>
      <c r="F1561" s="3" t="s">
        <v>221</v>
      </c>
      <c r="G1561" s="3" t="s">
        <v>222</v>
      </c>
      <c r="H1561" s="3">
        <v>2</v>
      </c>
      <c r="I1561" s="7">
        <v>982.82</v>
      </c>
      <c r="J1561" s="9">
        <v>0.1</v>
      </c>
      <c r="K1561" s="7">
        <v>1769.08</v>
      </c>
      <c r="L1561" s="7">
        <v>389.01</v>
      </c>
      <c r="M1561" s="3" t="s">
        <v>57</v>
      </c>
      <c r="N1561" s="3"/>
      <c r="O1561" s="3"/>
      <c r="P1561" s="3"/>
      <c r="Q1561" s="3"/>
    </row>
    <row r="1562" spans="1:17" ht="21" customHeight="1">
      <c r="A1562" s="3" t="s">
        <v>2240</v>
      </c>
      <c r="B1562" s="5">
        <v>45709</v>
      </c>
      <c r="C1562" s="3" t="s">
        <v>1179</v>
      </c>
      <c r="D1562" s="3" t="s">
        <v>45</v>
      </c>
      <c r="E1562" s="3" t="s">
        <v>42</v>
      </c>
      <c r="F1562" s="3" t="s">
        <v>90</v>
      </c>
      <c r="G1562" s="3" t="s">
        <v>106</v>
      </c>
      <c r="H1562" s="3">
        <v>1</v>
      </c>
      <c r="I1562" s="7">
        <v>905.31</v>
      </c>
      <c r="J1562" s="9">
        <v>0.05</v>
      </c>
      <c r="K1562" s="7">
        <v>860.04</v>
      </c>
      <c r="L1562" s="7">
        <v>445.46</v>
      </c>
      <c r="M1562" s="3" t="s">
        <v>60</v>
      </c>
      <c r="N1562" s="3"/>
      <c r="O1562" s="3"/>
      <c r="P1562" s="3"/>
      <c r="Q1562" s="3"/>
    </row>
    <row r="1563" spans="1:17" ht="21" customHeight="1">
      <c r="A1563" s="3" t="s">
        <v>2241</v>
      </c>
      <c r="B1563" s="5">
        <v>45710</v>
      </c>
      <c r="C1563" s="3" t="s">
        <v>962</v>
      </c>
      <c r="D1563" s="3" t="s">
        <v>45</v>
      </c>
      <c r="E1563" s="3" t="s">
        <v>42</v>
      </c>
      <c r="F1563" s="3" t="s">
        <v>90</v>
      </c>
      <c r="G1563" s="3" t="s">
        <v>106</v>
      </c>
      <c r="H1563" s="3">
        <v>2</v>
      </c>
      <c r="I1563" s="7">
        <v>861.35</v>
      </c>
      <c r="J1563" s="9">
        <v>0</v>
      </c>
      <c r="K1563" s="7">
        <v>1722.7</v>
      </c>
      <c r="L1563" s="7">
        <v>911.63</v>
      </c>
      <c r="M1563" s="3" t="s">
        <v>56</v>
      </c>
      <c r="N1563" s="3"/>
      <c r="O1563" s="3"/>
      <c r="P1563" s="3"/>
      <c r="Q1563" s="3"/>
    </row>
    <row r="1564" spans="1:17" ht="21" customHeight="1">
      <c r="A1564" s="3" t="s">
        <v>2242</v>
      </c>
      <c r="B1564" s="5">
        <v>45710</v>
      </c>
      <c r="C1564" s="3" t="s">
        <v>746</v>
      </c>
      <c r="D1564" s="3" t="s">
        <v>45</v>
      </c>
      <c r="E1564" s="3" t="s">
        <v>42</v>
      </c>
      <c r="F1564" s="3" t="s">
        <v>90</v>
      </c>
      <c r="G1564" s="3" t="s">
        <v>91</v>
      </c>
      <c r="H1564" s="3">
        <v>2</v>
      </c>
      <c r="I1564" s="7">
        <v>1211.6500000000001</v>
      </c>
      <c r="J1564" s="9">
        <v>0.1</v>
      </c>
      <c r="K1564" s="7">
        <v>2180.9699999999998</v>
      </c>
      <c r="L1564" s="7">
        <v>1000.34</v>
      </c>
      <c r="M1564" s="3" t="s">
        <v>56</v>
      </c>
      <c r="N1564" s="3"/>
      <c r="O1564" s="3"/>
      <c r="P1564" s="3"/>
      <c r="Q1564" s="3"/>
    </row>
    <row r="1565" spans="1:17" ht="21" customHeight="1">
      <c r="A1565" s="3" t="s">
        <v>2243</v>
      </c>
      <c r="B1565" s="5">
        <v>45710</v>
      </c>
      <c r="C1565" s="3" t="s">
        <v>137</v>
      </c>
      <c r="D1565" s="3" t="s">
        <v>44</v>
      </c>
      <c r="E1565" s="3" t="s">
        <v>41</v>
      </c>
      <c r="F1565" s="3" t="s">
        <v>113</v>
      </c>
      <c r="G1565" s="3" t="s">
        <v>114</v>
      </c>
      <c r="H1565" s="3">
        <v>1</v>
      </c>
      <c r="I1565" s="7">
        <v>12266.95</v>
      </c>
      <c r="J1565" s="9">
        <v>0.05</v>
      </c>
      <c r="K1565" s="7">
        <v>11653.6</v>
      </c>
      <c r="L1565" s="7">
        <v>3484.11</v>
      </c>
      <c r="M1565" s="3" t="s">
        <v>56</v>
      </c>
      <c r="N1565" s="3"/>
      <c r="O1565" s="3"/>
      <c r="P1565" s="3"/>
      <c r="Q1565" s="3"/>
    </row>
    <row r="1566" spans="1:17" ht="21" customHeight="1">
      <c r="A1566" s="3" t="s">
        <v>2244</v>
      </c>
      <c r="B1566" s="5">
        <v>45711</v>
      </c>
      <c r="C1566" s="3" t="s">
        <v>274</v>
      </c>
      <c r="D1566" s="3" t="s">
        <v>47</v>
      </c>
      <c r="E1566" s="3" t="s">
        <v>41</v>
      </c>
      <c r="F1566" s="3" t="s">
        <v>113</v>
      </c>
      <c r="G1566" s="3" t="s">
        <v>114</v>
      </c>
      <c r="H1566" s="3">
        <v>4</v>
      </c>
      <c r="I1566" s="7">
        <v>12272.8</v>
      </c>
      <c r="J1566" s="9">
        <v>0</v>
      </c>
      <c r="K1566" s="7">
        <v>49091.199999999997</v>
      </c>
      <c r="L1566" s="7">
        <v>18025.669999999998</v>
      </c>
      <c r="M1566" s="3" t="s">
        <v>56</v>
      </c>
      <c r="N1566" s="3"/>
      <c r="O1566" s="3"/>
      <c r="P1566" s="3"/>
      <c r="Q1566" s="3"/>
    </row>
    <row r="1567" spans="1:17" ht="21" customHeight="1">
      <c r="A1567" s="3" t="s">
        <v>2245</v>
      </c>
      <c r="B1567" s="5">
        <v>45712</v>
      </c>
      <c r="C1567" s="3" t="s">
        <v>841</v>
      </c>
      <c r="D1567" s="3" t="s">
        <v>46</v>
      </c>
      <c r="E1567" s="3" t="s">
        <v>40</v>
      </c>
      <c r="F1567" s="3" t="s">
        <v>221</v>
      </c>
      <c r="G1567" s="3" t="s">
        <v>222</v>
      </c>
      <c r="H1567" s="3">
        <v>1</v>
      </c>
      <c r="I1567" s="7">
        <v>967.9</v>
      </c>
      <c r="J1567" s="9">
        <v>0.05</v>
      </c>
      <c r="K1567" s="7">
        <v>919.5</v>
      </c>
      <c r="L1567" s="7">
        <v>265.08999999999997</v>
      </c>
      <c r="M1567" s="3" t="s">
        <v>56</v>
      </c>
      <c r="N1567" s="3"/>
      <c r="O1567" s="3"/>
      <c r="P1567" s="3"/>
      <c r="Q1567" s="3"/>
    </row>
    <row r="1568" spans="1:17" ht="21" customHeight="1">
      <c r="A1568" s="3" t="s">
        <v>2246</v>
      </c>
      <c r="B1568" s="5">
        <v>45712</v>
      </c>
      <c r="C1568" s="3" t="s">
        <v>1274</v>
      </c>
      <c r="D1568" s="3" t="s">
        <v>44</v>
      </c>
      <c r="E1568" s="3" t="s">
        <v>42</v>
      </c>
      <c r="F1568" s="3" t="s">
        <v>126</v>
      </c>
      <c r="G1568" s="3" t="s">
        <v>127</v>
      </c>
      <c r="H1568" s="3">
        <v>1</v>
      </c>
      <c r="I1568" s="7">
        <v>1026.08</v>
      </c>
      <c r="J1568" s="9">
        <v>0.2</v>
      </c>
      <c r="K1568" s="7">
        <v>820.86</v>
      </c>
      <c r="L1568" s="7">
        <v>282.97000000000003</v>
      </c>
      <c r="M1568" s="3" t="s">
        <v>57</v>
      </c>
      <c r="N1568" s="3"/>
      <c r="O1568" s="3"/>
      <c r="P1568" s="3"/>
      <c r="Q1568" s="3"/>
    </row>
    <row r="1569" spans="1:17" ht="21" customHeight="1">
      <c r="A1569" s="3" t="s">
        <v>2247</v>
      </c>
      <c r="B1569" s="5">
        <v>45712</v>
      </c>
      <c r="C1569" s="3" t="s">
        <v>2138</v>
      </c>
      <c r="D1569" s="3" t="s">
        <v>46</v>
      </c>
      <c r="E1569" s="3" t="s">
        <v>38</v>
      </c>
      <c r="F1569" s="3" t="s">
        <v>98</v>
      </c>
      <c r="G1569" s="3" t="s">
        <v>362</v>
      </c>
      <c r="H1569" s="3">
        <v>2</v>
      </c>
      <c r="I1569" s="7">
        <v>32037.919999999998</v>
      </c>
      <c r="J1569" s="9">
        <v>0.1</v>
      </c>
      <c r="K1569" s="7">
        <v>57668.26</v>
      </c>
      <c r="L1569" s="7">
        <v>4825.5</v>
      </c>
      <c r="M1569" s="3" t="s">
        <v>56</v>
      </c>
      <c r="N1569" s="3"/>
      <c r="O1569" s="3"/>
      <c r="P1569" s="3"/>
      <c r="Q1569" s="3"/>
    </row>
    <row r="1570" spans="1:17" ht="21" customHeight="1">
      <c r="A1570" s="3" t="s">
        <v>2248</v>
      </c>
      <c r="B1570" s="5">
        <v>45712</v>
      </c>
      <c r="C1570" s="3" t="s">
        <v>1316</v>
      </c>
      <c r="D1570" s="3" t="s">
        <v>47</v>
      </c>
      <c r="E1570" s="3" t="s">
        <v>38</v>
      </c>
      <c r="F1570" s="3" t="s">
        <v>94</v>
      </c>
      <c r="G1570" s="3" t="s">
        <v>95</v>
      </c>
      <c r="H1570" s="3">
        <v>2</v>
      </c>
      <c r="I1570" s="7">
        <v>80368.03</v>
      </c>
      <c r="J1570" s="9">
        <v>0.2</v>
      </c>
      <c r="K1570" s="7">
        <v>128588.85</v>
      </c>
      <c r="L1570" s="7">
        <v>-9458.11</v>
      </c>
      <c r="M1570" s="3" t="s">
        <v>56</v>
      </c>
      <c r="N1570" s="3"/>
      <c r="O1570" s="3"/>
      <c r="P1570" s="3"/>
      <c r="Q1570" s="3"/>
    </row>
    <row r="1571" spans="1:17" ht="21" customHeight="1">
      <c r="A1571" s="3" t="s">
        <v>2249</v>
      </c>
      <c r="B1571" s="5">
        <v>45712</v>
      </c>
      <c r="C1571" s="3" t="s">
        <v>1372</v>
      </c>
      <c r="D1571" s="3" t="s">
        <v>46</v>
      </c>
      <c r="E1571" s="3" t="s">
        <v>40</v>
      </c>
      <c r="F1571" s="3" t="s">
        <v>221</v>
      </c>
      <c r="G1571" s="3" t="s">
        <v>279</v>
      </c>
      <c r="H1571" s="3">
        <v>5</v>
      </c>
      <c r="I1571" s="7">
        <v>1497.35</v>
      </c>
      <c r="J1571" s="9">
        <v>0.25</v>
      </c>
      <c r="K1571" s="7">
        <v>5615.06</v>
      </c>
      <c r="L1571" s="7">
        <v>388.86</v>
      </c>
      <c r="M1571" s="3" t="s">
        <v>56</v>
      </c>
      <c r="N1571" s="3"/>
      <c r="O1571" s="3"/>
      <c r="P1571" s="3"/>
      <c r="Q1571" s="3"/>
    </row>
    <row r="1572" spans="1:17" ht="21" customHeight="1">
      <c r="A1572" s="3" t="s">
        <v>2250</v>
      </c>
      <c r="B1572" s="5">
        <v>45713</v>
      </c>
      <c r="C1572" s="3" t="s">
        <v>1074</v>
      </c>
      <c r="D1572" s="3" t="s">
        <v>44</v>
      </c>
      <c r="E1572" s="3" t="s">
        <v>42</v>
      </c>
      <c r="F1572" s="3" t="s">
        <v>126</v>
      </c>
      <c r="G1572" s="3" t="s">
        <v>127</v>
      </c>
      <c r="H1572" s="3">
        <v>1</v>
      </c>
      <c r="I1572" s="7">
        <v>1000.19</v>
      </c>
      <c r="J1572" s="9">
        <v>0.15</v>
      </c>
      <c r="K1572" s="7">
        <v>850.16</v>
      </c>
      <c r="L1572" s="7">
        <v>339.84</v>
      </c>
      <c r="M1572" s="3" t="s">
        <v>56</v>
      </c>
      <c r="N1572" s="3"/>
      <c r="O1572" s="3"/>
      <c r="P1572" s="3"/>
      <c r="Q1572" s="3"/>
    </row>
    <row r="1573" spans="1:17" ht="21" customHeight="1">
      <c r="A1573" s="3" t="s">
        <v>2251</v>
      </c>
      <c r="B1573" s="5">
        <v>45714</v>
      </c>
      <c r="C1573" s="3" t="s">
        <v>1150</v>
      </c>
      <c r="D1573" s="3" t="s">
        <v>45</v>
      </c>
      <c r="E1573" s="3" t="s">
        <v>39</v>
      </c>
      <c r="F1573" s="3" t="s">
        <v>164</v>
      </c>
      <c r="G1573" s="3" t="s">
        <v>200</v>
      </c>
      <c r="H1573" s="3">
        <v>1</v>
      </c>
      <c r="I1573" s="7">
        <v>1362.69</v>
      </c>
      <c r="J1573" s="9">
        <v>0.2</v>
      </c>
      <c r="K1573" s="7">
        <v>1090.1500000000001</v>
      </c>
      <c r="L1573" s="7">
        <v>247.01</v>
      </c>
      <c r="M1573" s="3" t="s">
        <v>58</v>
      </c>
      <c r="N1573" s="3"/>
      <c r="O1573" s="3"/>
      <c r="P1573" s="3"/>
      <c r="Q1573" s="3"/>
    </row>
    <row r="1574" spans="1:17" ht="21" customHeight="1">
      <c r="A1574" s="3" t="s">
        <v>2252</v>
      </c>
      <c r="B1574" s="5">
        <v>45714</v>
      </c>
      <c r="C1574" s="3" t="s">
        <v>1890</v>
      </c>
      <c r="D1574" s="3" t="s">
        <v>47</v>
      </c>
      <c r="E1574" s="3" t="s">
        <v>39</v>
      </c>
      <c r="F1574" s="3" t="s">
        <v>130</v>
      </c>
      <c r="G1574" s="3" t="s">
        <v>193</v>
      </c>
      <c r="H1574" s="3">
        <v>1</v>
      </c>
      <c r="I1574" s="7">
        <v>1790.42</v>
      </c>
      <c r="J1574" s="9">
        <v>0.1</v>
      </c>
      <c r="K1574" s="7">
        <v>1611.38</v>
      </c>
      <c r="L1574" s="7">
        <v>543.64</v>
      </c>
      <c r="M1574" s="3" t="s">
        <v>59</v>
      </c>
      <c r="N1574" s="3"/>
      <c r="O1574" s="3"/>
      <c r="P1574" s="3"/>
      <c r="Q1574" s="3"/>
    </row>
    <row r="1575" spans="1:17" ht="21" customHeight="1">
      <c r="A1575" s="3" t="s">
        <v>2253</v>
      </c>
      <c r="B1575" s="5">
        <v>45714</v>
      </c>
      <c r="C1575" s="3" t="s">
        <v>1878</v>
      </c>
      <c r="D1575" s="3" t="s">
        <v>47</v>
      </c>
      <c r="E1575" s="3" t="s">
        <v>39</v>
      </c>
      <c r="F1575" s="3" t="s">
        <v>109</v>
      </c>
      <c r="G1575" s="3" t="s">
        <v>355</v>
      </c>
      <c r="H1575" s="3">
        <v>1</v>
      </c>
      <c r="I1575" s="7">
        <v>3349.74</v>
      </c>
      <c r="J1575" s="9">
        <v>0</v>
      </c>
      <c r="K1575" s="7">
        <v>3349.74</v>
      </c>
      <c r="L1575" s="7">
        <v>1539.46</v>
      </c>
      <c r="M1575" s="3" t="s">
        <v>56</v>
      </c>
      <c r="N1575" s="3"/>
      <c r="O1575" s="3"/>
      <c r="P1575" s="3"/>
      <c r="Q1575" s="3"/>
    </row>
    <row r="1576" spans="1:17" ht="21" customHeight="1">
      <c r="A1576" s="3" t="s">
        <v>2254</v>
      </c>
      <c r="B1576" s="5">
        <v>45714</v>
      </c>
      <c r="C1576" s="3" t="s">
        <v>122</v>
      </c>
      <c r="D1576" s="3" t="s">
        <v>45</v>
      </c>
      <c r="E1576" s="3" t="s">
        <v>38</v>
      </c>
      <c r="F1576" s="3" t="s">
        <v>98</v>
      </c>
      <c r="G1576" s="3" t="s">
        <v>182</v>
      </c>
      <c r="H1576" s="3">
        <v>2</v>
      </c>
      <c r="I1576" s="7">
        <v>71549.81</v>
      </c>
      <c r="J1576" s="9">
        <v>0.05</v>
      </c>
      <c r="K1576" s="7">
        <v>135944.64000000001</v>
      </c>
      <c r="L1576" s="7">
        <v>12143.92</v>
      </c>
      <c r="M1576" s="3" t="s">
        <v>57</v>
      </c>
      <c r="N1576" s="3"/>
      <c r="O1576" s="3"/>
      <c r="P1576" s="3"/>
      <c r="Q1576" s="3"/>
    </row>
    <row r="1577" spans="1:17" ht="21" customHeight="1">
      <c r="A1577" s="3" t="s">
        <v>2255</v>
      </c>
      <c r="B1577" s="5">
        <v>45714</v>
      </c>
      <c r="C1577" s="3" t="s">
        <v>1367</v>
      </c>
      <c r="D1577" s="3" t="s">
        <v>45</v>
      </c>
      <c r="E1577" s="3" t="s">
        <v>42</v>
      </c>
      <c r="F1577" s="3" t="s">
        <v>126</v>
      </c>
      <c r="G1577" s="3" t="s">
        <v>151</v>
      </c>
      <c r="H1577" s="3">
        <v>1</v>
      </c>
      <c r="I1577" s="7">
        <v>1543.59</v>
      </c>
      <c r="J1577" s="9">
        <v>0.1</v>
      </c>
      <c r="K1577" s="7">
        <v>1389.23</v>
      </c>
      <c r="L1577" s="7">
        <v>606.75</v>
      </c>
      <c r="M1577" s="3" t="s">
        <v>57</v>
      </c>
      <c r="N1577" s="3"/>
      <c r="O1577" s="3"/>
      <c r="P1577" s="3"/>
      <c r="Q1577" s="3"/>
    </row>
    <row r="1578" spans="1:17" ht="21" customHeight="1">
      <c r="A1578" s="3" t="s">
        <v>2256</v>
      </c>
      <c r="B1578" s="5">
        <v>45715</v>
      </c>
      <c r="C1578" s="3" t="s">
        <v>1387</v>
      </c>
      <c r="D1578" s="3" t="s">
        <v>44</v>
      </c>
      <c r="E1578" s="3" t="s">
        <v>41</v>
      </c>
      <c r="F1578" s="3" t="s">
        <v>119</v>
      </c>
      <c r="G1578" s="3" t="s">
        <v>120</v>
      </c>
      <c r="H1578" s="3">
        <v>1</v>
      </c>
      <c r="I1578" s="7">
        <v>1275.21</v>
      </c>
      <c r="J1578" s="9">
        <v>0</v>
      </c>
      <c r="K1578" s="7">
        <v>1275.21</v>
      </c>
      <c r="L1578" s="7">
        <v>463.29</v>
      </c>
      <c r="M1578" s="3" t="s">
        <v>57</v>
      </c>
      <c r="N1578" s="3"/>
      <c r="O1578" s="3"/>
      <c r="P1578" s="3"/>
      <c r="Q1578" s="3"/>
    </row>
    <row r="1579" spans="1:17" ht="21" customHeight="1">
      <c r="A1579" s="3" t="s">
        <v>2257</v>
      </c>
      <c r="B1579" s="5">
        <v>45716</v>
      </c>
      <c r="C1579" s="3" t="s">
        <v>516</v>
      </c>
      <c r="D1579" s="3" t="s">
        <v>47</v>
      </c>
      <c r="E1579" s="3" t="s">
        <v>40</v>
      </c>
      <c r="F1579" s="3" t="s">
        <v>221</v>
      </c>
      <c r="G1579" s="3" t="s">
        <v>279</v>
      </c>
      <c r="H1579" s="3">
        <v>3</v>
      </c>
      <c r="I1579" s="7">
        <v>1560.53</v>
      </c>
      <c r="J1579" s="9">
        <v>0</v>
      </c>
      <c r="K1579" s="7">
        <v>4681.59</v>
      </c>
      <c r="L1579" s="7">
        <v>1663.54</v>
      </c>
      <c r="M1579" s="3" t="s">
        <v>60</v>
      </c>
      <c r="N1579" s="3"/>
      <c r="O1579" s="3"/>
      <c r="P1579" s="3"/>
      <c r="Q1579" s="3"/>
    </row>
    <row r="1580" spans="1:17" ht="21" customHeight="1">
      <c r="A1580" s="3" t="s">
        <v>2258</v>
      </c>
      <c r="B1580" s="5">
        <v>45716</v>
      </c>
      <c r="C1580" s="3" t="s">
        <v>135</v>
      </c>
      <c r="D1580" s="3" t="s">
        <v>47</v>
      </c>
      <c r="E1580" s="3" t="s">
        <v>39</v>
      </c>
      <c r="F1580" s="3" t="s">
        <v>109</v>
      </c>
      <c r="G1580" s="3" t="s">
        <v>355</v>
      </c>
      <c r="H1580" s="3">
        <v>1</v>
      </c>
      <c r="I1580" s="7">
        <v>3431.61</v>
      </c>
      <c r="J1580" s="9">
        <v>0.1</v>
      </c>
      <c r="K1580" s="7">
        <v>3088.45</v>
      </c>
      <c r="L1580" s="7">
        <v>1041.47</v>
      </c>
      <c r="M1580" s="3" t="s">
        <v>57</v>
      </c>
      <c r="N1580" s="3"/>
      <c r="O1580" s="3"/>
      <c r="P1580" s="3"/>
      <c r="Q1580" s="3"/>
    </row>
    <row r="1581" spans="1:17" ht="21" customHeight="1">
      <c r="A1581" s="3" t="s">
        <v>2259</v>
      </c>
      <c r="B1581" s="5">
        <v>45716</v>
      </c>
      <c r="C1581" s="3" t="s">
        <v>255</v>
      </c>
      <c r="D1581" s="3" t="s">
        <v>46</v>
      </c>
      <c r="E1581" s="3" t="s">
        <v>41</v>
      </c>
      <c r="F1581" s="3" t="s">
        <v>119</v>
      </c>
      <c r="G1581" s="3" t="s">
        <v>120</v>
      </c>
      <c r="H1581" s="3">
        <v>4</v>
      </c>
      <c r="I1581" s="7">
        <v>1237.5</v>
      </c>
      <c r="J1581" s="9">
        <v>0</v>
      </c>
      <c r="K1581" s="7">
        <v>4950</v>
      </c>
      <c r="L1581" s="7">
        <v>2004.03</v>
      </c>
      <c r="M1581" s="3" t="s">
        <v>56</v>
      </c>
      <c r="N1581" s="3"/>
      <c r="O1581" s="3"/>
      <c r="P1581" s="3"/>
      <c r="Q1581" s="3"/>
    </row>
    <row r="1582" spans="1:17" ht="21" customHeight="1">
      <c r="A1582" s="3" t="s">
        <v>2260</v>
      </c>
      <c r="B1582" s="5">
        <v>45716</v>
      </c>
      <c r="C1582" s="3" t="s">
        <v>595</v>
      </c>
      <c r="D1582" s="3" t="s">
        <v>45</v>
      </c>
      <c r="E1582" s="3" t="s">
        <v>41</v>
      </c>
      <c r="F1582" s="3" t="s">
        <v>113</v>
      </c>
      <c r="G1582" s="3" t="s">
        <v>123</v>
      </c>
      <c r="H1582" s="3">
        <v>1</v>
      </c>
      <c r="I1582" s="7">
        <v>3533.22</v>
      </c>
      <c r="J1582" s="9">
        <v>0.05</v>
      </c>
      <c r="K1582" s="7">
        <v>3356.56</v>
      </c>
      <c r="L1582" s="7">
        <v>1170.1500000000001</v>
      </c>
      <c r="M1582" s="3" t="s">
        <v>58</v>
      </c>
      <c r="N1582" s="3"/>
      <c r="O1582" s="3"/>
      <c r="P1582" s="3"/>
      <c r="Q1582" s="3"/>
    </row>
    <row r="1583" spans="1:17" ht="21" customHeight="1">
      <c r="A1583" s="3" t="s">
        <v>2261</v>
      </c>
      <c r="B1583" s="5">
        <v>45717</v>
      </c>
      <c r="C1583" s="3" t="s">
        <v>481</v>
      </c>
      <c r="D1583" s="3" t="s">
        <v>46</v>
      </c>
      <c r="E1583" s="3" t="s">
        <v>38</v>
      </c>
      <c r="F1583" s="3" t="s">
        <v>94</v>
      </c>
      <c r="G1583" s="3" t="s">
        <v>213</v>
      </c>
      <c r="H1583" s="3">
        <v>1</v>
      </c>
      <c r="I1583" s="7">
        <v>56590.07</v>
      </c>
      <c r="J1583" s="9">
        <v>0</v>
      </c>
      <c r="K1583" s="7">
        <v>56590.07</v>
      </c>
      <c r="L1583" s="7">
        <v>10216.14</v>
      </c>
      <c r="M1583" s="3" t="s">
        <v>57</v>
      </c>
      <c r="N1583" s="3"/>
      <c r="O1583" s="3"/>
      <c r="P1583" s="3"/>
      <c r="Q1583" s="3"/>
    </row>
    <row r="1584" spans="1:17" ht="21" customHeight="1">
      <c r="A1584" s="3" t="s">
        <v>2262</v>
      </c>
      <c r="B1584" s="5">
        <v>45717</v>
      </c>
      <c r="C1584" s="3" t="s">
        <v>163</v>
      </c>
      <c r="D1584" s="3" t="s">
        <v>44</v>
      </c>
      <c r="E1584" s="3" t="s">
        <v>40</v>
      </c>
      <c r="F1584" s="3" t="s">
        <v>160</v>
      </c>
      <c r="G1584" s="3" t="s">
        <v>161</v>
      </c>
      <c r="H1584" s="3">
        <v>1</v>
      </c>
      <c r="I1584" s="7">
        <v>13384.97</v>
      </c>
      <c r="J1584" s="9">
        <v>0.2</v>
      </c>
      <c r="K1584" s="7">
        <v>10707.98</v>
      </c>
      <c r="L1584" s="7">
        <v>1353.87</v>
      </c>
      <c r="M1584" s="3" t="s">
        <v>56</v>
      </c>
      <c r="N1584" s="3"/>
      <c r="O1584" s="3"/>
      <c r="P1584" s="3"/>
      <c r="Q1584" s="3"/>
    </row>
    <row r="1585" spans="1:17" ht="21" customHeight="1">
      <c r="A1585" s="3" t="s">
        <v>2263</v>
      </c>
      <c r="B1585" s="5">
        <v>45717</v>
      </c>
      <c r="C1585" s="3" t="s">
        <v>1631</v>
      </c>
      <c r="D1585" s="3" t="s">
        <v>47</v>
      </c>
      <c r="E1585" s="3" t="s">
        <v>41</v>
      </c>
      <c r="F1585" s="3" t="s">
        <v>119</v>
      </c>
      <c r="G1585" s="3" t="s">
        <v>168</v>
      </c>
      <c r="H1585" s="3">
        <v>2</v>
      </c>
      <c r="I1585" s="7">
        <v>10251.42</v>
      </c>
      <c r="J1585" s="9">
        <v>0</v>
      </c>
      <c r="K1585" s="7">
        <v>20502.84</v>
      </c>
      <c r="L1585" s="7">
        <v>8354.07</v>
      </c>
      <c r="M1585" s="3" t="s">
        <v>56</v>
      </c>
      <c r="N1585" s="3"/>
      <c r="O1585" s="3"/>
      <c r="P1585" s="3"/>
      <c r="Q1585" s="3"/>
    </row>
    <row r="1586" spans="1:17" ht="21" customHeight="1">
      <c r="A1586" s="3" t="s">
        <v>2264</v>
      </c>
      <c r="B1586" s="5">
        <v>45717</v>
      </c>
      <c r="C1586" s="3" t="s">
        <v>1266</v>
      </c>
      <c r="D1586" s="3" t="s">
        <v>44</v>
      </c>
      <c r="E1586" s="3" t="s">
        <v>42</v>
      </c>
      <c r="F1586" s="3" t="s">
        <v>126</v>
      </c>
      <c r="G1586" s="3" t="s">
        <v>127</v>
      </c>
      <c r="H1586" s="3">
        <v>1</v>
      </c>
      <c r="I1586" s="7">
        <v>990.57</v>
      </c>
      <c r="J1586" s="9">
        <v>0.2</v>
      </c>
      <c r="K1586" s="7">
        <v>792.46</v>
      </c>
      <c r="L1586" s="7">
        <v>250.57</v>
      </c>
      <c r="M1586" s="3" t="s">
        <v>58</v>
      </c>
      <c r="N1586" s="3"/>
      <c r="O1586" s="3"/>
      <c r="P1586" s="3"/>
      <c r="Q1586" s="3"/>
    </row>
    <row r="1587" spans="1:17" ht="21" customHeight="1">
      <c r="A1587" s="3" t="s">
        <v>2265</v>
      </c>
      <c r="B1587" s="5">
        <v>45718</v>
      </c>
      <c r="C1587" s="3" t="s">
        <v>1360</v>
      </c>
      <c r="D1587" s="3" t="s">
        <v>44</v>
      </c>
      <c r="E1587" s="3" t="s">
        <v>42</v>
      </c>
      <c r="F1587" s="3" t="s">
        <v>90</v>
      </c>
      <c r="G1587" s="3" t="s">
        <v>91</v>
      </c>
      <c r="H1587" s="3">
        <v>3</v>
      </c>
      <c r="I1587" s="7">
        <v>1142.67</v>
      </c>
      <c r="J1587" s="9">
        <v>0.2</v>
      </c>
      <c r="K1587" s="7">
        <v>2742.41</v>
      </c>
      <c r="L1587" s="7">
        <v>848.01</v>
      </c>
      <c r="M1587" s="3" t="s">
        <v>56</v>
      </c>
      <c r="N1587" s="3"/>
      <c r="O1587" s="3"/>
      <c r="P1587" s="3"/>
      <c r="Q1587" s="3"/>
    </row>
    <row r="1588" spans="1:17" ht="21" customHeight="1">
      <c r="A1588" s="3" t="s">
        <v>2266</v>
      </c>
      <c r="B1588" s="5">
        <v>45718</v>
      </c>
      <c r="C1588" s="3" t="s">
        <v>167</v>
      </c>
      <c r="D1588" s="3" t="s">
        <v>44</v>
      </c>
      <c r="E1588" s="3" t="s">
        <v>39</v>
      </c>
      <c r="F1588" s="3" t="s">
        <v>130</v>
      </c>
      <c r="G1588" s="3" t="s">
        <v>193</v>
      </c>
      <c r="H1588" s="3">
        <v>1</v>
      </c>
      <c r="I1588" s="7">
        <v>1881.51</v>
      </c>
      <c r="J1588" s="9">
        <v>0.05</v>
      </c>
      <c r="K1588" s="7">
        <v>1787.43</v>
      </c>
      <c r="L1588" s="7">
        <v>691.18</v>
      </c>
      <c r="M1588" s="3" t="s">
        <v>58</v>
      </c>
      <c r="N1588" s="3"/>
      <c r="O1588" s="3"/>
      <c r="P1588" s="3"/>
      <c r="Q1588" s="3"/>
    </row>
    <row r="1589" spans="1:17" ht="21" customHeight="1">
      <c r="A1589" s="3" t="s">
        <v>2267</v>
      </c>
      <c r="B1589" s="5">
        <v>45718</v>
      </c>
      <c r="C1589" s="3" t="s">
        <v>762</v>
      </c>
      <c r="D1589" s="3" t="s">
        <v>47</v>
      </c>
      <c r="E1589" s="3" t="s">
        <v>39</v>
      </c>
      <c r="F1589" s="3" t="s">
        <v>109</v>
      </c>
      <c r="G1589" s="3" t="s">
        <v>355</v>
      </c>
      <c r="H1589" s="3">
        <v>1</v>
      </c>
      <c r="I1589" s="7">
        <v>3651.27</v>
      </c>
      <c r="J1589" s="9">
        <v>0.2</v>
      </c>
      <c r="K1589" s="7">
        <v>2921.02</v>
      </c>
      <c r="L1589" s="7">
        <v>568.41</v>
      </c>
      <c r="M1589" s="3" t="s">
        <v>58</v>
      </c>
      <c r="N1589" s="3"/>
      <c r="O1589" s="3"/>
      <c r="P1589" s="3"/>
      <c r="Q1589" s="3"/>
    </row>
    <row r="1590" spans="1:17" ht="21" customHeight="1">
      <c r="A1590" s="3" t="s">
        <v>2268</v>
      </c>
      <c r="B1590" s="5">
        <v>45718</v>
      </c>
      <c r="C1590" s="3" t="s">
        <v>226</v>
      </c>
      <c r="D1590" s="3" t="s">
        <v>44</v>
      </c>
      <c r="E1590" s="3" t="s">
        <v>42</v>
      </c>
      <c r="F1590" s="3" t="s">
        <v>126</v>
      </c>
      <c r="G1590" s="3" t="s">
        <v>151</v>
      </c>
      <c r="H1590" s="3">
        <v>1</v>
      </c>
      <c r="I1590" s="7">
        <v>1568.75</v>
      </c>
      <c r="J1590" s="9">
        <v>0</v>
      </c>
      <c r="K1590" s="7">
        <v>1568.75</v>
      </c>
      <c r="L1590" s="7">
        <v>849.2</v>
      </c>
      <c r="M1590" s="3" t="s">
        <v>56</v>
      </c>
      <c r="N1590" s="3"/>
      <c r="O1590" s="3"/>
      <c r="P1590" s="3"/>
      <c r="Q1590" s="3"/>
    </row>
    <row r="1591" spans="1:17" ht="21" customHeight="1">
      <c r="A1591" s="3" t="s">
        <v>2269</v>
      </c>
      <c r="B1591" s="5">
        <v>45719</v>
      </c>
      <c r="C1591" s="3" t="s">
        <v>424</v>
      </c>
      <c r="D1591" s="3" t="s">
        <v>47</v>
      </c>
      <c r="E1591" s="3" t="s">
        <v>40</v>
      </c>
      <c r="F1591" s="3" t="s">
        <v>221</v>
      </c>
      <c r="G1591" s="3" t="s">
        <v>279</v>
      </c>
      <c r="H1591" s="3">
        <v>2</v>
      </c>
      <c r="I1591" s="7">
        <v>1445.92</v>
      </c>
      <c r="J1591" s="9">
        <v>0</v>
      </c>
      <c r="K1591" s="7">
        <v>2891.84</v>
      </c>
      <c r="L1591" s="7">
        <v>898.96</v>
      </c>
      <c r="M1591" s="3" t="s">
        <v>57</v>
      </c>
      <c r="N1591" s="3"/>
      <c r="O1591" s="3"/>
      <c r="P1591" s="3"/>
      <c r="Q1591" s="3"/>
    </row>
    <row r="1592" spans="1:17" ht="21" customHeight="1">
      <c r="A1592" s="3" t="s">
        <v>2270</v>
      </c>
      <c r="B1592" s="5">
        <v>45719</v>
      </c>
      <c r="C1592" s="3" t="s">
        <v>762</v>
      </c>
      <c r="D1592" s="3" t="s">
        <v>44</v>
      </c>
      <c r="E1592" s="3" t="s">
        <v>42</v>
      </c>
      <c r="F1592" s="3" t="s">
        <v>126</v>
      </c>
      <c r="G1592" s="3" t="s">
        <v>151</v>
      </c>
      <c r="H1592" s="3">
        <v>1</v>
      </c>
      <c r="I1592" s="7">
        <v>1539</v>
      </c>
      <c r="J1592" s="9">
        <v>0.1</v>
      </c>
      <c r="K1592" s="7">
        <v>1385.1</v>
      </c>
      <c r="L1592" s="7">
        <v>549.72</v>
      </c>
      <c r="M1592" s="3" t="s">
        <v>56</v>
      </c>
      <c r="N1592" s="3"/>
      <c r="O1592" s="3"/>
      <c r="P1592" s="3"/>
      <c r="Q1592" s="3"/>
    </row>
    <row r="1593" spans="1:17" ht="21" customHeight="1">
      <c r="A1593" s="3" t="s">
        <v>2271</v>
      </c>
      <c r="B1593" s="5">
        <v>45719</v>
      </c>
      <c r="C1593" s="3" t="s">
        <v>481</v>
      </c>
      <c r="D1593" s="3" t="s">
        <v>45</v>
      </c>
      <c r="E1593" s="3" t="s">
        <v>39</v>
      </c>
      <c r="F1593" s="3" t="s">
        <v>164</v>
      </c>
      <c r="G1593" s="3" t="s">
        <v>165</v>
      </c>
      <c r="H1593" s="3">
        <v>4</v>
      </c>
      <c r="I1593" s="7">
        <v>1914.3</v>
      </c>
      <c r="J1593" s="9">
        <v>0</v>
      </c>
      <c r="K1593" s="7">
        <v>7657.2</v>
      </c>
      <c r="L1593" s="7">
        <v>3368.67</v>
      </c>
      <c r="M1593" s="3" t="s">
        <v>59</v>
      </c>
      <c r="N1593" s="3"/>
      <c r="O1593" s="3"/>
      <c r="P1593" s="3"/>
      <c r="Q1593" s="3"/>
    </row>
    <row r="1594" spans="1:17" ht="21" customHeight="1">
      <c r="A1594" s="3" t="s">
        <v>2272</v>
      </c>
      <c r="B1594" s="5">
        <v>45720</v>
      </c>
      <c r="C1594" s="3" t="s">
        <v>1953</v>
      </c>
      <c r="D1594" s="3" t="s">
        <v>47</v>
      </c>
      <c r="E1594" s="3" t="s">
        <v>40</v>
      </c>
      <c r="F1594" s="3" t="s">
        <v>160</v>
      </c>
      <c r="G1594" s="3" t="s">
        <v>173</v>
      </c>
      <c r="H1594" s="3">
        <v>1</v>
      </c>
      <c r="I1594" s="7">
        <v>8675.83</v>
      </c>
      <c r="J1594" s="9">
        <v>0.05</v>
      </c>
      <c r="K1594" s="7">
        <v>8242.0400000000009</v>
      </c>
      <c r="L1594" s="7">
        <v>1949.64</v>
      </c>
      <c r="M1594" s="3" t="s">
        <v>59</v>
      </c>
      <c r="N1594" s="3"/>
      <c r="O1594" s="3"/>
      <c r="P1594" s="3"/>
      <c r="Q1594" s="3"/>
    </row>
    <row r="1595" spans="1:17" ht="21" customHeight="1">
      <c r="A1595" s="3" t="s">
        <v>2273</v>
      </c>
      <c r="B1595" s="5">
        <v>45720</v>
      </c>
      <c r="C1595" s="3" t="s">
        <v>188</v>
      </c>
      <c r="D1595" s="3" t="s">
        <v>45</v>
      </c>
      <c r="E1595" s="3" t="s">
        <v>40</v>
      </c>
      <c r="F1595" s="3" t="s">
        <v>102</v>
      </c>
      <c r="G1595" s="3" t="s">
        <v>146</v>
      </c>
      <c r="H1595" s="3">
        <v>2</v>
      </c>
      <c r="I1595" s="7">
        <v>7658.21</v>
      </c>
      <c r="J1595" s="9">
        <v>0.15</v>
      </c>
      <c r="K1595" s="7">
        <v>13018.96</v>
      </c>
      <c r="L1595" s="7">
        <v>2561.56</v>
      </c>
      <c r="M1595" s="3" t="s">
        <v>56</v>
      </c>
      <c r="N1595" s="3"/>
      <c r="O1595" s="3"/>
      <c r="P1595" s="3"/>
      <c r="Q1595" s="3"/>
    </row>
    <row r="1596" spans="1:17" ht="21" customHeight="1">
      <c r="A1596" s="3" t="s">
        <v>2274</v>
      </c>
      <c r="B1596" s="5">
        <v>45720</v>
      </c>
      <c r="C1596" s="3" t="s">
        <v>1751</v>
      </c>
      <c r="D1596" s="3" t="s">
        <v>47</v>
      </c>
      <c r="E1596" s="3" t="s">
        <v>39</v>
      </c>
      <c r="F1596" s="3" t="s">
        <v>164</v>
      </c>
      <c r="G1596" s="3" t="s">
        <v>200</v>
      </c>
      <c r="H1596" s="3">
        <v>2</v>
      </c>
      <c r="I1596" s="7">
        <v>1327.74</v>
      </c>
      <c r="J1596" s="9">
        <v>0.1</v>
      </c>
      <c r="K1596" s="7">
        <v>2389.9299999999998</v>
      </c>
      <c r="L1596" s="7">
        <v>758.64</v>
      </c>
      <c r="M1596" s="3" t="s">
        <v>56</v>
      </c>
      <c r="N1596" s="3"/>
      <c r="O1596" s="3"/>
      <c r="P1596" s="3"/>
      <c r="Q1596" s="3"/>
    </row>
    <row r="1597" spans="1:17" ht="21" customHeight="1">
      <c r="A1597" s="3" t="s">
        <v>2275</v>
      </c>
      <c r="B1597" s="5">
        <v>45720</v>
      </c>
      <c r="C1597" s="3" t="s">
        <v>2276</v>
      </c>
      <c r="D1597" s="3" t="s">
        <v>47</v>
      </c>
      <c r="E1597" s="3" t="s">
        <v>39</v>
      </c>
      <c r="F1597" s="3" t="s">
        <v>109</v>
      </c>
      <c r="G1597" s="3" t="s">
        <v>110</v>
      </c>
      <c r="H1597" s="3">
        <v>2</v>
      </c>
      <c r="I1597" s="7">
        <v>3032.6</v>
      </c>
      <c r="J1597" s="9">
        <v>0.15</v>
      </c>
      <c r="K1597" s="7">
        <v>5155.42</v>
      </c>
      <c r="L1597" s="7">
        <v>1106.05</v>
      </c>
      <c r="M1597" s="3" t="s">
        <v>56</v>
      </c>
      <c r="N1597" s="3"/>
      <c r="O1597" s="3"/>
      <c r="P1597" s="3"/>
      <c r="Q1597" s="3"/>
    </row>
    <row r="1598" spans="1:17" ht="21" customHeight="1">
      <c r="A1598" s="3" t="s">
        <v>2277</v>
      </c>
      <c r="B1598" s="5">
        <v>45720</v>
      </c>
      <c r="C1598" s="3" t="s">
        <v>2278</v>
      </c>
      <c r="D1598" s="3" t="s">
        <v>45</v>
      </c>
      <c r="E1598" s="3" t="s">
        <v>42</v>
      </c>
      <c r="F1598" s="3" t="s">
        <v>126</v>
      </c>
      <c r="G1598" s="3" t="s">
        <v>127</v>
      </c>
      <c r="H1598" s="3">
        <v>1</v>
      </c>
      <c r="I1598" s="7">
        <v>1042.93</v>
      </c>
      <c r="J1598" s="9">
        <v>0.05</v>
      </c>
      <c r="K1598" s="7">
        <v>990.78</v>
      </c>
      <c r="L1598" s="7">
        <v>465.68</v>
      </c>
      <c r="M1598" s="3" t="s">
        <v>56</v>
      </c>
      <c r="N1598" s="3"/>
      <c r="O1598" s="3"/>
      <c r="P1598" s="3"/>
      <c r="Q1598" s="3"/>
    </row>
    <row r="1599" spans="1:17" ht="21" customHeight="1">
      <c r="A1599" s="3" t="s">
        <v>2279</v>
      </c>
      <c r="B1599" s="5">
        <v>45721</v>
      </c>
      <c r="C1599" s="3" t="s">
        <v>2061</v>
      </c>
      <c r="D1599" s="3" t="s">
        <v>44</v>
      </c>
      <c r="E1599" s="3" t="s">
        <v>39</v>
      </c>
      <c r="F1599" s="3" t="s">
        <v>164</v>
      </c>
      <c r="G1599" s="3" t="s">
        <v>165</v>
      </c>
      <c r="H1599" s="3">
        <v>2</v>
      </c>
      <c r="I1599" s="7">
        <v>2075.52</v>
      </c>
      <c r="J1599" s="9">
        <v>0.05</v>
      </c>
      <c r="K1599" s="7">
        <v>3943.49</v>
      </c>
      <c r="L1599" s="7">
        <v>1422.9</v>
      </c>
      <c r="M1599" s="3" t="s">
        <v>56</v>
      </c>
      <c r="N1599" s="3"/>
      <c r="O1599" s="3"/>
      <c r="P1599" s="3"/>
      <c r="Q1599" s="3"/>
    </row>
    <row r="1600" spans="1:17" ht="21" customHeight="1">
      <c r="A1600" s="3" t="s">
        <v>2280</v>
      </c>
      <c r="B1600" s="5">
        <v>45721</v>
      </c>
      <c r="C1600" s="3" t="s">
        <v>1191</v>
      </c>
      <c r="D1600" s="3" t="s">
        <v>44</v>
      </c>
      <c r="E1600" s="3" t="s">
        <v>38</v>
      </c>
      <c r="F1600" s="3" t="s">
        <v>98</v>
      </c>
      <c r="G1600" s="3" t="s">
        <v>362</v>
      </c>
      <c r="H1600" s="3">
        <v>2</v>
      </c>
      <c r="I1600" s="7">
        <v>31844.33</v>
      </c>
      <c r="J1600" s="9">
        <v>0.1</v>
      </c>
      <c r="K1600" s="7">
        <v>57319.79</v>
      </c>
      <c r="L1600" s="7">
        <v>5417.03</v>
      </c>
      <c r="M1600" s="3" t="s">
        <v>58</v>
      </c>
      <c r="N1600" s="3"/>
      <c r="O1600" s="3"/>
      <c r="P1600" s="3"/>
      <c r="Q1600" s="3"/>
    </row>
    <row r="1601" spans="1:17" ht="21" customHeight="1">
      <c r="A1601" s="3" t="s">
        <v>2281</v>
      </c>
      <c r="B1601" s="5">
        <v>45721</v>
      </c>
      <c r="C1601" s="3" t="s">
        <v>636</v>
      </c>
      <c r="D1601" s="3" t="s">
        <v>45</v>
      </c>
      <c r="E1601" s="3" t="s">
        <v>42</v>
      </c>
      <c r="F1601" s="3" t="s">
        <v>90</v>
      </c>
      <c r="G1601" s="3" t="s">
        <v>106</v>
      </c>
      <c r="H1601" s="3">
        <v>1</v>
      </c>
      <c r="I1601" s="7">
        <v>923.49</v>
      </c>
      <c r="J1601" s="9">
        <v>0.05</v>
      </c>
      <c r="K1601" s="7">
        <v>877.32</v>
      </c>
      <c r="L1601" s="7">
        <v>427.45</v>
      </c>
      <c r="M1601" s="3" t="s">
        <v>56</v>
      </c>
      <c r="N1601" s="3"/>
      <c r="O1601" s="3"/>
      <c r="P1601" s="3"/>
      <c r="Q1601" s="3"/>
    </row>
    <row r="1602" spans="1:17" ht="21" customHeight="1">
      <c r="A1602" s="3" t="s">
        <v>2282</v>
      </c>
      <c r="B1602" s="5">
        <v>45721</v>
      </c>
      <c r="C1602" s="3" t="s">
        <v>1312</v>
      </c>
      <c r="D1602" s="3" t="s">
        <v>45</v>
      </c>
      <c r="E1602" s="3" t="s">
        <v>40</v>
      </c>
      <c r="F1602" s="3" t="s">
        <v>160</v>
      </c>
      <c r="G1602" s="3" t="s">
        <v>161</v>
      </c>
      <c r="H1602" s="3">
        <v>2</v>
      </c>
      <c r="I1602" s="7">
        <v>12353.43</v>
      </c>
      <c r="J1602" s="9">
        <v>0.3</v>
      </c>
      <c r="K1602" s="7">
        <v>17294.8</v>
      </c>
      <c r="L1602" s="7">
        <v>375.12</v>
      </c>
      <c r="M1602" s="3" t="s">
        <v>57</v>
      </c>
      <c r="N1602" s="3"/>
      <c r="O1602" s="3"/>
      <c r="P1602" s="3"/>
      <c r="Q1602" s="3"/>
    </row>
    <row r="1603" spans="1:17" ht="21" customHeight="1">
      <c r="A1603" s="3" t="s">
        <v>2283</v>
      </c>
      <c r="B1603" s="5">
        <v>45722</v>
      </c>
      <c r="C1603" s="3" t="s">
        <v>609</v>
      </c>
      <c r="D1603" s="3" t="s">
        <v>45</v>
      </c>
      <c r="E1603" s="3" t="s">
        <v>42</v>
      </c>
      <c r="F1603" s="3" t="s">
        <v>126</v>
      </c>
      <c r="G1603" s="3" t="s">
        <v>127</v>
      </c>
      <c r="H1603" s="3">
        <v>1</v>
      </c>
      <c r="I1603" s="7">
        <v>1041.68</v>
      </c>
      <c r="J1603" s="9">
        <v>0.15</v>
      </c>
      <c r="K1603" s="7">
        <v>885.43</v>
      </c>
      <c r="L1603" s="7">
        <v>305.89</v>
      </c>
      <c r="M1603" s="3" t="s">
        <v>57</v>
      </c>
      <c r="N1603" s="3"/>
      <c r="O1603" s="3"/>
      <c r="P1603" s="3"/>
      <c r="Q1603" s="3"/>
    </row>
    <row r="1604" spans="1:17" ht="21" customHeight="1">
      <c r="A1604" s="3" t="s">
        <v>2284</v>
      </c>
      <c r="B1604" s="5">
        <v>45722</v>
      </c>
      <c r="C1604" s="3" t="s">
        <v>495</v>
      </c>
      <c r="D1604" s="3" t="s">
        <v>47</v>
      </c>
      <c r="E1604" s="3" t="s">
        <v>39</v>
      </c>
      <c r="F1604" s="3" t="s">
        <v>109</v>
      </c>
      <c r="G1604" s="3" t="s">
        <v>355</v>
      </c>
      <c r="H1604" s="3">
        <v>1</v>
      </c>
      <c r="I1604" s="7">
        <v>3356.76</v>
      </c>
      <c r="J1604" s="9">
        <v>0.1</v>
      </c>
      <c r="K1604" s="7">
        <v>3021.08</v>
      </c>
      <c r="L1604" s="7">
        <v>879.34</v>
      </c>
      <c r="M1604" s="3" t="s">
        <v>59</v>
      </c>
      <c r="N1604" s="3"/>
      <c r="O1604" s="3"/>
      <c r="P1604" s="3"/>
      <c r="Q1604" s="3"/>
    </row>
    <row r="1605" spans="1:17" ht="21" customHeight="1">
      <c r="A1605" s="3" t="s">
        <v>2285</v>
      </c>
      <c r="B1605" s="5">
        <v>45723</v>
      </c>
      <c r="C1605" s="3" t="s">
        <v>320</v>
      </c>
      <c r="D1605" s="3" t="s">
        <v>44</v>
      </c>
      <c r="E1605" s="3" t="s">
        <v>38</v>
      </c>
      <c r="F1605" s="3" t="s">
        <v>142</v>
      </c>
      <c r="G1605" s="3" t="s">
        <v>245</v>
      </c>
      <c r="H1605" s="3">
        <v>1</v>
      </c>
      <c r="I1605" s="7">
        <v>4936.24</v>
      </c>
      <c r="J1605" s="9">
        <v>0.05</v>
      </c>
      <c r="K1605" s="7">
        <v>4689.43</v>
      </c>
      <c r="L1605" s="7">
        <v>497.17</v>
      </c>
      <c r="M1605" s="3" t="s">
        <v>56</v>
      </c>
      <c r="N1605" s="3"/>
      <c r="O1605" s="3"/>
      <c r="P1605" s="3"/>
      <c r="Q1605" s="3"/>
    </row>
    <row r="1606" spans="1:17" ht="21" customHeight="1">
      <c r="A1606" s="3" t="s">
        <v>2286</v>
      </c>
      <c r="B1606" s="5">
        <v>45723</v>
      </c>
      <c r="C1606" s="3" t="s">
        <v>253</v>
      </c>
      <c r="D1606" s="3" t="s">
        <v>44</v>
      </c>
      <c r="E1606" s="3" t="s">
        <v>38</v>
      </c>
      <c r="F1606" s="3" t="s">
        <v>142</v>
      </c>
      <c r="G1606" s="3" t="s">
        <v>245</v>
      </c>
      <c r="H1606" s="3">
        <v>1</v>
      </c>
      <c r="I1606" s="7">
        <v>4869.08</v>
      </c>
      <c r="J1606" s="9">
        <v>0.2</v>
      </c>
      <c r="K1606" s="7">
        <v>3895.26</v>
      </c>
      <c r="L1606" s="7">
        <v>-313.16000000000003</v>
      </c>
      <c r="M1606" s="3" t="s">
        <v>58</v>
      </c>
      <c r="N1606" s="3"/>
      <c r="O1606" s="3"/>
      <c r="P1606" s="3"/>
      <c r="Q1606" s="3"/>
    </row>
    <row r="1607" spans="1:17" ht="21" customHeight="1">
      <c r="A1607" s="3" t="s">
        <v>2287</v>
      </c>
      <c r="B1607" s="5">
        <v>45724</v>
      </c>
      <c r="C1607" s="3" t="s">
        <v>1454</v>
      </c>
      <c r="D1607" s="3" t="s">
        <v>47</v>
      </c>
      <c r="E1607" s="3" t="s">
        <v>38</v>
      </c>
      <c r="F1607" s="3" t="s">
        <v>98</v>
      </c>
      <c r="G1607" s="3" t="s">
        <v>182</v>
      </c>
      <c r="H1607" s="3">
        <v>1</v>
      </c>
      <c r="I1607" s="7">
        <v>71654.27</v>
      </c>
      <c r="J1607" s="9">
        <v>0</v>
      </c>
      <c r="K1607" s="7">
        <v>71654.27</v>
      </c>
      <c r="L1607" s="7">
        <v>13910.67</v>
      </c>
      <c r="M1607" s="3" t="s">
        <v>56</v>
      </c>
      <c r="N1607" s="3"/>
      <c r="O1607" s="3"/>
      <c r="P1607" s="3"/>
      <c r="Q1607" s="3"/>
    </row>
    <row r="1608" spans="1:17" ht="21" customHeight="1">
      <c r="A1608" s="3" t="s">
        <v>2288</v>
      </c>
      <c r="B1608" s="5">
        <v>45725</v>
      </c>
      <c r="C1608" s="3" t="s">
        <v>858</v>
      </c>
      <c r="D1608" s="3" t="s">
        <v>44</v>
      </c>
      <c r="E1608" s="3" t="s">
        <v>42</v>
      </c>
      <c r="F1608" s="3" t="s">
        <v>90</v>
      </c>
      <c r="G1608" s="3" t="s">
        <v>91</v>
      </c>
      <c r="H1608" s="3">
        <v>1</v>
      </c>
      <c r="I1608" s="7">
        <v>1233.72</v>
      </c>
      <c r="J1608" s="9">
        <v>0.15</v>
      </c>
      <c r="K1608" s="7">
        <v>1048.6600000000001</v>
      </c>
      <c r="L1608" s="7">
        <v>436.02</v>
      </c>
      <c r="M1608" s="3" t="s">
        <v>56</v>
      </c>
      <c r="N1608" s="3"/>
      <c r="O1608" s="3"/>
      <c r="P1608" s="3"/>
      <c r="Q1608" s="3"/>
    </row>
    <row r="1609" spans="1:17" ht="21" customHeight="1">
      <c r="A1609" s="3" t="s">
        <v>2289</v>
      </c>
      <c r="B1609" s="5">
        <v>45725</v>
      </c>
      <c r="C1609" s="3" t="s">
        <v>620</v>
      </c>
      <c r="D1609" s="3" t="s">
        <v>44</v>
      </c>
      <c r="E1609" s="3" t="s">
        <v>41</v>
      </c>
      <c r="F1609" s="3" t="s">
        <v>113</v>
      </c>
      <c r="G1609" s="3" t="s">
        <v>123</v>
      </c>
      <c r="H1609" s="3">
        <v>2</v>
      </c>
      <c r="I1609" s="7">
        <v>3479.77</v>
      </c>
      <c r="J1609" s="9">
        <v>0.1</v>
      </c>
      <c r="K1609" s="7">
        <v>6263.59</v>
      </c>
      <c r="L1609" s="7">
        <v>1723.69</v>
      </c>
      <c r="M1609" s="3" t="s">
        <v>57</v>
      </c>
      <c r="N1609" s="3"/>
      <c r="O1609" s="3"/>
      <c r="P1609" s="3"/>
      <c r="Q1609" s="3"/>
    </row>
    <row r="1610" spans="1:17" ht="21" customHeight="1">
      <c r="A1610" s="3" t="s">
        <v>2290</v>
      </c>
      <c r="B1610" s="5">
        <v>45726</v>
      </c>
      <c r="C1610" s="3" t="s">
        <v>2291</v>
      </c>
      <c r="D1610" s="3" t="s">
        <v>46</v>
      </c>
      <c r="E1610" s="3" t="s">
        <v>38</v>
      </c>
      <c r="F1610" s="3" t="s">
        <v>98</v>
      </c>
      <c r="G1610" s="3" t="s">
        <v>182</v>
      </c>
      <c r="H1610" s="3">
        <v>1</v>
      </c>
      <c r="I1610" s="7">
        <v>73350.02</v>
      </c>
      <c r="J1610" s="9">
        <v>0</v>
      </c>
      <c r="K1610" s="7">
        <v>73350.02</v>
      </c>
      <c r="L1610" s="7">
        <v>15167.74</v>
      </c>
      <c r="M1610" s="3" t="s">
        <v>60</v>
      </c>
      <c r="N1610" s="3"/>
      <c r="O1610" s="3"/>
      <c r="P1610" s="3"/>
      <c r="Q1610" s="3"/>
    </row>
    <row r="1611" spans="1:17" ht="21" customHeight="1">
      <c r="A1611" s="3" t="s">
        <v>2292</v>
      </c>
      <c r="B1611" s="5">
        <v>45726</v>
      </c>
      <c r="C1611" s="3" t="s">
        <v>450</v>
      </c>
      <c r="D1611" s="3" t="s">
        <v>46</v>
      </c>
      <c r="E1611" s="3" t="s">
        <v>42</v>
      </c>
      <c r="F1611" s="3" t="s">
        <v>126</v>
      </c>
      <c r="G1611" s="3" t="s">
        <v>127</v>
      </c>
      <c r="H1611" s="3">
        <v>1</v>
      </c>
      <c r="I1611" s="7">
        <v>1023.67</v>
      </c>
      <c r="J1611" s="9">
        <v>0</v>
      </c>
      <c r="K1611" s="7">
        <v>1023.67</v>
      </c>
      <c r="L1611" s="7">
        <v>531.66999999999996</v>
      </c>
      <c r="M1611" s="3" t="s">
        <v>56</v>
      </c>
      <c r="N1611" s="3"/>
      <c r="O1611" s="3"/>
      <c r="P1611" s="3"/>
      <c r="Q1611" s="3"/>
    </row>
    <row r="1612" spans="1:17" ht="21" customHeight="1">
      <c r="A1612" s="3" t="s">
        <v>2293</v>
      </c>
      <c r="B1612" s="5">
        <v>45726</v>
      </c>
      <c r="C1612" s="3" t="s">
        <v>1967</v>
      </c>
      <c r="D1612" s="3" t="s">
        <v>47</v>
      </c>
      <c r="E1612" s="3" t="s">
        <v>39</v>
      </c>
      <c r="F1612" s="3" t="s">
        <v>109</v>
      </c>
      <c r="G1612" s="3" t="s">
        <v>355</v>
      </c>
      <c r="H1612" s="3">
        <v>2</v>
      </c>
      <c r="I1612" s="7">
        <v>3429.69</v>
      </c>
      <c r="J1612" s="9">
        <v>0.3</v>
      </c>
      <c r="K1612" s="7">
        <v>4801.57</v>
      </c>
      <c r="L1612" s="7">
        <v>470.54</v>
      </c>
      <c r="M1612" s="3" t="s">
        <v>56</v>
      </c>
      <c r="N1612" s="3"/>
      <c r="O1612" s="3"/>
      <c r="P1612" s="3"/>
      <c r="Q1612" s="3"/>
    </row>
    <row r="1613" spans="1:17" ht="21" customHeight="1">
      <c r="A1613" s="3" t="s">
        <v>2294</v>
      </c>
      <c r="B1613" s="5">
        <v>45727</v>
      </c>
      <c r="C1613" s="3" t="s">
        <v>836</v>
      </c>
      <c r="D1613" s="3" t="s">
        <v>45</v>
      </c>
      <c r="E1613" s="3" t="s">
        <v>39</v>
      </c>
      <c r="F1613" s="3" t="s">
        <v>130</v>
      </c>
      <c r="G1613" s="3" t="s">
        <v>131</v>
      </c>
      <c r="H1613" s="3">
        <v>1</v>
      </c>
      <c r="I1613" s="7">
        <v>2240.7199999999998</v>
      </c>
      <c r="J1613" s="9">
        <v>0.15</v>
      </c>
      <c r="K1613" s="7">
        <v>1904.61</v>
      </c>
      <c r="L1613" s="7">
        <v>401.61</v>
      </c>
      <c r="M1613" s="3" t="s">
        <v>57</v>
      </c>
      <c r="N1613" s="3"/>
      <c r="O1613" s="3"/>
      <c r="P1613" s="3"/>
      <c r="Q1613" s="3"/>
    </row>
    <row r="1614" spans="1:17" ht="21" customHeight="1">
      <c r="A1614" s="3" t="s">
        <v>2295</v>
      </c>
      <c r="B1614" s="5">
        <v>45727</v>
      </c>
      <c r="C1614" s="3" t="s">
        <v>2043</v>
      </c>
      <c r="D1614" s="3" t="s">
        <v>47</v>
      </c>
      <c r="E1614" s="3" t="s">
        <v>38</v>
      </c>
      <c r="F1614" s="3" t="s">
        <v>142</v>
      </c>
      <c r="G1614" s="3" t="s">
        <v>143</v>
      </c>
      <c r="H1614" s="3">
        <v>3</v>
      </c>
      <c r="I1614" s="7">
        <v>8929.8700000000008</v>
      </c>
      <c r="J1614" s="9">
        <v>0.05</v>
      </c>
      <c r="K1614" s="7">
        <v>25450.13</v>
      </c>
      <c r="L1614" s="7">
        <v>3569.46</v>
      </c>
      <c r="M1614" s="3" t="s">
        <v>56</v>
      </c>
      <c r="N1614" s="3"/>
      <c r="O1614" s="3"/>
      <c r="P1614" s="3"/>
      <c r="Q1614" s="3"/>
    </row>
    <row r="1615" spans="1:17" ht="21" customHeight="1">
      <c r="A1615" s="3" t="s">
        <v>2296</v>
      </c>
      <c r="B1615" s="5">
        <v>45728</v>
      </c>
      <c r="C1615" s="3" t="s">
        <v>1295</v>
      </c>
      <c r="D1615" s="3" t="s">
        <v>45</v>
      </c>
      <c r="E1615" s="3" t="s">
        <v>39</v>
      </c>
      <c r="F1615" s="3" t="s">
        <v>109</v>
      </c>
      <c r="G1615" s="3" t="s">
        <v>355</v>
      </c>
      <c r="H1615" s="3">
        <v>4</v>
      </c>
      <c r="I1615" s="7">
        <v>3428.09</v>
      </c>
      <c r="J1615" s="9">
        <v>0</v>
      </c>
      <c r="K1615" s="7">
        <v>13712.36</v>
      </c>
      <c r="L1615" s="7">
        <v>5584.9</v>
      </c>
      <c r="M1615" s="3" t="s">
        <v>59</v>
      </c>
      <c r="N1615" s="3"/>
      <c r="O1615" s="3"/>
      <c r="P1615" s="3"/>
      <c r="Q1615" s="3"/>
    </row>
    <row r="1616" spans="1:17" ht="21" customHeight="1">
      <c r="A1616" s="3" t="s">
        <v>2297</v>
      </c>
      <c r="B1616" s="5">
        <v>45728</v>
      </c>
      <c r="C1616" s="3" t="s">
        <v>1179</v>
      </c>
      <c r="D1616" s="3" t="s">
        <v>44</v>
      </c>
      <c r="E1616" s="3" t="s">
        <v>38</v>
      </c>
      <c r="F1616" s="3" t="s">
        <v>142</v>
      </c>
      <c r="G1616" s="3" t="s">
        <v>143</v>
      </c>
      <c r="H1616" s="3">
        <v>2</v>
      </c>
      <c r="I1616" s="7">
        <v>9116.2999999999993</v>
      </c>
      <c r="J1616" s="9">
        <v>0.05</v>
      </c>
      <c r="K1616" s="7">
        <v>17320.97</v>
      </c>
      <c r="L1616" s="7">
        <v>2708.6</v>
      </c>
      <c r="M1616" s="3" t="s">
        <v>57</v>
      </c>
      <c r="N1616" s="3"/>
      <c r="O1616" s="3"/>
      <c r="P1616" s="3"/>
      <c r="Q1616" s="3"/>
    </row>
    <row r="1617" spans="1:17" ht="21" customHeight="1">
      <c r="A1617" s="3" t="s">
        <v>2298</v>
      </c>
      <c r="B1617" s="5">
        <v>45729</v>
      </c>
      <c r="C1617" s="3" t="s">
        <v>1013</v>
      </c>
      <c r="D1617" s="3" t="s">
        <v>44</v>
      </c>
      <c r="E1617" s="3" t="s">
        <v>38</v>
      </c>
      <c r="F1617" s="3" t="s">
        <v>98</v>
      </c>
      <c r="G1617" s="3" t="s">
        <v>99</v>
      </c>
      <c r="H1617" s="3">
        <v>2</v>
      </c>
      <c r="I1617" s="7">
        <v>24188.49</v>
      </c>
      <c r="J1617" s="9">
        <v>0.15</v>
      </c>
      <c r="K1617" s="7">
        <v>41120.43</v>
      </c>
      <c r="L1617" s="7">
        <v>1899.3</v>
      </c>
      <c r="M1617" s="3" t="s">
        <v>58</v>
      </c>
      <c r="N1617" s="3"/>
      <c r="O1617" s="3"/>
      <c r="P1617" s="3"/>
      <c r="Q1617" s="3"/>
    </row>
    <row r="1618" spans="1:17" ht="21" customHeight="1">
      <c r="A1618" s="3" t="s">
        <v>2299</v>
      </c>
      <c r="B1618" s="5">
        <v>45730</v>
      </c>
      <c r="C1618" s="3" t="s">
        <v>1193</v>
      </c>
      <c r="D1618" s="3" t="s">
        <v>46</v>
      </c>
      <c r="E1618" s="3" t="s">
        <v>41</v>
      </c>
      <c r="F1618" s="3" t="s">
        <v>119</v>
      </c>
      <c r="G1618" s="3" t="s">
        <v>168</v>
      </c>
      <c r="H1618" s="3">
        <v>1</v>
      </c>
      <c r="I1618" s="7">
        <v>10458.719999999999</v>
      </c>
      <c r="J1618" s="9">
        <v>0.15</v>
      </c>
      <c r="K1618" s="7">
        <v>8889.91</v>
      </c>
      <c r="L1618" s="7">
        <v>1505.36</v>
      </c>
      <c r="M1618" s="3" t="s">
        <v>57</v>
      </c>
      <c r="N1618" s="3"/>
      <c r="O1618" s="3"/>
      <c r="P1618" s="3"/>
      <c r="Q1618" s="3"/>
    </row>
    <row r="1619" spans="1:17" ht="21" customHeight="1">
      <c r="A1619" s="3" t="s">
        <v>2300</v>
      </c>
      <c r="B1619" s="5">
        <v>45730</v>
      </c>
      <c r="C1619" s="3" t="s">
        <v>270</v>
      </c>
      <c r="D1619" s="3" t="s">
        <v>46</v>
      </c>
      <c r="E1619" s="3" t="s">
        <v>41</v>
      </c>
      <c r="F1619" s="3" t="s">
        <v>113</v>
      </c>
      <c r="G1619" s="3" t="s">
        <v>123</v>
      </c>
      <c r="H1619" s="3">
        <v>1</v>
      </c>
      <c r="I1619" s="7">
        <v>3365.43</v>
      </c>
      <c r="J1619" s="9">
        <v>0.15</v>
      </c>
      <c r="K1619" s="7">
        <v>2860.62</v>
      </c>
      <c r="L1619" s="7">
        <v>546.83000000000004</v>
      </c>
      <c r="M1619" s="3" t="s">
        <v>56</v>
      </c>
      <c r="N1619" s="3"/>
      <c r="O1619" s="3"/>
      <c r="P1619" s="3"/>
      <c r="Q1619" s="3"/>
    </row>
    <row r="1620" spans="1:17" ht="21" customHeight="1">
      <c r="A1620" s="3" t="s">
        <v>2301</v>
      </c>
      <c r="B1620" s="5">
        <v>45731</v>
      </c>
      <c r="C1620" s="3" t="s">
        <v>2130</v>
      </c>
      <c r="D1620" s="3" t="s">
        <v>45</v>
      </c>
      <c r="E1620" s="3" t="s">
        <v>38</v>
      </c>
      <c r="F1620" s="3" t="s">
        <v>142</v>
      </c>
      <c r="G1620" s="3" t="s">
        <v>143</v>
      </c>
      <c r="H1620" s="3">
        <v>2</v>
      </c>
      <c r="I1620" s="7">
        <v>8752.15</v>
      </c>
      <c r="J1620" s="9">
        <v>0.15</v>
      </c>
      <c r="K1620" s="7">
        <v>14878.65</v>
      </c>
      <c r="L1620" s="7">
        <v>138.46</v>
      </c>
      <c r="M1620" s="3" t="s">
        <v>57</v>
      </c>
      <c r="N1620" s="3"/>
      <c r="O1620" s="3"/>
      <c r="P1620" s="3"/>
      <c r="Q1620" s="3"/>
    </row>
    <row r="1621" spans="1:17" ht="21" customHeight="1">
      <c r="A1621" s="3" t="s">
        <v>2302</v>
      </c>
      <c r="B1621" s="5">
        <v>45731</v>
      </c>
      <c r="C1621" s="3" t="s">
        <v>1103</v>
      </c>
      <c r="D1621" s="3" t="s">
        <v>47</v>
      </c>
      <c r="E1621" s="3" t="s">
        <v>39</v>
      </c>
      <c r="F1621" s="3" t="s">
        <v>130</v>
      </c>
      <c r="G1621" s="3" t="s">
        <v>131</v>
      </c>
      <c r="H1621" s="3">
        <v>1</v>
      </c>
      <c r="I1621" s="7">
        <v>2307.37</v>
      </c>
      <c r="J1621" s="9">
        <v>0.3</v>
      </c>
      <c r="K1621" s="7">
        <v>1615.16</v>
      </c>
      <c r="L1621" s="7">
        <v>87.78</v>
      </c>
      <c r="M1621" s="3" t="s">
        <v>56</v>
      </c>
      <c r="N1621" s="3"/>
      <c r="O1621" s="3"/>
      <c r="P1621" s="3"/>
      <c r="Q1621" s="3"/>
    </row>
    <row r="1622" spans="1:17" ht="21" customHeight="1">
      <c r="A1622" s="3" t="s">
        <v>2303</v>
      </c>
      <c r="B1622" s="5">
        <v>45731</v>
      </c>
      <c r="C1622" s="3" t="s">
        <v>940</v>
      </c>
      <c r="D1622" s="3" t="s">
        <v>44</v>
      </c>
      <c r="E1622" s="3" t="s">
        <v>42</v>
      </c>
      <c r="F1622" s="3" t="s">
        <v>90</v>
      </c>
      <c r="G1622" s="3" t="s">
        <v>91</v>
      </c>
      <c r="H1622" s="3">
        <v>3</v>
      </c>
      <c r="I1622" s="7">
        <v>1229.27</v>
      </c>
      <c r="J1622" s="9">
        <v>0.05</v>
      </c>
      <c r="K1622" s="7">
        <v>3503.42</v>
      </c>
      <c r="L1622" s="7">
        <v>1851.56</v>
      </c>
      <c r="M1622" s="3" t="s">
        <v>57</v>
      </c>
      <c r="N1622" s="3"/>
      <c r="O1622" s="3"/>
      <c r="P1622" s="3"/>
      <c r="Q1622" s="3"/>
    </row>
    <row r="1623" spans="1:17" ht="21" customHeight="1">
      <c r="A1623" s="3" t="s">
        <v>2304</v>
      </c>
      <c r="B1623" s="5">
        <v>45731</v>
      </c>
      <c r="C1623" s="3" t="s">
        <v>568</v>
      </c>
      <c r="D1623" s="3" t="s">
        <v>44</v>
      </c>
      <c r="E1623" s="3" t="s">
        <v>39</v>
      </c>
      <c r="F1623" s="3" t="s">
        <v>130</v>
      </c>
      <c r="G1623" s="3" t="s">
        <v>131</v>
      </c>
      <c r="H1623" s="3">
        <v>1</v>
      </c>
      <c r="I1623" s="7">
        <v>2094.4899999999998</v>
      </c>
      <c r="J1623" s="9">
        <v>0.25</v>
      </c>
      <c r="K1623" s="7">
        <v>1570.87</v>
      </c>
      <c r="L1623" s="7">
        <v>244.44</v>
      </c>
      <c r="M1623" s="3" t="s">
        <v>60</v>
      </c>
      <c r="N1623" s="3"/>
      <c r="O1623" s="3"/>
      <c r="P1623" s="3"/>
      <c r="Q1623" s="3"/>
    </row>
    <row r="1624" spans="1:17" ht="21" customHeight="1">
      <c r="A1624" s="3" t="s">
        <v>2305</v>
      </c>
      <c r="B1624" s="5">
        <v>45732</v>
      </c>
      <c r="C1624" s="3" t="s">
        <v>502</v>
      </c>
      <c r="D1624" s="3" t="s">
        <v>45</v>
      </c>
      <c r="E1624" s="3" t="s">
        <v>42</v>
      </c>
      <c r="F1624" s="3" t="s">
        <v>126</v>
      </c>
      <c r="G1624" s="3" t="s">
        <v>127</v>
      </c>
      <c r="H1624" s="3">
        <v>3</v>
      </c>
      <c r="I1624" s="7">
        <v>1014.46</v>
      </c>
      <c r="J1624" s="9">
        <v>0</v>
      </c>
      <c r="K1624" s="7">
        <v>3043.38</v>
      </c>
      <c r="L1624" s="7">
        <v>1765.82</v>
      </c>
      <c r="M1624" s="3" t="s">
        <v>59</v>
      </c>
      <c r="N1624" s="3"/>
      <c r="O1624" s="3"/>
      <c r="P1624" s="3"/>
      <c r="Q1624" s="3"/>
    </row>
    <row r="1625" spans="1:17" ht="21" customHeight="1">
      <c r="A1625" s="3" t="s">
        <v>2306</v>
      </c>
      <c r="B1625" s="5">
        <v>45732</v>
      </c>
      <c r="C1625" s="3" t="s">
        <v>228</v>
      </c>
      <c r="D1625" s="3" t="s">
        <v>46</v>
      </c>
      <c r="E1625" s="3" t="s">
        <v>38</v>
      </c>
      <c r="F1625" s="3" t="s">
        <v>94</v>
      </c>
      <c r="G1625" s="3" t="s">
        <v>95</v>
      </c>
      <c r="H1625" s="3">
        <v>2</v>
      </c>
      <c r="I1625" s="7">
        <v>78541.149999999994</v>
      </c>
      <c r="J1625" s="9">
        <v>0.05</v>
      </c>
      <c r="K1625" s="7">
        <v>149228.18</v>
      </c>
      <c r="L1625" s="7">
        <v>15572.46</v>
      </c>
      <c r="M1625" s="3" t="s">
        <v>56</v>
      </c>
      <c r="N1625" s="3"/>
      <c r="O1625" s="3"/>
      <c r="P1625" s="3"/>
      <c r="Q1625" s="3"/>
    </row>
    <row r="1626" spans="1:17" ht="21" customHeight="1">
      <c r="A1626" s="3" t="s">
        <v>2307</v>
      </c>
      <c r="B1626" s="5">
        <v>45732</v>
      </c>
      <c r="C1626" s="3" t="s">
        <v>1191</v>
      </c>
      <c r="D1626" s="3" t="s">
        <v>47</v>
      </c>
      <c r="E1626" s="3" t="s">
        <v>38</v>
      </c>
      <c r="F1626" s="3" t="s">
        <v>142</v>
      </c>
      <c r="G1626" s="3" t="s">
        <v>143</v>
      </c>
      <c r="H1626" s="3">
        <v>1</v>
      </c>
      <c r="I1626" s="7">
        <v>8604.5</v>
      </c>
      <c r="J1626" s="9">
        <v>0</v>
      </c>
      <c r="K1626" s="7">
        <v>8604.5</v>
      </c>
      <c r="L1626" s="7">
        <v>1544.63</v>
      </c>
      <c r="M1626" s="3" t="s">
        <v>56</v>
      </c>
      <c r="N1626" s="3"/>
      <c r="O1626" s="3"/>
      <c r="P1626" s="3"/>
      <c r="Q1626" s="3"/>
    </row>
    <row r="1627" spans="1:17" ht="21" customHeight="1">
      <c r="A1627" s="3" t="s">
        <v>2308</v>
      </c>
      <c r="B1627" s="5">
        <v>45732</v>
      </c>
      <c r="C1627" s="3" t="s">
        <v>999</v>
      </c>
      <c r="D1627" s="3" t="s">
        <v>46</v>
      </c>
      <c r="E1627" s="3" t="s">
        <v>42</v>
      </c>
      <c r="F1627" s="3" t="s">
        <v>126</v>
      </c>
      <c r="G1627" s="3" t="s">
        <v>127</v>
      </c>
      <c r="H1627" s="3">
        <v>1</v>
      </c>
      <c r="I1627" s="7">
        <v>1010.86</v>
      </c>
      <c r="J1627" s="9">
        <v>0</v>
      </c>
      <c r="K1627" s="7">
        <v>1010.86</v>
      </c>
      <c r="L1627" s="7">
        <v>572.5</v>
      </c>
      <c r="M1627" s="3" t="s">
        <v>57</v>
      </c>
      <c r="N1627" s="3"/>
      <c r="O1627" s="3"/>
      <c r="P1627" s="3"/>
      <c r="Q1627" s="3"/>
    </row>
    <row r="1628" spans="1:17" ht="21" customHeight="1">
      <c r="A1628" s="3" t="s">
        <v>2309</v>
      </c>
      <c r="B1628" s="5">
        <v>45732</v>
      </c>
      <c r="C1628" s="3" t="s">
        <v>283</v>
      </c>
      <c r="D1628" s="3" t="s">
        <v>45</v>
      </c>
      <c r="E1628" s="3" t="s">
        <v>38</v>
      </c>
      <c r="F1628" s="3" t="s">
        <v>142</v>
      </c>
      <c r="G1628" s="3" t="s">
        <v>245</v>
      </c>
      <c r="H1628" s="3">
        <v>2</v>
      </c>
      <c r="I1628" s="7">
        <v>4900.28</v>
      </c>
      <c r="J1628" s="9">
        <v>0.3</v>
      </c>
      <c r="K1628" s="7">
        <v>6860.39</v>
      </c>
      <c r="L1628" s="7">
        <v>-1108.51</v>
      </c>
      <c r="M1628" s="3" t="s">
        <v>57</v>
      </c>
      <c r="N1628" s="3"/>
      <c r="O1628" s="3"/>
      <c r="P1628" s="3"/>
      <c r="Q1628" s="3"/>
    </row>
    <row r="1629" spans="1:17" ht="21" customHeight="1">
      <c r="A1629" s="3" t="s">
        <v>2310</v>
      </c>
      <c r="B1629" s="5">
        <v>45733</v>
      </c>
      <c r="C1629" s="3" t="s">
        <v>253</v>
      </c>
      <c r="D1629" s="3" t="s">
        <v>46</v>
      </c>
      <c r="E1629" s="3" t="s">
        <v>39</v>
      </c>
      <c r="F1629" s="3" t="s">
        <v>109</v>
      </c>
      <c r="G1629" s="3" t="s">
        <v>355</v>
      </c>
      <c r="H1629" s="3">
        <v>1</v>
      </c>
      <c r="I1629" s="7">
        <v>3533.12</v>
      </c>
      <c r="J1629" s="9">
        <v>0</v>
      </c>
      <c r="K1629" s="7">
        <v>3533.12</v>
      </c>
      <c r="L1629" s="7">
        <v>1580.82</v>
      </c>
      <c r="M1629" s="3" t="s">
        <v>56</v>
      </c>
      <c r="N1629" s="3"/>
      <c r="O1629" s="3"/>
      <c r="P1629" s="3"/>
      <c r="Q1629" s="3"/>
    </row>
    <row r="1630" spans="1:17" ht="21" customHeight="1">
      <c r="A1630" s="3" t="s">
        <v>2311</v>
      </c>
      <c r="B1630" s="5">
        <v>45733</v>
      </c>
      <c r="C1630" s="3" t="s">
        <v>148</v>
      </c>
      <c r="D1630" s="3" t="s">
        <v>44</v>
      </c>
      <c r="E1630" s="3" t="s">
        <v>41</v>
      </c>
      <c r="F1630" s="3" t="s">
        <v>119</v>
      </c>
      <c r="G1630" s="3" t="s">
        <v>120</v>
      </c>
      <c r="H1630" s="3">
        <v>1</v>
      </c>
      <c r="I1630" s="7">
        <v>1351.22</v>
      </c>
      <c r="J1630" s="9">
        <v>0.1</v>
      </c>
      <c r="K1630" s="7">
        <v>1216.0999999999999</v>
      </c>
      <c r="L1630" s="7">
        <v>326.08999999999997</v>
      </c>
      <c r="M1630" s="3" t="s">
        <v>60</v>
      </c>
      <c r="N1630" s="3"/>
      <c r="O1630" s="3"/>
      <c r="P1630" s="3"/>
      <c r="Q1630" s="3"/>
    </row>
    <row r="1631" spans="1:17" ht="21" customHeight="1">
      <c r="A1631" s="3" t="s">
        <v>2312</v>
      </c>
      <c r="B1631" s="5">
        <v>45733</v>
      </c>
      <c r="C1631" s="3" t="s">
        <v>1099</v>
      </c>
      <c r="D1631" s="3" t="s">
        <v>47</v>
      </c>
      <c r="E1631" s="3" t="s">
        <v>41</v>
      </c>
      <c r="F1631" s="3" t="s">
        <v>113</v>
      </c>
      <c r="G1631" s="3" t="s">
        <v>114</v>
      </c>
      <c r="H1631" s="3">
        <v>1</v>
      </c>
      <c r="I1631" s="7">
        <v>12190.28</v>
      </c>
      <c r="J1631" s="9">
        <v>0</v>
      </c>
      <c r="K1631" s="7">
        <v>12190.28</v>
      </c>
      <c r="L1631" s="7">
        <v>4904.7700000000004</v>
      </c>
      <c r="M1631" s="3" t="s">
        <v>56</v>
      </c>
      <c r="N1631" s="3"/>
      <c r="O1631" s="3"/>
      <c r="P1631" s="3"/>
      <c r="Q1631" s="3"/>
    </row>
    <row r="1632" spans="1:17" ht="21" customHeight="1">
      <c r="A1632" s="3" t="s">
        <v>2313</v>
      </c>
      <c r="B1632" s="5">
        <v>45733</v>
      </c>
      <c r="C1632" s="3" t="s">
        <v>545</v>
      </c>
      <c r="D1632" s="3" t="s">
        <v>45</v>
      </c>
      <c r="E1632" s="3" t="s">
        <v>42</v>
      </c>
      <c r="F1632" s="3" t="s">
        <v>126</v>
      </c>
      <c r="G1632" s="3" t="s">
        <v>151</v>
      </c>
      <c r="H1632" s="3">
        <v>1</v>
      </c>
      <c r="I1632" s="7">
        <v>1476.47</v>
      </c>
      <c r="J1632" s="9">
        <v>0</v>
      </c>
      <c r="K1632" s="7">
        <v>1476.47</v>
      </c>
      <c r="L1632" s="7">
        <v>838.33</v>
      </c>
      <c r="M1632" s="3" t="s">
        <v>56</v>
      </c>
      <c r="N1632" s="3"/>
      <c r="O1632" s="3"/>
      <c r="P1632" s="3"/>
      <c r="Q1632" s="3"/>
    </row>
    <row r="1633" spans="1:17" ht="21" customHeight="1">
      <c r="A1633" s="3" t="s">
        <v>2314</v>
      </c>
      <c r="B1633" s="5">
        <v>45733</v>
      </c>
      <c r="C1633" s="3" t="s">
        <v>1013</v>
      </c>
      <c r="D1633" s="3" t="s">
        <v>44</v>
      </c>
      <c r="E1633" s="3" t="s">
        <v>38</v>
      </c>
      <c r="F1633" s="3" t="s">
        <v>98</v>
      </c>
      <c r="G1633" s="3" t="s">
        <v>362</v>
      </c>
      <c r="H1633" s="3">
        <v>3</v>
      </c>
      <c r="I1633" s="7">
        <v>31816.43</v>
      </c>
      <c r="J1633" s="9">
        <v>0.1</v>
      </c>
      <c r="K1633" s="7">
        <v>85904.36</v>
      </c>
      <c r="L1633" s="7">
        <v>5568.89</v>
      </c>
      <c r="M1633" s="3" t="s">
        <v>58</v>
      </c>
      <c r="N1633" s="3"/>
      <c r="O1633" s="3"/>
      <c r="P1633" s="3"/>
      <c r="Q1633" s="3"/>
    </row>
    <row r="1634" spans="1:17" ht="21" customHeight="1">
      <c r="A1634" s="3" t="s">
        <v>2315</v>
      </c>
      <c r="B1634" s="5">
        <v>45733</v>
      </c>
      <c r="C1634" s="3" t="s">
        <v>274</v>
      </c>
      <c r="D1634" s="3" t="s">
        <v>44</v>
      </c>
      <c r="E1634" s="3" t="s">
        <v>42</v>
      </c>
      <c r="F1634" s="3" t="s">
        <v>126</v>
      </c>
      <c r="G1634" s="3" t="s">
        <v>127</v>
      </c>
      <c r="H1634" s="3">
        <v>4</v>
      </c>
      <c r="I1634" s="7">
        <v>950.6</v>
      </c>
      <c r="J1634" s="9">
        <v>0.2</v>
      </c>
      <c r="K1634" s="7">
        <v>3041.92</v>
      </c>
      <c r="L1634" s="7">
        <v>881.13</v>
      </c>
      <c r="M1634" s="3" t="s">
        <v>57</v>
      </c>
      <c r="N1634" s="3"/>
      <c r="O1634" s="3"/>
      <c r="P1634" s="3"/>
      <c r="Q1634" s="3"/>
    </row>
    <row r="1635" spans="1:17" ht="21" customHeight="1">
      <c r="A1635" s="3" t="s">
        <v>2316</v>
      </c>
      <c r="B1635" s="5">
        <v>45734</v>
      </c>
      <c r="C1635" s="3" t="s">
        <v>985</v>
      </c>
      <c r="D1635" s="3" t="s">
        <v>44</v>
      </c>
      <c r="E1635" s="3" t="s">
        <v>40</v>
      </c>
      <c r="F1635" s="3" t="s">
        <v>102</v>
      </c>
      <c r="G1635" s="3" t="s">
        <v>103</v>
      </c>
      <c r="H1635" s="3">
        <v>1</v>
      </c>
      <c r="I1635" s="7">
        <v>6726.36</v>
      </c>
      <c r="J1635" s="9">
        <v>0.2</v>
      </c>
      <c r="K1635" s="7">
        <v>5381.09</v>
      </c>
      <c r="L1635" s="7">
        <v>501.54</v>
      </c>
      <c r="M1635" s="3" t="s">
        <v>57</v>
      </c>
      <c r="N1635" s="3"/>
      <c r="O1635" s="3"/>
      <c r="P1635" s="3"/>
      <c r="Q1635" s="3"/>
    </row>
    <row r="1636" spans="1:17" ht="21" customHeight="1">
      <c r="A1636" s="3" t="s">
        <v>2317</v>
      </c>
      <c r="B1636" s="5">
        <v>45734</v>
      </c>
      <c r="C1636" s="3" t="s">
        <v>1152</v>
      </c>
      <c r="D1636" s="3" t="s">
        <v>47</v>
      </c>
      <c r="E1636" s="3" t="s">
        <v>42</v>
      </c>
      <c r="F1636" s="3" t="s">
        <v>90</v>
      </c>
      <c r="G1636" s="3" t="s">
        <v>106</v>
      </c>
      <c r="H1636" s="3">
        <v>2</v>
      </c>
      <c r="I1636" s="7">
        <v>910.29</v>
      </c>
      <c r="J1636" s="9">
        <v>0.05</v>
      </c>
      <c r="K1636" s="7">
        <v>1729.55</v>
      </c>
      <c r="L1636" s="7">
        <v>912.35</v>
      </c>
      <c r="M1636" s="3" t="s">
        <v>56</v>
      </c>
      <c r="N1636" s="3"/>
      <c r="O1636" s="3"/>
      <c r="P1636" s="3"/>
      <c r="Q1636" s="3"/>
    </row>
    <row r="1637" spans="1:17" ht="21" customHeight="1">
      <c r="A1637" s="3" t="s">
        <v>2318</v>
      </c>
      <c r="B1637" s="5">
        <v>45734</v>
      </c>
      <c r="C1637" s="3" t="s">
        <v>682</v>
      </c>
      <c r="D1637" s="3" t="s">
        <v>44</v>
      </c>
      <c r="E1637" s="3" t="s">
        <v>42</v>
      </c>
      <c r="F1637" s="3" t="s">
        <v>126</v>
      </c>
      <c r="G1637" s="3" t="s">
        <v>127</v>
      </c>
      <c r="H1637" s="3">
        <v>2</v>
      </c>
      <c r="I1637" s="7">
        <v>968.95</v>
      </c>
      <c r="J1637" s="9">
        <v>0.05</v>
      </c>
      <c r="K1637" s="7">
        <v>1841.01</v>
      </c>
      <c r="L1637" s="7">
        <v>941.36</v>
      </c>
      <c r="M1637" s="3" t="s">
        <v>56</v>
      </c>
      <c r="N1637" s="3"/>
      <c r="O1637" s="3"/>
      <c r="P1637" s="3"/>
      <c r="Q1637" s="3"/>
    </row>
    <row r="1638" spans="1:17" ht="21" customHeight="1">
      <c r="A1638" s="3" t="s">
        <v>2319</v>
      </c>
      <c r="B1638" s="5">
        <v>45735</v>
      </c>
      <c r="C1638" s="3" t="s">
        <v>1451</v>
      </c>
      <c r="D1638" s="3" t="s">
        <v>45</v>
      </c>
      <c r="E1638" s="3" t="s">
        <v>38</v>
      </c>
      <c r="F1638" s="3" t="s">
        <v>98</v>
      </c>
      <c r="G1638" s="3" t="s">
        <v>99</v>
      </c>
      <c r="H1638" s="3">
        <v>4</v>
      </c>
      <c r="I1638" s="7">
        <v>24487.57</v>
      </c>
      <c r="J1638" s="9">
        <v>0.25</v>
      </c>
      <c r="K1638" s="7">
        <v>73462.710000000006</v>
      </c>
      <c r="L1638" s="7">
        <v>-10523.57</v>
      </c>
      <c r="M1638" s="3" t="s">
        <v>56</v>
      </c>
      <c r="N1638" s="3"/>
      <c r="O1638" s="3"/>
      <c r="P1638" s="3"/>
      <c r="Q1638" s="3"/>
    </row>
    <row r="1639" spans="1:17" ht="21" customHeight="1">
      <c r="A1639" s="3" t="s">
        <v>2320</v>
      </c>
      <c r="B1639" s="5">
        <v>45736</v>
      </c>
      <c r="C1639" s="3" t="s">
        <v>276</v>
      </c>
      <c r="D1639" s="3" t="s">
        <v>47</v>
      </c>
      <c r="E1639" s="3" t="s">
        <v>38</v>
      </c>
      <c r="F1639" s="3" t="s">
        <v>142</v>
      </c>
      <c r="G1639" s="3" t="s">
        <v>245</v>
      </c>
      <c r="H1639" s="3">
        <v>2</v>
      </c>
      <c r="I1639" s="7">
        <v>4897.78</v>
      </c>
      <c r="J1639" s="9">
        <v>0.15</v>
      </c>
      <c r="K1639" s="7">
        <v>8326.23</v>
      </c>
      <c r="L1639" s="7">
        <v>-234.87</v>
      </c>
      <c r="M1639" s="3" t="s">
        <v>56</v>
      </c>
      <c r="N1639" s="3"/>
      <c r="O1639" s="3"/>
      <c r="P1639" s="3"/>
      <c r="Q1639" s="3"/>
    </row>
    <row r="1640" spans="1:17" ht="21" customHeight="1">
      <c r="A1640" s="3" t="s">
        <v>2321</v>
      </c>
      <c r="B1640" s="5">
        <v>45737</v>
      </c>
      <c r="C1640" s="3" t="s">
        <v>1331</v>
      </c>
      <c r="D1640" s="3" t="s">
        <v>44</v>
      </c>
      <c r="E1640" s="3" t="s">
        <v>41</v>
      </c>
      <c r="F1640" s="3" t="s">
        <v>113</v>
      </c>
      <c r="G1640" s="3" t="s">
        <v>123</v>
      </c>
      <c r="H1640" s="3">
        <v>1</v>
      </c>
      <c r="I1640" s="7">
        <v>3325.9</v>
      </c>
      <c r="J1640" s="9">
        <v>0.3</v>
      </c>
      <c r="K1640" s="7">
        <v>2328.13</v>
      </c>
      <c r="L1640" s="7">
        <v>5.32</v>
      </c>
      <c r="M1640" s="3" t="s">
        <v>59</v>
      </c>
      <c r="N1640" s="3"/>
      <c r="O1640" s="3"/>
      <c r="P1640" s="3"/>
      <c r="Q1640" s="3"/>
    </row>
    <row r="1641" spans="1:17" ht="21" customHeight="1">
      <c r="A1641" s="3" t="s">
        <v>2322</v>
      </c>
      <c r="B1641" s="5">
        <v>45737</v>
      </c>
      <c r="C1641" s="3" t="s">
        <v>333</v>
      </c>
      <c r="D1641" s="3" t="s">
        <v>47</v>
      </c>
      <c r="E1641" s="3" t="s">
        <v>39</v>
      </c>
      <c r="F1641" s="3" t="s">
        <v>130</v>
      </c>
      <c r="G1641" s="3" t="s">
        <v>193</v>
      </c>
      <c r="H1641" s="3">
        <v>2</v>
      </c>
      <c r="I1641" s="7">
        <v>1742.88</v>
      </c>
      <c r="J1641" s="9">
        <v>0.3</v>
      </c>
      <c r="K1641" s="7">
        <v>2440.0300000000002</v>
      </c>
      <c r="L1641" s="7">
        <v>220.03</v>
      </c>
      <c r="M1641" s="3" t="s">
        <v>60</v>
      </c>
      <c r="N1641" s="3"/>
      <c r="O1641" s="3"/>
      <c r="P1641" s="3"/>
      <c r="Q1641" s="3"/>
    </row>
    <row r="1642" spans="1:17" ht="21" customHeight="1">
      <c r="A1642" s="3" t="s">
        <v>2323</v>
      </c>
      <c r="B1642" s="5">
        <v>45737</v>
      </c>
      <c r="C1642" s="3" t="s">
        <v>1578</v>
      </c>
      <c r="D1642" s="3" t="s">
        <v>44</v>
      </c>
      <c r="E1642" s="3" t="s">
        <v>40</v>
      </c>
      <c r="F1642" s="3" t="s">
        <v>221</v>
      </c>
      <c r="G1642" s="3" t="s">
        <v>222</v>
      </c>
      <c r="H1642" s="3">
        <v>1</v>
      </c>
      <c r="I1642" s="7">
        <v>989.07</v>
      </c>
      <c r="J1642" s="9">
        <v>0</v>
      </c>
      <c r="K1642" s="7">
        <v>989.07</v>
      </c>
      <c r="L1642" s="7">
        <v>295.87</v>
      </c>
      <c r="M1642" s="3" t="s">
        <v>56</v>
      </c>
      <c r="N1642" s="3"/>
      <c r="O1642" s="3"/>
      <c r="P1642" s="3"/>
      <c r="Q1642" s="3"/>
    </row>
    <row r="1643" spans="1:17" ht="21" customHeight="1">
      <c r="A1643" s="3" t="s">
        <v>2324</v>
      </c>
      <c r="B1643" s="5">
        <v>45737</v>
      </c>
      <c r="C1643" s="3" t="s">
        <v>937</v>
      </c>
      <c r="D1643" s="3" t="s">
        <v>44</v>
      </c>
      <c r="E1643" s="3" t="s">
        <v>42</v>
      </c>
      <c r="F1643" s="3" t="s">
        <v>126</v>
      </c>
      <c r="G1643" s="3" t="s">
        <v>127</v>
      </c>
      <c r="H1643" s="3">
        <v>1</v>
      </c>
      <c r="I1643" s="7">
        <v>1048.81</v>
      </c>
      <c r="J1643" s="9">
        <v>0.25</v>
      </c>
      <c r="K1643" s="7">
        <v>786.61</v>
      </c>
      <c r="L1643" s="7">
        <v>217.96</v>
      </c>
      <c r="M1643" s="3" t="s">
        <v>59</v>
      </c>
      <c r="N1643" s="3"/>
      <c r="O1643" s="3"/>
      <c r="P1643" s="3"/>
      <c r="Q1643" s="3"/>
    </row>
    <row r="1644" spans="1:17" ht="21" customHeight="1">
      <c r="A1644" s="3" t="s">
        <v>2325</v>
      </c>
      <c r="B1644" s="5">
        <v>45737</v>
      </c>
      <c r="C1644" s="3" t="s">
        <v>218</v>
      </c>
      <c r="D1644" s="3" t="s">
        <v>44</v>
      </c>
      <c r="E1644" s="3" t="s">
        <v>42</v>
      </c>
      <c r="F1644" s="3" t="s">
        <v>126</v>
      </c>
      <c r="G1644" s="3" t="s">
        <v>151</v>
      </c>
      <c r="H1644" s="3">
        <v>2</v>
      </c>
      <c r="I1644" s="7">
        <v>1480.06</v>
      </c>
      <c r="J1644" s="9">
        <v>0.1</v>
      </c>
      <c r="K1644" s="7">
        <v>2664.11</v>
      </c>
      <c r="L1644" s="7">
        <v>1148.79</v>
      </c>
      <c r="M1644" s="3" t="s">
        <v>59</v>
      </c>
      <c r="N1644" s="3"/>
      <c r="O1644" s="3"/>
      <c r="P1644" s="3"/>
      <c r="Q1644" s="3"/>
    </row>
    <row r="1645" spans="1:17" ht="21" customHeight="1">
      <c r="A1645" s="3" t="s">
        <v>2326</v>
      </c>
      <c r="B1645" s="5">
        <v>45738</v>
      </c>
      <c r="C1645" s="3" t="s">
        <v>116</v>
      </c>
      <c r="D1645" s="3" t="s">
        <v>46</v>
      </c>
      <c r="E1645" s="3" t="s">
        <v>42</v>
      </c>
      <c r="F1645" s="3" t="s">
        <v>90</v>
      </c>
      <c r="G1645" s="3" t="s">
        <v>106</v>
      </c>
      <c r="H1645" s="3">
        <v>1</v>
      </c>
      <c r="I1645" s="7">
        <v>939.45</v>
      </c>
      <c r="J1645" s="9">
        <v>0.25</v>
      </c>
      <c r="K1645" s="7">
        <v>704.59</v>
      </c>
      <c r="L1645" s="7">
        <v>208.1</v>
      </c>
      <c r="M1645" s="3" t="s">
        <v>58</v>
      </c>
      <c r="N1645" s="3"/>
      <c r="O1645" s="3"/>
      <c r="P1645" s="3"/>
      <c r="Q1645" s="3"/>
    </row>
    <row r="1646" spans="1:17" ht="21" customHeight="1">
      <c r="A1646" s="3" t="s">
        <v>2327</v>
      </c>
      <c r="B1646" s="5">
        <v>45738</v>
      </c>
      <c r="C1646" s="3" t="s">
        <v>255</v>
      </c>
      <c r="D1646" s="3" t="s">
        <v>46</v>
      </c>
      <c r="E1646" s="3" t="s">
        <v>41</v>
      </c>
      <c r="F1646" s="3" t="s">
        <v>119</v>
      </c>
      <c r="G1646" s="3" t="s">
        <v>168</v>
      </c>
      <c r="H1646" s="3">
        <v>3</v>
      </c>
      <c r="I1646" s="7">
        <v>9781.1200000000008</v>
      </c>
      <c r="J1646" s="9">
        <v>0</v>
      </c>
      <c r="K1646" s="7">
        <v>29343.360000000001</v>
      </c>
      <c r="L1646" s="7">
        <v>11625.14</v>
      </c>
      <c r="M1646" s="3" t="s">
        <v>56</v>
      </c>
      <c r="N1646" s="3"/>
      <c r="O1646" s="3"/>
      <c r="P1646" s="3"/>
      <c r="Q1646" s="3"/>
    </row>
    <row r="1647" spans="1:17" ht="21" customHeight="1">
      <c r="A1647" s="3" t="s">
        <v>2328</v>
      </c>
      <c r="B1647" s="5">
        <v>45739</v>
      </c>
      <c r="C1647" s="3" t="s">
        <v>663</v>
      </c>
      <c r="D1647" s="3" t="s">
        <v>45</v>
      </c>
      <c r="E1647" s="3" t="s">
        <v>38</v>
      </c>
      <c r="F1647" s="3" t="s">
        <v>94</v>
      </c>
      <c r="G1647" s="3" t="s">
        <v>95</v>
      </c>
      <c r="H1647" s="3">
        <v>5</v>
      </c>
      <c r="I1647" s="7">
        <v>76618.009999999995</v>
      </c>
      <c r="J1647" s="9">
        <v>0</v>
      </c>
      <c r="K1647" s="7">
        <v>383090.05</v>
      </c>
      <c r="L1647" s="7">
        <v>82500.479999999996</v>
      </c>
      <c r="M1647" s="3" t="s">
        <v>57</v>
      </c>
      <c r="N1647" s="3"/>
      <c r="O1647" s="3"/>
      <c r="P1647" s="3"/>
      <c r="Q1647" s="3"/>
    </row>
    <row r="1648" spans="1:17" ht="21" customHeight="1">
      <c r="A1648" s="3" t="s">
        <v>2329</v>
      </c>
      <c r="B1648" s="5">
        <v>45740</v>
      </c>
      <c r="C1648" s="3" t="s">
        <v>224</v>
      </c>
      <c r="D1648" s="3" t="s">
        <v>46</v>
      </c>
      <c r="E1648" s="3" t="s">
        <v>40</v>
      </c>
      <c r="F1648" s="3" t="s">
        <v>102</v>
      </c>
      <c r="G1648" s="3" t="s">
        <v>146</v>
      </c>
      <c r="H1648" s="3">
        <v>1</v>
      </c>
      <c r="I1648" s="7">
        <v>7889.66</v>
      </c>
      <c r="J1648" s="9">
        <v>0.1</v>
      </c>
      <c r="K1648" s="7">
        <v>7100.69</v>
      </c>
      <c r="L1648" s="7">
        <v>1697.69</v>
      </c>
      <c r="M1648" s="3" t="s">
        <v>60</v>
      </c>
      <c r="N1648" s="3"/>
      <c r="O1648" s="3"/>
      <c r="P1648" s="3"/>
      <c r="Q1648" s="3"/>
    </row>
    <row r="1649" spans="1:17" ht="21" customHeight="1">
      <c r="A1649" s="3" t="s">
        <v>2330</v>
      </c>
      <c r="B1649" s="5">
        <v>45740</v>
      </c>
      <c r="C1649" s="3" t="s">
        <v>750</v>
      </c>
      <c r="D1649" s="3" t="s">
        <v>45</v>
      </c>
      <c r="E1649" s="3" t="s">
        <v>40</v>
      </c>
      <c r="F1649" s="3" t="s">
        <v>160</v>
      </c>
      <c r="G1649" s="3" t="s">
        <v>161</v>
      </c>
      <c r="H1649" s="3">
        <v>1</v>
      </c>
      <c r="I1649" s="7">
        <v>12979.19</v>
      </c>
      <c r="J1649" s="9">
        <v>0.15</v>
      </c>
      <c r="K1649" s="7">
        <v>11032.31</v>
      </c>
      <c r="L1649" s="7">
        <v>1356.52</v>
      </c>
      <c r="M1649" s="3" t="s">
        <v>56</v>
      </c>
      <c r="N1649" s="3"/>
      <c r="O1649" s="3"/>
      <c r="P1649" s="3"/>
      <c r="Q1649" s="3"/>
    </row>
    <row r="1650" spans="1:17" ht="21" customHeight="1">
      <c r="A1650" s="3" t="s">
        <v>2331</v>
      </c>
      <c r="B1650" s="5">
        <v>45740</v>
      </c>
      <c r="C1650" s="3" t="s">
        <v>737</v>
      </c>
      <c r="D1650" s="3" t="s">
        <v>45</v>
      </c>
      <c r="E1650" s="3" t="s">
        <v>38</v>
      </c>
      <c r="F1650" s="3" t="s">
        <v>98</v>
      </c>
      <c r="G1650" s="3" t="s">
        <v>362</v>
      </c>
      <c r="H1650" s="3">
        <v>2</v>
      </c>
      <c r="I1650" s="7">
        <v>34024.720000000001</v>
      </c>
      <c r="J1650" s="9">
        <v>0.05</v>
      </c>
      <c r="K1650" s="7">
        <v>64646.97</v>
      </c>
      <c r="L1650" s="7">
        <v>8881.2800000000007</v>
      </c>
      <c r="M1650" s="3" t="s">
        <v>57</v>
      </c>
      <c r="N1650" s="3"/>
      <c r="O1650" s="3"/>
      <c r="P1650" s="3"/>
      <c r="Q1650" s="3"/>
    </row>
    <row r="1651" spans="1:17" ht="21" customHeight="1">
      <c r="A1651" s="3" t="s">
        <v>2332</v>
      </c>
      <c r="B1651" s="5">
        <v>45741</v>
      </c>
      <c r="C1651" s="3" t="s">
        <v>2333</v>
      </c>
      <c r="D1651" s="3" t="s">
        <v>45</v>
      </c>
      <c r="E1651" s="3" t="s">
        <v>39</v>
      </c>
      <c r="F1651" s="3" t="s">
        <v>109</v>
      </c>
      <c r="G1651" s="3" t="s">
        <v>355</v>
      </c>
      <c r="H1651" s="3">
        <v>1</v>
      </c>
      <c r="I1651" s="7">
        <v>3364.25</v>
      </c>
      <c r="J1651" s="9">
        <v>0.05</v>
      </c>
      <c r="K1651" s="7">
        <v>3196.04</v>
      </c>
      <c r="L1651" s="7">
        <v>1078.3</v>
      </c>
      <c r="M1651" s="3" t="s">
        <v>56</v>
      </c>
      <c r="N1651" s="3"/>
      <c r="O1651" s="3"/>
      <c r="P1651" s="3"/>
      <c r="Q1651" s="3"/>
    </row>
    <row r="1652" spans="1:17" ht="21" customHeight="1">
      <c r="A1652" s="3" t="s">
        <v>2334</v>
      </c>
      <c r="B1652" s="5">
        <v>45742</v>
      </c>
      <c r="C1652" s="3" t="s">
        <v>442</v>
      </c>
      <c r="D1652" s="3" t="s">
        <v>47</v>
      </c>
      <c r="E1652" s="3" t="s">
        <v>41</v>
      </c>
      <c r="F1652" s="3" t="s">
        <v>113</v>
      </c>
      <c r="G1652" s="3" t="s">
        <v>123</v>
      </c>
      <c r="H1652" s="3">
        <v>1</v>
      </c>
      <c r="I1652" s="7">
        <v>3499.8</v>
      </c>
      <c r="J1652" s="9">
        <v>0</v>
      </c>
      <c r="K1652" s="7">
        <v>3499.8</v>
      </c>
      <c r="L1652" s="7">
        <v>1355.17</v>
      </c>
      <c r="M1652" s="3" t="s">
        <v>59</v>
      </c>
      <c r="N1652" s="3"/>
      <c r="O1652" s="3"/>
      <c r="P1652" s="3"/>
      <c r="Q1652" s="3"/>
    </row>
    <row r="1653" spans="1:17" ht="21" customHeight="1">
      <c r="A1653" s="3" t="s">
        <v>2335</v>
      </c>
      <c r="B1653" s="5">
        <v>45742</v>
      </c>
      <c r="C1653" s="3" t="s">
        <v>181</v>
      </c>
      <c r="D1653" s="3" t="s">
        <v>44</v>
      </c>
      <c r="E1653" s="3" t="s">
        <v>40</v>
      </c>
      <c r="F1653" s="3" t="s">
        <v>102</v>
      </c>
      <c r="G1653" s="3" t="s">
        <v>103</v>
      </c>
      <c r="H1653" s="3">
        <v>1</v>
      </c>
      <c r="I1653" s="7">
        <v>6619.23</v>
      </c>
      <c r="J1653" s="9">
        <v>0.15</v>
      </c>
      <c r="K1653" s="7">
        <v>5626.35</v>
      </c>
      <c r="L1653" s="7">
        <v>794.97</v>
      </c>
      <c r="M1653" s="3" t="s">
        <v>56</v>
      </c>
      <c r="N1653" s="3"/>
      <c r="O1653" s="3"/>
      <c r="P1653" s="3"/>
      <c r="Q1653" s="3"/>
    </row>
    <row r="1654" spans="1:17" ht="21" customHeight="1">
      <c r="A1654" s="3" t="s">
        <v>2336</v>
      </c>
      <c r="B1654" s="5">
        <v>45742</v>
      </c>
      <c r="C1654" s="3" t="s">
        <v>649</v>
      </c>
      <c r="D1654" s="3" t="s">
        <v>45</v>
      </c>
      <c r="E1654" s="3" t="s">
        <v>40</v>
      </c>
      <c r="F1654" s="3" t="s">
        <v>221</v>
      </c>
      <c r="G1654" s="3" t="s">
        <v>222</v>
      </c>
      <c r="H1654" s="3">
        <v>1</v>
      </c>
      <c r="I1654" s="7">
        <v>965.53</v>
      </c>
      <c r="J1654" s="9">
        <v>0.05</v>
      </c>
      <c r="K1654" s="7">
        <v>917.25</v>
      </c>
      <c r="L1654" s="7">
        <v>267.33</v>
      </c>
      <c r="M1654" s="3" t="s">
        <v>60</v>
      </c>
      <c r="N1654" s="3"/>
      <c r="O1654" s="3"/>
      <c r="P1654" s="3"/>
      <c r="Q1654" s="3"/>
    </row>
    <row r="1655" spans="1:17" ht="21" customHeight="1">
      <c r="A1655" s="3" t="s">
        <v>2337</v>
      </c>
      <c r="B1655" s="5">
        <v>45742</v>
      </c>
      <c r="C1655" s="3" t="s">
        <v>206</v>
      </c>
      <c r="D1655" s="3" t="s">
        <v>45</v>
      </c>
      <c r="E1655" s="3" t="s">
        <v>41</v>
      </c>
      <c r="F1655" s="3" t="s">
        <v>119</v>
      </c>
      <c r="G1655" s="3" t="s">
        <v>168</v>
      </c>
      <c r="H1655" s="3">
        <v>3</v>
      </c>
      <c r="I1655" s="7">
        <v>10224.129999999999</v>
      </c>
      <c r="J1655" s="9">
        <v>0.2</v>
      </c>
      <c r="K1655" s="7">
        <v>24537.91</v>
      </c>
      <c r="L1655" s="7">
        <v>2777.51</v>
      </c>
      <c r="M1655" s="3" t="s">
        <v>59</v>
      </c>
      <c r="N1655" s="3"/>
      <c r="O1655" s="3"/>
      <c r="P1655" s="3"/>
      <c r="Q1655" s="3"/>
    </row>
    <row r="1656" spans="1:17" ht="21" customHeight="1">
      <c r="A1656" s="3" t="s">
        <v>2338</v>
      </c>
      <c r="B1656" s="5">
        <v>45742</v>
      </c>
      <c r="C1656" s="3" t="s">
        <v>881</v>
      </c>
      <c r="D1656" s="3" t="s">
        <v>44</v>
      </c>
      <c r="E1656" s="3" t="s">
        <v>39</v>
      </c>
      <c r="F1656" s="3" t="s">
        <v>164</v>
      </c>
      <c r="G1656" s="3" t="s">
        <v>165</v>
      </c>
      <c r="H1656" s="3">
        <v>1</v>
      </c>
      <c r="I1656" s="7">
        <v>1917.47</v>
      </c>
      <c r="J1656" s="9">
        <v>0.2</v>
      </c>
      <c r="K1656" s="7">
        <v>1533.98</v>
      </c>
      <c r="L1656" s="7">
        <v>351.37</v>
      </c>
      <c r="M1656" s="3" t="s">
        <v>57</v>
      </c>
      <c r="N1656" s="3"/>
      <c r="O1656" s="3"/>
      <c r="P1656" s="3"/>
      <c r="Q1656" s="3"/>
    </row>
    <row r="1657" spans="1:17" ht="21" customHeight="1">
      <c r="A1657" s="3" t="s">
        <v>2339</v>
      </c>
      <c r="B1657" s="5">
        <v>45742</v>
      </c>
      <c r="C1657" s="3" t="s">
        <v>846</v>
      </c>
      <c r="D1657" s="3" t="s">
        <v>44</v>
      </c>
      <c r="E1657" s="3" t="s">
        <v>42</v>
      </c>
      <c r="F1657" s="3" t="s">
        <v>90</v>
      </c>
      <c r="G1657" s="3" t="s">
        <v>106</v>
      </c>
      <c r="H1657" s="3">
        <v>4</v>
      </c>
      <c r="I1657" s="7">
        <v>930.28</v>
      </c>
      <c r="J1657" s="9">
        <v>0.1</v>
      </c>
      <c r="K1657" s="7">
        <v>3349.01</v>
      </c>
      <c r="L1657" s="7">
        <v>1478.86</v>
      </c>
      <c r="M1657" s="3" t="s">
        <v>57</v>
      </c>
      <c r="N1657" s="3"/>
      <c r="O1657" s="3"/>
      <c r="P1657" s="3"/>
      <c r="Q1657" s="3"/>
    </row>
    <row r="1658" spans="1:17" ht="21" customHeight="1">
      <c r="A1658" s="3" t="s">
        <v>2340</v>
      </c>
      <c r="B1658" s="5">
        <v>45742</v>
      </c>
      <c r="C1658" s="3" t="s">
        <v>561</v>
      </c>
      <c r="D1658" s="3" t="s">
        <v>47</v>
      </c>
      <c r="E1658" s="3" t="s">
        <v>41</v>
      </c>
      <c r="F1658" s="3" t="s">
        <v>113</v>
      </c>
      <c r="G1658" s="3" t="s">
        <v>114</v>
      </c>
      <c r="H1658" s="3">
        <v>2</v>
      </c>
      <c r="I1658" s="7">
        <v>12364.69</v>
      </c>
      <c r="J1658" s="9">
        <v>0.1</v>
      </c>
      <c r="K1658" s="7">
        <v>22256.44</v>
      </c>
      <c r="L1658" s="7">
        <v>5451</v>
      </c>
      <c r="M1658" s="3" t="s">
        <v>56</v>
      </c>
      <c r="N1658" s="3"/>
      <c r="O1658" s="3"/>
      <c r="P1658" s="3"/>
      <c r="Q1658" s="3"/>
    </row>
    <row r="1659" spans="1:17" ht="21" customHeight="1">
      <c r="A1659" s="3" t="s">
        <v>2341</v>
      </c>
      <c r="B1659" s="5">
        <v>45742</v>
      </c>
      <c r="C1659" s="3" t="s">
        <v>2087</v>
      </c>
      <c r="D1659" s="3" t="s">
        <v>45</v>
      </c>
      <c r="E1659" s="3" t="s">
        <v>40</v>
      </c>
      <c r="F1659" s="3" t="s">
        <v>160</v>
      </c>
      <c r="G1659" s="3" t="s">
        <v>173</v>
      </c>
      <c r="H1659" s="3">
        <v>1</v>
      </c>
      <c r="I1659" s="7">
        <v>9162.9500000000007</v>
      </c>
      <c r="J1659" s="9">
        <v>0</v>
      </c>
      <c r="K1659" s="7">
        <v>9162.9500000000007</v>
      </c>
      <c r="L1659" s="7">
        <v>3261.92</v>
      </c>
      <c r="M1659" s="3" t="s">
        <v>58</v>
      </c>
      <c r="N1659" s="3"/>
      <c r="O1659" s="3"/>
      <c r="P1659" s="3"/>
      <c r="Q1659" s="3"/>
    </row>
    <row r="1660" spans="1:17" ht="21" customHeight="1">
      <c r="A1660" s="3" t="s">
        <v>2342</v>
      </c>
      <c r="B1660" s="5">
        <v>45743</v>
      </c>
      <c r="C1660" s="3" t="s">
        <v>285</v>
      </c>
      <c r="D1660" s="3" t="s">
        <v>47</v>
      </c>
      <c r="E1660" s="3" t="s">
        <v>41</v>
      </c>
      <c r="F1660" s="3" t="s">
        <v>113</v>
      </c>
      <c r="G1660" s="3" t="s">
        <v>114</v>
      </c>
      <c r="H1660" s="3">
        <v>1</v>
      </c>
      <c r="I1660" s="7">
        <v>12557.67</v>
      </c>
      <c r="J1660" s="9">
        <v>0</v>
      </c>
      <c r="K1660" s="7">
        <v>12557.67</v>
      </c>
      <c r="L1660" s="7">
        <v>5057.6000000000004</v>
      </c>
      <c r="M1660" s="3" t="s">
        <v>56</v>
      </c>
      <c r="N1660" s="3"/>
      <c r="O1660" s="3"/>
      <c r="P1660" s="3"/>
      <c r="Q1660" s="3"/>
    </row>
    <row r="1661" spans="1:17" ht="21" customHeight="1">
      <c r="A1661" s="3" t="s">
        <v>2343</v>
      </c>
      <c r="B1661" s="5">
        <v>45743</v>
      </c>
      <c r="C1661" s="3" t="s">
        <v>676</v>
      </c>
      <c r="D1661" s="3" t="s">
        <v>45</v>
      </c>
      <c r="E1661" s="3" t="s">
        <v>42</v>
      </c>
      <c r="F1661" s="3" t="s">
        <v>126</v>
      </c>
      <c r="G1661" s="3" t="s">
        <v>127</v>
      </c>
      <c r="H1661" s="3">
        <v>2</v>
      </c>
      <c r="I1661" s="7">
        <v>1003.31</v>
      </c>
      <c r="J1661" s="9">
        <v>0</v>
      </c>
      <c r="K1661" s="7">
        <v>2006.62</v>
      </c>
      <c r="L1661" s="7">
        <v>1182.44</v>
      </c>
      <c r="M1661" s="3" t="s">
        <v>58</v>
      </c>
      <c r="N1661" s="3"/>
      <c r="O1661" s="3"/>
      <c r="P1661" s="3"/>
      <c r="Q1661" s="3"/>
    </row>
    <row r="1662" spans="1:17" ht="21" customHeight="1">
      <c r="A1662" s="3" t="s">
        <v>2344</v>
      </c>
      <c r="B1662" s="5">
        <v>45743</v>
      </c>
      <c r="C1662" s="3" t="s">
        <v>923</v>
      </c>
      <c r="D1662" s="3" t="s">
        <v>46</v>
      </c>
      <c r="E1662" s="3" t="s">
        <v>42</v>
      </c>
      <c r="F1662" s="3" t="s">
        <v>126</v>
      </c>
      <c r="G1662" s="3" t="s">
        <v>127</v>
      </c>
      <c r="H1662" s="3">
        <v>3</v>
      </c>
      <c r="I1662" s="7">
        <v>984.45</v>
      </c>
      <c r="J1662" s="9">
        <v>0</v>
      </c>
      <c r="K1662" s="7">
        <v>2953.35</v>
      </c>
      <c r="L1662" s="7">
        <v>1531.38</v>
      </c>
      <c r="M1662" s="3" t="s">
        <v>58</v>
      </c>
      <c r="N1662" s="3"/>
      <c r="O1662" s="3"/>
      <c r="P1662" s="3"/>
      <c r="Q1662" s="3"/>
    </row>
    <row r="1663" spans="1:17" ht="21" customHeight="1">
      <c r="A1663" s="3" t="s">
        <v>2345</v>
      </c>
      <c r="B1663" s="5">
        <v>45744</v>
      </c>
      <c r="C1663" s="3" t="s">
        <v>1058</v>
      </c>
      <c r="D1663" s="3" t="s">
        <v>46</v>
      </c>
      <c r="E1663" s="3" t="s">
        <v>42</v>
      </c>
      <c r="F1663" s="3" t="s">
        <v>126</v>
      </c>
      <c r="G1663" s="3" t="s">
        <v>151</v>
      </c>
      <c r="H1663" s="3">
        <v>1</v>
      </c>
      <c r="I1663" s="7">
        <v>1565.56</v>
      </c>
      <c r="J1663" s="9">
        <v>0</v>
      </c>
      <c r="K1663" s="7">
        <v>1565.56</v>
      </c>
      <c r="L1663" s="7">
        <v>921.26</v>
      </c>
      <c r="M1663" s="3" t="s">
        <v>56</v>
      </c>
      <c r="N1663" s="3"/>
      <c r="O1663" s="3"/>
      <c r="P1663" s="3"/>
      <c r="Q1663" s="3"/>
    </row>
    <row r="1664" spans="1:17" ht="21" customHeight="1">
      <c r="A1664" s="3" t="s">
        <v>2346</v>
      </c>
      <c r="B1664" s="5">
        <v>45744</v>
      </c>
      <c r="C1664" s="3" t="s">
        <v>1107</v>
      </c>
      <c r="D1664" s="3" t="s">
        <v>45</v>
      </c>
      <c r="E1664" s="3" t="s">
        <v>39</v>
      </c>
      <c r="F1664" s="3" t="s">
        <v>109</v>
      </c>
      <c r="G1664" s="3" t="s">
        <v>355</v>
      </c>
      <c r="H1664" s="3">
        <v>1</v>
      </c>
      <c r="I1664" s="7">
        <v>3443.82</v>
      </c>
      <c r="J1664" s="9">
        <v>0.2</v>
      </c>
      <c r="K1664" s="7">
        <v>2755.06</v>
      </c>
      <c r="L1664" s="7">
        <v>417.82</v>
      </c>
      <c r="M1664" s="3" t="s">
        <v>56</v>
      </c>
      <c r="N1664" s="3"/>
      <c r="O1664" s="3"/>
      <c r="P1664" s="3"/>
      <c r="Q1664" s="3"/>
    </row>
    <row r="1665" spans="1:17" ht="21" customHeight="1">
      <c r="A1665" s="3" t="s">
        <v>2347</v>
      </c>
      <c r="B1665" s="5">
        <v>45744</v>
      </c>
      <c r="C1665" s="3" t="s">
        <v>1156</v>
      </c>
      <c r="D1665" s="3" t="s">
        <v>46</v>
      </c>
      <c r="E1665" s="3" t="s">
        <v>41</v>
      </c>
      <c r="F1665" s="3" t="s">
        <v>119</v>
      </c>
      <c r="G1665" s="3" t="s">
        <v>120</v>
      </c>
      <c r="H1665" s="3">
        <v>1</v>
      </c>
      <c r="I1665" s="7">
        <v>1321.75</v>
      </c>
      <c r="J1665" s="9">
        <v>0</v>
      </c>
      <c r="K1665" s="7">
        <v>1321.75</v>
      </c>
      <c r="L1665" s="7">
        <v>490.72</v>
      </c>
      <c r="M1665" s="3" t="s">
        <v>57</v>
      </c>
      <c r="N1665" s="3"/>
      <c r="O1665" s="3"/>
      <c r="P1665" s="3"/>
      <c r="Q1665" s="3"/>
    </row>
    <row r="1666" spans="1:17" ht="21" customHeight="1">
      <c r="A1666" s="3" t="s">
        <v>2348</v>
      </c>
      <c r="B1666" s="5">
        <v>45745</v>
      </c>
      <c r="C1666" s="3" t="s">
        <v>373</v>
      </c>
      <c r="D1666" s="3" t="s">
        <v>45</v>
      </c>
      <c r="E1666" s="3" t="s">
        <v>39</v>
      </c>
      <c r="F1666" s="3" t="s">
        <v>164</v>
      </c>
      <c r="G1666" s="3" t="s">
        <v>200</v>
      </c>
      <c r="H1666" s="3">
        <v>1</v>
      </c>
      <c r="I1666" s="7">
        <v>1303.04</v>
      </c>
      <c r="J1666" s="9">
        <v>0.05</v>
      </c>
      <c r="K1666" s="7">
        <v>1237.8900000000001</v>
      </c>
      <c r="L1666" s="7">
        <v>454.57</v>
      </c>
      <c r="M1666" s="3" t="s">
        <v>58</v>
      </c>
      <c r="N1666" s="3"/>
      <c r="O1666" s="3"/>
      <c r="P1666" s="3"/>
      <c r="Q1666" s="3"/>
    </row>
    <row r="1667" spans="1:17" ht="21" customHeight="1">
      <c r="A1667" s="3" t="s">
        <v>2349</v>
      </c>
      <c r="B1667" s="5">
        <v>45745</v>
      </c>
      <c r="C1667" s="3" t="s">
        <v>361</v>
      </c>
      <c r="D1667" s="3" t="s">
        <v>47</v>
      </c>
      <c r="E1667" s="3" t="s">
        <v>41</v>
      </c>
      <c r="F1667" s="3" t="s">
        <v>113</v>
      </c>
      <c r="G1667" s="3" t="s">
        <v>123</v>
      </c>
      <c r="H1667" s="3">
        <v>1</v>
      </c>
      <c r="I1667" s="7">
        <v>3471.61</v>
      </c>
      <c r="J1667" s="9">
        <v>0.15</v>
      </c>
      <c r="K1667" s="7">
        <v>2950.87</v>
      </c>
      <c r="L1667" s="7">
        <v>548.14</v>
      </c>
      <c r="M1667" s="3" t="s">
        <v>56</v>
      </c>
      <c r="N1667" s="3"/>
      <c r="O1667" s="3"/>
      <c r="P1667" s="3"/>
      <c r="Q1667" s="3"/>
    </row>
    <row r="1668" spans="1:17" ht="21" customHeight="1">
      <c r="A1668" s="3" t="s">
        <v>2350</v>
      </c>
      <c r="B1668" s="5">
        <v>45745</v>
      </c>
      <c r="C1668" s="3" t="s">
        <v>709</v>
      </c>
      <c r="D1668" s="3" t="s">
        <v>45</v>
      </c>
      <c r="E1668" s="3" t="s">
        <v>38</v>
      </c>
      <c r="F1668" s="3" t="s">
        <v>94</v>
      </c>
      <c r="G1668" s="3" t="s">
        <v>95</v>
      </c>
      <c r="H1668" s="3">
        <v>1</v>
      </c>
      <c r="I1668" s="7">
        <v>81293.94</v>
      </c>
      <c r="J1668" s="9">
        <v>0</v>
      </c>
      <c r="K1668" s="7">
        <v>81293.94</v>
      </c>
      <c r="L1668" s="7">
        <v>13402.07</v>
      </c>
      <c r="M1668" s="3" t="s">
        <v>56</v>
      </c>
      <c r="N1668" s="3"/>
      <c r="O1668" s="3"/>
      <c r="P1668" s="3"/>
      <c r="Q1668" s="3"/>
    </row>
    <row r="1669" spans="1:17" ht="21" customHeight="1">
      <c r="A1669" s="3" t="s">
        <v>2351</v>
      </c>
      <c r="B1669" s="5">
        <v>45745</v>
      </c>
      <c r="C1669" s="3" t="s">
        <v>329</v>
      </c>
      <c r="D1669" s="3" t="s">
        <v>46</v>
      </c>
      <c r="E1669" s="3" t="s">
        <v>38</v>
      </c>
      <c r="F1669" s="3" t="s">
        <v>142</v>
      </c>
      <c r="G1669" s="3" t="s">
        <v>143</v>
      </c>
      <c r="H1669" s="3">
        <v>1</v>
      </c>
      <c r="I1669" s="7">
        <v>9053.92</v>
      </c>
      <c r="J1669" s="9">
        <v>0.1</v>
      </c>
      <c r="K1669" s="7">
        <v>8148.53</v>
      </c>
      <c r="L1669" s="7">
        <v>702.4</v>
      </c>
      <c r="M1669" s="3" t="s">
        <v>57</v>
      </c>
      <c r="N1669" s="3"/>
      <c r="O1669" s="3"/>
      <c r="P1669" s="3"/>
      <c r="Q1669" s="3"/>
    </row>
    <row r="1670" spans="1:17" ht="21" customHeight="1">
      <c r="A1670" s="3" t="s">
        <v>2352</v>
      </c>
      <c r="B1670" s="5">
        <v>45745</v>
      </c>
      <c r="C1670" s="3" t="s">
        <v>1376</v>
      </c>
      <c r="D1670" s="3" t="s">
        <v>46</v>
      </c>
      <c r="E1670" s="3" t="s">
        <v>40</v>
      </c>
      <c r="F1670" s="3" t="s">
        <v>221</v>
      </c>
      <c r="G1670" s="3" t="s">
        <v>222</v>
      </c>
      <c r="H1670" s="3">
        <v>1</v>
      </c>
      <c r="I1670" s="7">
        <v>967.6</v>
      </c>
      <c r="J1670" s="9">
        <v>0</v>
      </c>
      <c r="K1670" s="7">
        <v>967.6</v>
      </c>
      <c r="L1670" s="7">
        <v>311.55</v>
      </c>
      <c r="M1670" s="3" t="s">
        <v>56</v>
      </c>
      <c r="N1670" s="3"/>
      <c r="O1670" s="3"/>
      <c r="P1670" s="3"/>
      <c r="Q1670" s="3"/>
    </row>
    <row r="1671" spans="1:17" ht="21" customHeight="1">
      <c r="A1671" s="3" t="s">
        <v>2353</v>
      </c>
      <c r="B1671" s="5">
        <v>45746</v>
      </c>
      <c r="C1671" s="3" t="s">
        <v>1006</v>
      </c>
      <c r="D1671" s="3" t="s">
        <v>46</v>
      </c>
      <c r="E1671" s="3" t="s">
        <v>42</v>
      </c>
      <c r="F1671" s="3" t="s">
        <v>90</v>
      </c>
      <c r="G1671" s="3" t="s">
        <v>106</v>
      </c>
      <c r="H1671" s="3">
        <v>2</v>
      </c>
      <c r="I1671" s="7">
        <v>913.29</v>
      </c>
      <c r="J1671" s="9">
        <v>0.25</v>
      </c>
      <c r="K1671" s="7">
        <v>1369.93</v>
      </c>
      <c r="L1671" s="7">
        <v>337.87</v>
      </c>
      <c r="M1671" s="3" t="s">
        <v>56</v>
      </c>
      <c r="N1671" s="3"/>
      <c r="O1671" s="3"/>
      <c r="P1671" s="3"/>
      <c r="Q1671" s="3"/>
    </row>
    <row r="1672" spans="1:17" ht="21" customHeight="1">
      <c r="A1672" s="3" t="s">
        <v>2354</v>
      </c>
      <c r="B1672" s="5">
        <v>45746</v>
      </c>
      <c r="C1672" s="3" t="s">
        <v>785</v>
      </c>
      <c r="D1672" s="3" t="s">
        <v>45</v>
      </c>
      <c r="E1672" s="3" t="s">
        <v>39</v>
      </c>
      <c r="F1672" s="3" t="s">
        <v>130</v>
      </c>
      <c r="G1672" s="3" t="s">
        <v>131</v>
      </c>
      <c r="H1672" s="3">
        <v>3</v>
      </c>
      <c r="I1672" s="7">
        <v>2204.52</v>
      </c>
      <c r="J1672" s="9">
        <v>0.05</v>
      </c>
      <c r="K1672" s="7">
        <v>6282.88</v>
      </c>
      <c r="L1672" s="7">
        <v>2114.1999999999998</v>
      </c>
      <c r="M1672" s="3" t="s">
        <v>56</v>
      </c>
      <c r="N1672" s="3"/>
      <c r="O1672" s="3"/>
      <c r="P1672" s="3"/>
      <c r="Q1672" s="3"/>
    </row>
    <row r="1673" spans="1:17" ht="21" customHeight="1">
      <c r="A1673" s="3" t="s">
        <v>2355</v>
      </c>
      <c r="B1673" s="5">
        <v>45746</v>
      </c>
      <c r="C1673" s="3" t="s">
        <v>359</v>
      </c>
      <c r="D1673" s="3" t="s">
        <v>44</v>
      </c>
      <c r="E1673" s="3" t="s">
        <v>42</v>
      </c>
      <c r="F1673" s="3" t="s">
        <v>90</v>
      </c>
      <c r="G1673" s="3" t="s">
        <v>106</v>
      </c>
      <c r="H1673" s="3">
        <v>2</v>
      </c>
      <c r="I1673" s="7">
        <v>940.57</v>
      </c>
      <c r="J1673" s="9">
        <v>0.1</v>
      </c>
      <c r="K1673" s="7">
        <v>1693.03</v>
      </c>
      <c r="L1673" s="7">
        <v>705.99</v>
      </c>
      <c r="M1673" s="3" t="s">
        <v>58</v>
      </c>
      <c r="N1673" s="3"/>
      <c r="O1673" s="3"/>
      <c r="P1673" s="3"/>
      <c r="Q1673" s="3"/>
    </row>
    <row r="1674" spans="1:17" ht="21" customHeight="1">
      <c r="A1674" s="3" t="s">
        <v>2356</v>
      </c>
      <c r="B1674" s="5">
        <v>45746</v>
      </c>
      <c r="C1674" s="3" t="s">
        <v>1174</v>
      </c>
      <c r="D1674" s="3" t="s">
        <v>45</v>
      </c>
      <c r="E1674" s="3" t="s">
        <v>40</v>
      </c>
      <c r="F1674" s="3" t="s">
        <v>160</v>
      </c>
      <c r="G1674" s="3" t="s">
        <v>173</v>
      </c>
      <c r="H1674" s="3">
        <v>1</v>
      </c>
      <c r="I1674" s="7">
        <v>8569.42</v>
      </c>
      <c r="J1674" s="9">
        <v>0.15</v>
      </c>
      <c r="K1674" s="7">
        <v>7284.01</v>
      </c>
      <c r="L1674" s="7">
        <v>1393.5</v>
      </c>
      <c r="M1674" s="3" t="s">
        <v>57</v>
      </c>
      <c r="N1674" s="3"/>
      <c r="O1674" s="3"/>
      <c r="P1674" s="3"/>
      <c r="Q1674" s="3"/>
    </row>
    <row r="1675" spans="1:17" ht="21" customHeight="1">
      <c r="A1675" s="3" t="s">
        <v>2357</v>
      </c>
      <c r="B1675" s="5">
        <v>45746</v>
      </c>
      <c r="C1675" s="3" t="s">
        <v>676</v>
      </c>
      <c r="D1675" s="3" t="s">
        <v>44</v>
      </c>
      <c r="E1675" s="3" t="s">
        <v>42</v>
      </c>
      <c r="F1675" s="3" t="s">
        <v>126</v>
      </c>
      <c r="G1675" s="3" t="s">
        <v>127</v>
      </c>
      <c r="H1675" s="3">
        <v>1</v>
      </c>
      <c r="I1675" s="7">
        <v>990.2</v>
      </c>
      <c r="J1675" s="9">
        <v>0</v>
      </c>
      <c r="K1675" s="7">
        <v>990.2</v>
      </c>
      <c r="L1675" s="7">
        <v>574.89</v>
      </c>
      <c r="M1675" s="3" t="s">
        <v>59</v>
      </c>
      <c r="N1675" s="3"/>
      <c r="O1675" s="3"/>
      <c r="P1675" s="3"/>
      <c r="Q1675" s="3"/>
    </row>
    <row r="1676" spans="1:17" ht="21" customHeight="1">
      <c r="A1676" s="3" t="s">
        <v>2358</v>
      </c>
      <c r="B1676" s="5">
        <v>45746</v>
      </c>
      <c r="C1676" s="3" t="s">
        <v>281</v>
      </c>
      <c r="D1676" s="3" t="s">
        <v>44</v>
      </c>
      <c r="E1676" s="3" t="s">
        <v>38</v>
      </c>
      <c r="F1676" s="3" t="s">
        <v>94</v>
      </c>
      <c r="G1676" s="3" t="s">
        <v>213</v>
      </c>
      <c r="H1676" s="3">
        <v>2</v>
      </c>
      <c r="I1676" s="7">
        <v>56316.75</v>
      </c>
      <c r="J1676" s="9">
        <v>0</v>
      </c>
      <c r="K1676" s="7">
        <v>112633.5</v>
      </c>
      <c r="L1676" s="7">
        <v>16213.54</v>
      </c>
      <c r="M1676" s="3" t="s">
        <v>56</v>
      </c>
      <c r="N1676" s="3"/>
      <c r="O1676" s="3"/>
      <c r="P1676" s="3"/>
      <c r="Q1676" s="3"/>
    </row>
    <row r="1677" spans="1:17" ht="21" customHeight="1">
      <c r="A1677" s="3" t="s">
        <v>2359</v>
      </c>
      <c r="B1677" s="5">
        <v>45747</v>
      </c>
      <c r="C1677" s="3" t="s">
        <v>287</v>
      </c>
      <c r="D1677" s="3" t="s">
        <v>44</v>
      </c>
      <c r="E1677" s="3" t="s">
        <v>39</v>
      </c>
      <c r="F1677" s="3" t="s">
        <v>109</v>
      </c>
      <c r="G1677" s="3" t="s">
        <v>355</v>
      </c>
      <c r="H1677" s="3">
        <v>1</v>
      </c>
      <c r="I1677" s="7">
        <v>3595.98</v>
      </c>
      <c r="J1677" s="9">
        <v>0.05</v>
      </c>
      <c r="K1677" s="7">
        <v>3416.18</v>
      </c>
      <c r="L1677" s="7">
        <v>1335.29</v>
      </c>
      <c r="M1677" s="3" t="s">
        <v>56</v>
      </c>
      <c r="N1677" s="3"/>
      <c r="O1677" s="3"/>
      <c r="P1677" s="3"/>
      <c r="Q1677" s="3"/>
    </row>
    <row r="1678" spans="1:17" ht="21" customHeight="1">
      <c r="A1678" s="3" t="s">
        <v>2360</v>
      </c>
      <c r="B1678" s="5">
        <v>45747</v>
      </c>
      <c r="C1678" s="3" t="s">
        <v>387</v>
      </c>
      <c r="D1678" s="3" t="s">
        <v>46</v>
      </c>
      <c r="E1678" s="3" t="s">
        <v>42</v>
      </c>
      <c r="F1678" s="3" t="s">
        <v>90</v>
      </c>
      <c r="G1678" s="3" t="s">
        <v>91</v>
      </c>
      <c r="H1678" s="3">
        <v>4</v>
      </c>
      <c r="I1678" s="7">
        <v>1140.4100000000001</v>
      </c>
      <c r="J1678" s="9">
        <v>0.05</v>
      </c>
      <c r="K1678" s="7">
        <v>4333.5600000000004</v>
      </c>
      <c r="L1678" s="7">
        <v>2245.59</v>
      </c>
      <c r="M1678" s="3" t="s">
        <v>57</v>
      </c>
      <c r="N1678" s="3"/>
      <c r="O1678" s="3"/>
      <c r="P1678" s="3"/>
      <c r="Q1678" s="3"/>
    </row>
    <row r="1679" spans="1:17" ht="21" customHeight="1">
      <c r="A1679" s="3" t="s">
        <v>2361</v>
      </c>
      <c r="B1679" s="5">
        <v>45747</v>
      </c>
      <c r="C1679" s="3" t="s">
        <v>795</v>
      </c>
      <c r="D1679" s="3" t="s">
        <v>44</v>
      </c>
      <c r="E1679" s="3" t="s">
        <v>38</v>
      </c>
      <c r="F1679" s="3" t="s">
        <v>142</v>
      </c>
      <c r="G1679" s="3" t="s">
        <v>245</v>
      </c>
      <c r="H1679" s="3">
        <v>1</v>
      </c>
      <c r="I1679" s="7">
        <v>4806.74</v>
      </c>
      <c r="J1679" s="9">
        <v>0.1</v>
      </c>
      <c r="K1679" s="7">
        <v>4326.07</v>
      </c>
      <c r="L1679" s="7">
        <v>158.65</v>
      </c>
      <c r="M1679" s="3" t="s">
        <v>57</v>
      </c>
      <c r="N1679" s="3"/>
      <c r="O1679" s="3"/>
      <c r="P1679" s="3"/>
      <c r="Q1679" s="3"/>
    </row>
    <row r="1680" spans="1:17" ht="21" customHeight="1">
      <c r="A1680" s="3" t="s">
        <v>2362</v>
      </c>
      <c r="B1680" s="5">
        <v>45748</v>
      </c>
      <c r="C1680" s="3" t="s">
        <v>896</v>
      </c>
      <c r="D1680" s="3" t="s">
        <v>45</v>
      </c>
      <c r="E1680" s="3" t="s">
        <v>40</v>
      </c>
      <c r="F1680" s="3" t="s">
        <v>102</v>
      </c>
      <c r="G1680" s="3" t="s">
        <v>103</v>
      </c>
      <c r="H1680" s="3">
        <v>1</v>
      </c>
      <c r="I1680" s="7">
        <v>6652.17</v>
      </c>
      <c r="J1680" s="9">
        <v>0</v>
      </c>
      <c r="K1680" s="7">
        <v>6652.17</v>
      </c>
      <c r="L1680" s="7">
        <v>2194.71</v>
      </c>
      <c r="M1680" s="3" t="s">
        <v>57</v>
      </c>
      <c r="N1680" s="3"/>
      <c r="O1680" s="3"/>
      <c r="P1680" s="3"/>
      <c r="Q1680" s="3"/>
    </row>
    <row r="1681" spans="1:17" ht="21" customHeight="1">
      <c r="A1681" s="3" t="s">
        <v>2363</v>
      </c>
      <c r="B1681" s="5">
        <v>45748</v>
      </c>
      <c r="C1681" s="3" t="s">
        <v>461</v>
      </c>
      <c r="D1681" s="3" t="s">
        <v>47</v>
      </c>
      <c r="E1681" s="3" t="s">
        <v>40</v>
      </c>
      <c r="F1681" s="3" t="s">
        <v>102</v>
      </c>
      <c r="G1681" s="3" t="s">
        <v>103</v>
      </c>
      <c r="H1681" s="3">
        <v>4</v>
      </c>
      <c r="I1681" s="7">
        <v>6355.88</v>
      </c>
      <c r="J1681" s="9">
        <v>0</v>
      </c>
      <c r="K1681" s="7">
        <v>25423.52</v>
      </c>
      <c r="L1681" s="7">
        <v>8446.2900000000009</v>
      </c>
      <c r="M1681" s="3" t="s">
        <v>58</v>
      </c>
      <c r="N1681" s="3"/>
      <c r="O1681" s="3"/>
      <c r="P1681" s="3"/>
      <c r="Q1681" s="3"/>
    </row>
    <row r="1682" spans="1:17" ht="21" customHeight="1">
      <c r="A1682" s="3" t="s">
        <v>2364</v>
      </c>
      <c r="B1682" s="5">
        <v>45748</v>
      </c>
      <c r="C1682" s="3" t="s">
        <v>1466</v>
      </c>
      <c r="D1682" s="3" t="s">
        <v>47</v>
      </c>
      <c r="E1682" s="3" t="s">
        <v>40</v>
      </c>
      <c r="F1682" s="3" t="s">
        <v>221</v>
      </c>
      <c r="G1682" s="3" t="s">
        <v>279</v>
      </c>
      <c r="H1682" s="3">
        <v>2</v>
      </c>
      <c r="I1682" s="7">
        <v>1470.76</v>
      </c>
      <c r="J1682" s="9">
        <v>0.15</v>
      </c>
      <c r="K1682" s="7">
        <v>2500.29</v>
      </c>
      <c r="L1682" s="7">
        <v>452.62</v>
      </c>
      <c r="M1682" s="3" t="s">
        <v>57</v>
      </c>
      <c r="N1682" s="3"/>
      <c r="O1682" s="3"/>
      <c r="P1682" s="3"/>
      <c r="Q1682" s="3"/>
    </row>
    <row r="1683" spans="1:17" ht="21" customHeight="1">
      <c r="A1683" s="3" t="s">
        <v>2365</v>
      </c>
      <c r="B1683" s="5">
        <v>45749</v>
      </c>
      <c r="C1683" s="3" t="s">
        <v>324</v>
      </c>
      <c r="D1683" s="3" t="s">
        <v>45</v>
      </c>
      <c r="E1683" s="3" t="s">
        <v>40</v>
      </c>
      <c r="F1683" s="3" t="s">
        <v>160</v>
      </c>
      <c r="G1683" s="3" t="s">
        <v>173</v>
      </c>
      <c r="H1683" s="3">
        <v>1</v>
      </c>
      <c r="I1683" s="7">
        <v>8614.66</v>
      </c>
      <c r="J1683" s="9">
        <v>0</v>
      </c>
      <c r="K1683" s="7">
        <v>8614.66</v>
      </c>
      <c r="L1683" s="7">
        <v>2911.73</v>
      </c>
      <c r="M1683" s="3" t="s">
        <v>56</v>
      </c>
      <c r="N1683" s="3"/>
      <c r="O1683" s="3"/>
      <c r="P1683" s="3"/>
      <c r="Q1683" s="3"/>
    </row>
    <row r="1684" spans="1:17" ht="21" customHeight="1">
      <c r="A1684" s="3" t="s">
        <v>2366</v>
      </c>
      <c r="B1684" s="5">
        <v>45749</v>
      </c>
      <c r="C1684" s="3" t="s">
        <v>647</v>
      </c>
      <c r="D1684" s="3" t="s">
        <v>47</v>
      </c>
      <c r="E1684" s="3" t="s">
        <v>40</v>
      </c>
      <c r="F1684" s="3" t="s">
        <v>102</v>
      </c>
      <c r="G1684" s="3" t="s">
        <v>103</v>
      </c>
      <c r="H1684" s="3">
        <v>4</v>
      </c>
      <c r="I1684" s="7">
        <v>6543.42</v>
      </c>
      <c r="J1684" s="9">
        <v>0.25</v>
      </c>
      <c r="K1684" s="7">
        <v>19630.259999999998</v>
      </c>
      <c r="L1684" s="7">
        <v>1402.58</v>
      </c>
      <c r="M1684" s="3" t="s">
        <v>56</v>
      </c>
      <c r="N1684" s="3"/>
      <c r="O1684" s="3"/>
      <c r="P1684" s="3"/>
      <c r="Q1684" s="3"/>
    </row>
    <row r="1685" spans="1:17" ht="21" customHeight="1">
      <c r="A1685" s="3" t="s">
        <v>2367</v>
      </c>
      <c r="B1685" s="5">
        <v>45750</v>
      </c>
      <c r="C1685" s="3" t="s">
        <v>264</v>
      </c>
      <c r="D1685" s="3" t="s">
        <v>44</v>
      </c>
      <c r="E1685" s="3" t="s">
        <v>40</v>
      </c>
      <c r="F1685" s="3" t="s">
        <v>102</v>
      </c>
      <c r="G1685" s="3" t="s">
        <v>103</v>
      </c>
      <c r="H1685" s="3">
        <v>1</v>
      </c>
      <c r="I1685" s="7">
        <v>6301.96</v>
      </c>
      <c r="J1685" s="9">
        <v>0</v>
      </c>
      <c r="K1685" s="7">
        <v>6301.96</v>
      </c>
      <c r="L1685" s="7">
        <v>2271.25</v>
      </c>
      <c r="M1685" s="3" t="s">
        <v>60</v>
      </c>
      <c r="N1685" s="3"/>
      <c r="O1685" s="3"/>
      <c r="P1685" s="3"/>
      <c r="Q1685" s="3"/>
    </row>
    <row r="1686" spans="1:17" ht="21" customHeight="1">
      <c r="A1686" s="3" t="s">
        <v>2368</v>
      </c>
      <c r="B1686" s="5">
        <v>45750</v>
      </c>
      <c r="C1686" s="3" t="s">
        <v>531</v>
      </c>
      <c r="D1686" s="3" t="s">
        <v>47</v>
      </c>
      <c r="E1686" s="3" t="s">
        <v>38</v>
      </c>
      <c r="F1686" s="3" t="s">
        <v>98</v>
      </c>
      <c r="G1686" s="3" t="s">
        <v>182</v>
      </c>
      <c r="H1686" s="3">
        <v>3</v>
      </c>
      <c r="I1686" s="7">
        <v>69497.899999999994</v>
      </c>
      <c r="J1686" s="9">
        <v>0.15</v>
      </c>
      <c r="K1686" s="7">
        <v>177219.64</v>
      </c>
      <c r="L1686" s="7">
        <v>5921.58</v>
      </c>
      <c r="M1686" s="3" t="s">
        <v>58</v>
      </c>
      <c r="N1686" s="3"/>
      <c r="O1686" s="3"/>
      <c r="P1686" s="3"/>
      <c r="Q1686" s="3"/>
    </row>
    <row r="1687" spans="1:17" ht="21" customHeight="1">
      <c r="A1687" s="3" t="s">
        <v>2369</v>
      </c>
      <c r="B1687" s="5">
        <v>45750</v>
      </c>
      <c r="C1687" s="3" t="s">
        <v>1381</v>
      </c>
      <c r="D1687" s="3" t="s">
        <v>45</v>
      </c>
      <c r="E1687" s="3" t="s">
        <v>38</v>
      </c>
      <c r="F1687" s="3" t="s">
        <v>94</v>
      </c>
      <c r="G1687" s="3" t="s">
        <v>213</v>
      </c>
      <c r="H1687" s="3">
        <v>2</v>
      </c>
      <c r="I1687" s="7">
        <v>52295.07</v>
      </c>
      <c r="J1687" s="9">
        <v>0.15</v>
      </c>
      <c r="K1687" s="7">
        <v>88901.62</v>
      </c>
      <c r="L1687" s="7">
        <v>1469.53</v>
      </c>
      <c r="M1687" s="3" t="s">
        <v>56</v>
      </c>
      <c r="N1687" s="3"/>
      <c r="O1687" s="3"/>
      <c r="P1687" s="3"/>
      <c r="Q1687" s="3"/>
    </row>
    <row r="1688" spans="1:17" ht="21" customHeight="1">
      <c r="A1688" s="3" t="s">
        <v>2370</v>
      </c>
      <c r="B1688" s="5">
        <v>45751</v>
      </c>
      <c r="C1688" s="3" t="s">
        <v>1376</v>
      </c>
      <c r="D1688" s="3" t="s">
        <v>46</v>
      </c>
      <c r="E1688" s="3" t="s">
        <v>41</v>
      </c>
      <c r="F1688" s="3" t="s">
        <v>119</v>
      </c>
      <c r="G1688" s="3" t="s">
        <v>120</v>
      </c>
      <c r="H1688" s="3">
        <v>3</v>
      </c>
      <c r="I1688" s="7">
        <v>1299.97</v>
      </c>
      <c r="J1688" s="9">
        <v>0</v>
      </c>
      <c r="K1688" s="7">
        <v>3899.91</v>
      </c>
      <c r="L1688" s="7">
        <v>1364.6</v>
      </c>
      <c r="M1688" s="3" t="s">
        <v>60</v>
      </c>
      <c r="N1688" s="3"/>
      <c r="O1688" s="3"/>
      <c r="P1688" s="3"/>
      <c r="Q1688" s="3"/>
    </row>
    <row r="1689" spans="1:17" ht="21" customHeight="1">
      <c r="A1689" s="3" t="s">
        <v>2371</v>
      </c>
      <c r="B1689" s="5">
        <v>45751</v>
      </c>
      <c r="C1689" s="3" t="s">
        <v>693</v>
      </c>
      <c r="D1689" s="3" t="s">
        <v>45</v>
      </c>
      <c r="E1689" s="3" t="s">
        <v>40</v>
      </c>
      <c r="F1689" s="3" t="s">
        <v>221</v>
      </c>
      <c r="G1689" s="3" t="s">
        <v>279</v>
      </c>
      <c r="H1689" s="3">
        <v>1</v>
      </c>
      <c r="I1689" s="7">
        <v>1497.87</v>
      </c>
      <c r="J1689" s="9">
        <v>0.15</v>
      </c>
      <c r="K1689" s="7">
        <v>1273.19</v>
      </c>
      <c r="L1689" s="7">
        <v>205.12</v>
      </c>
      <c r="M1689" s="3" t="s">
        <v>57</v>
      </c>
      <c r="N1689" s="3"/>
      <c r="O1689" s="3"/>
      <c r="P1689" s="3"/>
      <c r="Q1689" s="3"/>
    </row>
    <row r="1690" spans="1:17" ht="21" customHeight="1">
      <c r="A1690" s="3" t="s">
        <v>2372</v>
      </c>
      <c r="B1690" s="5">
        <v>45751</v>
      </c>
      <c r="C1690" s="3" t="s">
        <v>2145</v>
      </c>
      <c r="D1690" s="3" t="s">
        <v>46</v>
      </c>
      <c r="E1690" s="3" t="s">
        <v>38</v>
      </c>
      <c r="F1690" s="3" t="s">
        <v>98</v>
      </c>
      <c r="G1690" s="3" t="s">
        <v>182</v>
      </c>
      <c r="H1690" s="3">
        <v>4</v>
      </c>
      <c r="I1690" s="7">
        <v>69334.490000000005</v>
      </c>
      <c r="J1690" s="9">
        <v>0.1</v>
      </c>
      <c r="K1690" s="7">
        <v>249604.16</v>
      </c>
      <c r="L1690" s="7">
        <v>22541.5</v>
      </c>
      <c r="M1690" s="3" t="s">
        <v>56</v>
      </c>
      <c r="N1690" s="3"/>
      <c r="O1690" s="3"/>
      <c r="P1690" s="3"/>
      <c r="Q1690" s="3"/>
    </row>
    <row r="1691" spans="1:17" ht="21" customHeight="1">
      <c r="A1691" s="3" t="s">
        <v>2373</v>
      </c>
      <c r="B1691" s="5">
        <v>45751</v>
      </c>
      <c r="C1691" s="3" t="s">
        <v>881</v>
      </c>
      <c r="D1691" s="3" t="s">
        <v>47</v>
      </c>
      <c r="E1691" s="3" t="s">
        <v>41</v>
      </c>
      <c r="F1691" s="3" t="s">
        <v>119</v>
      </c>
      <c r="G1691" s="3" t="s">
        <v>120</v>
      </c>
      <c r="H1691" s="3">
        <v>1</v>
      </c>
      <c r="I1691" s="7">
        <v>1329.11</v>
      </c>
      <c r="J1691" s="9">
        <v>0</v>
      </c>
      <c r="K1691" s="7">
        <v>1329.11</v>
      </c>
      <c r="L1691" s="7">
        <v>538.05999999999995</v>
      </c>
      <c r="M1691" s="3" t="s">
        <v>56</v>
      </c>
      <c r="N1691" s="3"/>
      <c r="O1691" s="3"/>
      <c r="P1691" s="3"/>
      <c r="Q1691" s="3"/>
    </row>
    <row r="1692" spans="1:17" ht="21" customHeight="1">
      <c r="A1692" s="3" t="s">
        <v>2374</v>
      </c>
      <c r="B1692" s="5">
        <v>45752</v>
      </c>
      <c r="C1692" s="3" t="s">
        <v>507</v>
      </c>
      <c r="D1692" s="3" t="s">
        <v>44</v>
      </c>
      <c r="E1692" s="3" t="s">
        <v>41</v>
      </c>
      <c r="F1692" s="3" t="s">
        <v>113</v>
      </c>
      <c r="G1692" s="3" t="s">
        <v>123</v>
      </c>
      <c r="H1692" s="3">
        <v>1</v>
      </c>
      <c r="I1692" s="7">
        <v>3542.61</v>
      </c>
      <c r="J1692" s="9">
        <v>0.05</v>
      </c>
      <c r="K1692" s="7">
        <v>3365.48</v>
      </c>
      <c r="L1692" s="7">
        <v>1035.19</v>
      </c>
      <c r="M1692" s="3" t="s">
        <v>56</v>
      </c>
      <c r="N1692" s="3"/>
      <c r="O1692" s="3"/>
      <c r="P1692" s="3"/>
      <c r="Q1692" s="3"/>
    </row>
    <row r="1693" spans="1:17" ht="21" customHeight="1">
      <c r="A1693" s="3" t="s">
        <v>2375</v>
      </c>
      <c r="B1693" s="5">
        <v>45752</v>
      </c>
      <c r="C1693" s="3" t="s">
        <v>2276</v>
      </c>
      <c r="D1693" s="3" t="s">
        <v>45</v>
      </c>
      <c r="E1693" s="3" t="s">
        <v>38</v>
      </c>
      <c r="F1693" s="3" t="s">
        <v>142</v>
      </c>
      <c r="G1693" s="3" t="s">
        <v>143</v>
      </c>
      <c r="H1693" s="3">
        <v>2</v>
      </c>
      <c r="I1693" s="7">
        <v>8668.02</v>
      </c>
      <c r="J1693" s="9">
        <v>0</v>
      </c>
      <c r="K1693" s="7">
        <v>17336.04</v>
      </c>
      <c r="L1693" s="7">
        <v>2709.6</v>
      </c>
      <c r="M1693" s="3" t="s">
        <v>56</v>
      </c>
      <c r="N1693" s="3"/>
      <c r="O1693" s="3"/>
      <c r="P1693" s="3"/>
      <c r="Q1693" s="3"/>
    </row>
    <row r="1694" spans="1:17" ht="21" customHeight="1">
      <c r="A1694" s="3" t="s">
        <v>2376</v>
      </c>
      <c r="B1694" s="5">
        <v>45752</v>
      </c>
      <c r="C1694" s="3" t="s">
        <v>199</v>
      </c>
      <c r="D1694" s="3" t="s">
        <v>45</v>
      </c>
      <c r="E1694" s="3" t="s">
        <v>40</v>
      </c>
      <c r="F1694" s="3" t="s">
        <v>102</v>
      </c>
      <c r="G1694" s="3" t="s">
        <v>103</v>
      </c>
      <c r="H1694" s="3">
        <v>1</v>
      </c>
      <c r="I1694" s="7">
        <v>6632.38</v>
      </c>
      <c r="J1694" s="9">
        <v>0.2</v>
      </c>
      <c r="K1694" s="7">
        <v>5305.9</v>
      </c>
      <c r="L1694" s="7">
        <v>426.66</v>
      </c>
      <c r="M1694" s="3" t="s">
        <v>57</v>
      </c>
      <c r="N1694" s="3"/>
      <c r="O1694" s="3"/>
      <c r="P1694" s="3"/>
      <c r="Q1694" s="3"/>
    </row>
    <row r="1695" spans="1:17" ht="21" customHeight="1">
      <c r="A1695" s="3" t="s">
        <v>2377</v>
      </c>
      <c r="B1695" s="5">
        <v>45753</v>
      </c>
      <c r="C1695" s="3" t="s">
        <v>2087</v>
      </c>
      <c r="D1695" s="3" t="s">
        <v>45</v>
      </c>
      <c r="E1695" s="3" t="s">
        <v>39</v>
      </c>
      <c r="F1695" s="3" t="s">
        <v>164</v>
      </c>
      <c r="G1695" s="3" t="s">
        <v>200</v>
      </c>
      <c r="H1695" s="3">
        <v>2</v>
      </c>
      <c r="I1695" s="7">
        <v>1311.42</v>
      </c>
      <c r="J1695" s="9">
        <v>0.1</v>
      </c>
      <c r="K1695" s="7">
        <v>2360.56</v>
      </c>
      <c r="L1695" s="7">
        <v>808.52</v>
      </c>
      <c r="M1695" s="3" t="s">
        <v>57</v>
      </c>
      <c r="N1695" s="3"/>
      <c r="O1695" s="3"/>
      <c r="P1695" s="3"/>
      <c r="Q1695" s="3"/>
    </row>
    <row r="1696" spans="1:17" ht="21" customHeight="1">
      <c r="A1696" s="3" t="s">
        <v>2378</v>
      </c>
      <c r="B1696" s="5">
        <v>45753</v>
      </c>
      <c r="C1696" s="3" t="s">
        <v>1146</v>
      </c>
      <c r="D1696" s="3" t="s">
        <v>47</v>
      </c>
      <c r="E1696" s="3" t="s">
        <v>40</v>
      </c>
      <c r="F1696" s="3" t="s">
        <v>102</v>
      </c>
      <c r="G1696" s="3" t="s">
        <v>103</v>
      </c>
      <c r="H1696" s="3">
        <v>4</v>
      </c>
      <c r="I1696" s="7">
        <v>6470.75</v>
      </c>
      <c r="J1696" s="9">
        <v>0.25</v>
      </c>
      <c r="K1696" s="7">
        <v>19412.25</v>
      </c>
      <c r="L1696" s="7">
        <v>1219.8499999999999</v>
      </c>
      <c r="M1696" s="3" t="s">
        <v>57</v>
      </c>
      <c r="N1696" s="3"/>
      <c r="O1696" s="3"/>
      <c r="P1696" s="3"/>
      <c r="Q1696" s="3"/>
    </row>
    <row r="1697" spans="1:17" ht="21" customHeight="1">
      <c r="A1697" s="3" t="s">
        <v>2379</v>
      </c>
      <c r="B1697" s="5">
        <v>45753</v>
      </c>
      <c r="C1697" s="3" t="s">
        <v>264</v>
      </c>
      <c r="D1697" s="3" t="s">
        <v>46</v>
      </c>
      <c r="E1697" s="3" t="s">
        <v>41</v>
      </c>
      <c r="F1697" s="3" t="s">
        <v>113</v>
      </c>
      <c r="G1697" s="3" t="s">
        <v>123</v>
      </c>
      <c r="H1697" s="3">
        <v>1</v>
      </c>
      <c r="I1697" s="7">
        <v>3610.67</v>
      </c>
      <c r="J1697" s="9">
        <v>0.15</v>
      </c>
      <c r="K1697" s="7">
        <v>3069.07</v>
      </c>
      <c r="L1697" s="7">
        <v>704.71</v>
      </c>
      <c r="M1697" s="3" t="s">
        <v>58</v>
      </c>
      <c r="N1697" s="3"/>
      <c r="O1697" s="3"/>
      <c r="P1697" s="3"/>
      <c r="Q1697" s="3"/>
    </row>
    <row r="1698" spans="1:17" ht="21" customHeight="1">
      <c r="A1698" s="3" t="s">
        <v>2380</v>
      </c>
      <c r="B1698" s="5">
        <v>45754</v>
      </c>
      <c r="C1698" s="3" t="s">
        <v>2034</v>
      </c>
      <c r="D1698" s="3" t="s">
        <v>45</v>
      </c>
      <c r="E1698" s="3" t="s">
        <v>41</v>
      </c>
      <c r="F1698" s="3" t="s">
        <v>113</v>
      </c>
      <c r="G1698" s="3" t="s">
        <v>114</v>
      </c>
      <c r="H1698" s="3">
        <v>1</v>
      </c>
      <c r="I1698" s="7">
        <v>12134.75</v>
      </c>
      <c r="J1698" s="9">
        <v>0.05</v>
      </c>
      <c r="K1698" s="7">
        <v>11528.01</v>
      </c>
      <c r="L1698" s="7">
        <v>3306.97</v>
      </c>
      <c r="M1698" s="3" t="s">
        <v>56</v>
      </c>
      <c r="N1698" s="3"/>
      <c r="O1698" s="3"/>
      <c r="P1698" s="3"/>
      <c r="Q1698" s="3"/>
    </row>
    <row r="1699" spans="1:17" ht="21" customHeight="1">
      <c r="A1699" s="3" t="s">
        <v>2381</v>
      </c>
      <c r="B1699" s="5">
        <v>45754</v>
      </c>
      <c r="C1699" s="3" t="s">
        <v>454</v>
      </c>
      <c r="D1699" s="3" t="s">
        <v>44</v>
      </c>
      <c r="E1699" s="3" t="s">
        <v>39</v>
      </c>
      <c r="F1699" s="3" t="s">
        <v>109</v>
      </c>
      <c r="G1699" s="3" t="s">
        <v>110</v>
      </c>
      <c r="H1699" s="3">
        <v>1</v>
      </c>
      <c r="I1699" s="7">
        <v>2991.61</v>
      </c>
      <c r="J1699" s="9">
        <v>0.2</v>
      </c>
      <c r="K1699" s="7">
        <v>2393.29</v>
      </c>
      <c r="L1699" s="7">
        <v>469.02</v>
      </c>
      <c r="M1699" s="3" t="s">
        <v>56</v>
      </c>
      <c r="N1699" s="3"/>
      <c r="O1699" s="3"/>
      <c r="P1699" s="3"/>
      <c r="Q1699" s="3"/>
    </row>
    <row r="1700" spans="1:17" ht="21" customHeight="1">
      <c r="A1700" s="3" t="s">
        <v>2382</v>
      </c>
      <c r="B1700" s="5">
        <v>45755</v>
      </c>
      <c r="C1700" s="3" t="s">
        <v>163</v>
      </c>
      <c r="D1700" s="3" t="s">
        <v>44</v>
      </c>
      <c r="E1700" s="3" t="s">
        <v>41</v>
      </c>
      <c r="F1700" s="3" t="s">
        <v>113</v>
      </c>
      <c r="G1700" s="3" t="s">
        <v>114</v>
      </c>
      <c r="H1700" s="3">
        <v>1</v>
      </c>
      <c r="I1700" s="7">
        <v>11991.72</v>
      </c>
      <c r="J1700" s="9">
        <v>0</v>
      </c>
      <c r="K1700" s="7">
        <v>11991.72</v>
      </c>
      <c r="L1700" s="7">
        <v>4122.07</v>
      </c>
      <c r="M1700" s="3" t="s">
        <v>56</v>
      </c>
      <c r="N1700" s="3"/>
      <c r="O1700" s="3"/>
      <c r="P1700" s="3"/>
      <c r="Q1700" s="3"/>
    </row>
    <row r="1701" spans="1:17" ht="21" customHeight="1">
      <c r="A1701" s="3" t="s">
        <v>2383</v>
      </c>
      <c r="B1701" s="5">
        <v>45755</v>
      </c>
      <c r="C1701" s="3" t="s">
        <v>314</v>
      </c>
      <c r="D1701" s="3" t="s">
        <v>45</v>
      </c>
      <c r="E1701" s="3" t="s">
        <v>42</v>
      </c>
      <c r="F1701" s="3" t="s">
        <v>126</v>
      </c>
      <c r="G1701" s="3" t="s">
        <v>127</v>
      </c>
      <c r="H1701" s="3">
        <v>1</v>
      </c>
      <c r="I1701" s="7">
        <v>963.69</v>
      </c>
      <c r="J1701" s="9">
        <v>0</v>
      </c>
      <c r="K1701" s="7">
        <v>963.69</v>
      </c>
      <c r="L1701" s="7">
        <v>498.72</v>
      </c>
      <c r="M1701" s="3" t="s">
        <v>58</v>
      </c>
      <c r="N1701" s="3"/>
      <c r="O1701" s="3"/>
      <c r="P1701" s="3"/>
      <c r="Q1701" s="3"/>
    </row>
    <row r="1702" spans="1:17" ht="21" customHeight="1">
      <c r="A1702" s="3" t="s">
        <v>2384</v>
      </c>
      <c r="B1702" s="5">
        <v>45755</v>
      </c>
      <c r="C1702" s="3" t="s">
        <v>468</v>
      </c>
      <c r="D1702" s="3" t="s">
        <v>47</v>
      </c>
      <c r="E1702" s="3" t="s">
        <v>42</v>
      </c>
      <c r="F1702" s="3" t="s">
        <v>90</v>
      </c>
      <c r="G1702" s="3" t="s">
        <v>91</v>
      </c>
      <c r="H1702" s="3">
        <v>1</v>
      </c>
      <c r="I1702" s="7">
        <v>1164</v>
      </c>
      <c r="J1702" s="9">
        <v>0.1</v>
      </c>
      <c r="K1702" s="7">
        <v>1047.5999999999999</v>
      </c>
      <c r="L1702" s="7">
        <v>447.81</v>
      </c>
      <c r="M1702" s="3" t="s">
        <v>57</v>
      </c>
      <c r="N1702" s="3"/>
      <c r="O1702" s="3"/>
      <c r="P1702" s="3"/>
      <c r="Q1702" s="3"/>
    </row>
    <row r="1703" spans="1:17" ht="21" customHeight="1">
      <c r="A1703" s="3" t="s">
        <v>2385</v>
      </c>
      <c r="B1703" s="5">
        <v>45756</v>
      </c>
      <c r="C1703" s="3" t="s">
        <v>1247</v>
      </c>
      <c r="D1703" s="3" t="s">
        <v>46</v>
      </c>
      <c r="E1703" s="3" t="s">
        <v>39</v>
      </c>
      <c r="F1703" s="3" t="s">
        <v>109</v>
      </c>
      <c r="G1703" s="3" t="s">
        <v>355</v>
      </c>
      <c r="H1703" s="3">
        <v>4</v>
      </c>
      <c r="I1703" s="7">
        <v>3568.85</v>
      </c>
      <c r="J1703" s="9">
        <v>0.05</v>
      </c>
      <c r="K1703" s="7">
        <v>13561.63</v>
      </c>
      <c r="L1703" s="7">
        <v>5095.3</v>
      </c>
      <c r="M1703" s="3" t="s">
        <v>59</v>
      </c>
      <c r="N1703" s="3"/>
      <c r="O1703" s="3"/>
      <c r="P1703" s="3"/>
      <c r="Q1703" s="3"/>
    </row>
    <row r="1704" spans="1:17" ht="21" customHeight="1">
      <c r="A1704" s="3" t="s">
        <v>2386</v>
      </c>
      <c r="B1704" s="5">
        <v>45756</v>
      </c>
      <c r="C1704" s="3" t="s">
        <v>186</v>
      </c>
      <c r="D1704" s="3" t="s">
        <v>45</v>
      </c>
      <c r="E1704" s="3" t="s">
        <v>39</v>
      </c>
      <c r="F1704" s="3" t="s">
        <v>109</v>
      </c>
      <c r="G1704" s="3" t="s">
        <v>355</v>
      </c>
      <c r="H1704" s="3">
        <v>1</v>
      </c>
      <c r="I1704" s="7">
        <v>3671.13</v>
      </c>
      <c r="J1704" s="9">
        <v>0.1</v>
      </c>
      <c r="K1704" s="7">
        <v>3304.02</v>
      </c>
      <c r="L1704" s="7">
        <v>1058.74</v>
      </c>
      <c r="M1704" s="3" t="s">
        <v>56</v>
      </c>
      <c r="N1704" s="3"/>
      <c r="O1704" s="3"/>
      <c r="P1704" s="3"/>
      <c r="Q1704" s="3"/>
    </row>
    <row r="1705" spans="1:17" ht="21" customHeight="1">
      <c r="A1705" s="3" t="s">
        <v>2387</v>
      </c>
      <c r="B1705" s="5">
        <v>45756</v>
      </c>
      <c r="C1705" s="3" t="s">
        <v>473</v>
      </c>
      <c r="D1705" s="3" t="s">
        <v>44</v>
      </c>
      <c r="E1705" s="3" t="s">
        <v>39</v>
      </c>
      <c r="F1705" s="3" t="s">
        <v>109</v>
      </c>
      <c r="G1705" s="3" t="s">
        <v>110</v>
      </c>
      <c r="H1705" s="3">
        <v>2</v>
      </c>
      <c r="I1705" s="7">
        <v>3095</v>
      </c>
      <c r="J1705" s="9">
        <v>0.1</v>
      </c>
      <c r="K1705" s="7">
        <v>5571</v>
      </c>
      <c r="L1705" s="7">
        <v>1703.33</v>
      </c>
      <c r="M1705" s="3" t="s">
        <v>56</v>
      </c>
      <c r="N1705" s="3"/>
      <c r="O1705" s="3"/>
      <c r="P1705" s="3"/>
      <c r="Q1705" s="3"/>
    </row>
    <row r="1706" spans="1:17" ht="21" customHeight="1">
      <c r="A1706" s="3" t="s">
        <v>2388</v>
      </c>
      <c r="B1706" s="5">
        <v>45756</v>
      </c>
      <c r="C1706" s="3" t="s">
        <v>370</v>
      </c>
      <c r="D1706" s="3" t="s">
        <v>44</v>
      </c>
      <c r="E1706" s="3" t="s">
        <v>42</v>
      </c>
      <c r="F1706" s="3" t="s">
        <v>126</v>
      </c>
      <c r="G1706" s="3" t="s">
        <v>151</v>
      </c>
      <c r="H1706" s="3">
        <v>1</v>
      </c>
      <c r="I1706" s="7">
        <v>1485.21</v>
      </c>
      <c r="J1706" s="9">
        <v>0.05</v>
      </c>
      <c r="K1706" s="7">
        <v>1410.95</v>
      </c>
      <c r="L1706" s="7">
        <v>723.29</v>
      </c>
      <c r="M1706" s="3" t="s">
        <v>57</v>
      </c>
      <c r="N1706" s="3"/>
      <c r="O1706" s="3"/>
      <c r="P1706" s="3"/>
      <c r="Q1706" s="3"/>
    </row>
    <row r="1707" spans="1:17" ht="21" customHeight="1">
      <c r="A1707" s="3" t="s">
        <v>2389</v>
      </c>
      <c r="B1707" s="5">
        <v>45756</v>
      </c>
      <c r="C1707" s="3" t="s">
        <v>172</v>
      </c>
      <c r="D1707" s="3" t="s">
        <v>44</v>
      </c>
      <c r="E1707" s="3" t="s">
        <v>38</v>
      </c>
      <c r="F1707" s="3" t="s">
        <v>142</v>
      </c>
      <c r="G1707" s="3" t="s">
        <v>245</v>
      </c>
      <c r="H1707" s="3">
        <v>3</v>
      </c>
      <c r="I1707" s="7">
        <v>5017.82</v>
      </c>
      <c r="J1707" s="9">
        <v>0.15</v>
      </c>
      <c r="K1707" s="7">
        <v>12795.44</v>
      </c>
      <c r="L1707" s="7">
        <v>498.01</v>
      </c>
      <c r="M1707" s="3" t="s">
        <v>57</v>
      </c>
      <c r="N1707" s="3"/>
      <c r="O1707" s="3"/>
      <c r="P1707" s="3"/>
      <c r="Q1707" s="3"/>
    </row>
    <row r="1708" spans="1:17" ht="21" customHeight="1">
      <c r="A1708" s="3" t="s">
        <v>2390</v>
      </c>
      <c r="B1708" s="5">
        <v>45757</v>
      </c>
      <c r="C1708" s="3" t="s">
        <v>1264</v>
      </c>
      <c r="D1708" s="3" t="s">
        <v>45</v>
      </c>
      <c r="E1708" s="3" t="s">
        <v>42</v>
      </c>
      <c r="F1708" s="3" t="s">
        <v>126</v>
      </c>
      <c r="G1708" s="3" t="s">
        <v>151</v>
      </c>
      <c r="H1708" s="3">
        <v>2</v>
      </c>
      <c r="I1708" s="7">
        <v>1560.5</v>
      </c>
      <c r="J1708" s="9">
        <v>0.05</v>
      </c>
      <c r="K1708" s="7">
        <v>2964.95</v>
      </c>
      <c r="L1708" s="7">
        <v>1398.01</v>
      </c>
      <c r="M1708" s="3" t="s">
        <v>56</v>
      </c>
      <c r="N1708" s="3"/>
      <c r="O1708" s="3"/>
      <c r="P1708" s="3"/>
      <c r="Q1708" s="3"/>
    </row>
    <row r="1709" spans="1:17" ht="21" customHeight="1">
      <c r="A1709" s="3" t="s">
        <v>2391</v>
      </c>
      <c r="B1709" s="5">
        <v>45757</v>
      </c>
      <c r="C1709" s="3" t="s">
        <v>1131</v>
      </c>
      <c r="D1709" s="3" t="s">
        <v>47</v>
      </c>
      <c r="E1709" s="3" t="s">
        <v>40</v>
      </c>
      <c r="F1709" s="3" t="s">
        <v>102</v>
      </c>
      <c r="G1709" s="3" t="s">
        <v>103</v>
      </c>
      <c r="H1709" s="3">
        <v>3</v>
      </c>
      <c r="I1709" s="7">
        <v>6647.47</v>
      </c>
      <c r="J1709" s="9">
        <v>0</v>
      </c>
      <c r="K1709" s="7">
        <v>19942.41</v>
      </c>
      <c r="L1709" s="7">
        <v>7070.31</v>
      </c>
      <c r="M1709" s="3" t="s">
        <v>56</v>
      </c>
      <c r="N1709" s="3"/>
      <c r="O1709" s="3"/>
      <c r="P1709" s="3"/>
      <c r="Q1709" s="3"/>
    </row>
    <row r="1710" spans="1:17" ht="21" customHeight="1">
      <c r="A1710" s="3" t="s">
        <v>2392</v>
      </c>
      <c r="B1710" s="5">
        <v>45759</v>
      </c>
      <c r="C1710" s="3" t="s">
        <v>970</v>
      </c>
      <c r="D1710" s="3" t="s">
        <v>45</v>
      </c>
      <c r="E1710" s="3" t="s">
        <v>42</v>
      </c>
      <c r="F1710" s="3" t="s">
        <v>90</v>
      </c>
      <c r="G1710" s="3" t="s">
        <v>106</v>
      </c>
      <c r="H1710" s="3">
        <v>2</v>
      </c>
      <c r="I1710" s="7">
        <v>869.54</v>
      </c>
      <c r="J1710" s="9">
        <v>0</v>
      </c>
      <c r="K1710" s="7">
        <v>1739.08</v>
      </c>
      <c r="L1710" s="7">
        <v>893.88</v>
      </c>
      <c r="M1710" s="3" t="s">
        <v>58</v>
      </c>
      <c r="N1710" s="3"/>
      <c r="O1710" s="3"/>
      <c r="P1710" s="3"/>
      <c r="Q1710" s="3"/>
    </row>
    <row r="1711" spans="1:17" ht="21" customHeight="1">
      <c r="A1711" s="3" t="s">
        <v>2393</v>
      </c>
      <c r="B1711" s="5">
        <v>45759</v>
      </c>
      <c r="C1711" s="3" t="s">
        <v>238</v>
      </c>
      <c r="D1711" s="3" t="s">
        <v>46</v>
      </c>
      <c r="E1711" s="3" t="s">
        <v>40</v>
      </c>
      <c r="F1711" s="3" t="s">
        <v>221</v>
      </c>
      <c r="G1711" s="3" t="s">
        <v>279</v>
      </c>
      <c r="H1711" s="3">
        <v>1</v>
      </c>
      <c r="I1711" s="7">
        <v>1448.45</v>
      </c>
      <c r="J1711" s="9">
        <v>0.05</v>
      </c>
      <c r="K1711" s="7">
        <v>1376.03</v>
      </c>
      <c r="L1711" s="7">
        <v>380.12</v>
      </c>
      <c r="M1711" s="3" t="s">
        <v>57</v>
      </c>
      <c r="N1711" s="3"/>
      <c r="O1711" s="3"/>
      <c r="P1711" s="3"/>
      <c r="Q1711" s="3"/>
    </row>
    <row r="1712" spans="1:17" ht="21" customHeight="1">
      <c r="A1712" s="3" t="s">
        <v>2394</v>
      </c>
      <c r="B1712" s="5">
        <v>45759</v>
      </c>
      <c r="C1712" s="3" t="s">
        <v>278</v>
      </c>
      <c r="D1712" s="3" t="s">
        <v>46</v>
      </c>
      <c r="E1712" s="3" t="s">
        <v>42</v>
      </c>
      <c r="F1712" s="3" t="s">
        <v>90</v>
      </c>
      <c r="G1712" s="3" t="s">
        <v>91</v>
      </c>
      <c r="H1712" s="3">
        <v>2</v>
      </c>
      <c r="I1712" s="7">
        <v>1143.78</v>
      </c>
      <c r="J1712" s="9">
        <v>0.15</v>
      </c>
      <c r="K1712" s="7">
        <v>1944.43</v>
      </c>
      <c r="L1712" s="7">
        <v>806.22</v>
      </c>
      <c r="M1712" s="3" t="s">
        <v>56</v>
      </c>
      <c r="N1712" s="3"/>
      <c r="O1712" s="3"/>
      <c r="P1712" s="3"/>
      <c r="Q1712" s="3"/>
    </row>
    <row r="1713" spans="1:17" ht="21" customHeight="1">
      <c r="A1713" s="3" t="s">
        <v>2395</v>
      </c>
      <c r="B1713" s="5">
        <v>45759</v>
      </c>
      <c r="C1713" s="3" t="s">
        <v>352</v>
      </c>
      <c r="D1713" s="3" t="s">
        <v>46</v>
      </c>
      <c r="E1713" s="3" t="s">
        <v>42</v>
      </c>
      <c r="F1713" s="3" t="s">
        <v>126</v>
      </c>
      <c r="G1713" s="3" t="s">
        <v>151</v>
      </c>
      <c r="H1713" s="3">
        <v>3</v>
      </c>
      <c r="I1713" s="7">
        <v>1548.51</v>
      </c>
      <c r="J1713" s="9">
        <v>0.1</v>
      </c>
      <c r="K1713" s="7">
        <v>4180.9799999999996</v>
      </c>
      <c r="L1713" s="7">
        <v>1866.14</v>
      </c>
      <c r="M1713" s="3" t="s">
        <v>58</v>
      </c>
      <c r="N1713" s="3"/>
      <c r="O1713" s="3"/>
      <c r="P1713" s="3"/>
      <c r="Q1713" s="3"/>
    </row>
    <row r="1714" spans="1:17" ht="21" customHeight="1">
      <c r="A1714" s="3" t="s">
        <v>2396</v>
      </c>
      <c r="B1714" s="5">
        <v>45760</v>
      </c>
      <c r="C1714" s="3" t="s">
        <v>730</v>
      </c>
      <c r="D1714" s="3" t="s">
        <v>47</v>
      </c>
      <c r="E1714" s="3" t="s">
        <v>42</v>
      </c>
      <c r="F1714" s="3" t="s">
        <v>90</v>
      </c>
      <c r="G1714" s="3" t="s">
        <v>91</v>
      </c>
      <c r="H1714" s="3">
        <v>1</v>
      </c>
      <c r="I1714" s="7">
        <v>1243.46</v>
      </c>
      <c r="J1714" s="9">
        <v>0.05</v>
      </c>
      <c r="K1714" s="7">
        <v>1181.29</v>
      </c>
      <c r="L1714" s="7">
        <v>548.78</v>
      </c>
      <c r="M1714" s="3" t="s">
        <v>56</v>
      </c>
      <c r="N1714" s="3"/>
      <c r="O1714" s="3"/>
      <c r="P1714" s="3"/>
      <c r="Q1714" s="3"/>
    </row>
    <row r="1715" spans="1:17" ht="21" customHeight="1">
      <c r="A1715" s="3" t="s">
        <v>2397</v>
      </c>
      <c r="B1715" s="5">
        <v>45760</v>
      </c>
      <c r="C1715" s="3" t="s">
        <v>329</v>
      </c>
      <c r="D1715" s="3" t="s">
        <v>44</v>
      </c>
      <c r="E1715" s="3" t="s">
        <v>40</v>
      </c>
      <c r="F1715" s="3" t="s">
        <v>221</v>
      </c>
      <c r="G1715" s="3" t="s">
        <v>222</v>
      </c>
      <c r="H1715" s="3">
        <v>3</v>
      </c>
      <c r="I1715" s="7">
        <v>1029.8499999999999</v>
      </c>
      <c r="J1715" s="9">
        <v>0.25</v>
      </c>
      <c r="K1715" s="7">
        <v>2317.16</v>
      </c>
      <c r="L1715" s="7">
        <v>180.21</v>
      </c>
      <c r="M1715" s="3" t="s">
        <v>59</v>
      </c>
      <c r="N1715" s="3"/>
      <c r="O1715" s="3"/>
      <c r="P1715" s="3"/>
      <c r="Q1715" s="3"/>
    </row>
    <row r="1716" spans="1:17" ht="21" customHeight="1">
      <c r="A1716" s="3" t="s">
        <v>2398</v>
      </c>
      <c r="B1716" s="5">
        <v>45760</v>
      </c>
      <c r="C1716" s="3" t="s">
        <v>728</v>
      </c>
      <c r="D1716" s="3" t="s">
        <v>47</v>
      </c>
      <c r="E1716" s="3" t="s">
        <v>42</v>
      </c>
      <c r="F1716" s="3" t="s">
        <v>126</v>
      </c>
      <c r="G1716" s="3" t="s">
        <v>127</v>
      </c>
      <c r="H1716" s="3">
        <v>1</v>
      </c>
      <c r="I1716" s="7">
        <v>1007.03</v>
      </c>
      <c r="J1716" s="9">
        <v>0.15</v>
      </c>
      <c r="K1716" s="7">
        <v>855.98</v>
      </c>
      <c r="L1716" s="7">
        <v>344.02</v>
      </c>
      <c r="M1716" s="3" t="s">
        <v>58</v>
      </c>
      <c r="N1716" s="3"/>
      <c r="O1716" s="3"/>
      <c r="P1716" s="3"/>
      <c r="Q1716" s="3"/>
    </row>
    <row r="1717" spans="1:17" ht="21" customHeight="1">
      <c r="A1717" s="3" t="s">
        <v>2399</v>
      </c>
      <c r="B1717" s="5">
        <v>45761</v>
      </c>
      <c r="C1717" s="3" t="s">
        <v>1241</v>
      </c>
      <c r="D1717" s="3" t="s">
        <v>47</v>
      </c>
      <c r="E1717" s="3" t="s">
        <v>42</v>
      </c>
      <c r="F1717" s="3" t="s">
        <v>90</v>
      </c>
      <c r="G1717" s="3" t="s">
        <v>106</v>
      </c>
      <c r="H1717" s="3">
        <v>1</v>
      </c>
      <c r="I1717" s="7">
        <v>860.88</v>
      </c>
      <c r="J1717" s="9">
        <v>0</v>
      </c>
      <c r="K1717" s="7">
        <v>860.88</v>
      </c>
      <c r="L1717" s="7">
        <v>456.84</v>
      </c>
      <c r="M1717" s="3" t="s">
        <v>58</v>
      </c>
      <c r="N1717" s="3"/>
      <c r="O1717" s="3"/>
      <c r="P1717" s="3"/>
      <c r="Q1717" s="3"/>
    </row>
    <row r="1718" spans="1:17" ht="21" customHeight="1">
      <c r="A1718" s="3" t="s">
        <v>2400</v>
      </c>
      <c r="B1718" s="5">
        <v>45762</v>
      </c>
      <c r="C1718" s="3" t="s">
        <v>2117</v>
      </c>
      <c r="D1718" s="3" t="s">
        <v>46</v>
      </c>
      <c r="E1718" s="3" t="s">
        <v>39</v>
      </c>
      <c r="F1718" s="3" t="s">
        <v>109</v>
      </c>
      <c r="G1718" s="3" t="s">
        <v>110</v>
      </c>
      <c r="H1718" s="3">
        <v>1</v>
      </c>
      <c r="I1718" s="7">
        <v>3131.86</v>
      </c>
      <c r="J1718" s="9">
        <v>0.1</v>
      </c>
      <c r="K1718" s="7">
        <v>2818.67</v>
      </c>
      <c r="L1718" s="7">
        <v>907.67</v>
      </c>
      <c r="M1718" s="3" t="s">
        <v>56</v>
      </c>
      <c r="N1718" s="3"/>
      <c r="O1718" s="3"/>
      <c r="P1718" s="3"/>
      <c r="Q1718" s="3"/>
    </row>
    <row r="1719" spans="1:17" ht="21" customHeight="1">
      <c r="A1719" s="3" t="s">
        <v>2401</v>
      </c>
      <c r="B1719" s="5">
        <v>45762</v>
      </c>
      <c r="C1719" s="3" t="s">
        <v>858</v>
      </c>
      <c r="D1719" s="3" t="s">
        <v>45</v>
      </c>
      <c r="E1719" s="3" t="s">
        <v>42</v>
      </c>
      <c r="F1719" s="3" t="s">
        <v>126</v>
      </c>
      <c r="G1719" s="3" t="s">
        <v>127</v>
      </c>
      <c r="H1719" s="3">
        <v>1</v>
      </c>
      <c r="I1719" s="7">
        <v>992.4</v>
      </c>
      <c r="J1719" s="9">
        <v>0.15</v>
      </c>
      <c r="K1719" s="7">
        <v>843.54</v>
      </c>
      <c r="L1719" s="7">
        <v>294.7</v>
      </c>
      <c r="M1719" s="3" t="s">
        <v>57</v>
      </c>
      <c r="N1719" s="3"/>
      <c r="O1719" s="3"/>
      <c r="P1719" s="3"/>
      <c r="Q1719" s="3"/>
    </row>
    <row r="1720" spans="1:17" ht="21" customHeight="1">
      <c r="A1720" s="3" t="s">
        <v>2402</v>
      </c>
      <c r="B1720" s="5">
        <v>45763</v>
      </c>
      <c r="C1720" s="3" t="s">
        <v>502</v>
      </c>
      <c r="D1720" s="3" t="s">
        <v>45</v>
      </c>
      <c r="E1720" s="3" t="s">
        <v>41</v>
      </c>
      <c r="F1720" s="3" t="s">
        <v>119</v>
      </c>
      <c r="G1720" s="3" t="s">
        <v>168</v>
      </c>
      <c r="H1720" s="3">
        <v>1</v>
      </c>
      <c r="I1720" s="7">
        <v>9881.5499999999993</v>
      </c>
      <c r="J1720" s="9">
        <v>0.15</v>
      </c>
      <c r="K1720" s="7">
        <v>8399.32</v>
      </c>
      <c r="L1720" s="7">
        <v>1432.91</v>
      </c>
      <c r="M1720" s="3" t="s">
        <v>56</v>
      </c>
      <c r="N1720" s="3"/>
      <c r="O1720" s="3"/>
      <c r="P1720" s="3"/>
      <c r="Q1720" s="3"/>
    </row>
    <row r="1721" spans="1:17" ht="21" customHeight="1">
      <c r="A1721" s="3" t="s">
        <v>2403</v>
      </c>
      <c r="B1721" s="5">
        <v>45763</v>
      </c>
      <c r="C1721" s="3" t="s">
        <v>163</v>
      </c>
      <c r="D1721" s="3" t="s">
        <v>45</v>
      </c>
      <c r="E1721" s="3" t="s">
        <v>39</v>
      </c>
      <c r="F1721" s="3" t="s">
        <v>109</v>
      </c>
      <c r="G1721" s="3" t="s">
        <v>355</v>
      </c>
      <c r="H1721" s="3">
        <v>1</v>
      </c>
      <c r="I1721" s="7">
        <v>3544.72</v>
      </c>
      <c r="J1721" s="9">
        <v>0.05</v>
      </c>
      <c r="K1721" s="7">
        <v>3367.48</v>
      </c>
      <c r="L1721" s="7">
        <v>1186.03</v>
      </c>
      <c r="M1721" s="3" t="s">
        <v>56</v>
      </c>
      <c r="N1721" s="3"/>
      <c r="O1721" s="3"/>
      <c r="P1721" s="3"/>
      <c r="Q1721" s="3"/>
    </row>
    <row r="1722" spans="1:17" ht="21" customHeight="1">
      <c r="A1722" s="3" t="s">
        <v>2404</v>
      </c>
      <c r="B1722" s="5">
        <v>45763</v>
      </c>
      <c r="C1722" s="3" t="s">
        <v>2405</v>
      </c>
      <c r="D1722" s="3" t="s">
        <v>44</v>
      </c>
      <c r="E1722" s="3" t="s">
        <v>42</v>
      </c>
      <c r="F1722" s="3" t="s">
        <v>126</v>
      </c>
      <c r="G1722" s="3" t="s">
        <v>127</v>
      </c>
      <c r="H1722" s="3">
        <v>2</v>
      </c>
      <c r="I1722" s="7">
        <v>995.98</v>
      </c>
      <c r="J1722" s="9">
        <v>0</v>
      </c>
      <c r="K1722" s="7">
        <v>1991.96</v>
      </c>
      <c r="L1722" s="7">
        <v>1080.72</v>
      </c>
      <c r="M1722" s="3" t="s">
        <v>57</v>
      </c>
      <c r="N1722" s="3"/>
      <c r="O1722" s="3"/>
      <c r="P1722" s="3"/>
      <c r="Q1722" s="3"/>
    </row>
    <row r="1723" spans="1:17" ht="21" customHeight="1">
      <c r="A1723" s="3" t="s">
        <v>2406</v>
      </c>
      <c r="B1723" s="5">
        <v>45763</v>
      </c>
      <c r="C1723" s="3" t="s">
        <v>316</v>
      </c>
      <c r="D1723" s="3" t="s">
        <v>44</v>
      </c>
      <c r="E1723" s="3" t="s">
        <v>38</v>
      </c>
      <c r="F1723" s="3" t="s">
        <v>142</v>
      </c>
      <c r="G1723" s="3" t="s">
        <v>245</v>
      </c>
      <c r="H1723" s="3">
        <v>1</v>
      </c>
      <c r="I1723" s="7">
        <v>4824.5</v>
      </c>
      <c r="J1723" s="9">
        <v>0</v>
      </c>
      <c r="K1723" s="7">
        <v>4824.5</v>
      </c>
      <c r="L1723" s="7">
        <v>734.01</v>
      </c>
      <c r="M1723" s="3" t="s">
        <v>56</v>
      </c>
      <c r="N1723" s="3"/>
      <c r="O1723" s="3"/>
      <c r="P1723" s="3"/>
      <c r="Q1723" s="3"/>
    </row>
    <row r="1724" spans="1:17" ht="21" customHeight="1">
      <c r="A1724" s="3" t="s">
        <v>2407</v>
      </c>
      <c r="B1724" s="5">
        <v>45763</v>
      </c>
      <c r="C1724" s="3" t="s">
        <v>2106</v>
      </c>
      <c r="D1724" s="3" t="s">
        <v>45</v>
      </c>
      <c r="E1724" s="3" t="s">
        <v>39</v>
      </c>
      <c r="F1724" s="3" t="s">
        <v>109</v>
      </c>
      <c r="G1724" s="3" t="s">
        <v>355</v>
      </c>
      <c r="H1724" s="3">
        <v>1</v>
      </c>
      <c r="I1724" s="7">
        <v>3627.97</v>
      </c>
      <c r="J1724" s="9">
        <v>0</v>
      </c>
      <c r="K1724" s="7">
        <v>3627.97</v>
      </c>
      <c r="L1724" s="7">
        <v>1646.1</v>
      </c>
      <c r="M1724" s="3" t="s">
        <v>58</v>
      </c>
      <c r="N1724" s="3"/>
      <c r="O1724" s="3"/>
      <c r="P1724" s="3"/>
      <c r="Q1724" s="3"/>
    </row>
    <row r="1725" spans="1:17" ht="21" customHeight="1">
      <c r="A1725" s="3" t="s">
        <v>2408</v>
      </c>
      <c r="B1725" s="5">
        <v>45763</v>
      </c>
      <c r="C1725" s="3" t="s">
        <v>1243</v>
      </c>
      <c r="D1725" s="3" t="s">
        <v>45</v>
      </c>
      <c r="E1725" s="3" t="s">
        <v>40</v>
      </c>
      <c r="F1725" s="3" t="s">
        <v>102</v>
      </c>
      <c r="G1725" s="3" t="s">
        <v>146</v>
      </c>
      <c r="H1725" s="3">
        <v>5</v>
      </c>
      <c r="I1725" s="7">
        <v>8112.61</v>
      </c>
      <c r="J1725" s="9">
        <v>0</v>
      </c>
      <c r="K1725" s="7">
        <v>40563.050000000003</v>
      </c>
      <c r="L1725" s="7">
        <v>14042.98</v>
      </c>
      <c r="M1725" s="3" t="s">
        <v>56</v>
      </c>
      <c r="N1725" s="3"/>
      <c r="O1725" s="3"/>
      <c r="P1725" s="3"/>
      <c r="Q1725" s="3"/>
    </row>
    <row r="1726" spans="1:17" ht="21" customHeight="1">
      <c r="A1726" s="3" t="s">
        <v>2409</v>
      </c>
      <c r="B1726" s="5">
        <v>45764</v>
      </c>
      <c r="C1726" s="3" t="s">
        <v>493</v>
      </c>
      <c r="D1726" s="3" t="s">
        <v>46</v>
      </c>
      <c r="E1726" s="3" t="s">
        <v>39</v>
      </c>
      <c r="F1726" s="3" t="s">
        <v>164</v>
      </c>
      <c r="G1726" s="3" t="s">
        <v>165</v>
      </c>
      <c r="H1726" s="3">
        <v>1</v>
      </c>
      <c r="I1726" s="7">
        <v>1937.9</v>
      </c>
      <c r="J1726" s="9">
        <v>0.2</v>
      </c>
      <c r="K1726" s="7">
        <v>1550.32</v>
      </c>
      <c r="L1726" s="7">
        <v>255.04</v>
      </c>
      <c r="M1726" s="3" t="s">
        <v>59</v>
      </c>
      <c r="N1726" s="3"/>
      <c r="O1726" s="3"/>
      <c r="P1726" s="3"/>
      <c r="Q1726" s="3"/>
    </row>
    <row r="1727" spans="1:17" ht="21" customHeight="1">
      <c r="A1727" s="3" t="s">
        <v>2410</v>
      </c>
      <c r="B1727" s="5">
        <v>45764</v>
      </c>
      <c r="C1727" s="3" t="s">
        <v>324</v>
      </c>
      <c r="D1727" s="3" t="s">
        <v>46</v>
      </c>
      <c r="E1727" s="3" t="s">
        <v>39</v>
      </c>
      <c r="F1727" s="3" t="s">
        <v>130</v>
      </c>
      <c r="G1727" s="3" t="s">
        <v>193</v>
      </c>
      <c r="H1727" s="3">
        <v>1</v>
      </c>
      <c r="I1727" s="7">
        <v>1794.4</v>
      </c>
      <c r="J1727" s="9">
        <v>0.15</v>
      </c>
      <c r="K1727" s="7">
        <v>1525.24</v>
      </c>
      <c r="L1727" s="7">
        <v>379.43</v>
      </c>
      <c r="M1727" s="3" t="s">
        <v>58</v>
      </c>
      <c r="N1727" s="3"/>
      <c r="O1727" s="3"/>
      <c r="P1727" s="3"/>
      <c r="Q1727" s="3"/>
    </row>
    <row r="1728" spans="1:17" ht="21" customHeight="1">
      <c r="A1728" s="3" t="s">
        <v>2411</v>
      </c>
      <c r="B1728" s="5">
        <v>45764</v>
      </c>
      <c r="C1728" s="3" t="s">
        <v>414</v>
      </c>
      <c r="D1728" s="3" t="s">
        <v>44</v>
      </c>
      <c r="E1728" s="3" t="s">
        <v>39</v>
      </c>
      <c r="F1728" s="3" t="s">
        <v>164</v>
      </c>
      <c r="G1728" s="3" t="s">
        <v>200</v>
      </c>
      <c r="H1728" s="3">
        <v>2</v>
      </c>
      <c r="I1728" s="7">
        <v>1246.8399999999999</v>
      </c>
      <c r="J1728" s="9">
        <v>0.05</v>
      </c>
      <c r="K1728" s="7">
        <v>2369</v>
      </c>
      <c r="L1728" s="7">
        <v>832.66</v>
      </c>
      <c r="M1728" s="3" t="s">
        <v>59</v>
      </c>
      <c r="N1728" s="3"/>
      <c r="O1728" s="3"/>
      <c r="P1728" s="3"/>
      <c r="Q1728" s="3"/>
    </row>
    <row r="1729" spans="1:17" ht="21" customHeight="1">
      <c r="A1729" s="3" t="s">
        <v>2412</v>
      </c>
      <c r="B1729" s="5">
        <v>45765</v>
      </c>
      <c r="C1729" s="3" t="s">
        <v>370</v>
      </c>
      <c r="D1729" s="3" t="s">
        <v>45</v>
      </c>
      <c r="E1729" s="3" t="s">
        <v>40</v>
      </c>
      <c r="F1729" s="3" t="s">
        <v>102</v>
      </c>
      <c r="G1729" s="3" t="s">
        <v>103</v>
      </c>
      <c r="H1729" s="3">
        <v>3</v>
      </c>
      <c r="I1729" s="7">
        <v>6469.64</v>
      </c>
      <c r="J1729" s="9">
        <v>0.1</v>
      </c>
      <c r="K1729" s="7">
        <v>17468.03</v>
      </c>
      <c r="L1729" s="7">
        <v>3496.42</v>
      </c>
      <c r="M1729" s="3" t="s">
        <v>60</v>
      </c>
      <c r="N1729" s="3"/>
      <c r="O1729" s="3"/>
      <c r="P1729" s="3"/>
      <c r="Q1729" s="3"/>
    </row>
    <row r="1730" spans="1:17" ht="21" customHeight="1">
      <c r="A1730" s="3" t="s">
        <v>2413</v>
      </c>
      <c r="B1730" s="5">
        <v>45765</v>
      </c>
      <c r="C1730" s="3" t="s">
        <v>1783</v>
      </c>
      <c r="D1730" s="3" t="s">
        <v>45</v>
      </c>
      <c r="E1730" s="3" t="s">
        <v>38</v>
      </c>
      <c r="F1730" s="3" t="s">
        <v>142</v>
      </c>
      <c r="G1730" s="3" t="s">
        <v>245</v>
      </c>
      <c r="H1730" s="3">
        <v>4</v>
      </c>
      <c r="I1730" s="7">
        <v>5007</v>
      </c>
      <c r="J1730" s="9">
        <v>0.15</v>
      </c>
      <c r="K1730" s="7">
        <v>17023.8</v>
      </c>
      <c r="L1730" s="7">
        <v>198.38</v>
      </c>
      <c r="M1730" s="3" t="s">
        <v>57</v>
      </c>
      <c r="N1730" s="3"/>
      <c r="O1730" s="3"/>
      <c r="P1730" s="3"/>
      <c r="Q1730" s="3"/>
    </row>
    <row r="1731" spans="1:17" ht="21" customHeight="1">
      <c r="A1731" s="3" t="s">
        <v>2414</v>
      </c>
      <c r="B1731" s="5">
        <v>45765</v>
      </c>
      <c r="C1731" s="3" t="s">
        <v>1479</v>
      </c>
      <c r="D1731" s="3" t="s">
        <v>47</v>
      </c>
      <c r="E1731" s="3" t="s">
        <v>40</v>
      </c>
      <c r="F1731" s="3" t="s">
        <v>221</v>
      </c>
      <c r="G1731" s="3" t="s">
        <v>222</v>
      </c>
      <c r="H1731" s="3">
        <v>1</v>
      </c>
      <c r="I1731" s="7">
        <v>1029.24</v>
      </c>
      <c r="J1731" s="9">
        <v>0.05</v>
      </c>
      <c r="K1731" s="7">
        <v>977.78</v>
      </c>
      <c r="L1731" s="7">
        <v>290.07</v>
      </c>
      <c r="M1731" s="3" t="s">
        <v>56</v>
      </c>
      <c r="N1731" s="3"/>
      <c r="O1731" s="3"/>
      <c r="P1731" s="3"/>
      <c r="Q1731" s="3"/>
    </row>
    <row r="1732" spans="1:17" ht="21" customHeight="1">
      <c r="A1732" s="3" t="s">
        <v>2415</v>
      </c>
      <c r="B1732" s="5">
        <v>45765</v>
      </c>
      <c r="C1732" s="3" t="s">
        <v>1350</v>
      </c>
      <c r="D1732" s="3" t="s">
        <v>46</v>
      </c>
      <c r="E1732" s="3" t="s">
        <v>38</v>
      </c>
      <c r="F1732" s="3" t="s">
        <v>98</v>
      </c>
      <c r="G1732" s="3" t="s">
        <v>362</v>
      </c>
      <c r="H1732" s="3">
        <v>3</v>
      </c>
      <c r="I1732" s="7">
        <v>33784.86</v>
      </c>
      <c r="J1732" s="9">
        <v>0.05</v>
      </c>
      <c r="K1732" s="7">
        <v>96286.85</v>
      </c>
      <c r="L1732" s="7">
        <v>15575.56</v>
      </c>
      <c r="M1732" s="3" t="s">
        <v>57</v>
      </c>
      <c r="N1732" s="3"/>
      <c r="O1732" s="3"/>
      <c r="P1732" s="3"/>
      <c r="Q1732" s="3"/>
    </row>
    <row r="1733" spans="1:17" ht="21" customHeight="1">
      <c r="A1733" s="3" t="s">
        <v>2416</v>
      </c>
      <c r="B1733" s="5">
        <v>45766</v>
      </c>
      <c r="C1733" s="3" t="s">
        <v>2077</v>
      </c>
      <c r="D1733" s="3" t="s">
        <v>47</v>
      </c>
      <c r="E1733" s="3" t="s">
        <v>41</v>
      </c>
      <c r="F1733" s="3" t="s">
        <v>113</v>
      </c>
      <c r="G1733" s="3" t="s">
        <v>123</v>
      </c>
      <c r="H1733" s="3">
        <v>1</v>
      </c>
      <c r="I1733" s="7">
        <v>3582.75</v>
      </c>
      <c r="J1733" s="9">
        <v>0.1</v>
      </c>
      <c r="K1733" s="7">
        <v>3224.47</v>
      </c>
      <c r="L1733" s="7">
        <v>909.15</v>
      </c>
      <c r="M1733" s="3" t="s">
        <v>56</v>
      </c>
      <c r="N1733" s="3"/>
      <c r="O1733" s="3"/>
      <c r="P1733" s="3"/>
      <c r="Q1733" s="3"/>
    </row>
    <row r="1734" spans="1:17" ht="21" customHeight="1">
      <c r="A1734" s="3" t="s">
        <v>2417</v>
      </c>
      <c r="B1734" s="5">
        <v>45766</v>
      </c>
      <c r="C1734" s="3" t="s">
        <v>1129</v>
      </c>
      <c r="D1734" s="3" t="s">
        <v>46</v>
      </c>
      <c r="E1734" s="3" t="s">
        <v>42</v>
      </c>
      <c r="F1734" s="3" t="s">
        <v>90</v>
      </c>
      <c r="G1734" s="3" t="s">
        <v>106</v>
      </c>
      <c r="H1734" s="3">
        <v>1</v>
      </c>
      <c r="I1734" s="7">
        <v>893.07</v>
      </c>
      <c r="J1734" s="9">
        <v>0.2</v>
      </c>
      <c r="K1734" s="7">
        <v>714.46</v>
      </c>
      <c r="L1734" s="7">
        <v>224.49</v>
      </c>
      <c r="M1734" s="3" t="s">
        <v>58</v>
      </c>
      <c r="N1734" s="3"/>
      <c r="O1734" s="3"/>
      <c r="P1734" s="3"/>
      <c r="Q1734" s="3"/>
    </row>
    <row r="1735" spans="1:17" ht="21" customHeight="1">
      <c r="A1735" s="3" t="s">
        <v>2418</v>
      </c>
      <c r="B1735" s="5">
        <v>45766</v>
      </c>
      <c r="C1735" s="3" t="s">
        <v>548</v>
      </c>
      <c r="D1735" s="3" t="s">
        <v>47</v>
      </c>
      <c r="E1735" s="3" t="s">
        <v>39</v>
      </c>
      <c r="F1735" s="3" t="s">
        <v>109</v>
      </c>
      <c r="G1735" s="3" t="s">
        <v>110</v>
      </c>
      <c r="H1735" s="3">
        <v>1</v>
      </c>
      <c r="I1735" s="7">
        <v>2884.35</v>
      </c>
      <c r="J1735" s="9">
        <v>0.1</v>
      </c>
      <c r="K1735" s="7">
        <v>2595.91</v>
      </c>
      <c r="L1735" s="7">
        <v>784.74</v>
      </c>
      <c r="M1735" s="3" t="s">
        <v>56</v>
      </c>
      <c r="N1735" s="3"/>
      <c r="O1735" s="3"/>
      <c r="P1735" s="3"/>
      <c r="Q1735" s="3"/>
    </row>
    <row r="1736" spans="1:17" ht="21" customHeight="1">
      <c r="A1736" s="3" t="s">
        <v>2419</v>
      </c>
      <c r="B1736" s="5">
        <v>45766</v>
      </c>
      <c r="C1736" s="3" t="s">
        <v>377</v>
      </c>
      <c r="D1736" s="3" t="s">
        <v>45</v>
      </c>
      <c r="E1736" s="3" t="s">
        <v>41</v>
      </c>
      <c r="F1736" s="3" t="s">
        <v>113</v>
      </c>
      <c r="G1736" s="3" t="s">
        <v>114</v>
      </c>
      <c r="H1736" s="3">
        <v>1</v>
      </c>
      <c r="I1736" s="7">
        <v>11942.5</v>
      </c>
      <c r="J1736" s="9">
        <v>0</v>
      </c>
      <c r="K1736" s="7">
        <v>11942.5</v>
      </c>
      <c r="L1736" s="7">
        <v>4064.01</v>
      </c>
      <c r="M1736" s="3" t="s">
        <v>60</v>
      </c>
      <c r="N1736" s="3"/>
      <c r="O1736" s="3"/>
      <c r="P1736" s="3"/>
      <c r="Q1736" s="3"/>
    </row>
    <row r="1737" spans="1:17" ht="21" customHeight="1">
      <c r="A1737" s="3" t="s">
        <v>2420</v>
      </c>
      <c r="B1737" s="5">
        <v>45766</v>
      </c>
      <c r="C1737" s="3" t="s">
        <v>406</v>
      </c>
      <c r="D1737" s="3" t="s">
        <v>44</v>
      </c>
      <c r="E1737" s="3" t="s">
        <v>40</v>
      </c>
      <c r="F1737" s="3" t="s">
        <v>102</v>
      </c>
      <c r="G1737" s="3" t="s">
        <v>103</v>
      </c>
      <c r="H1737" s="3">
        <v>1</v>
      </c>
      <c r="I1737" s="7">
        <v>6394.88</v>
      </c>
      <c r="J1737" s="9">
        <v>0.2</v>
      </c>
      <c r="K1737" s="7">
        <v>5115.8999999999996</v>
      </c>
      <c r="L1737" s="7">
        <v>486.24</v>
      </c>
      <c r="M1737" s="3" t="s">
        <v>58</v>
      </c>
      <c r="N1737" s="3"/>
      <c r="O1737" s="3"/>
      <c r="P1737" s="3"/>
      <c r="Q1737" s="3"/>
    </row>
    <row r="1738" spans="1:17" ht="21" customHeight="1">
      <c r="A1738" s="3" t="s">
        <v>2421</v>
      </c>
      <c r="B1738" s="5">
        <v>45767</v>
      </c>
      <c r="C1738" s="3" t="s">
        <v>748</v>
      </c>
      <c r="D1738" s="3" t="s">
        <v>45</v>
      </c>
      <c r="E1738" s="3" t="s">
        <v>40</v>
      </c>
      <c r="F1738" s="3" t="s">
        <v>221</v>
      </c>
      <c r="G1738" s="3" t="s">
        <v>279</v>
      </c>
      <c r="H1738" s="3">
        <v>1</v>
      </c>
      <c r="I1738" s="7">
        <v>1534.84</v>
      </c>
      <c r="J1738" s="9">
        <v>0</v>
      </c>
      <c r="K1738" s="7">
        <v>1534.84</v>
      </c>
      <c r="L1738" s="7">
        <v>564.83000000000004</v>
      </c>
      <c r="M1738" s="3" t="s">
        <v>57</v>
      </c>
      <c r="N1738" s="3"/>
      <c r="O1738" s="3"/>
      <c r="P1738" s="3"/>
      <c r="Q1738" s="3"/>
    </row>
    <row r="1739" spans="1:17" ht="21" customHeight="1">
      <c r="A1739" s="3" t="s">
        <v>2422</v>
      </c>
      <c r="B1739" s="5">
        <v>45767</v>
      </c>
      <c r="C1739" s="3" t="s">
        <v>1140</v>
      </c>
      <c r="D1739" s="3" t="s">
        <v>44</v>
      </c>
      <c r="E1739" s="3" t="s">
        <v>40</v>
      </c>
      <c r="F1739" s="3" t="s">
        <v>160</v>
      </c>
      <c r="G1739" s="3" t="s">
        <v>173</v>
      </c>
      <c r="H1739" s="3">
        <v>1</v>
      </c>
      <c r="I1739" s="7">
        <v>9097.44</v>
      </c>
      <c r="J1739" s="9">
        <v>0.05</v>
      </c>
      <c r="K1739" s="7">
        <v>8642.57</v>
      </c>
      <c r="L1739" s="7">
        <v>2373.5100000000002</v>
      </c>
      <c r="M1739" s="3" t="s">
        <v>59</v>
      </c>
      <c r="N1739" s="3"/>
      <c r="O1739" s="3"/>
      <c r="P1739" s="3"/>
      <c r="Q1739" s="3"/>
    </row>
    <row r="1740" spans="1:17" ht="21" customHeight="1">
      <c r="A1740" s="3" t="s">
        <v>2423</v>
      </c>
      <c r="B1740" s="5">
        <v>45767</v>
      </c>
      <c r="C1740" s="3" t="s">
        <v>709</v>
      </c>
      <c r="D1740" s="3" t="s">
        <v>47</v>
      </c>
      <c r="E1740" s="3" t="s">
        <v>41</v>
      </c>
      <c r="F1740" s="3" t="s">
        <v>113</v>
      </c>
      <c r="G1740" s="3" t="s">
        <v>123</v>
      </c>
      <c r="H1740" s="3">
        <v>2</v>
      </c>
      <c r="I1740" s="7">
        <v>3449.8</v>
      </c>
      <c r="J1740" s="9">
        <v>0.25</v>
      </c>
      <c r="K1740" s="7">
        <v>5174.7</v>
      </c>
      <c r="L1740" s="7">
        <v>474.26</v>
      </c>
      <c r="M1740" s="3" t="s">
        <v>57</v>
      </c>
      <c r="N1740" s="3"/>
      <c r="O1740" s="3"/>
      <c r="P1740" s="3"/>
      <c r="Q1740" s="3"/>
    </row>
    <row r="1741" spans="1:17" ht="21" customHeight="1">
      <c r="A1741" s="3" t="s">
        <v>2424</v>
      </c>
      <c r="B1741" s="5">
        <v>45767</v>
      </c>
      <c r="C1741" s="3" t="s">
        <v>2425</v>
      </c>
      <c r="D1741" s="3" t="s">
        <v>44</v>
      </c>
      <c r="E1741" s="3" t="s">
        <v>40</v>
      </c>
      <c r="F1741" s="3" t="s">
        <v>221</v>
      </c>
      <c r="G1741" s="3" t="s">
        <v>279</v>
      </c>
      <c r="H1741" s="3">
        <v>2</v>
      </c>
      <c r="I1741" s="7">
        <v>1438.17</v>
      </c>
      <c r="J1741" s="9">
        <v>0.3</v>
      </c>
      <c r="K1741" s="7">
        <v>2013.44</v>
      </c>
      <c r="L1741" s="7">
        <v>-76.959999999999994</v>
      </c>
      <c r="M1741" s="3" t="s">
        <v>56</v>
      </c>
      <c r="N1741" s="3"/>
      <c r="O1741" s="3"/>
      <c r="P1741" s="3"/>
      <c r="Q1741" s="3"/>
    </row>
    <row r="1742" spans="1:17" ht="21" customHeight="1">
      <c r="A1742" s="3" t="s">
        <v>2426</v>
      </c>
      <c r="B1742" s="5">
        <v>45768</v>
      </c>
      <c r="C1742" s="3" t="s">
        <v>2427</v>
      </c>
      <c r="D1742" s="3" t="s">
        <v>47</v>
      </c>
      <c r="E1742" s="3" t="s">
        <v>41</v>
      </c>
      <c r="F1742" s="3" t="s">
        <v>119</v>
      </c>
      <c r="G1742" s="3" t="s">
        <v>168</v>
      </c>
      <c r="H1742" s="3">
        <v>1</v>
      </c>
      <c r="I1742" s="7">
        <v>10149.44</v>
      </c>
      <c r="J1742" s="9">
        <v>0.1</v>
      </c>
      <c r="K1742" s="7">
        <v>9134.5</v>
      </c>
      <c r="L1742" s="7">
        <v>2505.35</v>
      </c>
      <c r="M1742" s="3" t="s">
        <v>58</v>
      </c>
      <c r="N1742" s="3"/>
      <c r="O1742" s="3"/>
      <c r="P1742" s="3"/>
      <c r="Q1742" s="3"/>
    </row>
    <row r="1743" spans="1:17" ht="21" customHeight="1">
      <c r="A1743" s="3" t="s">
        <v>2428</v>
      </c>
      <c r="B1743" s="5">
        <v>45768</v>
      </c>
      <c r="C1743" s="3" t="s">
        <v>2218</v>
      </c>
      <c r="D1743" s="3" t="s">
        <v>44</v>
      </c>
      <c r="E1743" s="3" t="s">
        <v>42</v>
      </c>
      <c r="F1743" s="3" t="s">
        <v>90</v>
      </c>
      <c r="G1743" s="3" t="s">
        <v>91</v>
      </c>
      <c r="H1743" s="3">
        <v>2</v>
      </c>
      <c r="I1743" s="7">
        <v>1235.25</v>
      </c>
      <c r="J1743" s="9">
        <v>0</v>
      </c>
      <c r="K1743" s="7">
        <v>2470.5</v>
      </c>
      <c r="L1743" s="7">
        <v>1398.03</v>
      </c>
      <c r="M1743" s="3" t="s">
        <v>56</v>
      </c>
      <c r="N1743" s="3"/>
      <c r="O1743" s="3"/>
      <c r="P1743" s="3"/>
      <c r="Q1743" s="3"/>
    </row>
    <row r="1744" spans="1:17" ht="21" customHeight="1">
      <c r="A1744" s="3" t="s">
        <v>2429</v>
      </c>
      <c r="B1744" s="5">
        <v>45769</v>
      </c>
      <c r="C1744" s="3" t="s">
        <v>357</v>
      </c>
      <c r="D1744" s="3" t="s">
        <v>46</v>
      </c>
      <c r="E1744" s="3" t="s">
        <v>41</v>
      </c>
      <c r="F1744" s="3" t="s">
        <v>113</v>
      </c>
      <c r="G1744" s="3" t="s">
        <v>114</v>
      </c>
      <c r="H1744" s="3">
        <v>2</v>
      </c>
      <c r="I1744" s="7">
        <v>11593.77</v>
      </c>
      <c r="J1744" s="9">
        <v>0.05</v>
      </c>
      <c r="K1744" s="7">
        <v>22028.16</v>
      </c>
      <c r="L1744" s="7">
        <v>7023.55</v>
      </c>
      <c r="M1744" s="3" t="s">
        <v>56</v>
      </c>
      <c r="N1744" s="3"/>
      <c r="O1744" s="3"/>
      <c r="P1744" s="3"/>
      <c r="Q1744" s="3"/>
    </row>
    <row r="1745" spans="1:17" ht="21" customHeight="1">
      <c r="A1745" s="3" t="s">
        <v>2430</v>
      </c>
      <c r="B1745" s="5">
        <v>45770</v>
      </c>
      <c r="C1745" s="3" t="s">
        <v>940</v>
      </c>
      <c r="D1745" s="3" t="s">
        <v>46</v>
      </c>
      <c r="E1745" s="3" t="s">
        <v>39</v>
      </c>
      <c r="F1745" s="3" t="s">
        <v>164</v>
      </c>
      <c r="G1745" s="3" t="s">
        <v>200</v>
      </c>
      <c r="H1745" s="3">
        <v>1</v>
      </c>
      <c r="I1745" s="7">
        <v>1309.9100000000001</v>
      </c>
      <c r="J1745" s="9">
        <v>0.05</v>
      </c>
      <c r="K1745" s="7">
        <v>1244.4100000000001</v>
      </c>
      <c r="L1745" s="7">
        <v>447.64</v>
      </c>
      <c r="M1745" s="3" t="s">
        <v>57</v>
      </c>
      <c r="N1745" s="3"/>
      <c r="O1745" s="3"/>
      <c r="P1745" s="3"/>
      <c r="Q1745" s="3"/>
    </row>
    <row r="1746" spans="1:17" ht="21" customHeight="1">
      <c r="A1746" s="3" t="s">
        <v>2431</v>
      </c>
      <c r="B1746" s="5">
        <v>45770</v>
      </c>
      <c r="C1746" s="3" t="s">
        <v>1243</v>
      </c>
      <c r="D1746" s="3" t="s">
        <v>46</v>
      </c>
      <c r="E1746" s="3" t="s">
        <v>41</v>
      </c>
      <c r="F1746" s="3" t="s">
        <v>113</v>
      </c>
      <c r="G1746" s="3" t="s">
        <v>123</v>
      </c>
      <c r="H1746" s="3">
        <v>1</v>
      </c>
      <c r="I1746" s="7">
        <v>3512.38</v>
      </c>
      <c r="J1746" s="9">
        <v>0.2</v>
      </c>
      <c r="K1746" s="7">
        <v>2809.9</v>
      </c>
      <c r="L1746" s="7">
        <v>331.67</v>
      </c>
      <c r="M1746" s="3" t="s">
        <v>56</v>
      </c>
      <c r="N1746" s="3"/>
      <c r="O1746" s="3"/>
      <c r="P1746" s="3"/>
      <c r="Q1746" s="3"/>
    </row>
    <row r="1747" spans="1:17" ht="21" customHeight="1">
      <c r="A1747" s="3" t="s">
        <v>2432</v>
      </c>
      <c r="B1747" s="5">
        <v>45770</v>
      </c>
      <c r="C1747" s="3" t="s">
        <v>2433</v>
      </c>
      <c r="D1747" s="3" t="s">
        <v>44</v>
      </c>
      <c r="E1747" s="3" t="s">
        <v>41</v>
      </c>
      <c r="F1747" s="3" t="s">
        <v>113</v>
      </c>
      <c r="G1747" s="3" t="s">
        <v>123</v>
      </c>
      <c r="H1747" s="3">
        <v>2</v>
      </c>
      <c r="I1747" s="7">
        <v>3580.15</v>
      </c>
      <c r="J1747" s="9">
        <v>0.3</v>
      </c>
      <c r="K1747" s="7">
        <v>5012.21</v>
      </c>
      <c r="L1747" s="7">
        <v>121.44</v>
      </c>
      <c r="M1747" s="3" t="s">
        <v>58</v>
      </c>
      <c r="N1747" s="3"/>
      <c r="O1747" s="3"/>
      <c r="P1747" s="3"/>
      <c r="Q1747" s="3"/>
    </row>
    <row r="1748" spans="1:17" ht="21" customHeight="1">
      <c r="A1748" s="3" t="s">
        <v>2434</v>
      </c>
      <c r="B1748" s="5">
        <v>45770</v>
      </c>
      <c r="C1748" s="3" t="s">
        <v>1103</v>
      </c>
      <c r="D1748" s="3" t="s">
        <v>46</v>
      </c>
      <c r="E1748" s="3" t="s">
        <v>41</v>
      </c>
      <c r="F1748" s="3" t="s">
        <v>113</v>
      </c>
      <c r="G1748" s="3" t="s">
        <v>123</v>
      </c>
      <c r="H1748" s="3">
        <v>2</v>
      </c>
      <c r="I1748" s="7">
        <v>3329.58</v>
      </c>
      <c r="J1748" s="9">
        <v>0</v>
      </c>
      <c r="K1748" s="7">
        <v>6659.16</v>
      </c>
      <c r="L1748" s="7">
        <v>2342.4699999999998</v>
      </c>
      <c r="M1748" s="3" t="s">
        <v>60</v>
      </c>
      <c r="N1748" s="3"/>
      <c r="O1748" s="3"/>
      <c r="P1748" s="3"/>
      <c r="Q1748" s="3"/>
    </row>
    <row r="1749" spans="1:17" ht="21" customHeight="1">
      <c r="A1749" s="3" t="s">
        <v>2435</v>
      </c>
      <c r="B1749" s="5">
        <v>45771</v>
      </c>
      <c r="C1749" s="3" t="s">
        <v>686</v>
      </c>
      <c r="D1749" s="3" t="s">
        <v>44</v>
      </c>
      <c r="E1749" s="3" t="s">
        <v>38</v>
      </c>
      <c r="F1749" s="3" t="s">
        <v>142</v>
      </c>
      <c r="G1749" s="3" t="s">
        <v>143</v>
      </c>
      <c r="H1749" s="3">
        <v>2</v>
      </c>
      <c r="I1749" s="7">
        <v>9096.82</v>
      </c>
      <c r="J1749" s="9">
        <v>0</v>
      </c>
      <c r="K1749" s="7">
        <v>18193.64</v>
      </c>
      <c r="L1749" s="7">
        <v>3575.83</v>
      </c>
      <c r="M1749" s="3" t="s">
        <v>60</v>
      </c>
      <c r="N1749" s="3"/>
      <c r="O1749" s="3"/>
      <c r="P1749" s="3"/>
      <c r="Q1749" s="3"/>
    </row>
    <row r="1750" spans="1:17" ht="21" customHeight="1">
      <c r="A1750" s="3" t="s">
        <v>2436</v>
      </c>
      <c r="B1750" s="5">
        <v>45771</v>
      </c>
      <c r="C1750" s="3" t="s">
        <v>1783</v>
      </c>
      <c r="D1750" s="3" t="s">
        <v>47</v>
      </c>
      <c r="E1750" s="3" t="s">
        <v>42</v>
      </c>
      <c r="F1750" s="3" t="s">
        <v>126</v>
      </c>
      <c r="G1750" s="3" t="s">
        <v>127</v>
      </c>
      <c r="H1750" s="3">
        <v>2</v>
      </c>
      <c r="I1750" s="7">
        <v>954.64</v>
      </c>
      <c r="J1750" s="9">
        <v>0.05</v>
      </c>
      <c r="K1750" s="7">
        <v>1813.82</v>
      </c>
      <c r="L1750" s="7">
        <v>877.68</v>
      </c>
      <c r="M1750" s="3" t="s">
        <v>60</v>
      </c>
      <c r="N1750" s="3"/>
      <c r="O1750" s="3"/>
      <c r="P1750" s="3"/>
      <c r="Q1750" s="3"/>
    </row>
    <row r="1751" spans="1:17" ht="21" customHeight="1">
      <c r="A1751" s="3" t="s">
        <v>2437</v>
      </c>
      <c r="B1751" s="5">
        <v>45771</v>
      </c>
      <c r="C1751" s="3" t="s">
        <v>657</v>
      </c>
      <c r="D1751" s="3" t="s">
        <v>47</v>
      </c>
      <c r="E1751" s="3" t="s">
        <v>39</v>
      </c>
      <c r="F1751" s="3" t="s">
        <v>130</v>
      </c>
      <c r="G1751" s="3" t="s">
        <v>193</v>
      </c>
      <c r="H1751" s="3">
        <v>4</v>
      </c>
      <c r="I1751" s="7">
        <v>1762.39</v>
      </c>
      <c r="J1751" s="9">
        <v>0.25</v>
      </c>
      <c r="K1751" s="7">
        <v>5287.17</v>
      </c>
      <c r="L1751" s="7">
        <v>870.14</v>
      </c>
      <c r="M1751" s="3" t="s">
        <v>59</v>
      </c>
      <c r="N1751" s="3"/>
      <c r="O1751" s="3"/>
      <c r="P1751" s="3"/>
      <c r="Q1751" s="3"/>
    </row>
    <row r="1752" spans="1:17" ht="21" customHeight="1">
      <c r="A1752" s="3" t="s">
        <v>2438</v>
      </c>
      <c r="B1752" s="5">
        <v>45772</v>
      </c>
      <c r="C1752" s="3" t="s">
        <v>1431</v>
      </c>
      <c r="D1752" s="3" t="s">
        <v>47</v>
      </c>
      <c r="E1752" s="3" t="s">
        <v>39</v>
      </c>
      <c r="F1752" s="3" t="s">
        <v>130</v>
      </c>
      <c r="G1752" s="3" t="s">
        <v>193</v>
      </c>
      <c r="H1752" s="3">
        <v>3</v>
      </c>
      <c r="I1752" s="7">
        <v>1727.14</v>
      </c>
      <c r="J1752" s="9">
        <v>0.1</v>
      </c>
      <c r="K1752" s="7">
        <v>4663.28</v>
      </c>
      <c r="L1752" s="7">
        <v>1464.87</v>
      </c>
      <c r="M1752" s="3" t="s">
        <v>57</v>
      </c>
      <c r="N1752" s="3"/>
      <c r="O1752" s="3"/>
      <c r="P1752" s="3"/>
      <c r="Q1752" s="3"/>
    </row>
    <row r="1753" spans="1:17" ht="21" customHeight="1">
      <c r="A1753" s="3" t="s">
        <v>2439</v>
      </c>
      <c r="B1753" s="5">
        <v>45773</v>
      </c>
      <c r="C1753" s="3" t="s">
        <v>628</v>
      </c>
      <c r="D1753" s="3" t="s">
        <v>46</v>
      </c>
      <c r="E1753" s="3" t="s">
        <v>42</v>
      </c>
      <c r="F1753" s="3" t="s">
        <v>126</v>
      </c>
      <c r="G1753" s="3" t="s">
        <v>151</v>
      </c>
      <c r="H1753" s="3">
        <v>2</v>
      </c>
      <c r="I1753" s="7">
        <v>1512.27</v>
      </c>
      <c r="J1753" s="9">
        <v>0</v>
      </c>
      <c r="K1753" s="7">
        <v>3024.54</v>
      </c>
      <c r="L1753" s="7">
        <v>1618.24</v>
      </c>
      <c r="M1753" s="3" t="s">
        <v>57</v>
      </c>
      <c r="N1753" s="3"/>
      <c r="O1753" s="3"/>
      <c r="P1753" s="3"/>
      <c r="Q1753" s="3"/>
    </row>
    <row r="1754" spans="1:17" ht="21" customHeight="1">
      <c r="A1754" s="3" t="s">
        <v>2440</v>
      </c>
      <c r="B1754" s="5">
        <v>45773</v>
      </c>
      <c r="C1754" s="3" t="s">
        <v>671</v>
      </c>
      <c r="D1754" s="3" t="s">
        <v>45</v>
      </c>
      <c r="E1754" s="3" t="s">
        <v>38</v>
      </c>
      <c r="F1754" s="3" t="s">
        <v>94</v>
      </c>
      <c r="G1754" s="3" t="s">
        <v>213</v>
      </c>
      <c r="H1754" s="3">
        <v>1</v>
      </c>
      <c r="I1754" s="7">
        <v>53371.72</v>
      </c>
      <c r="J1754" s="9">
        <v>0</v>
      </c>
      <c r="K1754" s="7">
        <v>53371.72</v>
      </c>
      <c r="L1754" s="7">
        <v>10937.05</v>
      </c>
      <c r="M1754" s="3" t="s">
        <v>56</v>
      </c>
      <c r="N1754" s="3"/>
      <c r="O1754" s="3"/>
      <c r="P1754" s="3"/>
      <c r="Q1754" s="3"/>
    </row>
    <row r="1755" spans="1:17" ht="21" customHeight="1">
      <c r="A1755" s="3" t="s">
        <v>2441</v>
      </c>
      <c r="B1755" s="5">
        <v>45773</v>
      </c>
      <c r="C1755" s="3" t="s">
        <v>808</v>
      </c>
      <c r="D1755" s="3" t="s">
        <v>46</v>
      </c>
      <c r="E1755" s="3" t="s">
        <v>40</v>
      </c>
      <c r="F1755" s="3" t="s">
        <v>221</v>
      </c>
      <c r="G1755" s="3" t="s">
        <v>222</v>
      </c>
      <c r="H1755" s="3">
        <v>1</v>
      </c>
      <c r="I1755" s="7">
        <v>1002.45</v>
      </c>
      <c r="J1755" s="9">
        <v>0.15</v>
      </c>
      <c r="K1755" s="7">
        <v>852.08</v>
      </c>
      <c r="L1755" s="7">
        <v>159.15</v>
      </c>
      <c r="M1755" s="3" t="s">
        <v>56</v>
      </c>
      <c r="N1755" s="3"/>
      <c r="O1755" s="3"/>
      <c r="P1755" s="3"/>
      <c r="Q1755" s="3"/>
    </row>
    <row r="1756" spans="1:17" ht="21" customHeight="1">
      <c r="A1756" s="3" t="s">
        <v>2442</v>
      </c>
      <c r="B1756" s="5">
        <v>45774</v>
      </c>
      <c r="C1756" s="3" t="s">
        <v>345</v>
      </c>
      <c r="D1756" s="3" t="s">
        <v>47</v>
      </c>
      <c r="E1756" s="3" t="s">
        <v>38</v>
      </c>
      <c r="F1756" s="3" t="s">
        <v>94</v>
      </c>
      <c r="G1756" s="3" t="s">
        <v>213</v>
      </c>
      <c r="H1756" s="3">
        <v>1</v>
      </c>
      <c r="I1756" s="7">
        <v>55946.86</v>
      </c>
      <c r="J1756" s="9">
        <v>0.1</v>
      </c>
      <c r="K1756" s="7">
        <v>50352.17</v>
      </c>
      <c r="L1756" s="7">
        <v>3613.51</v>
      </c>
      <c r="M1756" s="3" t="s">
        <v>60</v>
      </c>
      <c r="N1756" s="3"/>
      <c r="O1756" s="3"/>
      <c r="P1756" s="3"/>
      <c r="Q1756" s="3"/>
    </row>
    <row r="1757" spans="1:17" ht="21" customHeight="1">
      <c r="A1757" s="3" t="s">
        <v>2443</v>
      </c>
      <c r="B1757" s="5">
        <v>45774</v>
      </c>
      <c r="C1757" s="3" t="s">
        <v>1019</v>
      </c>
      <c r="D1757" s="3" t="s">
        <v>44</v>
      </c>
      <c r="E1757" s="3" t="s">
        <v>39</v>
      </c>
      <c r="F1757" s="3" t="s">
        <v>130</v>
      </c>
      <c r="G1757" s="3" t="s">
        <v>193</v>
      </c>
      <c r="H1757" s="3">
        <v>1</v>
      </c>
      <c r="I1757" s="7">
        <v>1735.7</v>
      </c>
      <c r="J1757" s="9">
        <v>0.15</v>
      </c>
      <c r="K1757" s="7">
        <v>1475.35</v>
      </c>
      <c r="L1757" s="7">
        <v>355.93</v>
      </c>
      <c r="M1757" s="3" t="s">
        <v>59</v>
      </c>
      <c r="N1757" s="3"/>
      <c r="O1757" s="3"/>
      <c r="P1757" s="3"/>
      <c r="Q1757" s="3"/>
    </row>
    <row r="1758" spans="1:17" ht="21" customHeight="1">
      <c r="A1758" s="3" t="s">
        <v>2444</v>
      </c>
      <c r="B1758" s="5">
        <v>45774</v>
      </c>
      <c r="C1758" s="3" t="s">
        <v>827</v>
      </c>
      <c r="D1758" s="3" t="s">
        <v>45</v>
      </c>
      <c r="E1758" s="3" t="s">
        <v>38</v>
      </c>
      <c r="F1758" s="3" t="s">
        <v>142</v>
      </c>
      <c r="G1758" s="3" t="s">
        <v>245</v>
      </c>
      <c r="H1758" s="3">
        <v>1</v>
      </c>
      <c r="I1758" s="7">
        <v>4851.01</v>
      </c>
      <c r="J1758" s="9">
        <v>0.05</v>
      </c>
      <c r="K1758" s="7">
        <v>4608.46</v>
      </c>
      <c r="L1758" s="7">
        <v>583.98</v>
      </c>
      <c r="M1758" s="3" t="s">
        <v>57</v>
      </c>
      <c r="N1758" s="3"/>
      <c r="O1758" s="3"/>
      <c r="P1758" s="3"/>
      <c r="Q1758" s="3"/>
    </row>
    <row r="1759" spans="1:17" ht="21" customHeight="1">
      <c r="A1759" s="3" t="s">
        <v>2445</v>
      </c>
      <c r="B1759" s="5">
        <v>45774</v>
      </c>
      <c r="C1759" s="3" t="s">
        <v>442</v>
      </c>
      <c r="D1759" s="3" t="s">
        <v>47</v>
      </c>
      <c r="E1759" s="3" t="s">
        <v>38</v>
      </c>
      <c r="F1759" s="3" t="s">
        <v>94</v>
      </c>
      <c r="G1759" s="3" t="s">
        <v>95</v>
      </c>
      <c r="H1759" s="3">
        <v>1</v>
      </c>
      <c r="I1759" s="7">
        <v>79895.199999999997</v>
      </c>
      <c r="J1759" s="9">
        <v>0.3</v>
      </c>
      <c r="K1759" s="7">
        <v>55926.64</v>
      </c>
      <c r="L1759" s="7">
        <v>-8511.92</v>
      </c>
      <c r="M1759" s="3" t="s">
        <v>59</v>
      </c>
      <c r="N1759" s="3"/>
      <c r="O1759" s="3"/>
      <c r="P1759" s="3"/>
      <c r="Q1759" s="3"/>
    </row>
    <row r="1760" spans="1:17" ht="21" customHeight="1">
      <c r="A1760" s="3" t="s">
        <v>2446</v>
      </c>
      <c r="B1760" s="5">
        <v>45774</v>
      </c>
      <c r="C1760" s="3" t="s">
        <v>1376</v>
      </c>
      <c r="D1760" s="3" t="s">
        <v>46</v>
      </c>
      <c r="E1760" s="3" t="s">
        <v>38</v>
      </c>
      <c r="F1760" s="3" t="s">
        <v>142</v>
      </c>
      <c r="G1760" s="3" t="s">
        <v>245</v>
      </c>
      <c r="H1760" s="3">
        <v>3</v>
      </c>
      <c r="I1760" s="7">
        <v>5159.9799999999996</v>
      </c>
      <c r="J1760" s="9">
        <v>0.1</v>
      </c>
      <c r="K1760" s="7">
        <v>13931.95</v>
      </c>
      <c r="L1760" s="7">
        <v>432.27</v>
      </c>
      <c r="M1760" s="3" t="s">
        <v>56</v>
      </c>
      <c r="N1760" s="3"/>
      <c r="O1760" s="3"/>
      <c r="P1760" s="3"/>
      <c r="Q1760" s="3"/>
    </row>
    <row r="1761" spans="1:17" ht="21" customHeight="1">
      <c r="A1761" s="3" t="s">
        <v>2447</v>
      </c>
      <c r="B1761" s="5">
        <v>45775</v>
      </c>
      <c r="C1761" s="3" t="s">
        <v>1010</v>
      </c>
      <c r="D1761" s="3" t="s">
        <v>47</v>
      </c>
      <c r="E1761" s="3" t="s">
        <v>40</v>
      </c>
      <c r="F1761" s="3" t="s">
        <v>160</v>
      </c>
      <c r="G1761" s="3" t="s">
        <v>161</v>
      </c>
      <c r="H1761" s="3">
        <v>2</v>
      </c>
      <c r="I1761" s="7">
        <v>12796.9</v>
      </c>
      <c r="J1761" s="9">
        <v>0</v>
      </c>
      <c r="K1761" s="7">
        <v>25593.8</v>
      </c>
      <c r="L1761" s="7">
        <v>7552.75</v>
      </c>
      <c r="M1761" s="3" t="s">
        <v>60</v>
      </c>
      <c r="N1761" s="3"/>
      <c r="O1761" s="3"/>
      <c r="P1761" s="3"/>
      <c r="Q1761" s="3"/>
    </row>
    <row r="1762" spans="1:17" ht="21" customHeight="1">
      <c r="A1762" s="3" t="s">
        <v>2448</v>
      </c>
      <c r="B1762" s="5">
        <v>45775</v>
      </c>
      <c r="C1762" s="3" t="s">
        <v>2405</v>
      </c>
      <c r="D1762" s="3" t="s">
        <v>44</v>
      </c>
      <c r="E1762" s="3" t="s">
        <v>38</v>
      </c>
      <c r="F1762" s="3" t="s">
        <v>98</v>
      </c>
      <c r="G1762" s="3" t="s">
        <v>182</v>
      </c>
      <c r="H1762" s="3">
        <v>2</v>
      </c>
      <c r="I1762" s="7">
        <v>68964.02</v>
      </c>
      <c r="J1762" s="9">
        <v>0</v>
      </c>
      <c r="K1762" s="7">
        <v>137928.04</v>
      </c>
      <c r="L1762" s="7">
        <v>24538.28</v>
      </c>
      <c r="M1762" s="3" t="s">
        <v>59</v>
      </c>
      <c r="N1762" s="3"/>
      <c r="O1762" s="3"/>
      <c r="P1762" s="3"/>
      <c r="Q1762" s="3"/>
    </row>
    <row r="1763" spans="1:17" ht="21" customHeight="1">
      <c r="A1763" s="3" t="s">
        <v>2449</v>
      </c>
      <c r="B1763" s="5">
        <v>45775</v>
      </c>
      <c r="C1763" s="3" t="s">
        <v>1257</v>
      </c>
      <c r="D1763" s="3" t="s">
        <v>47</v>
      </c>
      <c r="E1763" s="3" t="s">
        <v>42</v>
      </c>
      <c r="F1763" s="3" t="s">
        <v>90</v>
      </c>
      <c r="G1763" s="3" t="s">
        <v>106</v>
      </c>
      <c r="H1763" s="3">
        <v>2</v>
      </c>
      <c r="I1763" s="7">
        <v>913.24</v>
      </c>
      <c r="J1763" s="9">
        <v>0.05</v>
      </c>
      <c r="K1763" s="7">
        <v>1735.16</v>
      </c>
      <c r="L1763" s="7">
        <v>916.55</v>
      </c>
      <c r="M1763" s="3" t="s">
        <v>56</v>
      </c>
      <c r="N1763" s="3"/>
      <c r="O1763" s="3"/>
      <c r="P1763" s="3"/>
      <c r="Q1763" s="3"/>
    </row>
    <row r="1764" spans="1:17" ht="21" customHeight="1">
      <c r="A1764" s="3" t="s">
        <v>2450</v>
      </c>
      <c r="B1764" s="5">
        <v>45775</v>
      </c>
      <c r="C1764" s="3" t="s">
        <v>175</v>
      </c>
      <c r="D1764" s="3" t="s">
        <v>45</v>
      </c>
      <c r="E1764" s="3" t="s">
        <v>42</v>
      </c>
      <c r="F1764" s="3" t="s">
        <v>90</v>
      </c>
      <c r="G1764" s="3" t="s">
        <v>91</v>
      </c>
      <c r="H1764" s="3">
        <v>4</v>
      </c>
      <c r="I1764" s="7">
        <v>1225.29</v>
      </c>
      <c r="J1764" s="9">
        <v>0.1</v>
      </c>
      <c r="K1764" s="7">
        <v>4411.04</v>
      </c>
      <c r="L1764" s="7">
        <v>2054.5100000000002</v>
      </c>
      <c r="M1764" s="3" t="s">
        <v>56</v>
      </c>
      <c r="N1764" s="3"/>
      <c r="O1764" s="3"/>
      <c r="P1764" s="3"/>
      <c r="Q1764" s="3"/>
    </row>
    <row r="1765" spans="1:17" ht="21" customHeight="1">
      <c r="A1765" s="3" t="s">
        <v>2451</v>
      </c>
      <c r="B1765" s="5">
        <v>45776</v>
      </c>
      <c r="C1765" s="3" t="s">
        <v>270</v>
      </c>
      <c r="D1765" s="3" t="s">
        <v>45</v>
      </c>
      <c r="E1765" s="3" t="s">
        <v>41</v>
      </c>
      <c r="F1765" s="3" t="s">
        <v>113</v>
      </c>
      <c r="G1765" s="3" t="s">
        <v>114</v>
      </c>
      <c r="H1765" s="3">
        <v>3</v>
      </c>
      <c r="I1765" s="7">
        <v>11664.94</v>
      </c>
      <c r="J1765" s="9">
        <v>0</v>
      </c>
      <c r="K1765" s="7">
        <v>34994.82</v>
      </c>
      <c r="L1765" s="7">
        <v>13834.96</v>
      </c>
      <c r="M1765" s="3" t="s">
        <v>57</v>
      </c>
      <c r="N1765" s="3"/>
      <c r="O1765" s="3"/>
      <c r="P1765" s="3"/>
      <c r="Q1765" s="3"/>
    </row>
    <row r="1766" spans="1:17" ht="21" customHeight="1">
      <c r="A1766" s="3" t="s">
        <v>2452</v>
      </c>
      <c r="B1766" s="5">
        <v>45776</v>
      </c>
      <c r="C1766" s="3" t="s">
        <v>1488</v>
      </c>
      <c r="D1766" s="3" t="s">
        <v>45</v>
      </c>
      <c r="E1766" s="3" t="s">
        <v>38</v>
      </c>
      <c r="F1766" s="3" t="s">
        <v>142</v>
      </c>
      <c r="G1766" s="3" t="s">
        <v>143</v>
      </c>
      <c r="H1766" s="3">
        <v>1</v>
      </c>
      <c r="I1766" s="7">
        <v>9260.9699999999993</v>
      </c>
      <c r="J1766" s="9">
        <v>0</v>
      </c>
      <c r="K1766" s="7">
        <v>9260.9699999999993</v>
      </c>
      <c r="L1766" s="7">
        <v>1952.8</v>
      </c>
      <c r="M1766" s="3" t="s">
        <v>56</v>
      </c>
      <c r="N1766" s="3"/>
      <c r="O1766" s="3"/>
      <c r="P1766" s="3"/>
      <c r="Q1766" s="3"/>
    </row>
    <row r="1767" spans="1:17" ht="21" customHeight="1">
      <c r="A1767" s="3" t="s">
        <v>2453</v>
      </c>
      <c r="B1767" s="5">
        <v>45776</v>
      </c>
      <c r="C1767" s="3" t="s">
        <v>686</v>
      </c>
      <c r="D1767" s="3" t="s">
        <v>45</v>
      </c>
      <c r="E1767" s="3" t="s">
        <v>42</v>
      </c>
      <c r="F1767" s="3" t="s">
        <v>90</v>
      </c>
      <c r="G1767" s="3" t="s">
        <v>106</v>
      </c>
      <c r="H1767" s="3">
        <v>2</v>
      </c>
      <c r="I1767" s="7">
        <v>879.77</v>
      </c>
      <c r="J1767" s="9">
        <v>0</v>
      </c>
      <c r="K1767" s="7">
        <v>1759.54</v>
      </c>
      <c r="L1767" s="7">
        <v>972.76</v>
      </c>
      <c r="M1767" s="3" t="s">
        <v>56</v>
      </c>
      <c r="N1767" s="3"/>
      <c r="O1767" s="3"/>
      <c r="P1767" s="3"/>
      <c r="Q1767" s="3"/>
    </row>
    <row r="1768" spans="1:17" ht="21" customHeight="1">
      <c r="A1768" s="3" t="s">
        <v>2454</v>
      </c>
      <c r="B1768" s="5">
        <v>45776</v>
      </c>
      <c r="C1768" s="3" t="s">
        <v>135</v>
      </c>
      <c r="D1768" s="3" t="s">
        <v>44</v>
      </c>
      <c r="E1768" s="3" t="s">
        <v>39</v>
      </c>
      <c r="F1768" s="3" t="s">
        <v>109</v>
      </c>
      <c r="G1768" s="3" t="s">
        <v>110</v>
      </c>
      <c r="H1768" s="3">
        <v>2</v>
      </c>
      <c r="I1768" s="7">
        <v>3059.19</v>
      </c>
      <c r="J1768" s="9">
        <v>0.25</v>
      </c>
      <c r="K1768" s="7">
        <v>4588.78</v>
      </c>
      <c r="L1768" s="7">
        <v>453.85</v>
      </c>
      <c r="M1768" s="3" t="s">
        <v>56</v>
      </c>
      <c r="N1768" s="3"/>
      <c r="O1768" s="3"/>
      <c r="P1768" s="3"/>
      <c r="Q1768" s="3"/>
    </row>
    <row r="1769" spans="1:17" ht="21" customHeight="1">
      <c r="A1769" s="3" t="s">
        <v>2455</v>
      </c>
      <c r="B1769" s="5">
        <v>45776</v>
      </c>
      <c r="C1769" s="3" t="s">
        <v>341</v>
      </c>
      <c r="D1769" s="3" t="s">
        <v>46</v>
      </c>
      <c r="E1769" s="3" t="s">
        <v>40</v>
      </c>
      <c r="F1769" s="3" t="s">
        <v>160</v>
      </c>
      <c r="G1769" s="3" t="s">
        <v>173</v>
      </c>
      <c r="H1769" s="3">
        <v>1</v>
      </c>
      <c r="I1769" s="7">
        <v>9392.73</v>
      </c>
      <c r="J1769" s="9">
        <v>0.1</v>
      </c>
      <c r="K1769" s="7">
        <v>8453.4599999999991</v>
      </c>
      <c r="L1769" s="7">
        <v>1755.15</v>
      </c>
      <c r="M1769" s="3" t="s">
        <v>60</v>
      </c>
      <c r="N1769" s="3"/>
      <c r="O1769" s="3"/>
      <c r="P1769" s="3"/>
      <c r="Q1769" s="3"/>
    </row>
    <row r="1770" spans="1:17" ht="21" customHeight="1">
      <c r="A1770" s="3" t="s">
        <v>2456</v>
      </c>
      <c r="B1770" s="5">
        <v>45776</v>
      </c>
      <c r="C1770" s="3" t="s">
        <v>1241</v>
      </c>
      <c r="D1770" s="3" t="s">
        <v>44</v>
      </c>
      <c r="E1770" s="3" t="s">
        <v>40</v>
      </c>
      <c r="F1770" s="3" t="s">
        <v>221</v>
      </c>
      <c r="G1770" s="3" t="s">
        <v>222</v>
      </c>
      <c r="H1770" s="3">
        <v>2</v>
      </c>
      <c r="I1770" s="7">
        <v>1015.62</v>
      </c>
      <c r="J1770" s="9">
        <v>0</v>
      </c>
      <c r="K1770" s="7">
        <v>2031.24</v>
      </c>
      <c r="L1770" s="7">
        <v>738.86</v>
      </c>
      <c r="M1770" s="3" t="s">
        <v>57</v>
      </c>
      <c r="N1770" s="3"/>
      <c r="O1770" s="3"/>
      <c r="P1770" s="3"/>
      <c r="Q1770" s="3"/>
    </row>
    <row r="1771" spans="1:17" ht="21" customHeight="1">
      <c r="A1771" s="3" t="s">
        <v>2457</v>
      </c>
      <c r="B1771" s="5">
        <v>45776</v>
      </c>
      <c r="C1771" s="3" t="s">
        <v>465</v>
      </c>
      <c r="D1771" s="3" t="s">
        <v>46</v>
      </c>
      <c r="E1771" s="3" t="s">
        <v>39</v>
      </c>
      <c r="F1771" s="3" t="s">
        <v>130</v>
      </c>
      <c r="G1771" s="3" t="s">
        <v>131</v>
      </c>
      <c r="H1771" s="3">
        <v>1</v>
      </c>
      <c r="I1771" s="7">
        <v>2252.9699999999998</v>
      </c>
      <c r="J1771" s="9">
        <v>0</v>
      </c>
      <c r="K1771" s="7">
        <v>2252.9699999999998</v>
      </c>
      <c r="L1771" s="7">
        <v>987.64</v>
      </c>
      <c r="M1771" s="3" t="s">
        <v>56</v>
      </c>
      <c r="N1771" s="3"/>
      <c r="O1771" s="3"/>
      <c r="P1771" s="3"/>
      <c r="Q1771" s="3"/>
    </row>
    <row r="1772" spans="1:17" ht="21" customHeight="1">
      <c r="A1772" s="3" t="s">
        <v>2458</v>
      </c>
      <c r="B1772" s="5">
        <v>45777</v>
      </c>
      <c r="C1772" s="3" t="s">
        <v>324</v>
      </c>
      <c r="D1772" s="3" t="s">
        <v>44</v>
      </c>
      <c r="E1772" s="3" t="s">
        <v>41</v>
      </c>
      <c r="F1772" s="3" t="s">
        <v>113</v>
      </c>
      <c r="G1772" s="3" t="s">
        <v>114</v>
      </c>
      <c r="H1772" s="3">
        <v>1</v>
      </c>
      <c r="I1772" s="7">
        <v>11774.08</v>
      </c>
      <c r="J1772" s="9">
        <v>0.15</v>
      </c>
      <c r="K1772" s="7">
        <v>10007.969999999999</v>
      </c>
      <c r="L1772" s="7">
        <v>1926.55</v>
      </c>
      <c r="M1772" s="3" t="s">
        <v>60</v>
      </c>
      <c r="N1772" s="3"/>
      <c r="O1772" s="3"/>
      <c r="P1772" s="3"/>
      <c r="Q1772" s="3"/>
    </row>
    <row r="1773" spans="1:17" ht="21" customHeight="1">
      <c r="A1773" s="3" t="s">
        <v>2459</v>
      </c>
      <c r="B1773" s="5">
        <v>45777</v>
      </c>
      <c r="C1773" s="3" t="s">
        <v>1109</v>
      </c>
      <c r="D1773" s="3" t="s">
        <v>45</v>
      </c>
      <c r="E1773" s="3" t="s">
        <v>42</v>
      </c>
      <c r="F1773" s="3" t="s">
        <v>126</v>
      </c>
      <c r="G1773" s="3" t="s">
        <v>151</v>
      </c>
      <c r="H1773" s="3">
        <v>1</v>
      </c>
      <c r="I1773" s="7">
        <v>1530.85</v>
      </c>
      <c r="J1773" s="9">
        <v>0</v>
      </c>
      <c r="K1773" s="7">
        <v>1530.85</v>
      </c>
      <c r="L1773" s="7">
        <v>845.09</v>
      </c>
      <c r="M1773" s="3" t="s">
        <v>60</v>
      </c>
      <c r="N1773" s="3"/>
      <c r="O1773" s="3"/>
      <c r="P1773" s="3"/>
      <c r="Q1773" s="3"/>
    </row>
    <row r="1774" spans="1:17" ht="21" customHeight="1">
      <c r="A1774" s="3" t="s">
        <v>2460</v>
      </c>
      <c r="B1774" s="5">
        <v>45777</v>
      </c>
      <c r="C1774" s="3" t="s">
        <v>543</v>
      </c>
      <c r="D1774" s="3" t="s">
        <v>44</v>
      </c>
      <c r="E1774" s="3" t="s">
        <v>38</v>
      </c>
      <c r="F1774" s="3" t="s">
        <v>94</v>
      </c>
      <c r="G1774" s="3" t="s">
        <v>213</v>
      </c>
      <c r="H1774" s="3">
        <v>1</v>
      </c>
      <c r="I1774" s="7">
        <v>55569.84</v>
      </c>
      <c r="J1774" s="9">
        <v>0</v>
      </c>
      <c r="K1774" s="7">
        <v>55569.84</v>
      </c>
      <c r="L1774" s="7">
        <v>8317.85</v>
      </c>
      <c r="M1774" s="3" t="s">
        <v>56</v>
      </c>
      <c r="N1774" s="3"/>
      <c r="O1774" s="3"/>
      <c r="P1774" s="3"/>
      <c r="Q1774" s="3"/>
    </row>
    <row r="1775" spans="1:17" ht="21" customHeight="1">
      <c r="A1775" s="3" t="s">
        <v>2461</v>
      </c>
      <c r="B1775" s="5">
        <v>45777</v>
      </c>
      <c r="C1775" s="3" t="s">
        <v>1421</v>
      </c>
      <c r="D1775" s="3" t="s">
        <v>47</v>
      </c>
      <c r="E1775" s="3" t="s">
        <v>38</v>
      </c>
      <c r="F1775" s="3" t="s">
        <v>142</v>
      </c>
      <c r="G1775" s="3" t="s">
        <v>143</v>
      </c>
      <c r="H1775" s="3">
        <v>1</v>
      </c>
      <c r="I1775" s="7">
        <v>8706.4500000000007</v>
      </c>
      <c r="J1775" s="9">
        <v>0</v>
      </c>
      <c r="K1775" s="7">
        <v>8706.4500000000007</v>
      </c>
      <c r="L1775" s="7">
        <v>1423.76</v>
      </c>
      <c r="M1775" s="3" t="s">
        <v>58</v>
      </c>
      <c r="N1775" s="3"/>
      <c r="O1775" s="3"/>
      <c r="P1775" s="3"/>
      <c r="Q1775" s="3"/>
    </row>
    <row r="1776" spans="1:17" ht="21" customHeight="1">
      <c r="A1776" s="3" t="s">
        <v>2462</v>
      </c>
      <c r="B1776" s="5">
        <v>45777</v>
      </c>
      <c r="C1776" s="3" t="s">
        <v>974</v>
      </c>
      <c r="D1776" s="3" t="s">
        <v>45</v>
      </c>
      <c r="E1776" s="3" t="s">
        <v>40</v>
      </c>
      <c r="F1776" s="3" t="s">
        <v>221</v>
      </c>
      <c r="G1776" s="3" t="s">
        <v>279</v>
      </c>
      <c r="H1776" s="3">
        <v>1</v>
      </c>
      <c r="I1776" s="7">
        <v>1567.85</v>
      </c>
      <c r="J1776" s="9">
        <v>0.15</v>
      </c>
      <c r="K1776" s="7">
        <v>1332.67</v>
      </c>
      <c r="L1776" s="7">
        <v>241.14</v>
      </c>
      <c r="M1776" s="3" t="s">
        <v>56</v>
      </c>
      <c r="N1776" s="3"/>
      <c r="O1776" s="3"/>
      <c r="P1776" s="3"/>
      <c r="Q1776" s="3"/>
    </row>
    <row r="1777" spans="1:17" ht="21" customHeight="1">
      <c r="A1777" s="3" t="s">
        <v>2463</v>
      </c>
      <c r="B1777" s="5">
        <v>45777</v>
      </c>
      <c r="C1777" s="3" t="s">
        <v>450</v>
      </c>
      <c r="D1777" s="3" t="s">
        <v>47</v>
      </c>
      <c r="E1777" s="3" t="s">
        <v>39</v>
      </c>
      <c r="F1777" s="3" t="s">
        <v>164</v>
      </c>
      <c r="G1777" s="3" t="s">
        <v>165</v>
      </c>
      <c r="H1777" s="3">
        <v>3</v>
      </c>
      <c r="I1777" s="7">
        <v>1964.99</v>
      </c>
      <c r="J1777" s="9">
        <v>0.15</v>
      </c>
      <c r="K1777" s="7">
        <v>5010.72</v>
      </c>
      <c r="L1777" s="7">
        <v>1162.03</v>
      </c>
      <c r="M1777" s="3" t="s">
        <v>57</v>
      </c>
      <c r="N1777" s="3"/>
      <c r="O1777" s="3"/>
      <c r="P1777" s="3"/>
      <c r="Q1777" s="3"/>
    </row>
    <row r="1778" spans="1:17" ht="21" customHeight="1">
      <c r="A1778" s="3" t="s">
        <v>2464</v>
      </c>
      <c r="B1778" s="5">
        <v>45777</v>
      </c>
      <c r="C1778" s="3" t="s">
        <v>93</v>
      </c>
      <c r="D1778" s="3" t="s">
        <v>46</v>
      </c>
      <c r="E1778" s="3" t="s">
        <v>39</v>
      </c>
      <c r="F1778" s="3" t="s">
        <v>164</v>
      </c>
      <c r="G1778" s="3" t="s">
        <v>165</v>
      </c>
      <c r="H1778" s="3">
        <v>2</v>
      </c>
      <c r="I1778" s="7">
        <v>1931.61</v>
      </c>
      <c r="J1778" s="9">
        <v>0.05</v>
      </c>
      <c r="K1778" s="7">
        <v>3670.06</v>
      </c>
      <c r="L1778" s="7">
        <v>1456.92</v>
      </c>
      <c r="M1778" s="3" t="s">
        <v>59</v>
      </c>
      <c r="N1778" s="3"/>
      <c r="O1778" s="3"/>
      <c r="P1778" s="3"/>
      <c r="Q1778" s="3"/>
    </row>
    <row r="1779" spans="1:17" ht="21" customHeight="1">
      <c r="A1779" s="3" t="s">
        <v>2465</v>
      </c>
      <c r="B1779" s="5">
        <v>45778</v>
      </c>
      <c r="C1779" s="3" t="s">
        <v>2466</v>
      </c>
      <c r="D1779" s="3" t="s">
        <v>44</v>
      </c>
      <c r="E1779" s="3" t="s">
        <v>42</v>
      </c>
      <c r="F1779" s="3" t="s">
        <v>90</v>
      </c>
      <c r="G1779" s="3" t="s">
        <v>106</v>
      </c>
      <c r="H1779" s="3">
        <v>1</v>
      </c>
      <c r="I1779" s="7">
        <v>855.31</v>
      </c>
      <c r="J1779" s="9">
        <v>0.1</v>
      </c>
      <c r="K1779" s="7">
        <v>769.78</v>
      </c>
      <c r="L1779" s="7">
        <v>317.43</v>
      </c>
      <c r="M1779" s="3" t="s">
        <v>56</v>
      </c>
      <c r="N1779" s="3"/>
      <c r="O1779" s="3"/>
      <c r="P1779" s="3"/>
      <c r="Q1779" s="3"/>
    </row>
    <row r="1780" spans="1:17" ht="21" customHeight="1">
      <c r="A1780" s="3" t="s">
        <v>2467</v>
      </c>
      <c r="B1780" s="5">
        <v>45778</v>
      </c>
      <c r="C1780" s="3" t="s">
        <v>645</v>
      </c>
      <c r="D1780" s="3" t="s">
        <v>44</v>
      </c>
      <c r="E1780" s="3" t="s">
        <v>41</v>
      </c>
      <c r="F1780" s="3" t="s">
        <v>113</v>
      </c>
      <c r="G1780" s="3" t="s">
        <v>114</v>
      </c>
      <c r="H1780" s="3">
        <v>3</v>
      </c>
      <c r="I1780" s="7">
        <v>11577.73</v>
      </c>
      <c r="J1780" s="9">
        <v>0.05</v>
      </c>
      <c r="K1780" s="7">
        <v>32996.53</v>
      </c>
      <c r="L1780" s="7">
        <v>10253.959999999999</v>
      </c>
      <c r="M1780" s="3" t="s">
        <v>56</v>
      </c>
      <c r="N1780" s="3"/>
      <c r="O1780" s="3"/>
      <c r="P1780" s="3"/>
      <c r="Q1780" s="3"/>
    </row>
    <row r="1781" spans="1:17" ht="21" customHeight="1">
      <c r="A1781" s="3" t="s">
        <v>2468</v>
      </c>
      <c r="B1781" s="5">
        <v>45778</v>
      </c>
      <c r="C1781" s="3" t="s">
        <v>647</v>
      </c>
      <c r="D1781" s="3" t="s">
        <v>44</v>
      </c>
      <c r="E1781" s="3" t="s">
        <v>39</v>
      </c>
      <c r="F1781" s="3" t="s">
        <v>130</v>
      </c>
      <c r="G1781" s="3" t="s">
        <v>193</v>
      </c>
      <c r="H1781" s="3">
        <v>2</v>
      </c>
      <c r="I1781" s="7">
        <v>1781.17</v>
      </c>
      <c r="J1781" s="9">
        <v>0.3</v>
      </c>
      <c r="K1781" s="7">
        <v>2493.64</v>
      </c>
      <c r="L1781" s="7">
        <v>170.58</v>
      </c>
      <c r="M1781" s="3" t="s">
        <v>57</v>
      </c>
      <c r="N1781" s="3"/>
      <c r="O1781" s="3"/>
      <c r="P1781" s="3"/>
      <c r="Q1781" s="3"/>
    </row>
    <row r="1782" spans="1:17" ht="21" customHeight="1">
      <c r="A1782" s="3" t="s">
        <v>2469</v>
      </c>
      <c r="B1782" s="5">
        <v>45778</v>
      </c>
      <c r="C1782" s="3" t="s">
        <v>247</v>
      </c>
      <c r="D1782" s="3" t="s">
        <v>47</v>
      </c>
      <c r="E1782" s="3" t="s">
        <v>41</v>
      </c>
      <c r="F1782" s="3" t="s">
        <v>119</v>
      </c>
      <c r="G1782" s="3" t="s">
        <v>120</v>
      </c>
      <c r="H1782" s="3">
        <v>2</v>
      </c>
      <c r="I1782" s="7">
        <v>1263.1199999999999</v>
      </c>
      <c r="J1782" s="9">
        <v>0.15</v>
      </c>
      <c r="K1782" s="7">
        <v>2147.3000000000002</v>
      </c>
      <c r="L1782" s="7">
        <v>508.27</v>
      </c>
      <c r="M1782" s="3" t="s">
        <v>60</v>
      </c>
      <c r="N1782" s="3"/>
      <c r="O1782" s="3"/>
      <c r="P1782" s="3"/>
      <c r="Q1782" s="3"/>
    </row>
    <row r="1783" spans="1:17" ht="21" customHeight="1">
      <c r="A1783" s="3" t="s">
        <v>2470</v>
      </c>
      <c r="B1783" s="5">
        <v>45778</v>
      </c>
      <c r="C1783" s="3" t="s">
        <v>2471</v>
      </c>
      <c r="D1783" s="3" t="s">
        <v>47</v>
      </c>
      <c r="E1783" s="3" t="s">
        <v>41</v>
      </c>
      <c r="F1783" s="3" t="s">
        <v>113</v>
      </c>
      <c r="G1783" s="3" t="s">
        <v>123</v>
      </c>
      <c r="H1783" s="3">
        <v>2</v>
      </c>
      <c r="I1783" s="7">
        <v>3598.27</v>
      </c>
      <c r="J1783" s="9">
        <v>0.2</v>
      </c>
      <c r="K1783" s="7">
        <v>5757.23</v>
      </c>
      <c r="L1783" s="7">
        <v>1049.33</v>
      </c>
      <c r="M1783" s="3" t="s">
        <v>57</v>
      </c>
      <c r="N1783" s="3"/>
      <c r="O1783" s="3"/>
      <c r="P1783" s="3"/>
      <c r="Q1783" s="3"/>
    </row>
    <row r="1784" spans="1:17" ht="21" customHeight="1">
      <c r="A1784" s="3" t="s">
        <v>2472</v>
      </c>
      <c r="B1784" s="5">
        <v>45779</v>
      </c>
      <c r="C1784" s="3" t="s">
        <v>591</v>
      </c>
      <c r="D1784" s="3" t="s">
        <v>46</v>
      </c>
      <c r="E1784" s="3" t="s">
        <v>42</v>
      </c>
      <c r="F1784" s="3" t="s">
        <v>126</v>
      </c>
      <c r="G1784" s="3" t="s">
        <v>151</v>
      </c>
      <c r="H1784" s="3">
        <v>1</v>
      </c>
      <c r="I1784" s="7">
        <v>1533.91</v>
      </c>
      <c r="J1784" s="9">
        <v>0</v>
      </c>
      <c r="K1784" s="7">
        <v>1533.91</v>
      </c>
      <c r="L1784" s="7">
        <v>810.73</v>
      </c>
      <c r="M1784" s="3" t="s">
        <v>57</v>
      </c>
      <c r="N1784" s="3"/>
      <c r="O1784" s="3"/>
      <c r="P1784" s="3"/>
      <c r="Q1784" s="3"/>
    </row>
    <row r="1785" spans="1:17" ht="21" customHeight="1">
      <c r="A1785" s="3" t="s">
        <v>2473</v>
      </c>
      <c r="B1785" s="5">
        <v>45779</v>
      </c>
      <c r="C1785" s="3" t="s">
        <v>1058</v>
      </c>
      <c r="D1785" s="3" t="s">
        <v>44</v>
      </c>
      <c r="E1785" s="3" t="s">
        <v>40</v>
      </c>
      <c r="F1785" s="3" t="s">
        <v>160</v>
      </c>
      <c r="G1785" s="3" t="s">
        <v>173</v>
      </c>
      <c r="H1785" s="3">
        <v>1</v>
      </c>
      <c r="I1785" s="7">
        <v>9433.91</v>
      </c>
      <c r="J1785" s="9">
        <v>0.25</v>
      </c>
      <c r="K1785" s="7">
        <v>7075.43</v>
      </c>
      <c r="L1785" s="7">
        <v>535.36</v>
      </c>
      <c r="M1785" s="3" t="s">
        <v>57</v>
      </c>
      <c r="N1785" s="3"/>
      <c r="O1785" s="3"/>
      <c r="P1785" s="3"/>
      <c r="Q1785" s="3"/>
    </row>
    <row r="1786" spans="1:17" ht="21" customHeight="1">
      <c r="A1786" s="3" t="s">
        <v>2474</v>
      </c>
      <c r="B1786" s="5">
        <v>45780</v>
      </c>
      <c r="C1786" s="3" t="s">
        <v>1599</v>
      </c>
      <c r="D1786" s="3" t="s">
        <v>44</v>
      </c>
      <c r="E1786" s="3" t="s">
        <v>39</v>
      </c>
      <c r="F1786" s="3" t="s">
        <v>130</v>
      </c>
      <c r="G1786" s="3" t="s">
        <v>193</v>
      </c>
      <c r="H1786" s="3">
        <v>2</v>
      </c>
      <c r="I1786" s="7">
        <v>1878.15</v>
      </c>
      <c r="J1786" s="9">
        <v>0.1</v>
      </c>
      <c r="K1786" s="7">
        <v>3380.67</v>
      </c>
      <c r="L1786" s="7">
        <v>1013.73</v>
      </c>
      <c r="M1786" s="3" t="s">
        <v>56</v>
      </c>
      <c r="N1786" s="3"/>
      <c r="O1786" s="3"/>
      <c r="P1786" s="3"/>
      <c r="Q1786" s="3"/>
    </row>
    <row r="1787" spans="1:17" ht="21" customHeight="1">
      <c r="A1787" s="3" t="s">
        <v>2475</v>
      </c>
      <c r="B1787" s="5">
        <v>45781</v>
      </c>
      <c r="C1787" s="3" t="s">
        <v>414</v>
      </c>
      <c r="D1787" s="3" t="s">
        <v>44</v>
      </c>
      <c r="E1787" s="3" t="s">
        <v>38</v>
      </c>
      <c r="F1787" s="3" t="s">
        <v>98</v>
      </c>
      <c r="G1787" s="3" t="s">
        <v>99</v>
      </c>
      <c r="H1787" s="3">
        <v>1</v>
      </c>
      <c r="I1787" s="7">
        <v>24314.5</v>
      </c>
      <c r="J1787" s="9">
        <v>0</v>
      </c>
      <c r="K1787" s="7">
        <v>24314.5</v>
      </c>
      <c r="L1787" s="7">
        <v>4726.71</v>
      </c>
      <c r="M1787" s="3" t="s">
        <v>57</v>
      </c>
      <c r="N1787" s="3"/>
      <c r="O1787" s="3"/>
      <c r="P1787" s="3"/>
      <c r="Q1787" s="3"/>
    </row>
    <row r="1788" spans="1:17" ht="21" customHeight="1">
      <c r="A1788" s="3" t="s">
        <v>2476</v>
      </c>
      <c r="B1788" s="5">
        <v>45781</v>
      </c>
      <c r="C1788" s="3" t="s">
        <v>255</v>
      </c>
      <c r="D1788" s="3" t="s">
        <v>45</v>
      </c>
      <c r="E1788" s="3" t="s">
        <v>41</v>
      </c>
      <c r="F1788" s="3" t="s">
        <v>119</v>
      </c>
      <c r="G1788" s="3" t="s">
        <v>120</v>
      </c>
      <c r="H1788" s="3">
        <v>4</v>
      </c>
      <c r="I1788" s="7">
        <v>1318.12</v>
      </c>
      <c r="J1788" s="9">
        <v>0.1</v>
      </c>
      <c r="K1788" s="7">
        <v>4745.2299999999996</v>
      </c>
      <c r="L1788" s="7">
        <v>1099.55</v>
      </c>
      <c r="M1788" s="3" t="s">
        <v>56</v>
      </c>
      <c r="N1788" s="3"/>
      <c r="O1788" s="3"/>
      <c r="P1788" s="3"/>
      <c r="Q1788" s="3"/>
    </row>
    <row r="1789" spans="1:17" ht="21" customHeight="1">
      <c r="A1789" s="3" t="s">
        <v>2477</v>
      </c>
      <c r="B1789" s="5">
        <v>45781</v>
      </c>
      <c r="C1789" s="3" t="s">
        <v>1261</v>
      </c>
      <c r="D1789" s="3" t="s">
        <v>45</v>
      </c>
      <c r="E1789" s="3" t="s">
        <v>39</v>
      </c>
      <c r="F1789" s="3" t="s">
        <v>164</v>
      </c>
      <c r="G1789" s="3" t="s">
        <v>165</v>
      </c>
      <c r="H1789" s="3">
        <v>1</v>
      </c>
      <c r="I1789" s="7">
        <v>2038.95</v>
      </c>
      <c r="J1789" s="9">
        <v>0.15</v>
      </c>
      <c r="K1789" s="7">
        <v>1733.11</v>
      </c>
      <c r="L1789" s="7">
        <v>364.3</v>
      </c>
      <c r="M1789" s="3" t="s">
        <v>59</v>
      </c>
      <c r="N1789" s="3"/>
      <c r="O1789" s="3"/>
      <c r="P1789" s="3"/>
      <c r="Q1789" s="3"/>
    </row>
    <row r="1790" spans="1:17" ht="21" customHeight="1">
      <c r="A1790" s="3" t="s">
        <v>2478</v>
      </c>
      <c r="B1790" s="5">
        <v>45782</v>
      </c>
      <c r="C1790" s="3" t="s">
        <v>775</v>
      </c>
      <c r="D1790" s="3" t="s">
        <v>46</v>
      </c>
      <c r="E1790" s="3" t="s">
        <v>42</v>
      </c>
      <c r="F1790" s="3" t="s">
        <v>126</v>
      </c>
      <c r="G1790" s="3" t="s">
        <v>127</v>
      </c>
      <c r="H1790" s="3">
        <v>1</v>
      </c>
      <c r="I1790" s="7">
        <v>1030.32</v>
      </c>
      <c r="J1790" s="9">
        <v>0.1</v>
      </c>
      <c r="K1790" s="7">
        <v>927.29</v>
      </c>
      <c r="L1790" s="7">
        <v>379.27</v>
      </c>
      <c r="M1790" s="3" t="s">
        <v>57</v>
      </c>
      <c r="N1790" s="3"/>
      <c r="O1790" s="3"/>
      <c r="P1790" s="3"/>
      <c r="Q1790" s="3"/>
    </row>
    <row r="1791" spans="1:17" ht="21" customHeight="1">
      <c r="A1791" s="3" t="s">
        <v>2479</v>
      </c>
      <c r="B1791" s="5">
        <v>45782</v>
      </c>
      <c r="C1791" s="3" t="s">
        <v>1243</v>
      </c>
      <c r="D1791" s="3" t="s">
        <v>44</v>
      </c>
      <c r="E1791" s="3" t="s">
        <v>38</v>
      </c>
      <c r="F1791" s="3" t="s">
        <v>94</v>
      </c>
      <c r="G1791" s="3" t="s">
        <v>95</v>
      </c>
      <c r="H1791" s="3">
        <v>1</v>
      </c>
      <c r="I1791" s="7">
        <v>76074.23</v>
      </c>
      <c r="J1791" s="9">
        <v>0.4</v>
      </c>
      <c r="K1791" s="7">
        <v>45644.54</v>
      </c>
      <c r="L1791" s="7">
        <v>-11377.37</v>
      </c>
      <c r="M1791" s="3" t="s">
        <v>56</v>
      </c>
      <c r="N1791" s="3"/>
      <c r="O1791" s="3"/>
      <c r="P1791" s="3"/>
      <c r="Q1791" s="3"/>
    </row>
    <row r="1792" spans="1:17" ht="21" customHeight="1">
      <c r="A1792" s="3" t="s">
        <v>2480</v>
      </c>
      <c r="B1792" s="5">
        <v>45782</v>
      </c>
      <c r="C1792" s="3" t="s">
        <v>1885</v>
      </c>
      <c r="D1792" s="3" t="s">
        <v>44</v>
      </c>
      <c r="E1792" s="3" t="s">
        <v>38</v>
      </c>
      <c r="F1792" s="3" t="s">
        <v>142</v>
      </c>
      <c r="G1792" s="3" t="s">
        <v>245</v>
      </c>
      <c r="H1792" s="3">
        <v>2</v>
      </c>
      <c r="I1792" s="7">
        <v>5050.72</v>
      </c>
      <c r="J1792" s="9">
        <v>0</v>
      </c>
      <c r="K1792" s="7">
        <v>10101.44</v>
      </c>
      <c r="L1792" s="7">
        <v>1763.7</v>
      </c>
      <c r="M1792" s="3" t="s">
        <v>56</v>
      </c>
      <c r="N1792" s="3"/>
      <c r="O1792" s="3"/>
      <c r="P1792" s="3"/>
      <c r="Q1792" s="3"/>
    </row>
    <row r="1793" spans="1:17" ht="21" customHeight="1">
      <c r="A1793" s="3" t="s">
        <v>2481</v>
      </c>
      <c r="B1793" s="5">
        <v>45783</v>
      </c>
      <c r="C1793" s="3" t="s">
        <v>135</v>
      </c>
      <c r="D1793" s="3" t="s">
        <v>44</v>
      </c>
      <c r="E1793" s="3" t="s">
        <v>39</v>
      </c>
      <c r="F1793" s="3" t="s">
        <v>164</v>
      </c>
      <c r="G1793" s="3" t="s">
        <v>165</v>
      </c>
      <c r="H1793" s="3">
        <v>1</v>
      </c>
      <c r="I1793" s="7">
        <v>1997.19</v>
      </c>
      <c r="J1793" s="9">
        <v>0.1</v>
      </c>
      <c r="K1793" s="7">
        <v>1797.47</v>
      </c>
      <c r="L1793" s="7">
        <v>484.17</v>
      </c>
      <c r="M1793" s="3" t="s">
        <v>56</v>
      </c>
      <c r="N1793" s="3"/>
      <c r="O1793" s="3"/>
      <c r="P1793" s="3"/>
      <c r="Q1793" s="3"/>
    </row>
    <row r="1794" spans="1:17" ht="21" customHeight="1">
      <c r="A1794" s="3" t="s">
        <v>2482</v>
      </c>
      <c r="B1794" s="5">
        <v>45783</v>
      </c>
      <c r="C1794" s="3" t="s">
        <v>628</v>
      </c>
      <c r="D1794" s="3" t="s">
        <v>44</v>
      </c>
      <c r="E1794" s="3" t="s">
        <v>40</v>
      </c>
      <c r="F1794" s="3" t="s">
        <v>160</v>
      </c>
      <c r="G1794" s="3" t="s">
        <v>161</v>
      </c>
      <c r="H1794" s="3">
        <v>1</v>
      </c>
      <c r="I1794" s="7">
        <v>13182.82</v>
      </c>
      <c r="J1794" s="9">
        <v>0</v>
      </c>
      <c r="K1794" s="7">
        <v>13182.82</v>
      </c>
      <c r="L1794" s="7">
        <v>4781.12</v>
      </c>
      <c r="M1794" s="3" t="s">
        <v>57</v>
      </c>
      <c r="N1794" s="3"/>
      <c r="O1794" s="3"/>
      <c r="P1794" s="3"/>
      <c r="Q1794" s="3"/>
    </row>
    <row r="1795" spans="1:17" ht="21" customHeight="1">
      <c r="A1795" s="3" t="s">
        <v>2483</v>
      </c>
      <c r="B1795" s="5">
        <v>45783</v>
      </c>
      <c r="C1795" s="3" t="s">
        <v>2484</v>
      </c>
      <c r="D1795" s="3" t="s">
        <v>44</v>
      </c>
      <c r="E1795" s="3" t="s">
        <v>39</v>
      </c>
      <c r="F1795" s="3" t="s">
        <v>164</v>
      </c>
      <c r="G1795" s="3" t="s">
        <v>165</v>
      </c>
      <c r="H1795" s="3">
        <v>1</v>
      </c>
      <c r="I1795" s="7">
        <v>1937.55</v>
      </c>
      <c r="J1795" s="9">
        <v>0</v>
      </c>
      <c r="K1795" s="7">
        <v>1937.55</v>
      </c>
      <c r="L1795" s="7">
        <v>749.83</v>
      </c>
      <c r="M1795" s="3" t="s">
        <v>57</v>
      </c>
      <c r="N1795" s="3"/>
      <c r="O1795" s="3"/>
      <c r="P1795" s="3"/>
      <c r="Q1795" s="3"/>
    </row>
    <row r="1796" spans="1:17" ht="21" customHeight="1">
      <c r="A1796" s="3" t="s">
        <v>2485</v>
      </c>
      <c r="B1796" s="5">
        <v>45784</v>
      </c>
      <c r="C1796" s="3" t="s">
        <v>539</v>
      </c>
      <c r="D1796" s="3" t="s">
        <v>45</v>
      </c>
      <c r="E1796" s="3" t="s">
        <v>39</v>
      </c>
      <c r="F1796" s="3" t="s">
        <v>130</v>
      </c>
      <c r="G1796" s="3" t="s">
        <v>131</v>
      </c>
      <c r="H1796" s="3">
        <v>1</v>
      </c>
      <c r="I1796" s="7">
        <v>2128.6</v>
      </c>
      <c r="J1796" s="9">
        <v>0.05</v>
      </c>
      <c r="K1796" s="7">
        <v>2022.17</v>
      </c>
      <c r="L1796" s="7">
        <v>676.54</v>
      </c>
      <c r="M1796" s="3" t="s">
        <v>57</v>
      </c>
      <c r="N1796" s="3"/>
      <c r="O1796" s="3"/>
      <c r="P1796" s="3"/>
      <c r="Q1796" s="3"/>
    </row>
    <row r="1797" spans="1:17" ht="21" customHeight="1">
      <c r="A1797" s="3" t="s">
        <v>2486</v>
      </c>
      <c r="B1797" s="5">
        <v>45784</v>
      </c>
      <c r="C1797" s="3" t="s">
        <v>2291</v>
      </c>
      <c r="D1797" s="3" t="s">
        <v>44</v>
      </c>
      <c r="E1797" s="3" t="s">
        <v>40</v>
      </c>
      <c r="F1797" s="3" t="s">
        <v>160</v>
      </c>
      <c r="G1797" s="3" t="s">
        <v>173</v>
      </c>
      <c r="H1797" s="3">
        <v>1</v>
      </c>
      <c r="I1797" s="7">
        <v>8604.08</v>
      </c>
      <c r="J1797" s="9">
        <v>0.05</v>
      </c>
      <c r="K1797" s="7">
        <v>8173.88</v>
      </c>
      <c r="L1797" s="7">
        <v>2227.41</v>
      </c>
      <c r="M1797" s="3" t="s">
        <v>56</v>
      </c>
      <c r="N1797" s="3"/>
      <c r="O1797" s="3"/>
      <c r="P1797" s="3"/>
      <c r="Q1797" s="3"/>
    </row>
    <row r="1798" spans="1:17" ht="21" customHeight="1">
      <c r="A1798" s="3" t="s">
        <v>2487</v>
      </c>
      <c r="B1798" s="5">
        <v>45785</v>
      </c>
      <c r="C1798" s="3" t="s">
        <v>97</v>
      </c>
      <c r="D1798" s="3" t="s">
        <v>44</v>
      </c>
      <c r="E1798" s="3" t="s">
        <v>42</v>
      </c>
      <c r="F1798" s="3" t="s">
        <v>90</v>
      </c>
      <c r="G1798" s="3" t="s">
        <v>91</v>
      </c>
      <c r="H1798" s="3">
        <v>1</v>
      </c>
      <c r="I1798" s="7">
        <v>1226.31</v>
      </c>
      <c r="J1798" s="9">
        <v>0.05</v>
      </c>
      <c r="K1798" s="7">
        <v>1164.99</v>
      </c>
      <c r="L1798" s="7">
        <v>602.86</v>
      </c>
      <c r="M1798" s="3" t="s">
        <v>56</v>
      </c>
      <c r="N1798" s="3"/>
      <c r="O1798" s="3"/>
      <c r="P1798" s="3"/>
      <c r="Q1798" s="3"/>
    </row>
    <row r="1799" spans="1:17" ht="21" customHeight="1">
      <c r="A1799" s="3" t="s">
        <v>2488</v>
      </c>
      <c r="B1799" s="5">
        <v>45785</v>
      </c>
      <c r="C1799" s="3" t="s">
        <v>89</v>
      </c>
      <c r="D1799" s="3" t="s">
        <v>45</v>
      </c>
      <c r="E1799" s="3" t="s">
        <v>39</v>
      </c>
      <c r="F1799" s="3" t="s">
        <v>130</v>
      </c>
      <c r="G1799" s="3" t="s">
        <v>131</v>
      </c>
      <c r="H1799" s="3">
        <v>1</v>
      </c>
      <c r="I1799" s="7">
        <v>2176.62</v>
      </c>
      <c r="J1799" s="9">
        <v>0.3</v>
      </c>
      <c r="K1799" s="7">
        <v>1523.63</v>
      </c>
      <c r="L1799" s="7">
        <v>73.78</v>
      </c>
      <c r="M1799" s="3" t="s">
        <v>57</v>
      </c>
      <c r="N1799" s="3"/>
      <c r="O1799" s="3"/>
      <c r="P1799" s="3"/>
      <c r="Q1799" s="3"/>
    </row>
    <row r="1800" spans="1:17" ht="21" customHeight="1">
      <c r="A1800" s="3" t="s">
        <v>2489</v>
      </c>
      <c r="B1800" s="5">
        <v>45785</v>
      </c>
      <c r="C1800" s="3" t="s">
        <v>680</v>
      </c>
      <c r="D1800" s="3" t="s">
        <v>47</v>
      </c>
      <c r="E1800" s="3" t="s">
        <v>42</v>
      </c>
      <c r="F1800" s="3" t="s">
        <v>90</v>
      </c>
      <c r="G1800" s="3" t="s">
        <v>106</v>
      </c>
      <c r="H1800" s="3">
        <v>1</v>
      </c>
      <c r="I1800" s="7">
        <v>928.88</v>
      </c>
      <c r="J1800" s="9">
        <v>0</v>
      </c>
      <c r="K1800" s="7">
        <v>928.88</v>
      </c>
      <c r="L1800" s="7">
        <v>547.76</v>
      </c>
      <c r="M1800" s="3" t="s">
        <v>57</v>
      </c>
      <c r="N1800" s="3"/>
      <c r="O1800" s="3"/>
      <c r="P1800" s="3"/>
      <c r="Q1800" s="3"/>
    </row>
    <row r="1801" spans="1:17" ht="21" customHeight="1">
      <c r="A1801" s="3" t="s">
        <v>2490</v>
      </c>
      <c r="B1801" s="5">
        <v>45786</v>
      </c>
      <c r="C1801" s="3" t="s">
        <v>707</v>
      </c>
      <c r="D1801" s="3" t="s">
        <v>46</v>
      </c>
      <c r="E1801" s="3" t="s">
        <v>38</v>
      </c>
      <c r="F1801" s="3" t="s">
        <v>142</v>
      </c>
      <c r="G1801" s="3" t="s">
        <v>245</v>
      </c>
      <c r="H1801" s="3">
        <v>1</v>
      </c>
      <c r="I1801" s="7">
        <v>4935.6099999999997</v>
      </c>
      <c r="J1801" s="9">
        <v>0.05</v>
      </c>
      <c r="K1801" s="7">
        <v>4688.83</v>
      </c>
      <c r="L1801" s="7">
        <v>618.58000000000004</v>
      </c>
      <c r="M1801" s="3" t="s">
        <v>57</v>
      </c>
      <c r="N1801" s="3"/>
      <c r="O1801" s="3"/>
      <c r="P1801" s="3"/>
      <c r="Q1801" s="3"/>
    </row>
    <row r="1802" spans="1:17" ht="21" customHeight="1">
      <c r="A1802" s="3" t="s">
        <v>2491</v>
      </c>
      <c r="B1802" s="5">
        <v>45786</v>
      </c>
      <c r="C1802" s="3" t="s">
        <v>1060</v>
      </c>
      <c r="D1802" s="3" t="s">
        <v>44</v>
      </c>
      <c r="E1802" s="3" t="s">
        <v>41</v>
      </c>
      <c r="F1802" s="3" t="s">
        <v>119</v>
      </c>
      <c r="G1802" s="3" t="s">
        <v>168</v>
      </c>
      <c r="H1802" s="3">
        <v>1</v>
      </c>
      <c r="I1802" s="7">
        <v>9925.08</v>
      </c>
      <c r="J1802" s="9">
        <v>0</v>
      </c>
      <c r="K1802" s="7">
        <v>9925.08</v>
      </c>
      <c r="L1802" s="7">
        <v>3839.31</v>
      </c>
      <c r="M1802" s="3" t="s">
        <v>57</v>
      </c>
      <c r="N1802" s="3"/>
      <c r="O1802" s="3"/>
      <c r="P1802" s="3"/>
      <c r="Q1802" s="3"/>
    </row>
    <row r="1803" spans="1:17" ht="21" customHeight="1">
      <c r="A1803" s="3" t="s">
        <v>2492</v>
      </c>
      <c r="B1803" s="5">
        <v>45786</v>
      </c>
      <c r="C1803" s="3" t="s">
        <v>2077</v>
      </c>
      <c r="D1803" s="3" t="s">
        <v>45</v>
      </c>
      <c r="E1803" s="3" t="s">
        <v>38</v>
      </c>
      <c r="F1803" s="3" t="s">
        <v>98</v>
      </c>
      <c r="G1803" s="3" t="s">
        <v>362</v>
      </c>
      <c r="H1803" s="3">
        <v>2</v>
      </c>
      <c r="I1803" s="7">
        <v>33961.31</v>
      </c>
      <c r="J1803" s="9">
        <v>0.1</v>
      </c>
      <c r="K1803" s="7">
        <v>61130.36</v>
      </c>
      <c r="L1803" s="7">
        <v>5059.12</v>
      </c>
      <c r="M1803" s="3" t="s">
        <v>57</v>
      </c>
      <c r="N1803" s="3"/>
      <c r="O1803" s="3"/>
      <c r="P1803" s="3"/>
      <c r="Q1803" s="3"/>
    </row>
    <row r="1804" spans="1:17" ht="21" customHeight="1">
      <c r="A1804" s="3" t="s">
        <v>2493</v>
      </c>
      <c r="B1804" s="5">
        <v>45786</v>
      </c>
      <c r="C1804" s="3" t="s">
        <v>1160</v>
      </c>
      <c r="D1804" s="3" t="s">
        <v>44</v>
      </c>
      <c r="E1804" s="3" t="s">
        <v>39</v>
      </c>
      <c r="F1804" s="3" t="s">
        <v>130</v>
      </c>
      <c r="G1804" s="3" t="s">
        <v>193</v>
      </c>
      <c r="H1804" s="3">
        <v>1</v>
      </c>
      <c r="I1804" s="7">
        <v>1794.28</v>
      </c>
      <c r="J1804" s="9">
        <v>0.15</v>
      </c>
      <c r="K1804" s="7">
        <v>1525.14</v>
      </c>
      <c r="L1804" s="7">
        <v>343.72</v>
      </c>
      <c r="M1804" s="3" t="s">
        <v>56</v>
      </c>
      <c r="N1804" s="3"/>
      <c r="O1804" s="3"/>
      <c r="P1804" s="3"/>
      <c r="Q1804" s="3"/>
    </row>
    <row r="1805" spans="1:17" ht="21" customHeight="1">
      <c r="A1805" s="3" t="s">
        <v>2494</v>
      </c>
      <c r="B1805" s="5">
        <v>45787</v>
      </c>
      <c r="C1805" s="3" t="s">
        <v>240</v>
      </c>
      <c r="D1805" s="3" t="s">
        <v>45</v>
      </c>
      <c r="E1805" s="3" t="s">
        <v>42</v>
      </c>
      <c r="F1805" s="3" t="s">
        <v>126</v>
      </c>
      <c r="G1805" s="3" t="s">
        <v>151</v>
      </c>
      <c r="H1805" s="3">
        <v>1</v>
      </c>
      <c r="I1805" s="7">
        <v>1548.13</v>
      </c>
      <c r="J1805" s="9">
        <v>0.05</v>
      </c>
      <c r="K1805" s="7">
        <v>1470.72</v>
      </c>
      <c r="L1805" s="7">
        <v>700.93</v>
      </c>
      <c r="M1805" s="3" t="s">
        <v>57</v>
      </c>
      <c r="N1805" s="3"/>
      <c r="O1805" s="3"/>
      <c r="P1805" s="3"/>
      <c r="Q1805" s="3"/>
    </row>
    <row r="1806" spans="1:17" ht="21" customHeight="1">
      <c r="A1806" s="3" t="s">
        <v>2495</v>
      </c>
      <c r="B1806" s="5">
        <v>45787</v>
      </c>
      <c r="C1806" s="3" t="s">
        <v>1046</v>
      </c>
      <c r="D1806" s="3" t="s">
        <v>45</v>
      </c>
      <c r="E1806" s="3" t="s">
        <v>41</v>
      </c>
      <c r="F1806" s="3" t="s">
        <v>119</v>
      </c>
      <c r="G1806" s="3" t="s">
        <v>120</v>
      </c>
      <c r="H1806" s="3">
        <v>4</v>
      </c>
      <c r="I1806" s="7">
        <v>1275.73</v>
      </c>
      <c r="J1806" s="9">
        <v>0.05</v>
      </c>
      <c r="K1806" s="7">
        <v>4847.7700000000004</v>
      </c>
      <c r="L1806" s="7">
        <v>1659.13</v>
      </c>
      <c r="M1806" s="3" t="s">
        <v>57</v>
      </c>
      <c r="N1806" s="3"/>
      <c r="O1806" s="3"/>
      <c r="P1806" s="3"/>
      <c r="Q1806" s="3"/>
    </row>
    <row r="1807" spans="1:17" ht="21" customHeight="1">
      <c r="A1807" s="3" t="s">
        <v>2496</v>
      </c>
      <c r="B1807" s="5">
        <v>45787</v>
      </c>
      <c r="C1807" s="3" t="s">
        <v>459</v>
      </c>
      <c r="D1807" s="3" t="s">
        <v>46</v>
      </c>
      <c r="E1807" s="3" t="s">
        <v>38</v>
      </c>
      <c r="F1807" s="3" t="s">
        <v>98</v>
      </c>
      <c r="G1807" s="3" t="s">
        <v>362</v>
      </c>
      <c r="H1807" s="3">
        <v>4</v>
      </c>
      <c r="I1807" s="7">
        <v>34546.42</v>
      </c>
      <c r="J1807" s="9">
        <v>0.05</v>
      </c>
      <c r="K1807" s="7">
        <v>131276.4</v>
      </c>
      <c r="L1807" s="7">
        <v>12211.61</v>
      </c>
      <c r="M1807" s="3" t="s">
        <v>56</v>
      </c>
      <c r="N1807" s="3"/>
      <c r="O1807" s="3"/>
      <c r="P1807" s="3"/>
      <c r="Q1807" s="3"/>
    </row>
    <row r="1808" spans="1:17" ht="21" customHeight="1">
      <c r="A1808" s="3" t="s">
        <v>2497</v>
      </c>
      <c r="B1808" s="5">
        <v>45787</v>
      </c>
      <c r="C1808" s="3" t="s">
        <v>853</v>
      </c>
      <c r="D1808" s="3" t="s">
        <v>46</v>
      </c>
      <c r="E1808" s="3" t="s">
        <v>39</v>
      </c>
      <c r="F1808" s="3" t="s">
        <v>164</v>
      </c>
      <c r="G1808" s="3" t="s">
        <v>165</v>
      </c>
      <c r="H1808" s="3">
        <v>1</v>
      </c>
      <c r="I1808" s="7">
        <v>2056.34</v>
      </c>
      <c r="J1808" s="9">
        <v>0.2</v>
      </c>
      <c r="K1808" s="7">
        <v>1645.07</v>
      </c>
      <c r="L1808" s="7">
        <v>305.02</v>
      </c>
      <c r="M1808" s="3" t="s">
        <v>57</v>
      </c>
      <c r="N1808" s="3"/>
      <c r="O1808" s="3"/>
      <c r="P1808" s="3"/>
      <c r="Q1808" s="3"/>
    </row>
    <row r="1809" spans="1:17" ht="21" customHeight="1">
      <c r="A1809" s="3" t="s">
        <v>2498</v>
      </c>
      <c r="B1809" s="5">
        <v>45788</v>
      </c>
      <c r="C1809" s="3" t="s">
        <v>795</v>
      </c>
      <c r="D1809" s="3" t="s">
        <v>47</v>
      </c>
      <c r="E1809" s="3" t="s">
        <v>42</v>
      </c>
      <c r="F1809" s="3" t="s">
        <v>126</v>
      </c>
      <c r="G1809" s="3" t="s">
        <v>151</v>
      </c>
      <c r="H1809" s="3">
        <v>2</v>
      </c>
      <c r="I1809" s="7">
        <v>1454.56</v>
      </c>
      <c r="J1809" s="9">
        <v>0.15</v>
      </c>
      <c r="K1809" s="7">
        <v>2472.75</v>
      </c>
      <c r="L1809" s="7">
        <v>943.2</v>
      </c>
      <c r="M1809" s="3" t="s">
        <v>57</v>
      </c>
      <c r="N1809" s="3"/>
      <c r="O1809" s="3"/>
      <c r="P1809" s="3"/>
      <c r="Q1809" s="3"/>
    </row>
    <row r="1810" spans="1:17" ht="21" customHeight="1">
      <c r="A1810" s="3" t="s">
        <v>2499</v>
      </c>
      <c r="B1810" s="5">
        <v>45788</v>
      </c>
      <c r="C1810" s="3" t="s">
        <v>1713</v>
      </c>
      <c r="D1810" s="3" t="s">
        <v>45</v>
      </c>
      <c r="E1810" s="3" t="s">
        <v>40</v>
      </c>
      <c r="F1810" s="3" t="s">
        <v>221</v>
      </c>
      <c r="G1810" s="3" t="s">
        <v>222</v>
      </c>
      <c r="H1810" s="3">
        <v>1</v>
      </c>
      <c r="I1810" s="7">
        <v>1031.3</v>
      </c>
      <c r="J1810" s="9">
        <v>0.1</v>
      </c>
      <c r="K1810" s="7">
        <v>928.17</v>
      </c>
      <c r="L1810" s="7">
        <v>163.38999999999999</v>
      </c>
      <c r="M1810" s="3" t="s">
        <v>56</v>
      </c>
      <c r="N1810" s="3"/>
      <c r="O1810" s="3"/>
      <c r="P1810" s="3"/>
      <c r="Q1810" s="3"/>
    </row>
    <row r="1811" spans="1:17" ht="21" customHeight="1">
      <c r="A1811" s="3" t="s">
        <v>2500</v>
      </c>
      <c r="B1811" s="5">
        <v>45789</v>
      </c>
      <c r="C1811" s="3" t="s">
        <v>1744</v>
      </c>
      <c r="D1811" s="3" t="s">
        <v>45</v>
      </c>
      <c r="E1811" s="3" t="s">
        <v>40</v>
      </c>
      <c r="F1811" s="3" t="s">
        <v>221</v>
      </c>
      <c r="G1811" s="3" t="s">
        <v>222</v>
      </c>
      <c r="H1811" s="3">
        <v>1</v>
      </c>
      <c r="I1811" s="7">
        <v>1028.96</v>
      </c>
      <c r="J1811" s="9">
        <v>0.15</v>
      </c>
      <c r="K1811" s="7">
        <v>874.62</v>
      </c>
      <c r="L1811" s="7">
        <v>165.59</v>
      </c>
      <c r="M1811" s="3" t="s">
        <v>56</v>
      </c>
      <c r="N1811" s="3"/>
      <c r="O1811" s="3"/>
      <c r="P1811" s="3"/>
      <c r="Q1811" s="3"/>
    </row>
    <row r="1812" spans="1:17" ht="21" customHeight="1">
      <c r="A1812" s="3" t="s">
        <v>2501</v>
      </c>
      <c r="B1812" s="5">
        <v>45789</v>
      </c>
      <c r="C1812" s="3" t="s">
        <v>1004</v>
      </c>
      <c r="D1812" s="3" t="s">
        <v>45</v>
      </c>
      <c r="E1812" s="3" t="s">
        <v>38</v>
      </c>
      <c r="F1812" s="3" t="s">
        <v>142</v>
      </c>
      <c r="G1812" s="3" t="s">
        <v>143</v>
      </c>
      <c r="H1812" s="3">
        <v>5</v>
      </c>
      <c r="I1812" s="7">
        <v>9089.2000000000007</v>
      </c>
      <c r="J1812" s="9">
        <v>0.15</v>
      </c>
      <c r="K1812" s="7">
        <v>38629.1</v>
      </c>
      <c r="L1812" s="7">
        <v>184.2</v>
      </c>
      <c r="M1812" s="3" t="s">
        <v>58</v>
      </c>
      <c r="N1812" s="3"/>
      <c r="O1812" s="3"/>
      <c r="P1812" s="3"/>
      <c r="Q1812" s="3"/>
    </row>
    <row r="1813" spans="1:17" ht="21" customHeight="1">
      <c r="A1813" s="3" t="s">
        <v>2502</v>
      </c>
      <c r="B1813" s="5">
        <v>45790</v>
      </c>
      <c r="C1813" s="3" t="s">
        <v>1287</v>
      </c>
      <c r="D1813" s="3" t="s">
        <v>46</v>
      </c>
      <c r="E1813" s="3" t="s">
        <v>38</v>
      </c>
      <c r="F1813" s="3" t="s">
        <v>94</v>
      </c>
      <c r="G1813" s="3" t="s">
        <v>213</v>
      </c>
      <c r="H1813" s="3">
        <v>1</v>
      </c>
      <c r="I1813" s="7">
        <v>53193.58</v>
      </c>
      <c r="J1813" s="9">
        <v>0</v>
      </c>
      <c r="K1813" s="7">
        <v>53193.58</v>
      </c>
      <c r="L1813" s="7">
        <v>9477.48</v>
      </c>
      <c r="M1813" s="3" t="s">
        <v>59</v>
      </c>
      <c r="N1813" s="3"/>
      <c r="O1813" s="3"/>
      <c r="P1813" s="3"/>
      <c r="Q1813" s="3"/>
    </row>
    <row r="1814" spans="1:17" ht="21" customHeight="1">
      <c r="A1814" s="3" t="s">
        <v>2503</v>
      </c>
      <c r="B1814" s="5">
        <v>45790</v>
      </c>
      <c r="C1814" s="3" t="s">
        <v>312</v>
      </c>
      <c r="D1814" s="3" t="s">
        <v>44</v>
      </c>
      <c r="E1814" s="3" t="s">
        <v>40</v>
      </c>
      <c r="F1814" s="3" t="s">
        <v>102</v>
      </c>
      <c r="G1814" s="3" t="s">
        <v>146</v>
      </c>
      <c r="H1814" s="3">
        <v>3</v>
      </c>
      <c r="I1814" s="7">
        <v>7951.09</v>
      </c>
      <c r="J1814" s="9">
        <v>0.1</v>
      </c>
      <c r="K1814" s="7">
        <v>21467.94</v>
      </c>
      <c r="L1814" s="7">
        <v>4227.3999999999996</v>
      </c>
      <c r="M1814" s="3" t="s">
        <v>56</v>
      </c>
      <c r="N1814" s="3"/>
      <c r="O1814" s="3"/>
      <c r="P1814" s="3"/>
      <c r="Q1814" s="3"/>
    </row>
    <row r="1815" spans="1:17" ht="21" customHeight="1">
      <c r="A1815" s="3" t="s">
        <v>2504</v>
      </c>
      <c r="B1815" s="5">
        <v>45790</v>
      </c>
      <c r="C1815" s="3" t="s">
        <v>307</v>
      </c>
      <c r="D1815" s="3" t="s">
        <v>44</v>
      </c>
      <c r="E1815" s="3" t="s">
        <v>39</v>
      </c>
      <c r="F1815" s="3" t="s">
        <v>109</v>
      </c>
      <c r="G1815" s="3" t="s">
        <v>355</v>
      </c>
      <c r="H1815" s="3">
        <v>2</v>
      </c>
      <c r="I1815" s="7">
        <v>3376.77</v>
      </c>
      <c r="J1815" s="9">
        <v>0.15</v>
      </c>
      <c r="K1815" s="7">
        <v>5740.51</v>
      </c>
      <c r="L1815" s="7">
        <v>1336.5</v>
      </c>
      <c r="M1815" s="3" t="s">
        <v>58</v>
      </c>
      <c r="N1815" s="3"/>
      <c r="O1815" s="3"/>
      <c r="P1815" s="3"/>
      <c r="Q1815" s="3"/>
    </row>
    <row r="1816" spans="1:17" ht="21" customHeight="1">
      <c r="A1816" s="3" t="s">
        <v>2505</v>
      </c>
      <c r="B1816" s="5">
        <v>45790</v>
      </c>
      <c r="C1816" s="3" t="s">
        <v>896</v>
      </c>
      <c r="D1816" s="3" t="s">
        <v>44</v>
      </c>
      <c r="E1816" s="3" t="s">
        <v>42</v>
      </c>
      <c r="F1816" s="3" t="s">
        <v>126</v>
      </c>
      <c r="G1816" s="3" t="s">
        <v>151</v>
      </c>
      <c r="H1816" s="3">
        <v>2</v>
      </c>
      <c r="I1816" s="7">
        <v>1446.98</v>
      </c>
      <c r="J1816" s="9">
        <v>0.3</v>
      </c>
      <c r="K1816" s="7">
        <v>2025.77</v>
      </c>
      <c r="L1816" s="7">
        <v>464.67</v>
      </c>
      <c r="M1816" s="3" t="s">
        <v>57</v>
      </c>
      <c r="N1816" s="3"/>
      <c r="O1816" s="3"/>
      <c r="P1816" s="3"/>
      <c r="Q1816" s="3"/>
    </row>
    <row r="1817" spans="1:17" ht="21" customHeight="1">
      <c r="A1817" s="3" t="s">
        <v>2506</v>
      </c>
      <c r="B1817" s="5">
        <v>45790</v>
      </c>
      <c r="C1817" s="3" t="s">
        <v>1160</v>
      </c>
      <c r="D1817" s="3" t="s">
        <v>46</v>
      </c>
      <c r="E1817" s="3" t="s">
        <v>40</v>
      </c>
      <c r="F1817" s="3" t="s">
        <v>102</v>
      </c>
      <c r="G1817" s="3" t="s">
        <v>146</v>
      </c>
      <c r="H1817" s="3">
        <v>2</v>
      </c>
      <c r="I1817" s="7">
        <v>7652.01</v>
      </c>
      <c r="J1817" s="9">
        <v>0.05</v>
      </c>
      <c r="K1817" s="7">
        <v>14538.82</v>
      </c>
      <c r="L1817" s="7">
        <v>4086.75</v>
      </c>
      <c r="M1817" s="3" t="s">
        <v>59</v>
      </c>
      <c r="N1817" s="3"/>
      <c r="O1817" s="3"/>
      <c r="P1817" s="3"/>
      <c r="Q1817" s="3"/>
    </row>
    <row r="1818" spans="1:17" ht="21" customHeight="1">
      <c r="A1818" s="3" t="s">
        <v>2507</v>
      </c>
      <c r="B1818" s="5">
        <v>45790</v>
      </c>
      <c r="C1818" s="3" t="s">
        <v>1459</v>
      </c>
      <c r="D1818" s="3" t="s">
        <v>45</v>
      </c>
      <c r="E1818" s="3" t="s">
        <v>41</v>
      </c>
      <c r="F1818" s="3" t="s">
        <v>113</v>
      </c>
      <c r="G1818" s="3" t="s">
        <v>114</v>
      </c>
      <c r="H1818" s="3">
        <v>1</v>
      </c>
      <c r="I1818" s="7">
        <v>12290.59</v>
      </c>
      <c r="J1818" s="9">
        <v>0</v>
      </c>
      <c r="K1818" s="7">
        <v>12290.59</v>
      </c>
      <c r="L1818" s="7">
        <v>4741.51</v>
      </c>
      <c r="M1818" s="3" t="s">
        <v>57</v>
      </c>
      <c r="N1818" s="3"/>
      <c r="O1818" s="3"/>
      <c r="P1818" s="3"/>
      <c r="Q1818" s="3"/>
    </row>
    <row r="1819" spans="1:17" ht="21" customHeight="1">
      <c r="A1819" s="3" t="s">
        <v>2508</v>
      </c>
      <c r="B1819" s="5">
        <v>45791</v>
      </c>
      <c r="C1819" s="3" t="s">
        <v>289</v>
      </c>
      <c r="D1819" s="3" t="s">
        <v>47</v>
      </c>
      <c r="E1819" s="3" t="s">
        <v>40</v>
      </c>
      <c r="F1819" s="3" t="s">
        <v>221</v>
      </c>
      <c r="G1819" s="3" t="s">
        <v>279</v>
      </c>
      <c r="H1819" s="3">
        <v>1</v>
      </c>
      <c r="I1819" s="7">
        <v>1483.05</v>
      </c>
      <c r="J1819" s="9">
        <v>0.1</v>
      </c>
      <c r="K1819" s="7">
        <v>1334.74</v>
      </c>
      <c r="L1819" s="7">
        <v>332.14</v>
      </c>
      <c r="M1819" s="3" t="s">
        <v>60</v>
      </c>
      <c r="N1819" s="3"/>
      <c r="O1819" s="3"/>
      <c r="P1819" s="3"/>
      <c r="Q1819" s="3"/>
    </row>
    <row r="1820" spans="1:17" ht="21" customHeight="1">
      <c r="A1820" s="3" t="s">
        <v>2509</v>
      </c>
      <c r="B1820" s="5">
        <v>45791</v>
      </c>
      <c r="C1820" s="3" t="s">
        <v>946</v>
      </c>
      <c r="D1820" s="3" t="s">
        <v>44</v>
      </c>
      <c r="E1820" s="3" t="s">
        <v>40</v>
      </c>
      <c r="F1820" s="3" t="s">
        <v>160</v>
      </c>
      <c r="G1820" s="3" t="s">
        <v>173</v>
      </c>
      <c r="H1820" s="3">
        <v>1</v>
      </c>
      <c r="I1820" s="7">
        <v>8876.01</v>
      </c>
      <c r="J1820" s="9">
        <v>0</v>
      </c>
      <c r="K1820" s="7">
        <v>8876.01</v>
      </c>
      <c r="L1820" s="7">
        <v>2637.4</v>
      </c>
      <c r="M1820" s="3" t="s">
        <v>58</v>
      </c>
      <c r="N1820" s="3"/>
      <c r="O1820" s="3"/>
      <c r="P1820" s="3"/>
      <c r="Q1820" s="3"/>
    </row>
    <row r="1821" spans="1:17" ht="21" customHeight="1">
      <c r="A1821" s="3" t="s">
        <v>2510</v>
      </c>
      <c r="B1821" s="5">
        <v>45791</v>
      </c>
      <c r="C1821" s="3" t="s">
        <v>1146</v>
      </c>
      <c r="D1821" s="3" t="s">
        <v>46</v>
      </c>
      <c r="E1821" s="3" t="s">
        <v>40</v>
      </c>
      <c r="F1821" s="3" t="s">
        <v>160</v>
      </c>
      <c r="G1821" s="3" t="s">
        <v>161</v>
      </c>
      <c r="H1821" s="3">
        <v>1</v>
      </c>
      <c r="I1821" s="7">
        <v>12664.59</v>
      </c>
      <c r="J1821" s="9">
        <v>0.15</v>
      </c>
      <c r="K1821" s="7">
        <v>10764.9</v>
      </c>
      <c r="L1821" s="7">
        <v>1691.15</v>
      </c>
      <c r="M1821" s="3" t="s">
        <v>57</v>
      </c>
      <c r="N1821" s="3"/>
      <c r="O1821" s="3"/>
      <c r="P1821" s="3"/>
      <c r="Q1821" s="3"/>
    </row>
    <row r="1822" spans="1:17" ht="21" customHeight="1">
      <c r="A1822" s="3" t="s">
        <v>2511</v>
      </c>
      <c r="B1822" s="5">
        <v>45791</v>
      </c>
      <c r="C1822" s="3" t="s">
        <v>906</v>
      </c>
      <c r="D1822" s="3" t="s">
        <v>46</v>
      </c>
      <c r="E1822" s="3" t="s">
        <v>42</v>
      </c>
      <c r="F1822" s="3" t="s">
        <v>126</v>
      </c>
      <c r="G1822" s="3" t="s">
        <v>151</v>
      </c>
      <c r="H1822" s="3">
        <v>1</v>
      </c>
      <c r="I1822" s="7">
        <v>1560.14</v>
      </c>
      <c r="J1822" s="9">
        <v>0</v>
      </c>
      <c r="K1822" s="7">
        <v>1560.14</v>
      </c>
      <c r="L1822" s="7">
        <v>908</v>
      </c>
      <c r="M1822" s="3" t="s">
        <v>58</v>
      </c>
      <c r="N1822" s="3"/>
      <c r="O1822" s="3"/>
      <c r="P1822" s="3"/>
      <c r="Q1822" s="3"/>
    </row>
    <row r="1823" spans="1:17" ht="21" customHeight="1">
      <c r="A1823" s="3" t="s">
        <v>2512</v>
      </c>
      <c r="B1823" s="5">
        <v>45791</v>
      </c>
      <c r="C1823" s="3" t="s">
        <v>707</v>
      </c>
      <c r="D1823" s="3" t="s">
        <v>45</v>
      </c>
      <c r="E1823" s="3" t="s">
        <v>40</v>
      </c>
      <c r="F1823" s="3" t="s">
        <v>102</v>
      </c>
      <c r="G1823" s="3" t="s">
        <v>146</v>
      </c>
      <c r="H1823" s="3">
        <v>1</v>
      </c>
      <c r="I1823" s="7">
        <v>8179.14</v>
      </c>
      <c r="J1823" s="9">
        <v>0.4</v>
      </c>
      <c r="K1823" s="7">
        <v>4907.4799999999996</v>
      </c>
      <c r="L1823" s="7">
        <v>-452.69</v>
      </c>
      <c r="M1823" s="3" t="s">
        <v>59</v>
      </c>
      <c r="N1823" s="3"/>
      <c r="O1823" s="3"/>
      <c r="P1823" s="3"/>
      <c r="Q1823" s="3"/>
    </row>
    <row r="1824" spans="1:17" ht="21" customHeight="1">
      <c r="A1824" s="3" t="s">
        <v>2513</v>
      </c>
      <c r="B1824" s="5">
        <v>45791</v>
      </c>
      <c r="C1824" s="3" t="s">
        <v>1176</v>
      </c>
      <c r="D1824" s="3" t="s">
        <v>45</v>
      </c>
      <c r="E1824" s="3" t="s">
        <v>41</v>
      </c>
      <c r="F1824" s="3" t="s">
        <v>113</v>
      </c>
      <c r="G1824" s="3" t="s">
        <v>123</v>
      </c>
      <c r="H1824" s="3">
        <v>1</v>
      </c>
      <c r="I1824" s="7">
        <v>3630.85</v>
      </c>
      <c r="J1824" s="9">
        <v>0.2</v>
      </c>
      <c r="K1824" s="7">
        <v>2904.68</v>
      </c>
      <c r="L1824" s="7">
        <v>522.03</v>
      </c>
      <c r="M1824" s="3" t="s">
        <v>58</v>
      </c>
      <c r="N1824" s="3"/>
      <c r="O1824" s="3"/>
      <c r="P1824" s="3"/>
      <c r="Q1824" s="3"/>
    </row>
    <row r="1825" spans="1:17" ht="21" customHeight="1">
      <c r="A1825" s="3" t="s">
        <v>2514</v>
      </c>
      <c r="B1825" s="5">
        <v>45792</v>
      </c>
      <c r="C1825" s="3" t="s">
        <v>1269</v>
      </c>
      <c r="D1825" s="3" t="s">
        <v>47</v>
      </c>
      <c r="E1825" s="3" t="s">
        <v>40</v>
      </c>
      <c r="F1825" s="3" t="s">
        <v>102</v>
      </c>
      <c r="G1825" s="3" t="s">
        <v>146</v>
      </c>
      <c r="H1825" s="3">
        <v>1</v>
      </c>
      <c r="I1825" s="7">
        <v>8122.06</v>
      </c>
      <c r="J1825" s="9">
        <v>0</v>
      </c>
      <c r="K1825" s="7">
        <v>8122.06</v>
      </c>
      <c r="L1825" s="7">
        <v>2695.3</v>
      </c>
      <c r="M1825" s="3" t="s">
        <v>59</v>
      </c>
      <c r="N1825" s="3"/>
      <c r="O1825" s="3"/>
      <c r="P1825" s="3"/>
      <c r="Q1825" s="3"/>
    </row>
    <row r="1826" spans="1:17" ht="21" customHeight="1">
      <c r="A1826" s="3" t="s">
        <v>2515</v>
      </c>
      <c r="B1826" s="5">
        <v>45792</v>
      </c>
      <c r="C1826" s="3" t="s">
        <v>509</v>
      </c>
      <c r="D1826" s="3" t="s">
        <v>47</v>
      </c>
      <c r="E1826" s="3" t="s">
        <v>40</v>
      </c>
      <c r="F1826" s="3" t="s">
        <v>221</v>
      </c>
      <c r="G1826" s="3" t="s">
        <v>222</v>
      </c>
      <c r="H1826" s="3">
        <v>1</v>
      </c>
      <c r="I1826" s="7">
        <v>994.39</v>
      </c>
      <c r="J1826" s="9">
        <v>0</v>
      </c>
      <c r="K1826" s="7">
        <v>994.39</v>
      </c>
      <c r="L1826" s="7">
        <v>305.66000000000003</v>
      </c>
      <c r="M1826" s="3" t="s">
        <v>56</v>
      </c>
      <c r="N1826" s="3"/>
      <c r="O1826" s="3"/>
      <c r="P1826" s="3"/>
      <c r="Q1826" s="3"/>
    </row>
    <row r="1827" spans="1:17" ht="21" customHeight="1">
      <c r="A1827" s="3" t="s">
        <v>2516</v>
      </c>
      <c r="B1827" s="5">
        <v>45792</v>
      </c>
      <c r="C1827" s="3" t="s">
        <v>771</v>
      </c>
      <c r="D1827" s="3" t="s">
        <v>46</v>
      </c>
      <c r="E1827" s="3" t="s">
        <v>41</v>
      </c>
      <c r="F1827" s="3" t="s">
        <v>113</v>
      </c>
      <c r="G1827" s="3" t="s">
        <v>114</v>
      </c>
      <c r="H1827" s="3">
        <v>1</v>
      </c>
      <c r="I1827" s="7">
        <v>11610.47</v>
      </c>
      <c r="J1827" s="9">
        <v>0.05</v>
      </c>
      <c r="K1827" s="7">
        <v>11029.95</v>
      </c>
      <c r="L1827" s="7">
        <v>3959.81</v>
      </c>
      <c r="M1827" s="3" t="s">
        <v>56</v>
      </c>
      <c r="N1827" s="3"/>
      <c r="O1827" s="3"/>
      <c r="P1827" s="3"/>
      <c r="Q1827" s="3"/>
    </row>
    <row r="1828" spans="1:17" ht="21" customHeight="1">
      <c r="A1828" s="3" t="s">
        <v>2517</v>
      </c>
      <c r="B1828" s="5">
        <v>45792</v>
      </c>
      <c r="C1828" s="3" t="s">
        <v>626</v>
      </c>
      <c r="D1828" s="3" t="s">
        <v>44</v>
      </c>
      <c r="E1828" s="3" t="s">
        <v>39</v>
      </c>
      <c r="F1828" s="3" t="s">
        <v>164</v>
      </c>
      <c r="G1828" s="3" t="s">
        <v>200</v>
      </c>
      <c r="H1828" s="3">
        <v>2</v>
      </c>
      <c r="I1828" s="7">
        <v>1347.25</v>
      </c>
      <c r="J1828" s="9">
        <v>0.1</v>
      </c>
      <c r="K1828" s="7">
        <v>2425.0500000000002</v>
      </c>
      <c r="L1828" s="7">
        <v>694.66</v>
      </c>
      <c r="M1828" s="3" t="s">
        <v>57</v>
      </c>
      <c r="N1828" s="3"/>
      <c r="O1828" s="3"/>
      <c r="P1828" s="3"/>
      <c r="Q1828" s="3"/>
    </row>
    <row r="1829" spans="1:17" ht="21" customHeight="1">
      <c r="A1829" s="3" t="s">
        <v>2518</v>
      </c>
      <c r="B1829" s="5">
        <v>45792</v>
      </c>
      <c r="C1829" s="3" t="s">
        <v>853</v>
      </c>
      <c r="D1829" s="3" t="s">
        <v>45</v>
      </c>
      <c r="E1829" s="3" t="s">
        <v>39</v>
      </c>
      <c r="F1829" s="3" t="s">
        <v>130</v>
      </c>
      <c r="G1829" s="3" t="s">
        <v>131</v>
      </c>
      <c r="H1829" s="3">
        <v>4</v>
      </c>
      <c r="I1829" s="7">
        <v>2249.66</v>
      </c>
      <c r="J1829" s="9">
        <v>0.15</v>
      </c>
      <c r="K1829" s="7">
        <v>7648.84</v>
      </c>
      <c r="L1829" s="7">
        <v>1846.95</v>
      </c>
      <c r="M1829" s="3" t="s">
        <v>56</v>
      </c>
      <c r="N1829" s="3"/>
      <c r="O1829" s="3"/>
      <c r="P1829" s="3"/>
      <c r="Q1829" s="3"/>
    </row>
    <row r="1830" spans="1:17" ht="21" customHeight="1">
      <c r="A1830" s="3" t="s">
        <v>2519</v>
      </c>
      <c r="B1830" s="5">
        <v>45792</v>
      </c>
      <c r="C1830" s="3" t="s">
        <v>1725</v>
      </c>
      <c r="D1830" s="3" t="s">
        <v>46</v>
      </c>
      <c r="E1830" s="3" t="s">
        <v>38</v>
      </c>
      <c r="F1830" s="3" t="s">
        <v>142</v>
      </c>
      <c r="G1830" s="3" t="s">
        <v>245</v>
      </c>
      <c r="H1830" s="3">
        <v>1</v>
      </c>
      <c r="I1830" s="7">
        <v>5220.1000000000004</v>
      </c>
      <c r="J1830" s="9">
        <v>0.1</v>
      </c>
      <c r="K1830" s="7">
        <v>4698.09</v>
      </c>
      <c r="L1830" s="7">
        <v>395.47</v>
      </c>
      <c r="M1830" s="3" t="s">
        <v>58</v>
      </c>
      <c r="N1830" s="3"/>
      <c r="O1830" s="3"/>
      <c r="P1830" s="3"/>
      <c r="Q1830" s="3"/>
    </row>
    <row r="1831" spans="1:17" ht="21" customHeight="1">
      <c r="A1831" s="3" t="s">
        <v>2520</v>
      </c>
      <c r="B1831" s="5">
        <v>45792</v>
      </c>
      <c r="C1831" s="3" t="s">
        <v>481</v>
      </c>
      <c r="D1831" s="3" t="s">
        <v>46</v>
      </c>
      <c r="E1831" s="3" t="s">
        <v>38</v>
      </c>
      <c r="F1831" s="3" t="s">
        <v>98</v>
      </c>
      <c r="G1831" s="3" t="s">
        <v>182</v>
      </c>
      <c r="H1831" s="3">
        <v>2</v>
      </c>
      <c r="I1831" s="7">
        <v>71004.009999999995</v>
      </c>
      <c r="J1831" s="9">
        <v>0.1</v>
      </c>
      <c r="K1831" s="7">
        <v>127807.22</v>
      </c>
      <c r="L1831" s="7">
        <v>11858.82</v>
      </c>
      <c r="M1831" s="3" t="s">
        <v>56</v>
      </c>
      <c r="N1831" s="3"/>
      <c r="O1831" s="3"/>
      <c r="P1831" s="3"/>
      <c r="Q1831" s="3"/>
    </row>
    <row r="1832" spans="1:17" ht="21" customHeight="1">
      <c r="A1832" s="3" t="s">
        <v>2521</v>
      </c>
      <c r="B1832" s="5">
        <v>45792</v>
      </c>
      <c r="C1832" s="3" t="s">
        <v>495</v>
      </c>
      <c r="D1832" s="3" t="s">
        <v>46</v>
      </c>
      <c r="E1832" s="3" t="s">
        <v>40</v>
      </c>
      <c r="F1832" s="3" t="s">
        <v>160</v>
      </c>
      <c r="G1832" s="3" t="s">
        <v>173</v>
      </c>
      <c r="H1832" s="3">
        <v>1</v>
      </c>
      <c r="I1832" s="7">
        <v>8649.43</v>
      </c>
      <c r="J1832" s="9">
        <v>0</v>
      </c>
      <c r="K1832" s="7">
        <v>8649.43</v>
      </c>
      <c r="L1832" s="7">
        <v>2804.05</v>
      </c>
      <c r="M1832" s="3" t="s">
        <v>56</v>
      </c>
      <c r="N1832" s="3"/>
      <c r="O1832" s="3"/>
      <c r="P1832" s="3"/>
      <c r="Q1832" s="3"/>
    </row>
    <row r="1833" spans="1:17" ht="21" customHeight="1">
      <c r="A1833" s="3" t="s">
        <v>2522</v>
      </c>
      <c r="B1833" s="5">
        <v>45793</v>
      </c>
      <c r="C1833" s="3" t="s">
        <v>925</v>
      </c>
      <c r="D1833" s="3" t="s">
        <v>44</v>
      </c>
      <c r="E1833" s="3" t="s">
        <v>42</v>
      </c>
      <c r="F1833" s="3" t="s">
        <v>90</v>
      </c>
      <c r="G1833" s="3" t="s">
        <v>91</v>
      </c>
      <c r="H1833" s="3">
        <v>1</v>
      </c>
      <c r="I1833" s="7">
        <v>1147.32</v>
      </c>
      <c r="J1833" s="9">
        <v>0.1</v>
      </c>
      <c r="K1833" s="7">
        <v>1032.5899999999999</v>
      </c>
      <c r="L1833" s="7">
        <v>461.36</v>
      </c>
      <c r="M1833" s="3" t="s">
        <v>57</v>
      </c>
      <c r="N1833" s="3"/>
      <c r="O1833" s="3"/>
      <c r="P1833" s="3"/>
      <c r="Q1833" s="3"/>
    </row>
    <row r="1834" spans="1:17" ht="21" customHeight="1">
      <c r="A1834" s="3" t="s">
        <v>2523</v>
      </c>
      <c r="B1834" s="5">
        <v>45793</v>
      </c>
      <c r="C1834" s="3" t="s">
        <v>1176</v>
      </c>
      <c r="D1834" s="3" t="s">
        <v>46</v>
      </c>
      <c r="E1834" s="3" t="s">
        <v>39</v>
      </c>
      <c r="F1834" s="3" t="s">
        <v>130</v>
      </c>
      <c r="G1834" s="3" t="s">
        <v>131</v>
      </c>
      <c r="H1834" s="3">
        <v>1</v>
      </c>
      <c r="I1834" s="7">
        <v>2242.21</v>
      </c>
      <c r="J1834" s="9">
        <v>0.25</v>
      </c>
      <c r="K1834" s="7">
        <v>1681.66</v>
      </c>
      <c r="L1834" s="7">
        <v>228.23</v>
      </c>
      <c r="M1834" s="3" t="s">
        <v>58</v>
      </c>
      <c r="N1834" s="3"/>
      <c r="O1834" s="3"/>
      <c r="P1834" s="3"/>
      <c r="Q1834" s="3"/>
    </row>
    <row r="1835" spans="1:17" ht="21" customHeight="1">
      <c r="A1835" s="3" t="s">
        <v>2524</v>
      </c>
      <c r="B1835" s="5">
        <v>45793</v>
      </c>
      <c r="C1835" s="3" t="s">
        <v>2066</v>
      </c>
      <c r="D1835" s="3" t="s">
        <v>46</v>
      </c>
      <c r="E1835" s="3" t="s">
        <v>38</v>
      </c>
      <c r="F1835" s="3" t="s">
        <v>98</v>
      </c>
      <c r="G1835" s="3" t="s">
        <v>99</v>
      </c>
      <c r="H1835" s="3">
        <v>3</v>
      </c>
      <c r="I1835" s="7">
        <v>24962.43</v>
      </c>
      <c r="J1835" s="9">
        <v>0</v>
      </c>
      <c r="K1835" s="7">
        <v>74887.289999999994</v>
      </c>
      <c r="L1835" s="7">
        <v>11075.85</v>
      </c>
      <c r="M1835" s="3" t="s">
        <v>58</v>
      </c>
      <c r="N1835" s="3"/>
      <c r="O1835" s="3"/>
      <c r="P1835" s="3"/>
      <c r="Q1835" s="3"/>
    </row>
    <row r="1836" spans="1:17" ht="21" customHeight="1">
      <c r="A1836" s="3" t="s">
        <v>2525</v>
      </c>
      <c r="B1836" s="5">
        <v>45793</v>
      </c>
      <c r="C1836" s="3" t="s">
        <v>1122</v>
      </c>
      <c r="D1836" s="3" t="s">
        <v>45</v>
      </c>
      <c r="E1836" s="3" t="s">
        <v>42</v>
      </c>
      <c r="F1836" s="3" t="s">
        <v>126</v>
      </c>
      <c r="G1836" s="3" t="s">
        <v>127</v>
      </c>
      <c r="H1836" s="3">
        <v>1</v>
      </c>
      <c r="I1836" s="7">
        <v>1036.18</v>
      </c>
      <c r="J1836" s="9">
        <v>0.1</v>
      </c>
      <c r="K1836" s="7">
        <v>932.56</v>
      </c>
      <c r="L1836" s="7">
        <v>400.81</v>
      </c>
      <c r="M1836" s="3" t="s">
        <v>56</v>
      </c>
      <c r="N1836" s="3"/>
      <c r="O1836" s="3"/>
      <c r="P1836" s="3"/>
      <c r="Q1836" s="3"/>
    </row>
    <row r="1837" spans="1:17" ht="21" customHeight="1">
      <c r="A1837" s="3" t="s">
        <v>2526</v>
      </c>
      <c r="B1837" s="5">
        <v>45793</v>
      </c>
      <c r="C1837" s="3" t="s">
        <v>2183</v>
      </c>
      <c r="D1837" s="3" t="s">
        <v>46</v>
      </c>
      <c r="E1837" s="3" t="s">
        <v>39</v>
      </c>
      <c r="F1837" s="3" t="s">
        <v>130</v>
      </c>
      <c r="G1837" s="3" t="s">
        <v>131</v>
      </c>
      <c r="H1837" s="3">
        <v>1</v>
      </c>
      <c r="I1837" s="7">
        <v>2295.66</v>
      </c>
      <c r="J1837" s="9">
        <v>0.2</v>
      </c>
      <c r="K1837" s="7">
        <v>1836.53</v>
      </c>
      <c r="L1837" s="7">
        <v>291.08</v>
      </c>
      <c r="M1837" s="3" t="s">
        <v>56</v>
      </c>
      <c r="N1837" s="3"/>
      <c r="O1837" s="3"/>
      <c r="P1837" s="3"/>
      <c r="Q1837" s="3"/>
    </row>
    <row r="1838" spans="1:17" ht="21" customHeight="1">
      <c r="A1838" s="3" t="s">
        <v>2527</v>
      </c>
      <c r="B1838" s="5">
        <v>45793</v>
      </c>
      <c r="C1838" s="3" t="s">
        <v>545</v>
      </c>
      <c r="D1838" s="3" t="s">
        <v>44</v>
      </c>
      <c r="E1838" s="3" t="s">
        <v>38</v>
      </c>
      <c r="F1838" s="3" t="s">
        <v>94</v>
      </c>
      <c r="G1838" s="3" t="s">
        <v>213</v>
      </c>
      <c r="H1838" s="3">
        <v>2</v>
      </c>
      <c r="I1838" s="7">
        <v>55419.49</v>
      </c>
      <c r="J1838" s="9">
        <v>0</v>
      </c>
      <c r="K1838" s="7">
        <v>110838.98</v>
      </c>
      <c r="L1838" s="7">
        <v>21218.9</v>
      </c>
      <c r="M1838" s="3" t="s">
        <v>57</v>
      </c>
      <c r="N1838" s="3"/>
      <c r="O1838" s="3"/>
      <c r="P1838" s="3"/>
      <c r="Q1838" s="3"/>
    </row>
    <row r="1839" spans="1:17" ht="21" customHeight="1">
      <c r="A1839" s="3" t="s">
        <v>2528</v>
      </c>
      <c r="B1839" s="5">
        <v>45794</v>
      </c>
      <c r="C1839" s="3" t="s">
        <v>1624</v>
      </c>
      <c r="D1839" s="3" t="s">
        <v>45</v>
      </c>
      <c r="E1839" s="3" t="s">
        <v>40</v>
      </c>
      <c r="F1839" s="3" t="s">
        <v>160</v>
      </c>
      <c r="G1839" s="3" t="s">
        <v>173</v>
      </c>
      <c r="H1839" s="3">
        <v>2</v>
      </c>
      <c r="I1839" s="7">
        <v>9044.57</v>
      </c>
      <c r="J1839" s="9">
        <v>0</v>
      </c>
      <c r="K1839" s="7">
        <v>18089.14</v>
      </c>
      <c r="L1839" s="7">
        <v>6611.17</v>
      </c>
      <c r="M1839" s="3" t="s">
        <v>58</v>
      </c>
      <c r="N1839" s="3"/>
      <c r="O1839" s="3"/>
      <c r="P1839" s="3"/>
      <c r="Q1839" s="3"/>
    </row>
    <row r="1840" spans="1:17" ht="21" customHeight="1">
      <c r="A1840" s="3" t="s">
        <v>2529</v>
      </c>
      <c r="B1840" s="5">
        <v>45794</v>
      </c>
      <c r="C1840" s="3" t="s">
        <v>999</v>
      </c>
      <c r="D1840" s="3" t="s">
        <v>46</v>
      </c>
      <c r="E1840" s="3" t="s">
        <v>38</v>
      </c>
      <c r="F1840" s="3" t="s">
        <v>98</v>
      </c>
      <c r="G1840" s="3" t="s">
        <v>362</v>
      </c>
      <c r="H1840" s="3">
        <v>1</v>
      </c>
      <c r="I1840" s="7">
        <v>33272.44</v>
      </c>
      <c r="J1840" s="9">
        <v>0</v>
      </c>
      <c r="K1840" s="7">
        <v>33272.44</v>
      </c>
      <c r="L1840" s="7">
        <v>7288.49</v>
      </c>
      <c r="M1840" s="3" t="s">
        <v>58</v>
      </c>
      <c r="N1840" s="3"/>
      <c r="O1840" s="3"/>
      <c r="P1840" s="3"/>
      <c r="Q1840" s="3"/>
    </row>
    <row r="1841" spans="1:17" ht="21" customHeight="1">
      <c r="A1841" s="3" t="s">
        <v>2530</v>
      </c>
      <c r="B1841" s="5">
        <v>45794</v>
      </c>
      <c r="C1841" s="3" t="s">
        <v>808</v>
      </c>
      <c r="D1841" s="3" t="s">
        <v>46</v>
      </c>
      <c r="E1841" s="3" t="s">
        <v>42</v>
      </c>
      <c r="F1841" s="3" t="s">
        <v>126</v>
      </c>
      <c r="G1841" s="3" t="s">
        <v>151</v>
      </c>
      <c r="H1841" s="3">
        <v>1</v>
      </c>
      <c r="I1841" s="7">
        <v>1545.88</v>
      </c>
      <c r="J1841" s="9">
        <v>0</v>
      </c>
      <c r="K1841" s="7">
        <v>1545.88</v>
      </c>
      <c r="L1841" s="7">
        <v>862.64</v>
      </c>
      <c r="M1841" s="3" t="s">
        <v>57</v>
      </c>
      <c r="N1841" s="3"/>
      <c r="O1841" s="3"/>
      <c r="P1841" s="3"/>
      <c r="Q1841" s="3"/>
    </row>
    <row r="1842" spans="1:17" ht="21" customHeight="1">
      <c r="A1842" s="3" t="s">
        <v>2531</v>
      </c>
      <c r="B1842" s="5">
        <v>45794</v>
      </c>
      <c r="C1842" s="3" t="s">
        <v>2532</v>
      </c>
      <c r="D1842" s="3" t="s">
        <v>45</v>
      </c>
      <c r="E1842" s="3" t="s">
        <v>40</v>
      </c>
      <c r="F1842" s="3" t="s">
        <v>102</v>
      </c>
      <c r="G1842" s="3" t="s">
        <v>103</v>
      </c>
      <c r="H1842" s="3">
        <v>1</v>
      </c>
      <c r="I1842" s="7">
        <v>6805.04</v>
      </c>
      <c r="J1842" s="9">
        <v>0</v>
      </c>
      <c r="K1842" s="7">
        <v>6805.04</v>
      </c>
      <c r="L1842" s="7">
        <v>2384.4699999999998</v>
      </c>
      <c r="M1842" s="3" t="s">
        <v>56</v>
      </c>
      <c r="N1842" s="3"/>
      <c r="O1842" s="3"/>
      <c r="P1842" s="3"/>
      <c r="Q1842" s="3"/>
    </row>
    <row r="1843" spans="1:17" ht="21" customHeight="1">
      <c r="A1843" s="3" t="s">
        <v>2533</v>
      </c>
      <c r="B1843" s="5">
        <v>45795</v>
      </c>
      <c r="C1843" s="3" t="s">
        <v>278</v>
      </c>
      <c r="D1843" s="3" t="s">
        <v>47</v>
      </c>
      <c r="E1843" s="3" t="s">
        <v>39</v>
      </c>
      <c r="F1843" s="3" t="s">
        <v>109</v>
      </c>
      <c r="G1843" s="3" t="s">
        <v>355</v>
      </c>
      <c r="H1843" s="3">
        <v>2</v>
      </c>
      <c r="I1843" s="7">
        <v>3558.69</v>
      </c>
      <c r="J1843" s="9">
        <v>0.3</v>
      </c>
      <c r="K1843" s="7">
        <v>4982.17</v>
      </c>
      <c r="L1843" s="7">
        <v>439.62</v>
      </c>
      <c r="M1843" s="3" t="s">
        <v>57</v>
      </c>
      <c r="N1843" s="3"/>
      <c r="O1843" s="3"/>
      <c r="P1843" s="3"/>
      <c r="Q1843" s="3"/>
    </row>
    <row r="1844" spans="1:17" ht="21" customHeight="1">
      <c r="A1844" s="3" t="s">
        <v>2534</v>
      </c>
      <c r="B1844" s="5">
        <v>45795</v>
      </c>
      <c r="C1844" s="3" t="s">
        <v>746</v>
      </c>
      <c r="D1844" s="3" t="s">
        <v>44</v>
      </c>
      <c r="E1844" s="3" t="s">
        <v>39</v>
      </c>
      <c r="F1844" s="3" t="s">
        <v>109</v>
      </c>
      <c r="G1844" s="3" t="s">
        <v>355</v>
      </c>
      <c r="H1844" s="3">
        <v>1</v>
      </c>
      <c r="I1844" s="7">
        <v>3375.85</v>
      </c>
      <c r="J1844" s="9">
        <v>0.05</v>
      </c>
      <c r="K1844" s="7">
        <v>3207.06</v>
      </c>
      <c r="L1844" s="7">
        <v>1253.81</v>
      </c>
      <c r="M1844" s="3" t="s">
        <v>60</v>
      </c>
      <c r="N1844" s="3"/>
      <c r="O1844" s="3"/>
      <c r="P1844" s="3"/>
      <c r="Q1844" s="3"/>
    </row>
    <row r="1845" spans="1:17" ht="21" customHeight="1">
      <c r="A1845" s="3" t="s">
        <v>2535</v>
      </c>
      <c r="B1845" s="5">
        <v>45795</v>
      </c>
      <c r="C1845" s="3" t="s">
        <v>220</v>
      </c>
      <c r="D1845" s="3" t="s">
        <v>45</v>
      </c>
      <c r="E1845" s="3" t="s">
        <v>41</v>
      </c>
      <c r="F1845" s="3" t="s">
        <v>119</v>
      </c>
      <c r="G1845" s="3" t="s">
        <v>120</v>
      </c>
      <c r="H1845" s="3">
        <v>2</v>
      </c>
      <c r="I1845" s="7">
        <v>1341.88</v>
      </c>
      <c r="J1845" s="9">
        <v>0.2</v>
      </c>
      <c r="K1845" s="7">
        <v>2147.0100000000002</v>
      </c>
      <c r="L1845" s="7">
        <v>348.03</v>
      </c>
      <c r="M1845" s="3" t="s">
        <v>57</v>
      </c>
      <c r="N1845" s="3"/>
      <c r="O1845" s="3"/>
      <c r="P1845" s="3"/>
      <c r="Q1845" s="3"/>
    </row>
    <row r="1846" spans="1:17" ht="21" customHeight="1">
      <c r="A1846" s="3" t="s">
        <v>2536</v>
      </c>
      <c r="B1846" s="5">
        <v>45796</v>
      </c>
      <c r="C1846" s="3" t="s">
        <v>816</v>
      </c>
      <c r="D1846" s="3" t="s">
        <v>47</v>
      </c>
      <c r="E1846" s="3" t="s">
        <v>40</v>
      </c>
      <c r="F1846" s="3" t="s">
        <v>102</v>
      </c>
      <c r="G1846" s="3" t="s">
        <v>146</v>
      </c>
      <c r="H1846" s="3">
        <v>2</v>
      </c>
      <c r="I1846" s="7">
        <v>8053.11</v>
      </c>
      <c r="J1846" s="9">
        <v>0.05</v>
      </c>
      <c r="K1846" s="7">
        <v>15300.91</v>
      </c>
      <c r="L1846" s="7">
        <v>3731.41</v>
      </c>
      <c r="M1846" s="3" t="s">
        <v>58</v>
      </c>
      <c r="N1846" s="3"/>
      <c r="O1846" s="3"/>
      <c r="P1846" s="3"/>
      <c r="Q1846" s="3"/>
    </row>
    <row r="1847" spans="1:17" ht="21" customHeight="1">
      <c r="A1847" s="3" t="s">
        <v>2537</v>
      </c>
      <c r="B1847" s="5">
        <v>45796</v>
      </c>
      <c r="C1847" s="3" t="s">
        <v>2538</v>
      </c>
      <c r="D1847" s="3" t="s">
        <v>44</v>
      </c>
      <c r="E1847" s="3" t="s">
        <v>39</v>
      </c>
      <c r="F1847" s="3" t="s">
        <v>164</v>
      </c>
      <c r="G1847" s="3" t="s">
        <v>165</v>
      </c>
      <c r="H1847" s="3">
        <v>1</v>
      </c>
      <c r="I1847" s="7">
        <v>2008.33</v>
      </c>
      <c r="J1847" s="9">
        <v>0.15</v>
      </c>
      <c r="K1847" s="7">
        <v>1707.08</v>
      </c>
      <c r="L1847" s="7">
        <v>419.25</v>
      </c>
      <c r="M1847" s="3" t="s">
        <v>57</v>
      </c>
      <c r="N1847" s="3"/>
      <c r="O1847" s="3"/>
      <c r="P1847" s="3"/>
      <c r="Q1847" s="3"/>
    </row>
    <row r="1848" spans="1:17" ht="21" customHeight="1">
      <c r="A1848" s="3" t="s">
        <v>2539</v>
      </c>
      <c r="B1848" s="5">
        <v>45796</v>
      </c>
      <c r="C1848" s="3" t="s">
        <v>489</v>
      </c>
      <c r="D1848" s="3" t="s">
        <v>47</v>
      </c>
      <c r="E1848" s="3" t="s">
        <v>41</v>
      </c>
      <c r="F1848" s="3" t="s">
        <v>113</v>
      </c>
      <c r="G1848" s="3" t="s">
        <v>123</v>
      </c>
      <c r="H1848" s="3">
        <v>1</v>
      </c>
      <c r="I1848" s="7">
        <v>3441.95</v>
      </c>
      <c r="J1848" s="9">
        <v>0</v>
      </c>
      <c r="K1848" s="7">
        <v>3441.95</v>
      </c>
      <c r="L1848" s="7">
        <v>1375.25</v>
      </c>
      <c r="M1848" s="3" t="s">
        <v>56</v>
      </c>
      <c r="N1848" s="3"/>
      <c r="O1848" s="3"/>
      <c r="P1848" s="3"/>
      <c r="Q1848" s="3"/>
    </row>
    <row r="1849" spans="1:17" ht="21" customHeight="1">
      <c r="A1849" s="3" t="s">
        <v>2540</v>
      </c>
      <c r="B1849" s="5">
        <v>45796</v>
      </c>
      <c r="C1849" s="3" t="s">
        <v>919</v>
      </c>
      <c r="D1849" s="3" t="s">
        <v>46</v>
      </c>
      <c r="E1849" s="3" t="s">
        <v>38</v>
      </c>
      <c r="F1849" s="3" t="s">
        <v>98</v>
      </c>
      <c r="G1849" s="3" t="s">
        <v>99</v>
      </c>
      <c r="H1849" s="3">
        <v>2</v>
      </c>
      <c r="I1849" s="7">
        <v>24459.89</v>
      </c>
      <c r="J1849" s="9">
        <v>0.05</v>
      </c>
      <c r="K1849" s="7">
        <v>46473.79</v>
      </c>
      <c r="L1849" s="7">
        <v>4748.1499999999996</v>
      </c>
      <c r="M1849" s="3" t="s">
        <v>56</v>
      </c>
      <c r="N1849" s="3"/>
      <c r="O1849" s="3"/>
      <c r="P1849" s="3"/>
      <c r="Q1849" s="3"/>
    </row>
    <row r="1850" spans="1:17" ht="21" customHeight="1">
      <c r="A1850" s="3" t="s">
        <v>2541</v>
      </c>
      <c r="B1850" s="5">
        <v>45797</v>
      </c>
      <c r="C1850" s="3" t="s">
        <v>145</v>
      </c>
      <c r="D1850" s="3" t="s">
        <v>44</v>
      </c>
      <c r="E1850" s="3" t="s">
        <v>39</v>
      </c>
      <c r="F1850" s="3" t="s">
        <v>164</v>
      </c>
      <c r="G1850" s="3" t="s">
        <v>165</v>
      </c>
      <c r="H1850" s="3">
        <v>1</v>
      </c>
      <c r="I1850" s="7">
        <v>1929.61</v>
      </c>
      <c r="J1850" s="9">
        <v>0</v>
      </c>
      <c r="K1850" s="7">
        <v>1929.61</v>
      </c>
      <c r="L1850" s="7">
        <v>850.44</v>
      </c>
      <c r="M1850" s="3" t="s">
        <v>60</v>
      </c>
      <c r="N1850" s="3"/>
      <c r="O1850" s="3"/>
      <c r="P1850" s="3"/>
      <c r="Q1850" s="3"/>
    </row>
    <row r="1851" spans="1:17" ht="21" customHeight="1">
      <c r="A1851" s="3" t="s">
        <v>2542</v>
      </c>
      <c r="B1851" s="5">
        <v>45797</v>
      </c>
      <c r="C1851" s="3" t="s">
        <v>548</v>
      </c>
      <c r="D1851" s="3" t="s">
        <v>44</v>
      </c>
      <c r="E1851" s="3" t="s">
        <v>40</v>
      </c>
      <c r="F1851" s="3" t="s">
        <v>160</v>
      </c>
      <c r="G1851" s="3" t="s">
        <v>161</v>
      </c>
      <c r="H1851" s="3">
        <v>1</v>
      </c>
      <c r="I1851" s="7">
        <v>13243.65</v>
      </c>
      <c r="J1851" s="9">
        <v>0.25</v>
      </c>
      <c r="K1851" s="7">
        <v>9932.74</v>
      </c>
      <c r="L1851" s="7">
        <v>406.78</v>
      </c>
      <c r="M1851" s="3" t="s">
        <v>56</v>
      </c>
      <c r="N1851" s="3"/>
      <c r="O1851" s="3"/>
      <c r="P1851" s="3"/>
      <c r="Q1851" s="3"/>
    </row>
    <row r="1852" spans="1:17" ht="21" customHeight="1">
      <c r="A1852" s="3" t="s">
        <v>2543</v>
      </c>
      <c r="B1852" s="5">
        <v>45797</v>
      </c>
      <c r="C1852" s="3" t="s">
        <v>581</v>
      </c>
      <c r="D1852" s="3" t="s">
        <v>45</v>
      </c>
      <c r="E1852" s="3" t="s">
        <v>39</v>
      </c>
      <c r="F1852" s="3" t="s">
        <v>164</v>
      </c>
      <c r="G1852" s="3" t="s">
        <v>165</v>
      </c>
      <c r="H1852" s="3">
        <v>3</v>
      </c>
      <c r="I1852" s="7">
        <v>1997.12</v>
      </c>
      <c r="J1852" s="9">
        <v>0</v>
      </c>
      <c r="K1852" s="7">
        <v>5991.36</v>
      </c>
      <c r="L1852" s="7">
        <v>2671.09</v>
      </c>
      <c r="M1852" s="3" t="s">
        <v>57</v>
      </c>
      <c r="N1852" s="3"/>
      <c r="O1852" s="3"/>
      <c r="P1852" s="3"/>
      <c r="Q1852" s="3"/>
    </row>
    <row r="1853" spans="1:17" ht="21" customHeight="1">
      <c r="A1853" s="3" t="s">
        <v>2544</v>
      </c>
      <c r="B1853" s="5">
        <v>45797</v>
      </c>
      <c r="C1853" s="3" t="s">
        <v>700</v>
      </c>
      <c r="D1853" s="3" t="s">
        <v>46</v>
      </c>
      <c r="E1853" s="3" t="s">
        <v>42</v>
      </c>
      <c r="F1853" s="3" t="s">
        <v>126</v>
      </c>
      <c r="G1853" s="3" t="s">
        <v>151</v>
      </c>
      <c r="H1853" s="3">
        <v>1</v>
      </c>
      <c r="I1853" s="7">
        <v>1468.26</v>
      </c>
      <c r="J1853" s="9">
        <v>0.2</v>
      </c>
      <c r="K1853" s="7">
        <v>1174.6099999999999</v>
      </c>
      <c r="L1853" s="7">
        <v>339.19</v>
      </c>
      <c r="M1853" s="3" t="s">
        <v>58</v>
      </c>
      <c r="N1853" s="3"/>
      <c r="O1853" s="3"/>
      <c r="P1853" s="3"/>
      <c r="Q1853" s="3"/>
    </row>
    <row r="1854" spans="1:17" ht="21" customHeight="1">
      <c r="A1854" s="3" t="s">
        <v>2545</v>
      </c>
      <c r="B1854" s="5">
        <v>45797</v>
      </c>
      <c r="C1854" s="3" t="s">
        <v>303</v>
      </c>
      <c r="D1854" s="3" t="s">
        <v>45</v>
      </c>
      <c r="E1854" s="3" t="s">
        <v>42</v>
      </c>
      <c r="F1854" s="3" t="s">
        <v>126</v>
      </c>
      <c r="G1854" s="3" t="s">
        <v>151</v>
      </c>
      <c r="H1854" s="3">
        <v>1</v>
      </c>
      <c r="I1854" s="7">
        <v>1502.41</v>
      </c>
      <c r="J1854" s="9">
        <v>0.1</v>
      </c>
      <c r="K1854" s="7">
        <v>1352.17</v>
      </c>
      <c r="L1854" s="7">
        <v>577.22</v>
      </c>
      <c r="M1854" s="3" t="s">
        <v>58</v>
      </c>
      <c r="N1854" s="3"/>
      <c r="O1854" s="3"/>
      <c r="P1854" s="3"/>
      <c r="Q1854" s="3"/>
    </row>
    <row r="1855" spans="1:17" ht="21" customHeight="1">
      <c r="A1855" s="3" t="s">
        <v>2546</v>
      </c>
      <c r="B1855" s="5">
        <v>45798</v>
      </c>
      <c r="C1855" s="3" t="s">
        <v>571</v>
      </c>
      <c r="D1855" s="3" t="s">
        <v>46</v>
      </c>
      <c r="E1855" s="3" t="s">
        <v>41</v>
      </c>
      <c r="F1855" s="3" t="s">
        <v>119</v>
      </c>
      <c r="G1855" s="3" t="s">
        <v>168</v>
      </c>
      <c r="H1855" s="3">
        <v>4</v>
      </c>
      <c r="I1855" s="7">
        <v>9607.7800000000007</v>
      </c>
      <c r="J1855" s="9">
        <v>0</v>
      </c>
      <c r="K1855" s="7">
        <v>38431.120000000003</v>
      </c>
      <c r="L1855" s="7">
        <v>15569.42</v>
      </c>
      <c r="M1855" s="3" t="s">
        <v>56</v>
      </c>
      <c r="N1855" s="3"/>
      <c r="O1855" s="3"/>
      <c r="P1855" s="3"/>
      <c r="Q1855" s="3"/>
    </row>
    <row r="1856" spans="1:17" ht="21" customHeight="1">
      <c r="A1856" s="3" t="s">
        <v>2547</v>
      </c>
      <c r="B1856" s="5">
        <v>45798</v>
      </c>
      <c r="C1856" s="3" t="s">
        <v>825</v>
      </c>
      <c r="D1856" s="3" t="s">
        <v>46</v>
      </c>
      <c r="E1856" s="3" t="s">
        <v>41</v>
      </c>
      <c r="F1856" s="3" t="s">
        <v>119</v>
      </c>
      <c r="G1856" s="3" t="s">
        <v>168</v>
      </c>
      <c r="H1856" s="3">
        <v>1</v>
      </c>
      <c r="I1856" s="7">
        <v>10136.48</v>
      </c>
      <c r="J1856" s="9">
        <v>0</v>
      </c>
      <c r="K1856" s="7">
        <v>10136.48</v>
      </c>
      <c r="L1856" s="7">
        <v>4073.62</v>
      </c>
      <c r="M1856" s="3" t="s">
        <v>56</v>
      </c>
      <c r="N1856" s="3"/>
      <c r="O1856" s="3"/>
      <c r="P1856" s="3"/>
      <c r="Q1856" s="3"/>
    </row>
    <row r="1857" spans="1:17" ht="21" customHeight="1">
      <c r="A1857" s="3" t="s">
        <v>2548</v>
      </c>
      <c r="B1857" s="5">
        <v>45798</v>
      </c>
      <c r="C1857" s="3" t="s">
        <v>2549</v>
      </c>
      <c r="D1857" s="3" t="s">
        <v>46</v>
      </c>
      <c r="E1857" s="3" t="s">
        <v>39</v>
      </c>
      <c r="F1857" s="3" t="s">
        <v>164</v>
      </c>
      <c r="G1857" s="3" t="s">
        <v>200</v>
      </c>
      <c r="H1857" s="3">
        <v>1</v>
      </c>
      <c r="I1857" s="7">
        <v>1359.21</v>
      </c>
      <c r="J1857" s="9">
        <v>0.15</v>
      </c>
      <c r="K1857" s="7">
        <v>1155.33</v>
      </c>
      <c r="L1857" s="7">
        <v>245.6</v>
      </c>
      <c r="M1857" s="3" t="s">
        <v>60</v>
      </c>
      <c r="N1857" s="3"/>
      <c r="O1857" s="3"/>
      <c r="P1857" s="3"/>
      <c r="Q1857" s="3"/>
    </row>
    <row r="1858" spans="1:17" ht="21" customHeight="1">
      <c r="A1858" s="3" t="s">
        <v>2550</v>
      </c>
      <c r="B1858" s="5">
        <v>45799</v>
      </c>
      <c r="C1858" s="3" t="s">
        <v>1174</v>
      </c>
      <c r="D1858" s="3" t="s">
        <v>46</v>
      </c>
      <c r="E1858" s="3" t="s">
        <v>38</v>
      </c>
      <c r="F1858" s="3" t="s">
        <v>142</v>
      </c>
      <c r="G1858" s="3" t="s">
        <v>245</v>
      </c>
      <c r="H1858" s="3">
        <v>2</v>
      </c>
      <c r="I1858" s="7">
        <v>5212.24</v>
      </c>
      <c r="J1858" s="9">
        <v>0.15</v>
      </c>
      <c r="K1858" s="7">
        <v>8860.81</v>
      </c>
      <c r="L1858" s="7">
        <v>119.87</v>
      </c>
      <c r="M1858" s="3" t="s">
        <v>56</v>
      </c>
      <c r="N1858" s="3"/>
      <c r="O1858" s="3"/>
      <c r="P1858" s="3"/>
      <c r="Q1858" s="3"/>
    </row>
    <row r="1859" spans="1:17" ht="21" customHeight="1">
      <c r="A1859" s="3" t="s">
        <v>2551</v>
      </c>
      <c r="B1859" s="5">
        <v>45799</v>
      </c>
      <c r="C1859" s="3" t="s">
        <v>2106</v>
      </c>
      <c r="D1859" s="3" t="s">
        <v>45</v>
      </c>
      <c r="E1859" s="3" t="s">
        <v>41</v>
      </c>
      <c r="F1859" s="3" t="s">
        <v>119</v>
      </c>
      <c r="G1859" s="3" t="s">
        <v>120</v>
      </c>
      <c r="H1859" s="3">
        <v>1</v>
      </c>
      <c r="I1859" s="7">
        <v>1329.5</v>
      </c>
      <c r="J1859" s="9">
        <v>0.15</v>
      </c>
      <c r="K1859" s="7">
        <v>1130.08</v>
      </c>
      <c r="L1859" s="7">
        <v>267.5</v>
      </c>
      <c r="M1859" s="3" t="s">
        <v>57</v>
      </c>
      <c r="N1859" s="3"/>
      <c r="O1859" s="3"/>
      <c r="P1859" s="3"/>
      <c r="Q1859" s="3"/>
    </row>
    <row r="1860" spans="1:17" ht="21" customHeight="1">
      <c r="A1860" s="3" t="s">
        <v>2552</v>
      </c>
      <c r="B1860" s="5">
        <v>45799</v>
      </c>
      <c r="C1860" s="3" t="s">
        <v>923</v>
      </c>
      <c r="D1860" s="3" t="s">
        <v>45</v>
      </c>
      <c r="E1860" s="3" t="s">
        <v>42</v>
      </c>
      <c r="F1860" s="3" t="s">
        <v>90</v>
      </c>
      <c r="G1860" s="3" t="s">
        <v>91</v>
      </c>
      <c r="H1860" s="3">
        <v>2</v>
      </c>
      <c r="I1860" s="7">
        <v>1177.83</v>
      </c>
      <c r="J1860" s="9">
        <v>0</v>
      </c>
      <c r="K1860" s="7">
        <v>2355.66</v>
      </c>
      <c r="L1860" s="7">
        <v>1318.7</v>
      </c>
      <c r="M1860" s="3" t="s">
        <v>56</v>
      </c>
      <c r="N1860" s="3"/>
      <c r="O1860" s="3"/>
      <c r="P1860" s="3"/>
      <c r="Q1860" s="3"/>
    </row>
    <row r="1861" spans="1:17" ht="21" customHeight="1">
      <c r="A1861" s="3" t="s">
        <v>2553</v>
      </c>
      <c r="B1861" s="5">
        <v>45799</v>
      </c>
      <c r="C1861" s="3" t="s">
        <v>1039</v>
      </c>
      <c r="D1861" s="3" t="s">
        <v>44</v>
      </c>
      <c r="E1861" s="3" t="s">
        <v>38</v>
      </c>
      <c r="F1861" s="3" t="s">
        <v>142</v>
      </c>
      <c r="G1861" s="3" t="s">
        <v>143</v>
      </c>
      <c r="H1861" s="3">
        <v>1</v>
      </c>
      <c r="I1861" s="7">
        <v>8631.86</v>
      </c>
      <c r="J1861" s="9">
        <v>0.15</v>
      </c>
      <c r="K1861" s="7">
        <v>7337.08</v>
      </c>
      <c r="L1861" s="7">
        <v>138.38</v>
      </c>
      <c r="M1861" s="3" t="s">
        <v>56</v>
      </c>
      <c r="N1861" s="3"/>
      <c r="O1861" s="3"/>
      <c r="P1861" s="3"/>
      <c r="Q1861" s="3"/>
    </row>
    <row r="1862" spans="1:17" ht="21" customHeight="1">
      <c r="A1862" s="3" t="s">
        <v>2554</v>
      </c>
      <c r="B1862" s="5">
        <v>45800</v>
      </c>
      <c r="C1862" s="3" t="s">
        <v>1165</v>
      </c>
      <c r="D1862" s="3" t="s">
        <v>46</v>
      </c>
      <c r="E1862" s="3" t="s">
        <v>42</v>
      </c>
      <c r="F1862" s="3" t="s">
        <v>90</v>
      </c>
      <c r="G1862" s="3" t="s">
        <v>91</v>
      </c>
      <c r="H1862" s="3">
        <v>1</v>
      </c>
      <c r="I1862" s="7">
        <v>1241.25</v>
      </c>
      <c r="J1862" s="9">
        <v>0.05</v>
      </c>
      <c r="K1862" s="7">
        <v>1179.19</v>
      </c>
      <c r="L1862" s="7">
        <v>548.42999999999995</v>
      </c>
      <c r="M1862" s="3" t="s">
        <v>57</v>
      </c>
      <c r="N1862" s="3"/>
      <c r="O1862" s="3"/>
      <c r="P1862" s="3"/>
      <c r="Q1862" s="3"/>
    </row>
    <row r="1863" spans="1:17" ht="21" customHeight="1">
      <c r="A1863" s="3" t="s">
        <v>2555</v>
      </c>
      <c r="B1863" s="5">
        <v>45801</v>
      </c>
      <c r="C1863" s="3" t="s">
        <v>125</v>
      </c>
      <c r="D1863" s="3" t="s">
        <v>47</v>
      </c>
      <c r="E1863" s="3" t="s">
        <v>40</v>
      </c>
      <c r="F1863" s="3" t="s">
        <v>102</v>
      </c>
      <c r="G1863" s="3" t="s">
        <v>103</v>
      </c>
      <c r="H1863" s="3">
        <v>1</v>
      </c>
      <c r="I1863" s="7">
        <v>6708.84</v>
      </c>
      <c r="J1863" s="9">
        <v>0</v>
      </c>
      <c r="K1863" s="7">
        <v>6708.84</v>
      </c>
      <c r="L1863" s="7">
        <v>2420.0300000000002</v>
      </c>
      <c r="M1863" s="3" t="s">
        <v>57</v>
      </c>
      <c r="N1863" s="3"/>
      <c r="O1863" s="3"/>
      <c r="P1863" s="3"/>
      <c r="Q1863" s="3"/>
    </row>
    <row r="1864" spans="1:17" ht="21" customHeight="1">
      <c r="A1864" s="3" t="s">
        <v>2556</v>
      </c>
      <c r="B1864" s="5">
        <v>45802</v>
      </c>
      <c r="C1864" s="3" t="s">
        <v>1376</v>
      </c>
      <c r="D1864" s="3" t="s">
        <v>44</v>
      </c>
      <c r="E1864" s="3" t="s">
        <v>40</v>
      </c>
      <c r="F1864" s="3" t="s">
        <v>102</v>
      </c>
      <c r="G1864" s="3" t="s">
        <v>146</v>
      </c>
      <c r="H1864" s="3">
        <v>1</v>
      </c>
      <c r="I1864" s="7">
        <v>7761.31</v>
      </c>
      <c r="J1864" s="9">
        <v>0</v>
      </c>
      <c r="K1864" s="7">
        <v>7761.31</v>
      </c>
      <c r="L1864" s="7">
        <v>2637.33</v>
      </c>
      <c r="M1864" s="3" t="s">
        <v>57</v>
      </c>
      <c r="N1864" s="3"/>
      <c r="O1864" s="3"/>
      <c r="P1864" s="3"/>
      <c r="Q1864" s="3"/>
    </row>
    <row r="1865" spans="1:17" ht="21" customHeight="1">
      <c r="A1865" s="3" t="s">
        <v>2557</v>
      </c>
      <c r="B1865" s="5">
        <v>45802</v>
      </c>
      <c r="C1865" s="3" t="s">
        <v>1195</v>
      </c>
      <c r="D1865" s="3" t="s">
        <v>45</v>
      </c>
      <c r="E1865" s="3" t="s">
        <v>40</v>
      </c>
      <c r="F1865" s="3" t="s">
        <v>102</v>
      </c>
      <c r="G1865" s="3" t="s">
        <v>103</v>
      </c>
      <c r="H1865" s="3">
        <v>2</v>
      </c>
      <c r="I1865" s="7">
        <v>6751.93</v>
      </c>
      <c r="J1865" s="9">
        <v>0</v>
      </c>
      <c r="K1865" s="7">
        <v>13503.86</v>
      </c>
      <c r="L1865" s="7">
        <v>4462.2</v>
      </c>
      <c r="M1865" s="3" t="s">
        <v>56</v>
      </c>
      <c r="N1865" s="3"/>
      <c r="O1865" s="3"/>
      <c r="P1865" s="3"/>
      <c r="Q1865" s="3"/>
    </row>
    <row r="1866" spans="1:17" ht="21" customHeight="1">
      <c r="A1866" s="3" t="s">
        <v>2558</v>
      </c>
      <c r="B1866" s="5">
        <v>45802</v>
      </c>
      <c r="C1866" s="3" t="s">
        <v>318</v>
      </c>
      <c r="D1866" s="3" t="s">
        <v>45</v>
      </c>
      <c r="E1866" s="3" t="s">
        <v>41</v>
      </c>
      <c r="F1866" s="3" t="s">
        <v>113</v>
      </c>
      <c r="G1866" s="3" t="s">
        <v>114</v>
      </c>
      <c r="H1866" s="3">
        <v>3</v>
      </c>
      <c r="I1866" s="7">
        <v>11660.54</v>
      </c>
      <c r="J1866" s="9">
        <v>0</v>
      </c>
      <c r="K1866" s="7">
        <v>34981.620000000003</v>
      </c>
      <c r="L1866" s="7">
        <v>12270.75</v>
      </c>
      <c r="M1866" s="3" t="s">
        <v>56</v>
      </c>
      <c r="N1866" s="3"/>
      <c r="O1866" s="3"/>
      <c r="P1866" s="3"/>
      <c r="Q1866" s="3"/>
    </row>
    <row r="1867" spans="1:17" ht="21" customHeight="1">
      <c r="A1867" s="3" t="s">
        <v>2559</v>
      </c>
      <c r="B1867" s="5">
        <v>45802</v>
      </c>
      <c r="C1867" s="3" t="s">
        <v>765</v>
      </c>
      <c r="D1867" s="3" t="s">
        <v>46</v>
      </c>
      <c r="E1867" s="3" t="s">
        <v>39</v>
      </c>
      <c r="F1867" s="3" t="s">
        <v>164</v>
      </c>
      <c r="G1867" s="3" t="s">
        <v>165</v>
      </c>
      <c r="H1867" s="3">
        <v>1</v>
      </c>
      <c r="I1867" s="7">
        <v>2019.94</v>
      </c>
      <c r="J1867" s="9">
        <v>0</v>
      </c>
      <c r="K1867" s="7">
        <v>2019.94</v>
      </c>
      <c r="L1867" s="7">
        <v>900.22</v>
      </c>
      <c r="M1867" s="3" t="s">
        <v>56</v>
      </c>
      <c r="N1867" s="3"/>
      <c r="O1867" s="3"/>
      <c r="P1867" s="3"/>
      <c r="Q1867" s="3"/>
    </row>
    <row r="1868" spans="1:17" ht="21" customHeight="1">
      <c r="A1868" s="3" t="s">
        <v>2560</v>
      </c>
      <c r="B1868" s="5">
        <v>45803</v>
      </c>
      <c r="C1868" s="3" t="s">
        <v>919</v>
      </c>
      <c r="D1868" s="3" t="s">
        <v>45</v>
      </c>
      <c r="E1868" s="3" t="s">
        <v>41</v>
      </c>
      <c r="F1868" s="3" t="s">
        <v>113</v>
      </c>
      <c r="G1868" s="3" t="s">
        <v>123</v>
      </c>
      <c r="H1868" s="3">
        <v>1</v>
      </c>
      <c r="I1868" s="7">
        <v>3504.38</v>
      </c>
      <c r="J1868" s="9">
        <v>0</v>
      </c>
      <c r="K1868" s="7">
        <v>3504.38</v>
      </c>
      <c r="L1868" s="7">
        <v>1379.76</v>
      </c>
      <c r="M1868" s="3" t="s">
        <v>59</v>
      </c>
      <c r="N1868" s="3"/>
      <c r="O1868" s="3"/>
      <c r="P1868" s="3"/>
      <c r="Q1868" s="3"/>
    </row>
    <row r="1869" spans="1:17" ht="21" customHeight="1">
      <c r="A1869" s="3" t="s">
        <v>2561</v>
      </c>
      <c r="B1869" s="5">
        <v>45803</v>
      </c>
      <c r="C1869" s="3" t="s">
        <v>242</v>
      </c>
      <c r="D1869" s="3" t="s">
        <v>45</v>
      </c>
      <c r="E1869" s="3" t="s">
        <v>42</v>
      </c>
      <c r="F1869" s="3" t="s">
        <v>126</v>
      </c>
      <c r="G1869" s="3" t="s">
        <v>151</v>
      </c>
      <c r="H1869" s="3">
        <v>1</v>
      </c>
      <c r="I1869" s="7">
        <v>1551.06</v>
      </c>
      <c r="J1869" s="9">
        <v>0.05</v>
      </c>
      <c r="K1869" s="7">
        <v>1473.51</v>
      </c>
      <c r="L1869" s="7">
        <v>688.33</v>
      </c>
      <c r="M1869" s="3" t="s">
        <v>56</v>
      </c>
      <c r="N1869" s="3"/>
      <c r="O1869" s="3"/>
      <c r="P1869" s="3"/>
      <c r="Q1869" s="3"/>
    </row>
    <row r="1870" spans="1:17" ht="21" customHeight="1">
      <c r="A1870" s="3" t="s">
        <v>2562</v>
      </c>
      <c r="B1870" s="5">
        <v>45803</v>
      </c>
      <c r="C1870" s="3" t="s">
        <v>1707</v>
      </c>
      <c r="D1870" s="3" t="s">
        <v>47</v>
      </c>
      <c r="E1870" s="3" t="s">
        <v>38</v>
      </c>
      <c r="F1870" s="3" t="s">
        <v>94</v>
      </c>
      <c r="G1870" s="3" t="s">
        <v>95</v>
      </c>
      <c r="H1870" s="3">
        <v>1</v>
      </c>
      <c r="I1870" s="7">
        <v>78617.740000000005</v>
      </c>
      <c r="J1870" s="9">
        <v>0</v>
      </c>
      <c r="K1870" s="7">
        <v>78617.740000000005</v>
      </c>
      <c r="L1870" s="7">
        <v>15296.17</v>
      </c>
      <c r="M1870" s="3" t="s">
        <v>56</v>
      </c>
      <c r="N1870" s="3"/>
      <c r="O1870" s="3"/>
      <c r="P1870" s="3"/>
      <c r="Q1870" s="3"/>
    </row>
    <row r="1871" spans="1:17" ht="21" customHeight="1">
      <c r="A1871" s="3" t="s">
        <v>2563</v>
      </c>
      <c r="B1871" s="5">
        <v>45804</v>
      </c>
      <c r="C1871" s="3" t="s">
        <v>645</v>
      </c>
      <c r="D1871" s="3" t="s">
        <v>47</v>
      </c>
      <c r="E1871" s="3" t="s">
        <v>42</v>
      </c>
      <c r="F1871" s="3" t="s">
        <v>126</v>
      </c>
      <c r="G1871" s="3" t="s">
        <v>127</v>
      </c>
      <c r="H1871" s="3">
        <v>1</v>
      </c>
      <c r="I1871" s="7">
        <v>973.59</v>
      </c>
      <c r="J1871" s="9">
        <v>0.25</v>
      </c>
      <c r="K1871" s="7">
        <v>730.19</v>
      </c>
      <c r="L1871" s="7">
        <v>162.97999999999999</v>
      </c>
      <c r="M1871" s="3" t="s">
        <v>58</v>
      </c>
      <c r="N1871" s="3"/>
      <c r="O1871" s="3"/>
      <c r="P1871" s="3"/>
      <c r="Q1871" s="3"/>
    </row>
    <row r="1872" spans="1:17" ht="21" customHeight="1">
      <c r="A1872" s="3" t="s">
        <v>2564</v>
      </c>
      <c r="B1872" s="5">
        <v>45804</v>
      </c>
      <c r="C1872" s="3" t="s">
        <v>595</v>
      </c>
      <c r="D1872" s="3" t="s">
        <v>44</v>
      </c>
      <c r="E1872" s="3" t="s">
        <v>40</v>
      </c>
      <c r="F1872" s="3" t="s">
        <v>160</v>
      </c>
      <c r="G1872" s="3" t="s">
        <v>161</v>
      </c>
      <c r="H1872" s="3">
        <v>1</v>
      </c>
      <c r="I1872" s="7">
        <v>13471.24</v>
      </c>
      <c r="J1872" s="9">
        <v>0.05</v>
      </c>
      <c r="K1872" s="7">
        <v>12797.68</v>
      </c>
      <c r="L1872" s="7">
        <v>3896.56</v>
      </c>
      <c r="M1872" s="3" t="s">
        <v>58</v>
      </c>
      <c r="N1872" s="3"/>
      <c r="O1872" s="3"/>
      <c r="P1872" s="3"/>
      <c r="Q1872" s="3"/>
    </row>
    <row r="1873" spans="1:17" ht="21" customHeight="1">
      <c r="A1873" s="3" t="s">
        <v>2565</v>
      </c>
      <c r="B1873" s="5">
        <v>45805</v>
      </c>
      <c r="C1873" s="3" t="s">
        <v>368</v>
      </c>
      <c r="D1873" s="3" t="s">
        <v>45</v>
      </c>
      <c r="E1873" s="3" t="s">
        <v>40</v>
      </c>
      <c r="F1873" s="3" t="s">
        <v>221</v>
      </c>
      <c r="G1873" s="3" t="s">
        <v>279</v>
      </c>
      <c r="H1873" s="3">
        <v>1</v>
      </c>
      <c r="I1873" s="7">
        <v>1509.71</v>
      </c>
      <c r="J1873" s="9">
        <v>0</v>
      </c>
      <c r="K1873" s="7">
        <v>1509.71</v>
      </c>
      <c r="L1873" s="7">
        <v>443.77</v>
      </c>
      <c r="M1873" s="3" t="s">
        <v>56</v>
      </c>
      <c r="N1873" s="3"/>
      <c r="O1873" s="3"/>
      <c r="P1873" s="3"/>
      <c r="Q1873" s="3"/>
    </row>
    <row r="1874" spans="1:17" ht="21" customHeight="1">
      <c r="A1874" s="3" t="s">
        <v>2566</v>
      </c>
      <c r="B1874" s="5">
        <v>45805</v>
      </c>
      <c r="C1874" s="3" t="s">
        <v>616</v>
      </c>
      <c r="D1874" s="3" t="s">
        <v>47</v>
      </c>
      <c r="E1874" s="3" t="s">
        <v>42</v>
      </c>
      <c r="F1874" s="3" t="s">
        <v>126</v>
      </c>
      <c r="G1874" s="3" t="s">
        <v>151</v>
      </c>
      <c r="H1874" s="3">
        <v>1</v>
      </c>
      <c r="I1874" s="7">
        <v>1514.68</v>
      </c>
      <c r="J1874" s="9">
        <v>0</v>
      </c>
      <c r="K1874" s="7">
        <v>1514.68</v>
      </c>
      <c r="L1874" s="7">
        <v>842.52</v>
      </c>
      <c r="M1874" s="3" t="s">
        <v>56</v>
      </c>
      <c r="N1874" s="3"/>
      <c r="O1874" s="3"/>
      <c r="P1874" s="3"/>
      <c r="Q1874" s="3"/>
    </row>
    <row r="1875" spans="1:17" ht="21" customHeight="1">
      <c r="A1875" s="3" t="s">
        <v>2567</v>
      </c>
      <c r="B1875" s="5">
        <v>45805</v>
      </c>
      <c r="C1875" s="3" t="s">
        <v>718</v>
      </c>
      <c r="D1875" s="3" t="s">
        <v>45</v>
      </c>
      <c r="E1875" s="3" t="s">
        <v>41</v>
      </c>
      <c r="F1875" s="3" t="s">
        <v>113</v>
      </c>
      <c r="G1875" s="3" t="s">
        <v>114</v>
      </c>
      <c r="H1875" s="3">
        <v>1</v>
      </c>
      <c r="I1875" s="7">
        <v>11679.58</v>
      </c>
      <c r="J1875" s="9">
        <v>0</v>
      </c>
      <c r="K1875" s="7">
        <v>11679.58</v>
      </c>
      <c r="L1875" s="7">
        <v>4574.0600000000004</v>
      </c>
      <c r="M1875" s="3" t="s">
        <v>56</v>
      </c>
      <c r="N1875" s="3"/>
      <c r="O1875" s="3"/>
      <c r="P1875" s="3"/>
      <c r="Q1875" s="3"/>
    </row>
    <row r="1876" spans="1:17" ht="21" customHeight="1">
      <c r="A1876" s="3" t="s">
        <v>2568</v>
      </c>
      <c r="B1876" s="5">
        <v>45805</v>
      </c>
      <c r="C1876" s="3" t="s">
        <v>2569</v>
      </c>
      <c r="D1876" s="3" t="s">
        <v>47</v>
      </c>
      <c r="E1876" s="3" t="s">
        <v>41</v>
      </c>
      <c r="F1876" s="3" t="s">
        <v>119</v>
      </c>
      <c r="G1876" s="3" t="s">
        <v>168</v>
      </c>
      <c r="H1876" s="3">
        <v>1</v>
      </c>
      <c r="I1876" s="7">
        <v>9577.7900000000009</v>
      </c>
      <c r="J1876" s="9">
        <v>0.1</v>
      </c>
      <c r="K1876" s="7">
        <v>8620.01</v>
      </c>
      <c r="L1876" s="7">
        <v>2371.16</v>
      </c>
      <c r="M1876" s="3" t="s">
        <v>56</v>
      </c>
      <c r="N1876" s="3"/>
      <c r="O1876" s="3"/>
      <c r="P1876" s="3"/>
      <c r="Q1876" s="3"/>
    </row>
    <row r="1877" spans="1:17" ht="21" customHeight="1">
      <c r="A1877" s="3" t="s">
        <v>2570</v>
      </c>
      <c r="B1877" s="5">
        <v>45805</v>
      </c>
      <c r="C1877" s="3" t="s">
        <v>1245</v>
      </c>
      <c r="D1877" s="3" t="s">
        <v>47</v>
      </c>
      <c r="E1877" s="3" t="s">
        <v>42</v>
      </c>
      <c r="F1877" s="3" t="s">
        <v>126</v>
      </c>
      <c r="G1877" s="3" t="s">
        <v>127</v>
      </c>
      <c r="H1877" s="3">
        <v>3</v>
      </c>
      <c r="I1877" s="7">
        <v>1046.68</v>
      </c>
      <c r="J1877" s="9">
        <v>0.1</v>
      </c>
      <c r="K1877" s="7">
        <v>2826.04</v>
      </c>
      <c r="L1877" s="7">
        <v>1295.4100000000001</v>
      </c>
      <c r="M1877" s="3" t="s">
        <v>56</v>
      </c>
      <c r="N1877" s="3"/>
      <c r="O1877" s="3"/>
      <c r="P1877" s="3"/>
      <c r="Q1877" s="3"/>
    </row>
    <row r="1878" spans="1:17" ht="21" customHeight="1">
      <c r="A1878" s="3" t="s">
        <v>2571</v>
      </c>
      <c r="B1878" s="5">
        <v>45805</v>
      </c>
      <c r="C1878" s="3" t="s">
        <v>199</v>
      </c>
      <c r="D1878" s="3" t="s">
        <v>45</v>
      </c>
      <c r="E1878" s="3" t="s">
        <v>42</v>
      </c>
      <c r="F1878" s="3" t="s">
        <v>126</v>
      </c>
      <c r="G1878" s="3" t="s">
        <v>151</v>
      </c>
      <c r="H1878" s="3">
        <v>1</v>
      </c>
      <c r="I1878" s="7">
        <v>1563.33</v>
      </c>
      <c r="J1878" s="9">
        <v>0.2</v>
      </c>
      <c r="K1878" s="7">
        <v>1250.6600000000001</v>
      </c>
      <c r="L1878" s="7">
        <v>366.35</v>
      </c>
      <c r="M1878" s="3" t="s">
        <v>57</v>
      </c>
      <c r="N1878" s="3"/>
      <c r="O1878" s="3"/>
      <c r="P1878" s="3"/>
      <c r="Q1878" s="3"/>
    </row>
    <row r="1879" spans="1:17" ht="21" customHeight="1">
      <c r="A1879" s="3" t="s">
        <v>2572</v>
      </c>
      <c r="B1879" s="5">
        <v>45806</v>
      </c>
      <c r="C1879" s="3" t="s">
        <v>1049</v>
      </c>
      <c r="D1879" s="3" t="s">
        <v>45</v>
      </c>
      <c r="E1879" s="3" t="s">
        <v>39</v>
      </c>
      <c r="F1879" s="3" t="s">
        <v>109</v>
      </c>
      <c r="G1879" s="3" t="s">
        <v>110</v>
      </c>
      <c r="H1879" s="3">
        <v>5</v>
      </c>
      <c r="I1879" s="7">
        <v>2956.75</v>
      </c>
      <c r="J1879" s="9">
        <v>0.15</v>
      </c>
      <c r="K1879" s="7">
        <v>12566.19</v>
      </c>
      <c r="L1879" s="7">
        <v>3154.89</v>
      </c>
      <c r="M1879" s="3" t="s">
        <v>59</v>
      </c>
      <c r="N1879" s="3"/>
      <c r="O1879" s="3"/>
      <c r="P1879" s="3"/>
      <c r="Q1879" s="3"/>
    </row>
    <row r="1880" spans="1:17" ht="21" customHeight="1">
      <c r="A1880" s="3" t="s">
        <v>2573</v>
      </c>
      <c r="B1880" s="5">
        <v>45806</v>
      </c>
      <c r="C1880" s="3" t="s">
        <v>1835</v>
      </c>
      <c r="D1880" s="3" t="s">
        <v>44</v>
      </c>
      <c r="E1880" s="3" t="s">
        <v>39</v>
      </c>
      <c r="F1880" s="3" t="s">
        <v>109</v>
      </c>
      <c r="G1880" s="3" t="s">
        <v>355</v>
      </c>
      <c r="H1880" s="3">
        <v>1</v>
      </c>
      <c r="I1880" s="7">
        <v>3373.02</v>
      </c>
      <c r="J1880" s="9">
        <v>0.2</v>
      </c>
      <c r="K1880" s="7">
        <v>2698.42</v>
      </c>
      <c r="L1880" s="7">
        <v>590.25</v>
      </c>
      <c r="M1880" s="3" t="s">
        <v>56</v>
      </c>
      <c r="N1880" s="3"/>
      <c r="O1880" s="3"/>
      <c r="P1880" s="3"/>
      <c r="Q1880" s="3"/>
    </row>
    <row r="1881" spans="1:17" ht="21" customHeight="1">
      <c r="A1881" s="3" t="s">
        <v>2574</v>
      </c>
      <c r="B1881" s="5">
        <v>45806</v>
      </c>
      <c r="C1881" s="3" t="s">
        <v>579</v>
      </c>
      <c r="D1881" s="3" t="s">
        <v>44</v>
      </c>
      <c r="E1881" s="3" t="s">
        <v>40</v>
      </c>
      <c r="F1881" s="3" t="s">
        <v>221</v>
      </c>
      <c r="G1881" s="3" t="s">
        <v>279</v>
      </c>
      <c r="H1881" s="3">
        <v>2</v>
      </c>
      <c r="I1881" s="7">
        <v>1484.65</v>
      </c>
      <c r="J1881" s="9">
        <v>0</v>
      </c>
      <c r="K1881" s="7">
        <v>2969.3</v>
      </c>
      <c r="L1881" s="7">
        <v>873.64</v>
      </c>
      <c r="M1881" s="3" t="s">
        <v>56</v>
      </c>
      <c r="N1881" s="3"/>
      <c r="O1881" s="3"/>
      <c r="P1881" s="3"/>
      <c r="Q1881" s="3"/>
    </row>
    <row r="1882" spans="1:17" ht="21" customHeight="1">
      <c r="A1882" s="3" t="s">
        <v>2575</v>
      </c>
      <c r="B1882" s="5">
        <v>45807</v>
      </c>
      <c r="C1882" s="3" t="s">
        <v>375</v>
      </c>
      <c r="D1882" s="3" t="s">
        <v>45</v>
      </c>
      <c r="E1882" s="3" t="s">
        <v>38</v>
      </c>
      <c r="F1882" s="3" t="s">
        <v>94</v>
      </c>
      <c r="G1882" s="3" t="s">
        <v>213</v>
      </c>
      <c r="H1882" s="3">
        <v>1</v>
      </c>
      <c r="I1882" s="7">
        <v>53771.99</v>
      </c>
      <c r="J1882" s="9">
        <v>0.15</v>
      </c>
      <c r="K1882" s="7">
        <v>45706.19</v>
      </c>
      <c r="L1882" s="7">
        <v>2104.33</v>
      </c>
      <c r="M1882" s="3" t="s">
        <v>59</v>
      </c>
      <c r="N1882" s="3"/>
      <c r="O1882" s="3"/>
      <c r="P1882" s="3"/>
      <c r="Q1882" s="3"/>
    </row>
    <row r="1883" spans="1:17" ht="21" customHeight="1">
      <c r="A1883" s="3" t="s">
        <v>2576</v>
      </c>
      <c r="B1883" s="5">
        <v>45807</v>
      </c>
      <c r="C1883" s="3" t="s">
        <v>2577</v>
      </c>
      <c r="D1883" s="3" t="s">
        <v>44</v>
      </c>
      <c r="E1883" s="3" t="s">
        <v>39</v>
      </c>
      <c r="F1883" s="3" t="s">
        <v>109</v>
      </c>
      <c r="G1883" s="3" t="s">
        <v>355</v>
      </c>
      <c r="H1883" s="3">
        <v>1</v>
      </c>
      <c r="I1883" s="7">
        <v>3484.78</v>
      </c>
      <c r="J1883" s="9">
        <v>0.3</v>
      </c>
      <c r="K1883" s="7">
        <v>2439.35</v>
      </c>
      <c r="L1883" s="7">
        <v>126.61</v>
      </c>
      <c r="M1883" s="3" t="s">
        <v>58</v>
      </c>
      <c r="N1883" s="3"/>
      <c r="O1883" s="3"/>
      <c r="P1883" s="3"/>
      <c r="Q1883" s="3"/>
    </row>
    <row r="1884" spans="1:17" ht="21" customHeight="1">
      <c r="A1884" s="3" t="s">
        <v>2578</v>
      </c>
      <c r="B1884" s="5">
        <v>45807</v>
      </c>
      <c r="C1884" s="3" t="s">
        <v>295</v>
      </c>
      <c r="D1884" s="3" t="s">
        <v>45</v>
      </c>
      <c r="E1884" s="3" t="s">
        <v>41</v>
      </c>
      <c r="F1884" s="3" t="s">
        <v>119</v>
      </c>
      <c r="G1884" s="3" t="s">
        <v>168</v>
      </c>
      <c r="H1884" s="3">
        <v>3</v>
      </c>
      <c r="I1884" s="7">
        <v>9934.43</v>
      </c>
      <c r="J1884" s="9">
        <v>0.3</v>
      </c>
      <c r="K1884" s="7">
        <v>20862.3</v>
      </c>
      <c r="L1884" s="7">
        <v>1139.6400000000001</v>
      </c>
      <c r="M1884" s="3" t="s">
        <v>57</v>
      </c>
      <c r="N1884" s="3"/>
      <c r="O1884" s="3"/>
      <c r="P1884" s="3"/>
      <c r="Q1884" s="3"/>
    </row>
    <row r="1885" spans="1:17" ht="21" customHeight="1">
      <c r="A1885" s="3" t="s">
        <v>2579</v>
      </c>
      <c r="B1885" s="5">
        <v>45808</v>
      </c>
      <c r="C1885" s="3" t="s">
        <v>1205</v>
      </c>
      <c r="D1885" s="3" t="s">
        <v>47</v>
      </c>
      <c r="E1885" s="3" t="s">
        <v>40</v>
      </c>
      <c r="F1885" s="3" t="s">
        <v>160</v>
      </c>
      <c r="G1885" s="3" t="s">
        <v>173</v>
      </c>
      <c r="H1885" s="3">
        <v>1</v>
      </c>
      <c r="I1885" s="7">
        <v>9153.91</v>
      </c>
      <c r="J1885" s="9">
        <v>0.1</v>
      </c>
      <c r="K1885" s="7">
        <v>8238.52</v>
      </c>
      <c r="L1885" s="7">
        <v>1522.95</v>
      </c>
      <c r="M1885" s="3" t="s">
        <v>57</v>
      </c>
      <c r="N1885" s="3"/>
      <c r="O1885" s="3"/>
      <c r="P1885" s="3"/>
      <c r="Q1885" s="3"/>
    </row>
    <row r="1886" spans="1:17" ht="21" customHeight="1">
      <c r="A1886" s="3" t="s">
        <v>2580</v>
      </c>
      <c r="B1886" s="5">
        <v>45808</v>
      </c>
      <c r="C1886" s="3" t="s">
        <v>1938</v>
      </c>
      <c r="D1886" s="3" t="s">
        <v>46</v>
      </c>
      <c r="E1886" s="3" t="s">
        <v>41</v>
      </c>
      <c r="F1886" s="3" t="s">
        <v>119</v>
      </c>
      <c r="G1886" s="3" t="s">
        <v>168</v>
      </c>
      <c r="H1886" s="3">
        <v>2</v>
      </c>
      <c r="I1886" s="7">
        <v>9926.08</v>
      </c>
      <c r="J1886" s="9">
        <v>0.15</v>
      </c>
      <c r="K1886" s="7">
        <v>16874.34</v>
      </c>
      <c r="L1886" s="7">
        <v>2966.98</v>
      </c>
      <c r="M1886" s="3" t="s">
        <v>57</v>
      </c>
      <c r="N1886" s="3"/>
      <c r="O1886" s="3"/>
      <c r="P1886" s="3"/>
      <c r="Q1886" s="3"/>
    </row>
    <row r="1887" spans="1:17" ht="21" customHeight="1">
      <c r="A1887" s="3" t="s">
        <v>2581</v>
      </c>
      <c r="B1887" s="5">
        <v>45808</v>
      </c>
      <c r="C1887" s="3" t="s">
        <v>440</v>
      </c>
      <c r="D1887" s="3" t="s">
        <v>47</v>
      </c>
      <c r="E1887" s="3" t="s">
        <v>38</v>
      </c>
      <c r="F1887" s="3" t="s">
        <v>94</v>
      </c>
      <c r="G1887" s="3" t="s">
        <v>213</v>
      </c>
      <c r="H1887" s="3">
        <v>1</v>
      </c>
      <c r="I1887" s="7">
        <v>53091.62</v>
      </c>
      <c r="J1887" s="9">
        <v>0.1</v>
      </c>
      <c r="K1887" s="7">
        <v>47782.46</v>
      </c>
      <c r="L1887" s="7">
        <v>3769.6</v>
      </c>
      <c r="M1887" s="3" t="s">
        <v>60</v>
      </c>
      <c r="N1887" s="3"/>
      <c r="O1887" s="3"/>
      <c r="P1887" s="3"/>
      <c r="Q1887" s="3"/>
    </row>
    <row r="1888" spans="1:17" ht="21" customHeight="1">
      <c r="A1888" s="3" t="s">
        <v>2582</v>
      </c>
      <c r="B1888" s="5">
        <v>45808</v>
      </c>
      <c r="C1888" s="3" t="s">
        <v>307</v>
      </c>
      <c r="D1888" s="3" t="s">
        <v>47</v>
      </c>
      <c r="E1888" s="3" t="s">
        <v>42</v>
      </c>
      <c r="F1888" s="3" t="s">
        <v>90</v>
      </c>
      <c r="G1888" s="3" t="s">
        <v>106</v>
      </c>
      <c r="H1888" s="3">
        <v>4</v>
      </c>
      <c r="I1888" s="7">
        <v>891.61</v>
      </c>
      <c r="J1888" s="9">
        <v>0.2</v>
      </c>
      <c r="K1888" s="7">
        <v>2853.15</v>
      </c>
      <c r="L1888" s="7">
        <v>808.98</v>
      </c>
      <c r="M1888" s="3" t="s">
        <v>58</v>
      </c>
      <c r="N1888" s="3"/>
      <c r="O1888" s="3"/>
      <c r="P1888" s="3"/>
      <c r="Q1888" s="3"/>
    </row>
    <row r="1889" spans="1:17" ht="21" customHeight="1">
      <c r="A1889" s="3" t="s">
        <v>2583</v>
      </c>
      <c r="B1889" s="5">
        <v>45808</v>
      </c>
      <c r="C1889" s="3" t="s">
        <v>1427</v>
      </c>
      <c r="D1889" s="3" t="s">
        <v>45</v>
      </c>
      <c r="E1889" s="3" t="s">
        <v>38</v>
      </c>
      <c r="F1889" s="3" t="s">
        <v>98</v>
      </c>
      <c r="G1889" s="3" t="s">
        <v>182</v>
      </c>
      <c r="H1889" s="3">
        <v>2</v>
      </c>
      <c r="I1889" s="7">
        <v>68932.38</v>
      </c>
      <c r="J1889" s="9">
        <v>0</v>
      </c>
      <c r="K1889" s="7">
        <v>137864.76</v>
      </c>
      <c r="L1889" s="7">
        <v>24292.49</v>
      </c>
      <c r="M1889" s="3" t="s">
        <v>60</v>
      </c>
      <c r="N1889" s="3"/>
      <c r="O1889" s="3"/>
      <c r="P1889" s="3"/>
      <c r="Q1889" s="3"/>
    </row>
    <row r="1890" spans="1:17" ht="21" customHeight="1">
      <c r="A1890" s="3" t="s">
        <v>2584</v>
      </c>
      <c r="B1890" s="5">
        <v>45808</v>
      </c>
      <c r="C1890" s="3" t="s">
        <v>726</v>
      </c>
      <c r="D1890" s="3" t="s">
        <v>47</v>
      </c>
      <c r="E1890" s="3" t="s">
        <v>38</v>
      </c>
      <c r="F1890" s="3" t="s">
        <v>94</v>
      </c>
      <c r="G1890" s="3" t="s">
        <v>95</v>
      </c>
      <c r="H1890" s="3">
        <v>2</v>
      </c>
      <c r="I1890" s="7">
        <v>78871.55</v>
      </c>
      <c r="J1890" s="9">
        <v>0</v>
      </c>
      <c r="K1890" s="7">
        <v>157743.1</v>
      </c>
      <c r="L1890" s="7">
        <v>33517.9</v>
      </c>
      <c r="M1890" s="3" t="s">
        <v>57</v>
      </c>
      <c r="N1890" s="3"/>
      <c r="O1890" s="3"/>
      <c r="P1890" s="3"/>
      <c r="Q1890" s="3"/>
    </row>
    <row r="1891" spans="1:17" ht="21" customHeight="1">
      <c r="A1891" s="3" t="s">
        <v>2585</v>
      </c>
      <c r="B1891" s="5">
        <v>45809</v>
      </c>
      <c r="C1891" s="3" t="s">
        <v>680</v>
      </c>
      <c r="D1891" s="3" t="s">
        <v>47</v>
      </c>
      <c r="E1891" s="3" t="s">
        <v>40</v>
      </c>
      <c r="F1891" s="3" t="s">
        <v>102</v>
      </c>
      <c r="G1891" s="3" t="s">
        <v>103</v>
      </c>
      <c r="H1891" s="3">
        <v>1</v>
      </c>
      <c r="I1891" s="7">
        <v>6821.33</v>
      </c>
      <c r="J1891" s="9">
        <v>0</v>
      </c>
      <c r="K1891" s="7">
        <v>6821.33</v>
      </c>
      <c r="L1891" s="7">
        <v>2232.9299999999998</v>
      </c>
      <c r="M1891" s="3" t="s">
        <v>57</v>
      </c>
      <c r="N1891" s="3"/>
      <c r="O1891" s="3"/>
      <c r="P1891" s="3"/>
      <c r="Q1891" s="3"/>
    </row>
    <row r="1892" spans="1:17" ht="21" customHeight="1">
      <c r="A1892" s="3" t="s">
        <v>2586</v>
      </c>
      <c r="B1892" s="5">
        <v>45809</v>
      </c>
      <c r="C1892" s="3" t="s">
        <v>1010</v>
      </c>
      <c r="D1892" s="3" t="s">
        <v>44</v>
      </c>
      <c r="E1892" s="3" t="s">
        <v>40</v>
      </c>
      <c r="F1892" s="3" t="s">
        <v>160</v>
      </c>
      <c r="G1892" s="3" t="s">
        <v>161</v>
      </c>
      <c r="H1892" s="3">
        <v>1</v>
      </c>
      <c r="I1892" s="7">
        <v>12418.74</v>
      </c>
      <c r="J1892" s="9">
        <v>0.05</v>
      </c>
      <c r="K1892" s="7">
        <v>11797.8</v>
      </c>
      <c r="L1892" s="7">
        <v>3081.86</v>
      </c>
      <c r="M1892" s="3" t="s">
        <v>56</v>
      </c>
      <c r="N1892" s="3"/>
      <c r="O1892" s="3"/>
      <c r="P1892" s="3"/>
      <c r="Q1892" s="3"/>
    </row>
    <row r="1893" spans="1:17" ht="21" customHeight="1">
      <c r="A1893" s="3" t="s">
        <v>2587</v>
      </c>
      <c r="B1893" s="5">
        <v>45809</v>
      </c>
      <c r="C1893" s="3" t="s">
        <v>329</v>
      </c>
      <c r="D1893" s="3" t="s">
        <v>45</v>
      </c>
      <c r="E1893" s="3" t="s">
        <v>40</v>
      </c>
      <c r="F1893" s="3" t="s">
        <v>160</v>
      </c>
      <c r="G1893" s="3" t="s">
        <v>161</v>
      </c>
      <c r="H1893" s="3">
        <v>1</v>
      </c>
      <c r="I1893" s="7">
        <v>13000.4</v>
      </c>
      <c r="J1893" s="9">
        <v>0.2</v>
      </c>
      <c r="K1893" s="7">
        <v>10400.32</v>
      </c>
      <c r="L1893" s="7">
        <v>799.63</v>
      </c>
      <c r="M1893" s="3" t="s">
        <v>57</v>
      </c>
      <c r="N1893" s="3"/>
      <c r="O1893" s="3"/>
      <c r="P1893" s="3"/>
      <c r="Q1893" s="3"/>
    </row>
    <row r="1894" spans="1:17" ht="21" customHeight="1">
      <c r="A1894" s="3" t="s">
        <v>2588</v>
      </c>
      <c r="B1894" s="5">
        <v>45809</v>
      </c>
      <c r="C1894" s="3" t="s">
        <v>463</v>
      </c>
      <c r="D1894" s="3" t="s">
        <v>45</v>
      </c>
      <c r="E1894" s="3" t="s">
        <v>39</v>
      </c>
      <c r="F1894" s="3" t="s">
        <v>109</v>
      </c>
      <c r="G1894" s="3" t="s">
        <v>355</v>
      </c>
      <c r="H1894" s="3">
        <v>2</v>
      </c>
      <c r="I1894" s="7">
        <v>3395.38</v>
      </c>
      <c r="J1894" s="9">
        <v>0.2</v>
      </c>
      <c r="K1894" s="7">
        <v>5432.61</v>
      </c>
      <c r="L1894" s="7">
        <v>1168.9100000000001</v>
      </c>
      <c r="M1894" s="3" t="s">
        <v>58</v>
      </c>
      <c r="N1894" s="3"/>
      <c r="O1894" s="3"/>
      <c r="P1894" s="3"/>
      <c r="Q1894" s="3"/>
    </row>
    <row r="1895" spans="1:17" ht="21" customHeight="1">
      <c r="A1895" s="3" t="s">
        <v>2589</v>
      </c>
      <c r="B1895" s="5">
        <v>45810</v>
      </c>
      <c r="C1895" s="3" t="s">
        <v>2043</v>
      </c>
      <c r="D1895" s="3" t="s">
        <v>45</v>
      </c>
      <c r="E1895" s="3" t="s">
        <v>40</v>
      </c>
      <c r="F1895" s="3" t="s">
        <v>102</v>
      </c>
      <c r="G1895" s="3" t="s">
        <v>103</v>
      </c>
      <c r="H1895" s="3">
        <v>1</v>
      </c>
      <c r="I1895" s="7">
        <v>6724.63</v>
      </c>
      <c r="J1895" s="9">
        <v>0.4</v>
      </c>
      <c r="K1895" s="7">
        <v>4034.78</v>
      </c>
      <c r="L1895" s="7">
        <v>-664.04</v>
      </c>
      <c r="M1895" s="3" t="s">
        <v>56</v>
      </c>
      <c r="N1895" s="3"/>
      <c r="O1895" s="3"/>
      <c r="P1895" s="3"/>
      <c r="Q1895" s="3"/>
    </row>
    <row r="1896" spans="1:17" ht="21" customHeight="1">
      <c r="A1896" s="3" t="s">
        <v>2590</v>
      </c>
      <c r="B1896" s="5">
        <v>45810</v>
      </c>
      <c r="C1896" s="3" t="s">
        <v>523</v>
      </c>
      <c r="D1896" s="3" t="s">
        <v>45</v>
      </c>
      <c r="E1896" s="3" t="s">
        <v>40</v>
      </c>
      <c r="F1896" s="3" t="s">
        <v>221</v>
      </c>
      <c r="G1896" s="3" t="s">
        <v>279</v>
      </c>
      <c r="H1896" s="3">
        <v>3</v>
      </c>
      <c r="I1896" s="7">
        <v>1556.49</v>
      </c>
      <c r="J1896" s="9">
        <v>0.1</v>
      </c>
      <c r="K1896" s="7">
        <v>4202.5200000000004</v>
      </c>
      <c r="L1896" s="7">
        <v>990.45</v>
      </c>
      <c r="M1896" s="3" t="s">
        <v>57</v>
      </c>
      <c r="N1896" s="3"/>
      <c r="O1896" s="3"/>
      <c r="P1896" s="3"/>
      <c r="Q1896" s="3"/>
    </row>
    <row r="1897" spans="1:17" ht="21" customHeight="1">
      <c r="A1897" s="3" t="s">
        <v>2591</v>
      </c>
      <c r="B1897" s="5">
        <v>45811</v>
      </c>
      <c r="C1897" s="3" t="s">
        <v>1264</v>
      </c>
      <c r="D1897" s="3" t="s">
        <v>46</v>
      </c>
      <c r="E1897" s="3" t="s">
        <v>38</v>
      </c>
      <c r="F1897" s="3" t="s">
        <v>142</v>
      </c>
      <c r="G1897" s="3" t="s">
        <v>143</v>
      </c>
      <c r="H1897" s="3">
        <v>5</v>
      </c>
      <c r="I1897" s="7">
        <v>9005.91</v>
      </c>
      <c r="J1897" s="9">
        <v>0.15</v>
      </c>
      <c r="K1897" s="7">
        <v>38275.120000000003</v>
      </c>
      <c r="L1897" s="7">
        <v>-918.11</v>
      </c>
      <c r="M1897" s="3" t="s">
        <v>58</v>
      </c>
      <c r="N1897" s="3"/>
      <c r="O1897" s="3"/>
      <c r="P1897" s="3"/>
      <c r="Q1897" s="3"/>
    </row>
    <row r="1898" spans="1:17" ht="21" customHeight="1">
      <c r="A1898" s="3" t="s">
        <v>2592</v>
      </c>
      <c r="B1898" s="5">
        <v>45811</v>
      </c>
      <c r="C1898" s="3" t="s">
        <v>1707</v>
      </c>
      <c r="D1898" s="3" t="s">
        <v>47</v>
      </c>
      <c r="E1898" s="3" t="s">
        <v>42</v>
      </c>
      <c r="F1898" s="3" t="s">
        <v>90</v>
      </c>
      <c r="G1898" s="3" t="s">
        <v>91</v>
      </c>
      <c r="H1898" s="3">
        <v>2</v>
      </c>
      <c r="I1898" s="7">
        <v>1203.1500000000001</v>
      </c>
      <c r="J1898" s="9">
        <v>0</v>
      </c>
      <c r="K1898" s="7">
        <v>2406.3000000000002</v>
      </c>
      <c r="L1898" s="7">
        <v>1378.31</v>
      </c>
      <c r="M1898" s="3" t="s">
        <v>57</v>
      </c>
      <c r="N1898" s="3"/>
      <c r="O1898" s="3"/>
      <c r="P1898" s="3"/>
      <c r="Q1898" s="3"/>
    </row>
    <row r="1899" spans="1:17" ht="21" customHeight="1">
      <c r="A1899" s="3" t="s">
        <v>2593</v>
      </c>
      <c r="B1899" s="5">
        <v>45811</v>
      </c>
      <c r="C1899" s="3" t="s">
        <v>2051</v>
      </c>
      <c r="D1899" s="3" t="s">
        <v>45</v>
      </c>
      <c r="E1899" s="3" t="s">
        <v>41</v>
      </c>
      <c r="F1899" s="3" t="s">
        <v>113</v>
      </c>
      <c r="G1899" s="3" t="s">
        <v>123</v>
      </c>
      <c r="H1899" s="3">
        <v>1</v>
      </c>
      <c r="I1899" s="7">
        <v>3442.27</v>
      </c>
      <c r="J1899" s="9">
        <v>0.05</v>
      </c>
      <c r="K1899" s="7">
        <v>3270.16</v>
      </c>
      <c r="L1899" s="7">
        <v>1101.3399999999999</v>
      </c>
      <c r="M1899" s="3" t="s">
        <v>60</v>
      </c>
      <c r="N1899" s="3"/>
      <c r="O1899" s="3"/>
      <c r="P1899" s="3"/>
      <c r="Q1899" s="3"/>
    </row>
    <row r="1900" spans="1:17" ht="21" customHeight="1">
      <c r="A1900" s="3" t="s">
        <v>2594</v>
      </c>
      <c r="B1900" s="5">
        <v>45811</v>
      </c>
      <c r="C1900" s="3" t="s">
        <v>97</v>
      </c>
      <c r="D1900" s="3" t="s">
        <v>46</v>
      </c>
      <c r="E1900" s="3" t="s">
        <v>38</v>
      </c>
      <c r="F1900" s="3" t="s">
        <v>142</v>
      </c>
      <c r="G1900" s="3" t="s">
        <v>245</v>
      </c>
      <c r="H1900" s="3">
        <v>1</v>
      </c>
      <c r="I1900" s="7">
        <v>5100.2</v>
      </c>
      <c r="J1900" s="9">
        <v>0.2</v>
      </c>
      <c r="K1900" s="7">
        <v>4080.16</v>
      </c>
      <c r="L1900" s="7">
        <v>-107.53</v>
      </c>
      <c r="M1900" s="3" t="s">
        <v>56</v>
      </c>
      <c r="N1900" s="3"/>
      <c r="O1900" s="3"/>
      <c r="P1900" s="3"/>
      <c r="Q1900" s="3"/>
    </row>
    <row r="1901" spans="1:17" ht="21" customHeight="1">
      <c r="A1901" s="3" t="s">
        <v>2595</v>
      </c>
      <c r="B1901" s="5">
        <v>45811</v>
      </c>
      <c r="C1901" s="3" t="s">
        <v>436</v>
      </c>
      <c r="D1901" s="3" t="s">
        <v>44</v>
      </c>
      <c r="E1901" s="3" t="s">
        <v>39</v>
      </c>
      <c r="F1901" s="3" t="s">
        <v>164</v>
      </c>
      <c r="G1901" s="3" t="s">
        <v>200</v>
      </c>
      <c r="H1901" s="3">
        <v>4</v>
      </c>
      <c r="I1901" s="7">
        <v>1301.8499999999999</v>
      </c>
      <c r="J1901" s="9">
        <v>0.2</v>
      </c>
      <c r="K1901" s="7">
        <v>4165.92</v>
      </c>
      <c r="L1901" s="7">
        <v>870.66</v>
      </c>
      <c r="M1901" s="3" t="s">
        <v>60</v>
      </c>
      <c r="N1901" s="3"/>
      <c r="O1901" s="3"/>
      <c r="P1901" s="3"/>
      <c r="Q1901" s="3"/>
    </row>
    <row r="1902" spans="1:17" ht="21" customHeight="1">
      <c r="A1902" s="3" t="s">
        <v>2596</v>
      </c>
      <c r="B1902" s="5">
        <v>45811</v>
      </c>
      <c r="C1902" s="3" t="s">
        <v>1199</v>
      </c>
      <c r="D1902" s="3" t="s">
        <v>46</v>
      </c>
      <c r="E1902" s="3" t="s">
        <v>41</v>
      </c>
      <c r="F1902" s="3" t="s">
        <v>113</v>
      </c>
      <c r="G1902" s="3" t="s">
        <v>123</v>
      </c>
      <c r="H1902" s="3">
        <v>1</v>
      </c>
      <c r="I1902" s="7">
        <v>3382.21</v>
      </c>
      <c r="J1902" s="9">
        <v>0</v>
      </c>
      <c r="K1902" s="7">
        <v>3382.21</v>
      </c>
      <c r="L1902" s="7">
        <v>1382.7</v>
      </c>
      <c r="M1902" s="3" t="s">
        <v>56</v>
      </c>
      <c r="N1902" s="3"/>
      <c r="O1902" s="3"/>
      <c r="P1902" s="3"/>
      <c r="Q1902" s="3"/>
    </row>
    <row r="1903" spans="1:17" ht="21" customHeight="1">
      <c r="A1903" s="3" t="s">
        <v>2597</v>
      </c>
      <c r="B1903" s="5">
        <v>45812</v>
      </c>
      <c r="C1903" s="3" t="s">
        <v>2598</v>
      </c>
      <c r="D1903" s="3" t="s">
        <v>45</v>
      </c>
      <c r="E1903" s="3" t="s">
        <v>38</v>
      </c>
      <c r="F1903" s="3" t="s">
        <v>142</v>
      </c>
      <c r="G1903" s="3" t="s">
        <v>143</v>
      </c>
      <c r="H1903" s="3">
        <v>1</v>
      </c>
      <c r="I1903" s="7">
        <v>8994.08</v>
      </c>
      <c r="J1903" s="9">
        <v>0.2</v>
      </c>
      <c r="K1903" s="7">
        <v>7195.26</v>
      </c>
      <c r="L1903" s="7">
        <v>-243.72</v>
      </c>
      <c r="M1903" s="3" t="s">
        <v>56</v>
      </c>
      <c r="N1903" s="3"/>
      <c r="O1903" s="3"/>
      <c r="P1903" s="3"/>
      <c r="Q1903" s="3"/>
    </row>
    <row r="1904" spans="1:17" ht="21" customHeight="1">
      <c r="A1904" s="3" t="s">
        <v>2599</v>
      </c>
      <c r="B1904" s="5">
        <v>45813</v>
      </c>
      <c r="C1904" s="3" t="s">
        <v>1783</v>
      </c>
      <c r="D1904" s="3" t="s">
        <v>45</v>
      </c>
      <c r="E1904" s="3" t="s">
        <v>42</v>
      </c>
      <c r="F1904" s="3" t="s">
        <v>90</v>
      </c>
      <c r="G1904" s="3" t="s">
        <v>91</v>
      </c>
      <c r="H1904" s="3">
        <v>3</v>
      </c>
      <c r="I1904" s="7">
        <v>1168.46</v>
      </c>
      <c r="J1904" s="9">
        <v>0.15</v>
      </c>
      <c r="K1904" s="7">
        <v>2979.57</v>
      </c>
      <c r="L1904" s="7">
        <v>1199.8599999999999</v>
      </c>
      <c r="M1904" s="3" t="s">
        <v>56</v>
      </c>
      <c r="N1904" s="3"/>
      <c r="O1904" s="3"/>
      <c r="P1904" s="3"/>
      <c r="Q1904" s="3"/>
    </row>
    <row r="1905" spans="1:17" ht="21" customHeight="1">
      <c r="A1905" s="3" t="s">
        <v>2600</v>
      </c>
      <c r="B1905" s="5">
        <v>45814</v>
      </c>
      <c r="C1905" s="3" t="s">
        <v>1193</v>
      </c>
      <c r="D1905" s="3" t="s">
        <v>45</v>
      </c>
      <c r="E1905" s="3" t="s">
        <v>42</v>
      </c>
      <c r="F1905" s="3" t="s">
        <v>126</v>
      </c>
      <c r="G1905" s="3" t="s">
        <v>151</v>
      </c>
      <c r="H1905" s="3">
        <v>3</v>
      </c>
      <c r="I1905" s="7">
        <v>1426.49</v>
      </c>
      <c r="J1905" s="9">
        <v>0</v>
      </c>
      <c r="K1905" s="7">
        <v>4279.47</v>
      </c>
      <c r="L1905" s="7">
        <v>2265.75</v>
      </c>
      <c r="M1905" s="3" t="s">
        <v>58</v>
      </c>
      <c r="N1905" s="3"/>
      <c r="O1905" s="3"/>
      <c r="P1905" s="3"/>
      <c r="Q1905" s="3"/>
    </row>
    <row r="1906" spans="1:17" ht="21" customHeight="1">
      <c r="A1906" s="3" t="s">
        <v>2601</v>
      </c>
      <c r="B1906" s="5">
        <v>45815</v>
      </c>
      <c r="C1906" s="3" t="s">
        <v>391</v>
      </c>
      <c r="D1906" s="3" t="s">
        <v>47</v>
      </c>
      <c r="E1906" s="3" t="s">
        <v>38</v>
      </c>
      <c r="F1906" s="3" t="s">
        <v>94</v>
      </c>
      <c r="G1906" s="3" t="s">
        <v>213</v>
      </c>
      <c r="H1906" s="3">
        <v>1</v>
      </c>
      <c r="I1906" s="7">
        <v>56492.35</v>
      </c>
      <c r="J1906" s="9">
        <v>0.05</v>
      </c>
      <c r="K1906" s="7">
        <v>53667.73</v>
      </c>
      <c r="L1906" s="7">
        <v>8477.77</v>
      </c>
      <c r="M1906" s="3" t="s">
        <v>59</v>
      </c>
      <c r="N1906" s="3"/>
      <c r="O1906" s="3"/>
      <c r="P1906" s="3"/>
      <c r="Q1906" s="3"/>
    </row>
    <row r="1907" spans="1:17" ht="21" customHeight="1">
      <c r="A1907" s="3" t="s">
        <v>2602</v>
      </c>
      <c r="B1907" s="5">
        <v>45815</v>
      </c>
      <c r="C1907" s="3" t="s">
        <v>1221</v>
      </c>
      <c r="D1907" s="3" t="s">
        <v>44</v>
      </c>
      <c r="E1907" s="3" t="s">
        <v>41</v>
      </c>
      <c r="F1907" s="3" t="s">
        <v>119</v>
      </c>
      <c r="G1907" s="3" t="s">
        <v>168</v>
      </c>
      <c r="H1907" s="3">
        <v>1</v>
      </c>
      <c r="I1907" s="7">
        <v>10175.51</v>
      </c>
      <c r="J1907" s="9">
        <v>0.25</v>
      </c>
      <c r="K1907" s="7">
        <v>7631.63</v>
      </c>
      <c r="L1907" s="7">
        <v>974.68</v>
      </c>
      <c r="M1907" s="3" t="s">
        <v>56</v>
      </c>
      <c r="N1907" s="3"/>
      <c r="O1907" s="3"/>
      <c r="P1907" s="3"/>
      <c r="Q1907" s="3"/>
    </row>
    <row r="1908" spans="1:17" ht="21" customHeight="1">
      <c r="A1908" s="3" t="s">
        <v>2603</v>
      </c>
      <c r="B1908" s="5">
        <v>45815</v>
      </c>
      <c r="C1908" s="3" t="s">
        <v>1243</v>
      </c>
      <c r="D1908" s="3" t="s">
        <v>46</v>
      </c>
      <c r="E1908" s="3" t="s">
        <v>40</v>
      </c>
      <c r="F1908" s="3" t="s">
        <v>102</v>
      </c>
      <c r="G1908" s="3" t="s">
        <v>146</v>
      </c>
      <c r="H1908" s="3">
        <v>2</v>
      </c>
      <c r="I1908" s="7">
        <v>8052.71</v>
      </c>
      <c r="J1908" s="9">
        <v>0.05</v>
      </c>
      <c r="K1908" s="7">
        <v>15300.15</v>
      </c>
      <c r="L1908" s="7">
        <v>4015.02</v>
      </c>
      <c r="M1908" s="3" t="s">
        <v>56</v>
      </c>
      <c r="N1908" s="3"/>
      <c r="O1908" s="3"/>
      <c r="P1908" s="3"/>
      <c r="Q1908" s="3"/>
    </row>
    <row r="1909" spans="1:17" ht="21" customHeight="1">
      <c r="A1909" s="3" t="s">
        <v>2604</v>
      </c>
      <c r="B1909" s="5">
        <v>45816</v>
      </c>
      <c r="C1909" s="3" t="s">
        <v>962</v>
      </c>
      <c r="D1909" s="3" t="s">
        <v>45</v>
      </c>
      <c r="E1909" s="3" t="s">
        <v>41</v>
      </c>
      <c r="F1909" s="3" t="s">
        <v>119</v>
      </c>
      <c r="G1909" s="3" t="s">
        <v>168</v>
      </c>
      <c r="H1909" s="3">
        <v>2</v>
      </c>
      <c r="I1909" s="7">
        <v>9725.7199999999993</v>
      </c>
      <c r="J1909" s="9">
        <v>0</v>
      </c>
      <c r="K1909" s="7">
        <v>19451.439999999999</v>
      </c>
      <c r="L1909" s="7">
        <v>6787.7</v>
      </c>
      <c r="M1909" s="3" t="s">
        <v>57</v>
      </c>
      <c r="N1909" s="3"/>
      <c r="O1909" s="3"/>
      <c r="P1909" s="3"/>
      <c r="Q1909" s="3"/>
    </row>
    <row r="1910" spans="1:17" ht="21" customHeight="1">
      <c r="A1910" s="3" t="s">
        <v>2605</v>
      </c>
      <c r="B1910" s="5">
        <v>45816</v>
      </c>
      <c r="C1910" s="3" t="s">
        <v>192</v>
      </c>
      <c r="D1910" s="3" t="s">
        <v>47</v>
      </c>
      <c r="E1910" s="3" t="s">
        <v>38</v>
      </c>
      <c r="F1910" s="3" t="s">
        <v>94</v>
      </c>
      <c r="G1910" s="3" t="s">
        <v>95</v>
      </c>
      <c r="H1910" s="3">
        <v>1</v>
      </c>
      <c r="I1910" s="7">
        <v>76264.89</v>
      </c>
      <c r="J1910" s="9">
        <v>0.05</v>
      </c>
      <c r="K1910" s="7">
        <v>72451.649999999994</v>
      </c>
      <c r="L1910" s="7">
        <v>11146.1</v>
      </c>
      <c r="M1910" s="3" t="s">
        <v>56</v>
      </c>
      <c r="N1910" s="3"/>
      <c r="O1910" s="3"/>
      <c r="P1910" s="3"/>
      <c r="Q1910" s="3"/>
    </row>
    <row r="1911" spans="1:17" ht="21" customHeight="1">
      <c r="A1911" s="3" t="s">
        <v>2606</v>
      </c>
      <c r="B1911" s="5">
        <v>45816</v>
      </c>
      <c r="C1911" s="3" t="s">
        <v>268</v>
      </c>
      <c r="D1911" s="3" t="s">
        <v>44</v>
      </c>
      <c r="E1911" s="3" t="s">
        <v>39</v>
      </c>
      <c r="F1911" s="3" t="s">
        <v>130</v>
      </c>
      <c r="G1911" s="3" t="s">
        <v>193</v>
      </c>
      <c r="H1911" s="3">
        <v>1</v>
      </c>
      <c r="I1911" s="7">
        <v>1752.3</v>
      </c>
      <c r="J1911" s="9">
        <v>0.1</v>
      </c>
      <c r="K1911" s="7">
        <v>1577.07</v>
      </c>
      <c r="L1911" s="7">
        <v>435.69</v>
      </c>
      <c r="M1911" s="3" t="s">
        <v>56</v>
      </c>
      <c r="N1911" s="3"/>
      <c r="O1911" s="3"/>
      <c r="P1911" s="3"/>
      <c r="Q1911" s="3"/>
    </row>
    <row r="1912" spans="1:17" ht="21" customHeight="1">
      <c r="A1912" s="3" t="s">
        <v>2607</v>
      </c>
      <c r="B1912" s="5">
        <v>45817</v>
      </c>
      <c r="C1912" s="3" t="s">
        <v>654</v>
      </c>
      <c r="D1912" s="3" t="s">
        <v>44</v>
      </c>
      <c r="E1912" s="3" t="s">
        <v>39</v>
      </c>
      <c r="F1912" s="3" t="s">
        <v>109</v>
      </c>
      <c r="G1912" s="3" t="s">
        <v>355</v>
      </c>
      <c r="H1912" s="3">
        <v>1</v>
      </c>
      <c r="I1912" s="7">
        <v>3368.4</v>
      </c>
      <c r="J1912" s="9">
        <v>0</v>
      </c>
      <c r="K1912" s="7">
        <v>3368.4</v>
      </c>
      <c r="L1912" s="7">
        <v>1393.43</v>
      </c>
      <c r="M1912" s="3" t="s">
        <v>56</v>
      </c>
      <c r="N1912" s="3"/>
      <c r="O1912" s="3"/>
      <c r="P1912" s="3"/>
      <c r="Q1912" s="3"/>
    </row>
    <row r="1913" spans="1:17" ht="21" customHeight="1">
      <c r="A1913" s="3" t="s">
        <v>2608</v>
      </c>
      <c r="B1913" s="5">
        <v>45817</v>
      </c>
      <c r="C1913" s="3" t="s">
        <v>375</v>
      </c>
      <c r="D1913" s="3" t="s">
        <v>46</v>
      </c>
      <c r="E1913" s="3" t="s">
        <v>41</v>
      </c>
      <c r="F1913" s="3" t="s">
        <v>113</v>
      </c>
      <c r="G1913" s="3" t="s">
        <v>114</v>
      </c>
      <c r="H1913" s="3">
        <v>2</v>
      </c>
      <c r="I1913" s="7">
        <v>11403.37</v>
      </c>
      <c r="J1913" s="9">
        <v>0</v>
      </c>
      <c r="K1913" s="7">
        <v>22806.74</v>
      </c>
      <c r="L1913" s="7">
        <v>8797.74</v>
      </c>
      <c r="M1913" s="3" t="s">
        <v>56</v>
      </c>
      <c r="N1913" s="3"/>
      <c r="O1913" s="3"/>
      <c r="P1913" s="3"/>
      <c r="Q1913" s="3"/>
    </row>
    <row r="1914" spans="1:17" ht="21" customHeight="1">
      <c r="A1914" s="3" t="s">
        <v>2609</v>
      </c>
      <c r="B1914" s="5">
        <v>45817</v>
      </c>
      <c r="C1914" s="3" t="s">
        <v>1612</v>
      </c>
      <c r="D1914" s="3" t="s">
        <v>47</v>
      </c>
      <c r="E1914" s="3" t="s">
        <v>40</v>
      </c>
      <c r="F1914" s="3" t="s">
        <v>102</v>
      </c>
      <c r="G1914" s="3" t="s">
        <v>103</v>
      </c>
      <c r="H1914" s="3">
        <v>2</v>
      </c>
      <c r="I1914" s="7">
        <v>6242.72</v>
      </c>
      <c r="J1914" s="9">
        <v>0.2</v>
      </c>
      <c r="K1914" s="7">
        <v>9988.35</v>
      </c>
      <c r="L1914" s="7">
        <v>703.23</v>
      </c>
      <c r="M1914" s="3" t="s">
        <v>56</v>
      </c>
      <c r="N1914" s="3"/>
      <c r="O1914" s="3"/>
      <c r="P1914" s="3"/>
      <c r="Q1914" s="3"/>
    </row>
    <row r="1915" spans="1:17" ht="21" customHeight="1">
      <c r="A1915" s="3" t="s">
        <v>2610</v>
      </c>
      <c r="B1915" s="5">
        <v>45817</v>
      </c>
      <c r="C1915" s="3" t="s">
        <v>844</v>
      </c>
      <c r="D1915" s="3" t="s">
        <v>44</v>
      </c>
      <c r="E1915" s="3" t="s">
        <v>39</v>
      </c>
      <c r="F1915" s="3" t="s">
        <v>109</v>
      </c>
      <c r="G1915" s="3" t="s">
        <v>355</v>
      </c>
      <c r="H1915" s="3">
        <v>4</v>
      </c>
      <c r="I1915" s="7">
        <v>3436.21</v>
      </c>
      <c r="J1915" s="9">
        <v>0.1</v>
      </c>
      <c r="K1915" s="7">
        <v>12370.36</v>
      </c>
      <c r="L1915" s="7">
        <v>3944.67</v>
      </c>
      <c r="M1915" s="3" t="s">
        <v>57</v>
      </c>
      <c r="N1915" s="3"/>
      <c r="O1915" s="3"/>
      <c r="P1915" s="3"/>
      <c r="Q1915" s="3"/>
    </row>
    <row r="1916" spans="1:17" ht="21" customHeight="1">
      <c r="A1916" s="3" t="s">
        <v>2611</v>
      </c>
      <c r="B1916" s="5">
        <v>45818</v>
      </c>
      <c r="C1916" s="3" t="s">
        <v>1859</v>
      </c>
      <c r="D1916" s="3" t="s">
        <v>44</v>
      </c>
      <c r="E1916" s="3" t="s">
        <v>41</v>
      </c>
      <c r="F1916" s="3" t="s">
        <v>113</v>
      </c>
      <c r="G1916" s="3" t="s">
        <v>123</v>
      </c>
      <c r="H1916" s="3">
        <v>1</v>
      </c>
      <c r="I1916" s="7">
        <v>3576.54</v>
      </c>
      <c r="J1916" s="9">
        <v>0.15</v>
      </c>
      <c r="K1916" s="7">
        <v>3040.06</v>
      </c>
      <c r="L1916" s="7">
        <v>689.83</v>
      </c>
      <c r="M1916" s="3" t="s">
        <v>59</v>
      </c>
      <c r="N1916" s="3"/>
      <c r="O1916" s="3"/>
      <c r="P1916" s="3"/>
      <c r="Q1916" s="3"/>
    </row>
    <row r="1917" spans="1:17" ht="21" customHeight="1">
      <c r="A1917" s="3" t="s">
        <v>2612</v>
      </c>
      <c r="B1917" s="5">
        <v>45818</v>
      </c>
      <c r="C1917" s="3" t="s">
        <v>329</v>
      </c>
      <c r="D1917" s="3" t="s">
        <v>44</v>
      </c>
      <c r="E1917" s="3" t="s">
        <v>42</v>
      </c>
      <c r="F1917" s="3" t="s">
        <v>126</v>
      </c>
      <c r="G1917" s="3" t="s">
        <v>127</v>
      </c>
      <c r="H1917" s="3">
        <v>3</v>
      </c>
      <c r="I1917" s="7">
        <v>965.46</v>
      </c>
      <c r="J1917" s="9">
        <v>0.2</v>
      </c>
      <c r="K1917" s="7">
        <v>2317.1</v>
      </c>
      <c r="L1917" s="7">
        <v>788.25</v>
      </c>
      <c r="M1917" s="3" t="s">
        <v>57</v>
      </c>
      <c r="N1917" s="3"/>
      <c r="O1917" s="3"/>
      <c r="P1917" s="3"/>
      <c r="Q1917" s="3"/>
    </row>
    <row r="1918" spans="1:17" ht="21" customHeight="1">
      <c r="A1918" s="3" t="s">
        <v>2613</v>
      </c>
      <c r="B1918" s="5">
        <v>45818</v>
      </c>
      <c r="C1918" s="3" t="s">
        <v>122</v>
      </c>
      <c r="D1918" s="3" t="s">
        <v>45</v>
      </c>
      <c r="E1918" s="3" t="s">
        <v>42</v>
      </c>
      <c r="F1918" s="3" t="s">
        <v>126</v>
      </c>
      <c r="G1918" s="3" t="s">
        <v>151</v>
      </c>
      <c r="H1918" s="3">
        <v>2</v>
      </c>
      <c r="I1918" s="7">
        <v>1556.7</v>
      </c>
      <c r="J1918" s="9">
        <v>0.15</v>
      </c>
      <c r="K1918" s="7">
        <v>2646.39</v>
      </c>
      <c r="L1918" s="7">
        <v>947.21</v>
      </c>
      <c r="M1918" s="3" t="s">
        <v>58</v>
      </c>
      <c r="N1918" s="3"/>
      <c r="O1918" s="3"/>
      <c r="P1918" s="3"/>
      <c r="Q1918" s="3"/>
    </row>
    <row r="1919" spans="1:17" ht="21" customHeight="1">
      <c r="A1919" s="3" t="s">
        <v>2614</v>
      </c>
      <c r="B1919" s="5">
        <v>45819</v>
      </c>
      <c r="C1919" s="3" t="s">
        <v>487</v>
      </c>
      <c r="D1919" s="3" t="s">
        <v>46</v>
      </c>
      <c r="E1919" s="3" t="s">
        <v>42</v>
      </c>
      <c r="F1919" s="3" t="s">
        <v>90</v>
      </c>
      <c r="G1919" s="3" t="s">
        <v>106</v>
      </c>
      <c r="H1919" s="3">
        <v>2</v>
      </c>
      <c r="I1919" s="7">
        <v>943.38</v>
      </c>
      <c r="J1919" s="9">
        <v>0.05</v>
      </c>
      <c r="K1919" s="7">
        <v>1792.42</v>
      </c>
      <c r="L1919" s="7">
        <v>923.62</v>
      </c>
      <c r="M1919" s="3" t="s">
        <v>58</v>
      </c>
      <c r="N1919" s="3"/>
      <c r="O1919" s="3"/>
      <c r="P1919" s="3"/>
      <c r="Q1919" s="3"/>
    </row>
    <row r="1920" spans="1:17" ht="21" customHeight="1">
      <c r="A1920" s="3" t="s">
        <v>2615</v>
      </c>
      <c r="B1920" s="5">
        <v>45819</v>
      </c>
      <c r="C1920" s="3" t="s">
        <v>2433</v>
      </c>
      <c r="D1920" s="3" t="s">
        <v>46</v>
      </c>
      <c r="E1920" s="3" t="s">
        <v>42</v>
      </c>
      <c r="F1920" s="3" t="s">
        <v>126</v>
      </c>
      <c r="G1920" s="3" t="s">
        <v>127</v>
      </c>
      <c r="H1920" s="3">
        <v>2</v>
      </c>
      <c r="I1920" s="7">
        <v>1031.94</v>
      </c>
      <c r="J1920" s="9">
        <v>0.05</v>
      </c>
      <c r="K1920" s="7">
        <v>1960.69</v>
      </c>
      <c r="L1920" s="7">
        <v>1010.25</v>
      </c>
      <c r="M1920" s="3" t="s">
        <v>57</v>
      </c>
      <c r="N1920" s="3"/>
      <c r="O1920" s="3"/>
      <c r="P1920" s="3"/>
      <c r="Q1920" s="3"/>
    </row>
    <row r="1921" spans="1:17" ht="21" customHeight="1">
      <c r="A1921" s="3" t="s">
        <v>2616</v>
      </c>
      <c r="B1921" s="5">
        <v>45819</v>
      </c>
      <c r="C1921" s="3" t="s">
        <v>153</v>
      </c>
      <c r="D1921" s="3" t="s">
        <v>45</v>
      </c>
      <c r="E1921" s="3" t="s">
        <v>40</v>
      </c>
      <c r="F1921" s="3" t="s">
        <v>160</v>
      </c>
      <c r="G1921" s="3" t="s">
        <v>173</v>
      </c>
      <c r="H1921" s="3">
        <v>1</v>
      </c>
      <c r="I1921" s="7">
        <v>8759</v>
      </c>
      <c r="J1921" s="9">
        <v>0</v>
      </c>
      <c r="K1921" s="7">
        <v>8759</v>
      </c>
      <c r="L1921" s="7">
        <v>2662.17</v>
      </c>
      <c r="M1921" s="3" t="s">
        <v>56</v>
      </c>
      <c r="N1921" s="3"/>
      <c r="O1921" s="3"/>
      <c r="P1921" s="3"/>
      <c r="Q1921" s="3"/>
    </row>
    <row r="1922" spans="1:17" ht="21" customHeight="1">
      <c r="A1922" s="3" t="s">
        <v>2617</v>
      </c>
      <c r="B1922" s="5">
        <v>45819</v>
      </c>
      <c r="C1922" s="3" t="s">
        <v>204</v>
      </c>
      <c r="D1922" s="3" t="s">
        <v>44</v>
      </c>
      <c r="E1922" s="3" t="s">
        <v>42</v>
      </c>
      <c r="F1922" s="3" t="s">
        <v>90</v>
      </c>
      <c r="G1922" s="3" t="s">
        <v>106</v>
      </c>
      <c r="H1922" s="3">
        <v>1</v>
      </c>
      <c r="I1922" s="7">
        <v>874.24</v>
      </c>
      <c r="J1922" s="9">
        <v>0.05</v>
      </c>
      <c r="K1922" s="7">
        <v>830.53</v>
      </c>
      <c r="L1922" s="7">
        <v>438.69</v>
      </c>
      <c r="M1922" s="3" t="s">
        <v>56</v>
      </c>
      <c r="N1922" s="3"/>
      <c r="O1922" s="3"/>
      <c r="P1922" s="3"/>
      <c r="Q1922" s="3"/>
    </row>
    <row r="1923" spans="1:17" ht="21" customHeight="1">
      <c r="A1923" s="3" t="s">
        <v>2618</v>
      </c>
      <c r="B1923" s="5">
        <v>45820</v>
      </c>
      <c r="C1923" s="3" t="s">
        <v>139</v>
      </c>
      <c r="D1923" s="3" t="s">
        <v>45</v>
      </c>
      <c r="E1923" s="3" t="s">
        <v>39</v>
      </c>
      <c r="F1923" s="3" t="s">
        <v>130</v>
      </c>
      <c r="G1923" s="3" t="s">
        <v>131</v>
      </c>
      <c r="H1923" s="3">
        <v>1</v>
      </c>
      <c r="I1923" s="7">
        <v>2272.77</v>
      </c>
      <c r="J1923" s="9">
        <v>0.1</v>
      </c>
      <c r="K1923" s="7">
        <v>2045.49</v>
      </c>
      <c r="L1923" s="7">
        <v>626.6</v>
      </c>
      <c r="M1923" s="3" t="s">
        <v>59</v>
      </c>
      <c r="N1923" s="3"/>
      <c r="O1923" s="3"/>
      <c r="P1923" s="3"/>
      <c r="Q1923" s="3"/>
    </row>
    <row r="1924" spans="1:17" ht="21" customHeight="1">
      <c r="A1924" s="3" t="s">
        <v>2619</v>
      </c>
      <c r="B1924" s="5">
        <v>45820</v>
      </c>
      <c r="C1924" s="3" t="s">
        <v>175</v>
      </c>
      <c r="D1924" s="3" t="s">
        <v>45</v>
      </c>
      <c r="E1924" s="3" t="s">
        <v>42</v>
      </c>
      <c r="F1924" s="3" t="s">
        <v>90</v>
      </c>
      <c r="G1924" s="3" t="s">
        <v>106</v>
      </c>
      <c r="H1924" s="3">
        <v>1</v>
      </c>
      <c r="I1924" s="7">
        <v>932.61</v>
      </c>
      <c r="J1924" s="9">
        <v>0.05</v>
      </c>
      <c r="K1924" s="7">
        <v>885.98</v>
      </c>
      <c r="L1924" s="7">
        <v>422.9</v>
      </c>
      <c r="M1924" s="3" t="s">
        <v>58</v>
      </c>
      <c r="N1924" s="3"/>
      <c r="O1924" s="3"/>
      <c r="P1924" s="3"/>
      <c r="Q1924" s="3"/>
    </row>
    <row r="1925" spans="1:17" ht="21" customHeight="1">
      <c r="A1925" s="3" t="s">
        <v>2620</v>
      </c>
      <c r="B1925" s="5">
        <v>45820</v>
      </c>
      <c r="C1925" s="3" t="s">
        <v>1555</v>
      </c>
      <c r="D1925" s="3" t="s">
        <v>44</v>
      </c>
      <c r="E1925" s="3" t="s">
        <v>39</v>
      </c>
      <c r="F1925" s="3" t="s">
        <v>164</v>
      </c>
      <c r="G1925" s="3" t="s">
        <v>165</v>
      </c>
      <c r="H1925" s="3">
        <v>1</v>
      </c>
      <c r="I1925" s="7">
        <v>1912.1</v>
      </c>
      <c r="J1925" s="9">
        <v>0.4</v>
      </c>
      <c r="K1925" s="7">
        <v>1147.26</v>
      </c>
      <c r="L1925" s="7">
        <v>-35.17</v>
      </c>
      <c r="M1925" s="3" t="s">
        <v>58</v>
      </c>
      <c r="N1925" s="3"/>
      <c r="O1925" s="3"/>
      <c r="P1925" s="3"/>
      <c r="Q1925" s="3"/>
    </row>
    <row r="1926" spans="1:17" ht="21" customHeight="1">
      <c r="A1926" s="3" t="s">
        <v>2621</v>
      </c>
      <c r="B1926" s="5">
        <v>45820</v>
      </c>
      <c r="C1926" s="3" t="s">
        <v>1176</v>
      </c>
      <c r="D1926" s="3" t="s">
        <v>46</v>
      </c>
      <c r="E1926" s="3" t="s">
        <v>40</v>
      </c>
      <c r="F1926" s="3" t="s">
        <v>221</v>
      </c>
      <c r="G1926" s="3" t="s">
        <v>279</v>
      </c>
      <c r="H1926" s="3">
        <v>1</v>
      </c>
      <c r="I1926" s="7">
        <v>1502.72</v>
      </c>
      <c r="J1926" s="9">
        <v>0.1</v>
      </c>
      <c r="K1926" s="7">
        <v>1352.45</v>
      </c>
      <c r="L1926" s="7">
        <v>303.52999999999997</v>
      </c>
      <c r="M1926" s="3" t="s">
        <v>58</v>
      </c>
      <c r="N1926" s="3"/>
      <c r="O1926" s="3"/>
      <c r="P1926" s="3"/>
      <c r="Q1926" s="3"/>
    </row>
    <row r="1927" spans="1:17" ht="21" customHeight="1">
      <c r="A1927" s="3" t="s">
        <v>2622</v>
      </c>
      <c r="B1927" s="5">
        <v>45822</v>
      </c>
      <c r="C1927" s="3" t="s">
        <v>1424</v>
      </c>
      <c r="D1927" s="3" t="s">
        <v>44</v>
      </c>
      <c r="E1927" s="3" t="s">
        <v>39</v>
      </c>
      <c r="F1927" s="3" t="s">
        <v>109</v>
      </c>
      <c r="G1927" s="3" t="s">
        <v>110</v>
      </c>
      <c r="H1927" s="3">
        <v>4</v>
      </c>
      <c r="I1927" s="7">
        <v>3114.6</v>
      </c>
      <c r="J1927" s="9">
        <v>0.2</v>
      </c>
      <c r="K1927" s="7">
        <v>9966.7199999999993</v>
      </c>
      <c r="L1927" s="7">
        <v>2115.67</v>
      </c>
      <c r="M1927" s="3" t="s">
        <v>58</v>
      </c>
      <c r="N1927" s="3"/>
      <c r="O1927" s="3"/>
      <c r="P1927" s="3"/>
      <c r="Q1927" s="3"/>
    </row>
    <row r="1928" spans="1:17" ht="21" customHeight="1">
      <c r="A1928" s="3" t="s">
        <v>2623</v>
      </c>
      <c r="B1928" s="5">
        <v>45822</v>
      </c>
      <c r="C1928" s="3" t="s">
        <v>2427</v>
      </c>
      <c r="D1928" s="3" t="s">
        <v>44</v>
      </c>
      <c r="E1928" s="3" t="s">
        <v>38</v>
      </c>
      <c r="F1928" s="3" t="s">
        <v>98</v>
      </c>
      <c r="G1928" s="3" t="s">
        <v>99</v>
      </c>
      <c r="H1928" s="3">
        <v>3</v>
      </c>
      <c r="I1928" s="7">
        <v>23816.71</v>
      </c>
      <c r="J1928" s="9">
        <v>0.2</v>
      </c>
      <c r="K1928" s="7">
        <v>57160.1</v>
      </c>
      <c r="L1928" s="7">
        <v>-804.14</v>
      </c>
      <c r="M1928" s="3" t="s">
        <v>59</v>
      </c>
      <c r="N1928" s="3"/>
      <c r="O1928" s="3"/>
      <c r="P1928" s="3"/>
      <c r="Q1928" s="3"/>
    </row>
    <row r="1929" spans="1:17" ht="21" customHeight="1">
      <c r="A1929" s="3" t="s">
        <v>2624</v>
      </c>
      <c r="B1929" s="5">
        <v>45823</v>
      </c>
      <c r="C1929" s="3" t="s">
        <v>607</v>
      </c>
      <c r="D1929" s="3" t="s">
        <v>47</v>
      </c>
      <c r="E1929" s="3" t="s">
        <v>39</v>
      </c>
      <c r="F1929" s="3" t="s">
        <v>130</v>
      </c>
      <c r="G1929" s="3" t="s">
        <v>193</v>
      </c>
      <c r="H1929" s="3">
        <v>1</v>
      </c>
      <c r="I1929" s="7">
        <v>1731.22</v>
      </c>
      <c r="J1929" s="9">
        <v>0.1</v>
      </c>
      <c r="K1929" s="7">
        <v>1558.1</v>
      </c>
      <c r="L1929" s="7">
        <v>458.86</v>
      </c>
      <c r="M1929" s="3" t="s">
        <v>56</v>
      </c>
      <c r="N1929" s="3"/>
      <c r="O1929" s="3"/>
      <c r="P1929" s="3"/>
      <c r="Q1929" s="3"/>
    </row>
    <row r="1930" spans="1:17" ht="21" customHeight="1">
      <c r="A1930" s="3" t="s">
        <v>2625</v>
      </c>
      <c r="B1930" s="5">
        <v>45824</v>
      </c>
      <c r="C1930" s="3" t="s">
        <v>1289</v>
      </c>
      <c r="D1930" s="3" t="s">
        <v>44</v>
      </c>
      <c r="E1930" s="3" t="s">
        <v>40</v>
      </c>
      <c r="F1930" s="3" t="s">
        <v>160</v>
      </c>
      <c r="G1930" s="3" t="s">
        <v>161</v>
      </c>
      <c r="H1930" s="3">
        <v>1</v>
      </c>
      <c r="I1930" s="7">
        <v>13006.13</v>
      </c>
      <c r="J1930" s="9">
        <v>0.1</v>
      </c>
      <c r="K1930" s="7">
        <v>11705.52</v>
      </c>
      <c r="L1930" s="7">
        <v>2584.77</v>
      </c>
      <c r="M1930" s="3" t="s">
        <v>56</v>
      </c>
      <c r="N1930" s="3"/>
      <c r="O1930" s="3"/>
      <c r="P1930" s="3"/>
      <c r="Q1930" s="3"/>
    </row>
    <row r="1931" spans="1:17" ht="21" customHeight="1">
      <c r="A1931" s="3" t="s">
        <v>2626</v>
      </c>
      <c r="B1931" s="5">
        <v>45824</v>
      </c>
      <c r="C1931" s="3" t="s">
        <v>1107</v>
      </c>
      <c r="D1931" s="3" t="s">
        <v>44</v>
      </c>
      <c r="E1931" s="3" t="s">
        <v>39</v>
      </c>
      <c r="F1931" s="3" t="s">
        <v>130</v>
      </c>
      <c r="G1931" s="3" t="s">
        <v>131</v>
      </c>
      <c r="H1931" s="3">
        <v>5</v>
      </c>
      <c r="I1931" s="7">
        <v>2120.36</v>
      </c>
      <c r="J1931" s="9">
        <v>0.3</v>
      </c>
      <c r="K1931" s="7">
        <v>7421.26</v>
      </c>
      <c r="L1931" s="7">
        <v>425.88</v>
      </c>
      <c r="M1931" s="3" t="s">
        <v>56</v>
      </c>
      <c r="N1931" s="3"/>
      <c r="O1931" s="3"/>
      <c r="P1931" s="3"/>
      <c r="Q1931" s="3"/>
    </row>
    <row r="1932" spans="1:17" ht="21" customHeight="1">
      <c r="A1932" s="3" t="s">
        <v>2627</v>
      </c>
      <c r="B1932" s="5">
        <v>45824</v>
      </c>
      <c r="C1932" s="3" t="s">
        <v>700</v>
      </c>
      <c r="D1932" s="3" t="s">
        <v>46</v>
      </c>
      <c r="E1932" s="3" t="s">
        <v>41</v>
      </c>
      <c r="F1932" s="3" t="s">
        <v>113</v>
      </c>
      <c r="G1932" s="3" t="s">
        <v>114</v>
      </c>
      <c r="H1932" s="3">
        <v>1</v>
      </c>
      <c r="I1932" s="7">
        <v>12241.22</v>
      </c>
      <c r="J1932" s="9">
        <v>0</v>
      </c>
      <c r="K1932" s="7">
        <v>12241.22</v>
      </c>
      <c r="L1932" s="7">
        <v>4363.26</v>
      </c>
      <c r="M1932" s="3" t="s">
        <v>56</v>
      </c>
      <c r="N1932" s="3"/>
      <c r="O1932" s="3"/>
      <c r="P1932" s="3"/>
      <c r="Q1932" s="3"/>
    </row>
    <row r="1933" spans="1:17" ht="21" customHeight="1">
      <c r="A1933" s="3" t="s">
        <v>2628</v>
      </c>
      <c r="B1933" s="5">
        <v>45824</v>
      </c>
      <c r="C1933" s="3" t="s">
        <v>944</v>
      </c>
      <c r="D1933" s="3" t="s">
        <v>44</v>
      </c>
      <c r="E1933" s="3" t="s">
        <v>39</v>
      </c>
      <c r="F1933" s="3" t="s">
        <v>130</v>
      </c>
      <c r="G1933" s="3" t="s">
        <v>131</v>
      </c>
      <c r="H1933" s="3">
        <v>1</v>
      </c>
      <c r="I1933" s="7">
        <v>2093.77</v>
      </c>
      <c r="J1933" s="9">
        <v>0.15</v>
      </c>
      <c r="K1933" s="7">
        <v>1779.7</v>
      </c>
      <c r="L1933" s="7">
        <v>396.21</v>
      </c>
      <c r="M1933" s="3" t="s">
        <v>58</v>
      </c>
      <c r="N1933" s="3"/>
      <c r="O1933" s="3"/>
      <c r="P1933" s="3"/>
      <c r="Q1933" s="3"/>
    </row>
    <row r="1934" spans="1:17" ht="21" customHeight="1">
      <c r="A1934" s="3" t="s">
        <v>2629</v>
      </c>
      <c r="B1934" s="5">
        <v>45824</v>
      </c>
      <c r="C1934" s="3" t="s">
        <v>871</v>
      </c>
      <c r="D1934" s="3" t="s">
        <v>47</v>
      </c>
      <c r="E1934" s="3" t="s">
        <v>41</v>
      </c>
      <c r="F1934" s="3" t="s">
        <v>113</v>
      </c>
      <c r="G1934" s="3" t="s">
        <v>114</v>
      </c>
      <c r="H1934" s="3">
        <v>1</v>
      </c>
      <c r="I1934" s="7">
        <v>12155.16</v>
      </c>
      <c r="J1934" s="9">
        <v>0</v>
      </c>
      <c r="K1934" s="7">
        <v>12155.16</v>
      </c>
      <c r="L1934" s="7">
        <v>4785.1499999999996</v>
      </c>
      <c r="M1934" s="3" t="s">
        <v>58</v>
      </c>
      <c r="N1934" s="3"/>
      <c r="O1934" s="3"/>
      <c r="P1934" s="3"/>
      <c r="Q1934" s="3"/>
    </row>
    <row r="1935" spans="1:17" ht="21" customHeight="1">
      <c r="A1935" s="3" t="s">
        <v>2630</v>
      </c>
      <c r="B1935" s="5">
        <v>45825</v>
      </c>
      <c r="C1935" s="3" t="s">
        <v>357</v>
      </c>
      <c r="D1935" s="3" t="s">
        <v>46</v>
      </c>
      <c r="E1935" s="3" t="s">
        <v>41</v>
      </c>
      <c r="F1935" s="3" t="s">
        <v>113</v>
      </c>
      <c r="G1935" s="3" t="s">
        <v>123</v>
      </c>
      <c r="H1935" s="3">
        <v>2</v>
      </c>
      <c r="I1935" s="7">
        <v>3414.74</v>
      </c>
      <c r="J1935" s="9">
        <v>0.05</v>
      </c>
      <c r="K1935" s="7">
        <v>6488.01</v>
      </c>
      <c r="L1935" s="7">
        <v>1961.19</v>
      </c>
      <c r="M1935" s="3" t="s">
        <v>58</v>
      </c>
      <c r="N1935" s="3"/>
      <c r="O1935" s="3"/>
      <c r="P1935" s="3"/>
      <c r="Q1935" s="3"/>
    </row>
    <row r="1936" spans="1:17" ht="21" customHeight="1">
      <c r="A1936" s="3" t="s">
        <v>2631</v>
      </c>
      <c r="B1936" s="5">
        <v>45825</v>
      </c>
      <c r="C1936" s="3" t="s">
        <v>657</v>
      </c>
      <c r="D1936" s="3" t="s">
        <v>47</v>
      </c>
      <c r="E1936" s="3" t="s">
        <v>39</v>
      </c>
      <c r="F1936" s="3" t="s">
        <v>109</v>
      </c>
      <c r="G1936" s="3" t="s">
        <v>355</v>
      </c>
      <c r="H1936" s="3">
        <v>2</v>
      </c>
      <c r="I1936" s="7">
        <v>3610.4</v>
      </c>
      <c r="J1936" s="9">
        <v>0.15</v>
      </c>
      <c r="K1936" s="7">
        <v>6137.68</v>
      </c>
      <c r="L1936" s="7">
        <v>1389.89</v>
      </c>
      <c r="M1936" s="3" t="s">
        <v>60</v>
      </c>
      <c r="N1936" s="3"/>
      <c r="O1936" s="3"/>
      <c r="P1936" s="3"/>
      <c r="Q1936" s="3"/>
    </row>
    <row r="1937" spans="1:17" ht="21" customHeight="1">
      <c r="A1937" s="3" t="s">
        <v>2632</v>
      </c>
      <c r="B1937" s="5">
        <v>45825</v>
      </c>
      <c r="C1937" s="3" t="s">
        <v>636</v>
      </c>
      <c r="D1937" s="3" t="s">
        <v>44</v>
      </c>
      <c r="E1937" s="3" t="s">
        <v>40</v>
      </c>
      <c r="F1937" s="3" t="s">
        <v>102</v>
      </c>
      <c r="G1937" s="3" t="s">
        <v>146</v>
      </c>
      <c r="H1937" s="3">
        <v>1</v>
      </c>
      <c r="I1937" s="7">
        <v>8163.38</v>
      </c>
      <c r="J1937" s="9">
        <v>0.25</v>
      </c>
      <c r="K1937" s="7">
        <v>6122.53</v>
      </c>
      <c r="L1937" s="7">
        <v>319.89999999999998</v>
      </c>
      <c r="M1937" s="3" t="s">
        <v>56</v>
      </c>
      <c r="N1937" s="3"/>
      <c r="O1937" s="3"/>
      <c r="P1937" s="3"/>
      <c r="Q1937" s="3"/>
    </row>
    <row r="1938" spans="1:17" ht="21" customHeight="1">
      <c r="A1938" s="3" t="s">
        <v>2633</v>
      </c>
      <c r="B1938" s="5">
        <v>45825</v>
      </c>
      <c r="C1938" s="3" t="s">
        <v>285</v>
      </c>
      <c r="D1938" s="3" t="s">
        <v>47</v>
      </c>
      <c r="E1938" s="3" t="s">
        <v>39</v>
      </c>
      <c r="F1938" s="3" t="s">
        <v>130</v>
      </c>
      <c r="G1938" s="3" t="s">
        <v>131</v>
      </c>
      <c r="H1938" s="3">
        <v>1</v>
      </c>
      <c r="I1938" s="7">
        <v>2234.2600000000002</v>
      </c>
      <c r="J1938" s="9">
        <v>0.1</v>
      </c>
      <c r="K1938" s="7">
        <v>2010.83</v>
      </c>
      <c r="L1938" s="7">
        <v>606.12</v>
      </c>
      <c r="M1938" s="3" t="s">
        <v>58</v>
      </c>
      <c r="N1938" s="3"/>
      <c r="O1938" s="3"/>
      <c r="P1938" s="3"/>
      <c r="Q1938" s="3"/>
    </row>
    <row r="1939" spans="1:17" ht="21" customHeight="1">
      <c r="A1939" s="3" t="s">
        <v>2634</v>
      </c>
      <c r="B1939" s="5">
        <v>45825</v>
      </c>
      <c r="C1939" s="3" t="s">
        <v>281</v>
      </c>
      <c r="D1939" s="3" t="s">
        <v>45</v>
      </c>
      <c r="E1939" s="3" t="s">
        <v>38</v>
      </c>
      <c r="F1939" s="3" t="s">
        <v>142</v>
      </c>
      <c r="G1939" s="3" t="s">
        <v>143</v>
      </c>
      <c r="H1939" s="3">
        <v>4</v>
      </c>
      <c r="I1939" s="7">
        <v>9445.67</v>
      </c>
      <c r="J1939" s="9">
        <v>0.15</v>
      </c>
      <c r="K1939" s="7">
        <v>32115.279999999999</v>
      </c>
      <c r="L1939" s="7">
        <v>-264.10000000000002</v>
      </c>
      <c r="M1939" s="3" t="s">
        <v>59</v>
      </c>
      <c r="N1939" s="3"/>
      <c r="O1939" s="3"/>
      <c r="P1939" s="3"/>
      <c r="Q1939" s="3"/>
    </row>
    <row r="1940" spans="1:17" ht="21" customHeight="1">
      <c r="A1940" s="3" t="s">
        <v>2635</v>
      </c>
      <c r="B1940" s="5">
        <v>45825</v>
      </c>
      <c r="C1940" s="3" t="s">
        <v>1575</v>
      </c>
      <c r="D1940" s="3" t="s">
        <v>46</v>
      </c>
      <c r="E1940" s="3" t="s">
        <v>38</v>
      </c>
      <c r="F1940" s="3" t="s">
        <v>94</v>
      </c>
      <c r="G1940" s="3" t="s">
        <v>95</v>
      </c>
      <c r="H1940" s="3">
        <v>1</v>
      </c>
      <c r="I1940" s="7">
        <v>82855.67</v>
      </c>
      <c r="J1940" s="9">
        <v>0</v>
      </c>
      <c r="K1940" s="7">
        <v>82855.67</v>
      </c>
      <c r="L1940" s="7">
        <v>11638.76</v>
      </c>
      <c r="M1940" s="3" t="s">
        <v>56</v>
      </c>
      <c r="N1940" s="3"/>
      <c r="O1940" s="3"/>
      <c r="P1940" s="3"/>
      <c r="Q1940" s="3"/>
    </row>
    <row r="1941" spans="1:17" ht="21" customHeight="1">
      <c r="A1941" s="3" t="s">
        <v>2636</v>
      </c>
      <c r="B1941" s="5">
        <v>45826</v>
      </c>
      <c r="C1941" s="3" t="s">
        <v>529</v>
      </c>
      <c r="D1941" s="3" t="s">
        <v>46</v>
      </c>
      <c r="E1941" s="3" t="s">
        <v>40</v>
      </c>
      <c r="F1941" s="3" t="s">
        <v>102</v>
      </c>
      <c r="G1941" s="3" t="s">
        <v>146</v>
      </c>
      <c r="H1941" s="3">
        <v>2</v>
      </c>
      <c r="I1941" s="7">
        <v>8363.09</v>
      </c>
      <c r="J1941" s="9">
        <v>0</v>
      </c>
      <c r="K1941" s="7">
        <v>16726.18</v>
      </c>
      <c r="L1941" s="7">
        <v>5575.62</v>
      </c>
      <c r="M1941" s="3" t="s">
        <v>60</v>
      </c>
      <c r="N1941" s="3"/>
      <c r="O1941" s="3"/>
      <c r="P1941" s="3"/>
      <c r="Q1941" s="3"/>
    </row>
    <row r="1942" spans="1:17" ht="21" customHeight="1">
      <c r="A1942" s="3" t="s">
        <v>2637</v>
      </c>
      <c r="B1942" s="5">
        <v>45826</v>
      </c>
      <c r="C1942" s="3" t="s">
        <v>1049</v>
      </c>
      <c r="D1942" s="3" t="s">
        <v>46</v>
      </c>
      <c r="E1942" s="3" t="s">
        <v>42</v>
      </c>
      <c r="F1942" s="3" t="s">
        <v>126</v>
      </c>
      <c r="G1942" s="3" t="s">
        <v>127</v>
      </c>
      <c r="H1942" s="3">
        <v>2</v>
      </c>
      <c r="I1942" s="7">
        <v>1042.47</v>
      </c>
      <c r="J1942" s="9">
        <v>0.05</v>
      </c>
      <c r="K1942" s="7">
        <v>1980.69</v>
      </c>
      <c r="L1942" s="7">
        <v>1052.8699999999999</v>
      </c>
      <c r="M1942" s="3" t="s">
        <v>57</v>
      </c>
      <c r="N1942" s="3"/>
      <c r="O1942" s="3"/>
      <c r="P1942" s="3"/>
      <c r="Q1942" s="3"/>
    </row>
    <row r="1943" spans="1:17" ht="21" customHeight="1">
      <c r="A1943" s="3" t="s">
        <v>2638</v>
      </c>
      <c r="B1943" s="5">
        <v>45827</v>
      </c>
      <c r="C1943" s="3" t="s">
        <v>97</v>
      </c>
      <c r="D1943" s="3" t="s">
        <v>45</v>
      </c>
      <c r="E1943" s="3" t="s">
        <v>38</v>
      </c>
      <c r="F1943" s="3" t="s">
        <v>98</v>
      </c>
      <c r="G1943" s="3" t="s">
        <v>182</v>
      </c>
      <c r="H1943" s="3">
        <v>1</v>
      </c>
      <c r="I1943" s="7">
        <v>73293.89</v>
      </c>
      <c r="J1943" s="9">
        <v>0.1</v>
      </c>
      <c r="K1943" s="7">
        <v>65964.5</v>
      </c>
      <c r="L1943" s="7">
        <v>4761.1899999999996</v>
      </c>
      <c r="M1943" s="3" t="s">
        <v>58</v>
      </c>
      <c r="N1943" s="3"/>
      <c r="O1943" s="3"/>
      <c r="P1943" s="3"/>
      <c r="Q1943" s="3"/>
    </row>
    <row r="1944" spans="1:17" ht="21" customHeight="1">
      <c r="A1944" s="3" t="s">
        <v>2639</v>
      </c>
      <c r="B1944" s="5">
        <v>45827</v>
      </c>
      <c r="C1944" s="3" t="s">
        <v>1035</v>
      </c>
      <c r="D1944" s="3" t="s">
        <v>46</v>
      </c>
      <c r="E1944" s="3" t="s">
        <v>41</v>
      </c>
      <c r="F1944" s="3" t="s">
        <v>119</v>
      </c>
      <c r="G1944" s="3" t="s">
        <v>120</v>
      </c>
      <c r="H1944" s="3">
        <v>1</v>
      </c>
      <c r="I1944" s="7">
        <v>1287.1300000000001</v>
      </c>
      <c r="J1944" s="9">
        <v>0.2</v>
      </c>
      <c r="K1944" s="7">
        <v>1029.7</v>
      </c>
      <c r="L1944" s="7">
        <v>128.84</v>
      </c>
      <c r="M1944" s="3" t="s">
        <v>58</v>
      </c>
      <c r="N1944" s="3"/>
      <c r="O1944" s="3"/>
      <c r="P1944" s="3"/>
      <c r="Q1944" s="3"/>
    </row>
    <row r="1945" spans="1:17" ht="21" customHeight="1">
      <c r="A1945" s="3" t="s">
        <v>2640</v>
      </c>
      <c r="B1945" s="5">
        <v>45827</v>
      </c>
      <c r="C1945" s="3" t="s">
        <v>357</v>
      </c>
      <c r="D1945" s="3" t="s">
        <v>44</v>
      </c>
      <c r="E1945" s="3" t="s">
        <v>38</v>
      </c>
      <c r="F1945" s="3" t="s">
        <v>142</v>
      </c>
      <c r="G1945" s="3" t="s">
        <v>143</v>
      </c>
      <c r="H1945" s="3">
        <v>1</v>
      </c>
      <c r="I1945" s="7">
        <v>9244.2800000000007</v>
      </c>
      <c r="J1945" s="9">
        <v>0.15</v>
      </c>
      <c r="K1945" s="7">
        <v>7857.64</v>
      </c>
      <c r="L1945" s="7">
        <v>179.85</v>
      </c>
      <c r="M1945" s="3" t="s">
        <v>57</v>
      </c>
      <c r="N1945" s="3"/>
      <c r="O1945" s="3"/>
      <c r="P1945" s="3"/>
      <c r="Q1945" s="3"/>
    </row>
    <row r="1946" spans="1:17" ht="21" customHeight="1">
      <c r="A1946" s="3" t="s">
        <v>2641</v>
      </c>
      <c r="B1946" s="5">
        <v>45827</v>
      </c>
      <c r="C1946" s="3" t="s">
        <v>1707</v>
      </c>
      <c r="D1946" s="3" t="s">
        <v>45</v>
      </c>
      <c r="E1946" s="3" t="s">
        <v>40</v>
      </c>
      <c r="F1946" s="3" t="s">
        <v>160</v>
      </c>
      <c r="G1946" s="3" t="s">
        <v>161</v>
      </c>
      <c r="H1946" s="3">
        <v>5</v>
      </c>
      <c r="I1946" s="7">
        <v>12920.48</v>
      </c>
      <c r="J1946" s="9">
        <v>0</v>
      </c>
      <c r="K1946" s="7">
        <v>64602.400000000001</v>
      </c>
      <c r="L1946" s="7">
        <v>19212.3</v>
      </c>
      <c r="M1946" s="3" t="s">
        <v>56</v>
      </c>
      <c r="N1946" s="3"/>
      <c r="O1946" s="3"/>
      <c r="P1946" s="3"/>
      <c r="Q1946" s="3"/>
    </row>
    <row r="1947" spans="1:17" ht="21" customHeight="1">
      <c r="A1947" s="3" t="s">
        <v>2642</v>
      </c>
      <c r="B1947" s="5">
        <v>45827</v>
      </c>
      <c r="C1947" s="3" t="s">
        <v>2643</v>
      </c>
      <c r="D1947" s="3" t="s">
        <v>44</v>
      </c>
      <c r="E1947" s="3" t="s">
        <v>39</v>
      </c>
      <c r="F1947" s="3" t="s">
        <v>164</v>
      </c>
      <c r="G1947" s="3" t="s">
        <v>200</v>
      </c>
      <c r="H1947" s="3">
        <v>2</v>
      </c>
      <c r="I1947" s="7">
        <v>1258.73</v>
      </c>
      <c r="J1947" s="9">
        <v>0</v>
      </c>
      <c r="K1947" s="7">
        <v>2517.46</v>
      </c>
      <c r="L1947" s="7">
        <v>1123.93</v>
      </c>
      <c r="M1947" s="3" t="s">
        <v>59</v>
      </c>
      <c r="N1947" s="3"/>
      <c r="O1947" s="3"/>
      <c r="P1947" s="3"/>
      <c r="Q1947" s="3"/>
    </row>
    <row r="1948" spans="1:17" ht="21" customHeight="1">
      <c r="A1948" s="3" t="s">
        <v>2644</v>
      </c>
      <c r="B1948" s="5">
        <v>45827</v>
      </c>
      <c r="C1948" s="3" t="s">
        <v>1360</v>
      </c>
      <c r="D1948" s="3" t="s">
        <v>45</v>
      </c>
      <c r="E1948" s="3" t="s">
        <v>40</v>
      </c>
      <c r="F1948" s="3" t="s">
        <v>160</v>
      </c>
      <c r="G1948" s="3" t="s">
        <v>173</v>
      </c>
      <c r="H1948" s="3">
        <v>3</v>
      </c>
      <c r="I1948" s="7">
        <v>8995.7099999999991</v>
      </c>
      <c r="J1948" s="9">
        <v>0</v>
      </c>
      <c r="K1948" s="7">
        <v>26987.13</v>
      </c>
      <c r="L1948" s="7">
        <v>9712.8799999999992</v>
      </c>
      <c r="M1948" s="3" t="s">
        <v>56</v>
      </c>
      <c r="N1948" s="3"/>
      <c r="O1948" s="3"/>
      <c r="P1948" s="3"/>
      <c r="Q1948" s="3"/>
    </row>
    <row r="1949" spans="1:17" ht="21" customHeight="1">
      <c r="A1949" s="3" t="s">
        <v>2645</v>
      </c>
      <c r="B1949" s="5">
        <v>45827</v>
      </c>
      <c r="C1949" s="3" t="s">
        <v>1394</v>
      </c>
      <c r="D1949" s="3" t="s">
        <v>44</v>
      </c>
      <c r="E1949" s="3" t="s">
        <v>40</v>
      </c>
      <c r="F1949" s="3" t="s">
        <v>102</v>
      </c>
      <c r="G1949" s="3" t="s">
        <v>103</v>
      </c>
      <c r="H1949" s="3">
        <v>1</v>
      </c>
      <c r="I1949" s="7">
        <v>6594.89</v>
      </c>
      <c r="J1949" s="9">
        <v>0.05</v>
      </c>
      <c r="K1949" s="7">
        <v>6265.15</v>
      </c>
      <c r="L1949" s="7">
        <v>1662.43</v>
      </c>
      <c r="M1949" s="3" t="s">
        <v>56</v>
      </c>
      <c r="N1949" s="3"/>
      <c r="O1949" s="3"/>
      <c r="P1949" s="3"/>
      <c r="Q1949" s="3"/>
    </row>
    <row r="1950" spans="1:17" ht="21" customHeight="1">
      <c r="A1950" s="3" t="s">
        <v>2646</v>
      </c>
      <c r="B1950" s="5">
        <v>45827</v>
      </c>
      <c r="C1950" s="3" t="s">
        <v>2532</v>
      </c>
      <c r="D1950" s="3" t="s">
        <v>44</v>
      </c>
      <c r="E1950" s="3" t="s">
        <v>41</v>
      </c>
      <c r="F1950" s="3" t="s">
        <v>113</v>
      </c>
      <c r="G1950" s="3" t="s">
        <v>114</v>
      </c>
      <c r="H1950" s="3">
        <v>1</v>
      </c>
      <c r="I1950" s="7">
        <v>12130.58</v>
      </c>
      <c r="J1950" s="9">
        <v>0.05</v>
      </c>
      <c r="K1950" s="7">
        <v>11524.05</v>
      </c>
      <c r="L1950" s="7">
        <v>4136.6000000000004</v>
      </c>
      <c r="M1950" s="3" t="s">
        <v>56</v>
      </c>
      <c r="N1950" s="3"/>
      <c r="O1950" s="3"/>
      <c r="P1950" s="3"/>
      <c r="Q1950" s="3"/>
    </row>
    <row r="1951" spans="1:17" ht="21" customHeight="1">
      <c r="A1951" s="3" t="s">
        <v>2647</v>
      </c>
      <c r="B1951" s="5">
        <v>45828</v>
      </c>
      <c r="C1951" s="3" t="s">
        <v>684</v>
      </c>
      <c r="D1951" s="3" t="s">
        <v>44</v>
      </c>
      <c r="E1951" s="3" t="s">
        <v>39</v>
      </c>
      <c r="F1951" s="3" t="s">
        <v>109</v>
      </c>
      <c r="G1951" s="3" t="s">
        <v>355</v>
      </c>
      <c r="H1951" s="3">
        <v>3</v>
      </c>
      <c r="I1951" s="7">
        <v>3354.89</v>
      </c>
      <c r="J1951" s="9">
        <v>0.25</v>
      </c>
      <c r="K1951" s="7">
        <v>7548.5</v>
      </c>
      <c r="L1951" s="7">
        <v>1208.2</v>
      </c>
      <c r="M1951" s="3" t="s">
        <v>57</v>
      </c>
      <c r="N1951" s="3"/>
      <c r="O1951" s="3"/>
      <c r="P1951" s="3"/>
      <c r="Q1951" s="3"/>
    </row>
    <row r="1952" spans="1:17" ht="21" customHeight="1">
      <c r="A1952" s="3" t="s">
        <v>2648</v>
      </c>
      <c r="B1952" s="5">
        <v>45828</v>
      </c>
      <c r="C1952" s="3" t="s">
        <v>1129</v>
      </c>
      <c r="D1952" s="3" t="s">
        <v>46</v>
      </c>
      <c r="E1952" s="3" t="s">
        <v>40</v>
      </c>
      <c r="F1952" s="3" t="s">
        <v>102</v>
      </c>
      <c r="G1952" s="3" t="s">
        <v>103</v>
      </c>
      <c r="H1952" s="3">
        <v>2</v>
      </c>
      <c r="I1952" s="7">
        <v>6282.18</v>
      </c>
      <c r="J1952" s="9">
        <v>0</v>
      </c>
      <c r="K1952" s="7">
        <v>12564.36</v>
      </c>
      <c r="L1952" s="7">
        <v>3945.79</v>
      </c>
      <c r="M1952" s="3" t="s">
        <v>57</v>
      </c>
      <c r="N1952" s="3"/>
      <c r="O1952" s="3"/>
      <c r="P1952" s="3"/>
      <c r="Q1952" s="3"/>
    </row>
    <row r="1953" spans="1:17" ht="21" customHeight="1">
      <c r="A1953" s="3" t="s">
        <v>2649</v>
      </c>
      <c r="B1953" s="5">
        <v>45828</v>
      </c>
      <c r="C1953" s="3" t="s">
        <v>112</v>
      </c>
      <c r="D1953" s="3" t="s">
        <v>47</v>
      </c>
      <c r="E1953" s="3" t="s">
        <v>41</v>
      </c>
      <c r="F1953" s="3" t="s">
        <v>113</v>
      </c>
      <c r="G1953" s="3" t="s">
        <v>114</v>
      </c>
      <c r="H1953" s="3">
        <v>1</v>
      </c>
      <c r="I1953" s="7">
        <v>12139.68</v>
      </c>
      <c r="J1953" s="9">
        <v>0.05</v>
      </c>
      <c r="K1953" s="7">
        <v>11532.7</v>
      </c>
      <c r="L1953" s="7">
        <v>4105.66</v>
      </c>
      <c r="M1953" s="3" t="s">
        <v>60</v>
      </c>
      <c r="N1953" s="3"/>
      <c r="O1953" s="3"/>
      <c r="P1953" s="3"/>
      <c r="Q1953" s="3"/>
    </row>
    <row r="1954" spans="1:17" ht="21" customHeight="1">
      <c r="A1954" s="3" t="s">
        <v>2650</v>
      </c>
      <c r="B1954" s="5">
        <v>45828</v>
      </c>
      <c r="C1954" s="3" t="s">
        <v>1269</v>
      </c>
      <c r="D1954" s="3" t="s">
        <v>46</v>
      </c>
      <c r="E1954" s="3" t="s">
        <v>38</v>
      </c>
      <c r="F1954" s="3" t="s">
        <v>142</v>
      </c>
      <c r="G1954" s="3" t="s">
        <v>245</v>
      </c>
      <c r="H1954" s="3">
        <v>1</v>
      </c>
      <c r="I1954" s="7">
        <v>4886.76</v>
      </c>
      <c r="J1954" s="9">
        <v>0</v>
      </c>
      <c r="K1954" s="7">
        <v>4886.76</v>
      </c>
      <c r="L1954" s="7">
        <v>812.17</v>
      </c>
      <c r="M1954" s="3" t="s">
        <v>57</v>
      </c>
      <c r="N1954" s="3"/>
      <c r="O1954" s="3"/>
      <c r="P1954" s="3"/>
      <c r="Q1954" s="3"/>
    </row>
    <row r="1955" spans="1:17" ht="21" customHeight="1">
      <c r="A1955" s="3" t="s">
        <v>2651</v>
      </c>
      <c r="B1955" s="5">
        <v>45829</v>
      </c>
      <c r="C1955" s="3" t="s">
        <v>456</v>
      </c>
      <c r="D1955" s="3" t="s">
        <v>47</v>
      </c>
      <c r="E1955" s="3" t="s">
        <v>40</v>
      </c>
      <c r="F1955" s="3" t="s">
        <v>160</v>
      </c>
      <c r="G1955" s="3" t="s">
        <v>161</v>
      </c>
      <c r="H1955" s="3">
        <v>2</v>
      </c>
      <c r="I1955" s="7">
        <v>12993.31</v>
      </c>
      <c r="J1955" s="9">
        <v>0.05</v>
      </c>
      <c r="K1955" s="7">
        <v>24687.29</v>
      </c>
      <c r="L1955" s="7">
        <v>7660.05</v>
      </c>
      <c r="M1955" s="3" t="s">
        <v>57</v>
      </c>
      <c r="N1955" s="3"/>
      <c r="O1955" s="3"/>
      <c r="P1955" s="3"/>
      <c r="Q1955" s="3"/>
    </row>
    <row r="1956" spans="1:17" ht="21" customHeight="1">
      <c r="A1956" s="3" t="s">
        <v>2652</v>
      </c>
      <c r="B1956" s="5">
        <v>45829</v>
      </c>
      <c r="C1956" s="3" t="s">
        <v>2653</v>
      </c>
      <c r="D1956" s="3" t="s">
        <v>45</v>
      </c>
      <c r="E1956" s="3" t="s">
        <v>39</v>
      </c>
      <c r="F1956" s="3" t="s">
        <v>109</v>
      </c>
      <c r="G1956" s="3" t="s">
        <v>110</v>
      </c>
      <c r="H1956" s="3">
        <v>1</v>
      </c>
      <c r="I1956" s="7">
        <v>3140.53</v>
      </c>
      <c r="J1956" s="9">
        <v>0.05</v>
      </c>
      <c r="K1956" s="7">
        <v>2983.5</v>
      </c>
      <c r="L1956" s="7">
        <v>971.5</v>
      </c>
      <c r="M1956" s="3" t="s">
        <v>56</v>
      </c>
      <c r="N1956" s="3"/>
      <c r="O1956" s="3"/>
      <c r="P1956" s="3"/>
      <c r="Q1956" s="3"/>
    </row>
    <row r="1957" spans="1:17" ht="21" customHeight="1">
      <c r="A1957" s="3" t="s">
        <v>2654</v>
      </c>
      <c r="B1957" s="5">
        <v>45829</v>
      </c>
      <c r="C1957" s="3" t="s">
        <v>416</v>
      </c>
      <c r="D1957" s="3" t="s">
        <v>47</v>
      </c>
      <c r="E1957" s="3" t="s">
        <v>40</v>
      </c>
      <c r="F1957" s="3" t="s">
        <v>102</v>
      </c>
      <c r="G1957" s="3" t="s">
        <v>146</v>
      </c>
      <c r="H1957" s="3">
        <v>2</v>
      </c>
      <c r="I1957" s="7">
        <v>8017.67</v>
      </c>
      <c r="J1957" s="9">
        <v>0.05</v>
      </c>
      <c r="K1957" s="7">
        <v>15233.57</v>
      </c>
      <c r="L1957" s="7">
        <v>4002.44</v>
      </c>
      <c r="M1957" s="3" t="s">
        <v>57</v>
      </c>
      <c r="N1957" s="3"/>
      <c r="O1957" s="3"/>
      <c r="P1957" s="3"/>
      <c r="Q1957" s="3"/>
    </row>
    <row r="1958" spans="1:17" ht="21" customHeight="1">
      <c r="A1958" s="3" t="s">
        <v>2655</v>
      </c>
      <c r="B1958" s="5">
        <v>45829</v>
      </c>
      <c r="C1958" s="3" t="s">
        <v>666</v>
      </c>
      <c r="D1958" s="3" t="s">
        <v>47</v>
      </c>
      <c r="E1958" s="3" t="s">
        <v>38</v>
      </c>
      <c r="F1958" s="3" t="s">
        <v>142</v>
      </c>
      <c r="G1958" s="3" t="s">
        <v>143</v>
      </c>
      <c r="H1958" s="3">
        <v>1</v>
      </c>
      <c r="I1958" s="7">
        <v>8818.86</v>
      </c>
      <c r="J1958" s="9">
        <v>0.05</v>
      </c>
      <c r="K1958" s="7">
        <v>8377.92</v>
      </c>
      <c r="L1958" s="7">
        <v>706.41</v>
      </c>
      <c r="M1958" s="3" t="s">
        <v>56</v>
      </c>
      <c r="N1958" s="3"/>
      <c r="O1958" s="3"/>
      <c r="P1958" s="3"/>
      <c r="Q1958" s="3"/>
    </row>
    <row r="1959" spans="1:17" ht="21" customHeight="1">
      <c r="A1959" s="3" t="s">
        <v>2656</v>
      </c>
      <c r="B1959" s="5">
        <v>45829</v>
      </c>
      <c r="C1959" s="3" t="s">
        <v>2051</v>
      </c>
      <c r="D1959" s="3" t="s">
        <v>47</v>
      </c>
      <c r="E1959" s="3" t="s">
        <v>38</v>
      </c>
      <c r="F1959" s="3" t="s">
        <v>94</v>
      </c>
      <c r="G1959" s="3" t="s">
        <v>213</v>
      </c>
      <c r="H1959" s="3">
        <v>1</v>
      </c>
      <c r="I1959" s="7">
        <v>53864.1</v>
      </c>
      <c r="J1959" s="9">
        <v>0</v>
      </c>
      <c r="K1959" s="7">
        <v>53864.1</v>
      </c>
      <c r="L1959" s="7">
        <v>8004.3</v>
      </c>
      <c r="M1959" s="3" t="s">
        <v>56</v>
      </c>
      <c r="N1959" s="3"/>
      <c r="O1959" s="3"/>
      <c r="P1959" s="3"/>
      <c r="Q1959" s="3"/>
    </row>
    <row r="1960" spans="1:17" ht="21" customHeight="1">
      <c r="A1960" s="3" t="s">
        <v>2657</v>
      </c>
      <c r="B1960" s="5">
        <v>45830</v>
      </c>
      <c r="C1960" s="3" t="s">
        <v>454</v>
      </c>
      <c r="D1960" s="3" t="s">
        <v>47</v>
      </c>
      <c r="E1960" s="3" t="s">
        <v>41</v>
      </c>
      <c r="F1960" s="3" t="s">
        <v>119</v>
      </c>
      <c r="G1960" s="3" t="s">
        <v>168</v>
      </c>
      <c r="H1960" s="3">
        <v>1</v>
      </c>
      <c r="I1960" s="7">
        <v>10163.35</v>
      </c>
      <c r="J1960" s="9">
        <v>0.05</v>
      </c>
      <c r="K1960" s="7">
        <v>9655.18</v>
      </c>
      <c r="L1960" s="7">
        <v>2793.72</v>
      </c>
      <c r="M1960" s="3" t="s">
        <v>56</v>
      </c>
      <c r="N1960" s="3"/>
      <c r="O1960" s="3"/>
      <c r="P1960" s="3"/>
      <c r="Q1960" s="3"/>
    </row>
    <row r="1961" spans="1:17" ht="21" customHeight="1">
      <c r="A1961" s="3" t="s">
        <v>2658</v>
      </c>
      <c r="B1961" s="5">
        <v>45830</v>
      </c>
      <c r="C1961" s="3" t="s">
        <v>1629</v>
      </c>
      <c r="D1961" s="3" t="s">
        <v>47</v>
      </c>
      <c r="E1961" s="3" t="s">
        <v>41</v>
      </c>
      <c r="F1961" s="3" t="s">
        <v>119</v>
      </c>
      <c r="G1961" s="3" t="s">
        <v>168</v>
      </c>
      <c r="H1961" s="3">
        <v>1</v>
      </c>
      <c r="I1961" s="7">
        <v>10157.959999999999</v>
      </c>
      <c r="J1961" s="9">
        <v>0.05</v>
      </c>
      <c r="K1961" s="7">
        <v>9650.06</v>
      </c>
      <c r="L1961" s="7">
        <v>3170.85</v>
      </c>
      <c r="M1961" s="3" t="s">
        <v>58</v>
      </c>
      <c r="N1961" s="3"/>
      <c r="O1961" s="3"/>
      <c r="P1961" s="3"/>
      <c r="Q1961" s="3"/>
    </row>
    <row r="1962" spans="1:17" ht="21" customHeight="1">
      <c r="A1962" s="3" t="s">
        <v>2659</v>
      </c>
      <c r="B1962" s="5">
        <v>45831</v>
      </c>
      <c r="C1962" s="3" t="s">
        <v>1707</v>
      </c>
      <c r="D1962" s="3" t="s">
        <v>46</v>
      </c>
      <c r="E1962" s="3" t="s">
        <v>39</v>
      </c>
      <c r="F1962" s="3" t="s">
        <v>164</v>
      </c>
      <c r="G1962" s="3" t="s">
        <v>200</v>
      </c>
      <c r="H1962" s="3">
        <v>1</v>
      </c>
      <c r="I1962" s="7">
        <v>1362.95</v>
      </c>
      <c r="J1962" s="9">
        <v>0.1</v>
      </c>
      <c r="K1962" s="7">
        <v>1226.6500000000001</v>
      </c>
      <c r="L1962" s="7">
        <v>393.27</v>
      </c>
      <c r="M1962" s="3" t="s">
        <v>56</v>
      </c>
      <c r="N1962" s="3"/>
      <c r="O1962" s="3"/>
      <c r="P1962" s="3"/>
      <c r="Q1962" s="3"/>
    </row>
    <row r="1963" spans="1:17" ht="21" customHeight="1">
      <c r="A1963" s="3" t="s">
        <v>2660</v>
      </c>
      <c r="B1963" s="5">
        <v>45831</v>
      </c>
      <c r="C1963" s="3" t="s">
        <v>184</v>
      </c>
      <c r="D1963" s="3" t="s">
        <v>44</v>
      </c>
      <c r="E1963" s="3" t="s">
        <v>41</v>
      </c>
      <c r="F1963" s="3" t="s">
        <v>113</v>
      </c>
      <c r="G1963" s="3" t="s">
        <v>114</v>
      </c>
      <c r="H1963" s="3">
        <v>1</v>
      </c>
      <c r="I1963" s="7">
        <v>12042.45</v>
      </c>
      <c r="J1963" s="9">
        <v>0.05</v>
      </c>
      <c r="K1963" s="7">
        <v>11440.33</v>
      </c>
      <c r="L1963" s="7">
        <v>3442.5</v>
      </c>
      <c r="M1963" s="3" t="s">
        <v>58</v>
      </c>
      <c r="N1963" s="3"/>
      <c r="O1963" s="3"/>
      <c r="P1963" s="3"/>
      <c r="Q1963" s="3"/>
    </row>
    <row r="1964" spans="1:17" ht="21" customHeight="1">
      <c r="A1964" s="3" t="s">
        <v>2661</v>
      </c>
      <c r="B1964" s="5">
        <v>45831</v>
      </c>
      <c r="C1964" s="3" t="s">
        <v>568</v>
      </c>
      <c r="D1964" s="3" t="s">
        <v>45</v>
      </c>
      <c r="E1964" s="3" t="s">
        <v>39</v>
      </c>
      <c r="F1964" s="3" t="s">
        <v>130</v>
      </c>
      <c r="G1964" s="3" t="s">
        <v>193</v>
      </c>
      <c r="H1964" s="3">
        <v>5</v>
      </c>
      <c r="I1964" s="7">
        <v>1831.17</v>
      </c>
      <c r="J1964" s="9">
        <v>0.2</v>
      </c>
      <c r="K1964" s="7">
        <v>7324.68</v>
      </c>
      <c r="L1964" s="7">
        <v>1625.62</v>
      </c>
      <c r="M1964" s="3" t="s">
        <v>60</v>
      </c>
      <c r="N1964" s="3"/>
      <c r="O1964" s="3"/>
      <c r="P1964" s="3"/>
      <c r="Q1964" s="3"/>
    </row>
    <row r="1965" spans="1:17" ht="21" customHeight="1">
      <c r="A1965" s="3" t="s">
        <v>2662</v>
      </c>
      <c r="B1965" s="5">
        <v>45831</v>
      </c>
      <c r="C1965" s="3" t="s">
        <v>2038</v>
      </c>
      <c r="D1965" s="3" t="s">
        <v>44</v>
      </c>
      <c r="E1965" s="3" t="s">
        <v>39</v>
      </c>
      <c r="F1965" s="3" t="s">
        <v>109</v>
      </c>
      <c r="G1965" s="3" t="s">
        <v>110</v>
      </c>
      <c r="H1965" s="3">
        <v>2</v>
      </c>
      <c r="I1965" s="7">
        <v>2901.19</v>
      </c>
      <c r="J1965" s="9">
        <v>0.05</v>
      </c>
      <c r="K1965" s="7">
        <v>5512.26</v>
      </c>
      <c r="L1965" s="7">
        <v>2161.41</v>
      </c>
      <c r="M1965" s="3" t="s">
        <v>56</v>
      </c>
      <c r="N1965" s="3"/>
      <c r="O1965" s="3"/>
      <c r="P1965" s="3"/>
      <c r="Q1965" s="3"/>
    </row>
    <row r="1966" spans="1:17" ht="21" customHeight="1">
      <c r="A1966" s="3" t="s">
        <v>2663</v>
      </c>
      <c r="B1966" s="5">
        <v>45832</v>
      </c>
      <c r="C1966" s="3" t="s">
        <v>711</v>
      </c>
      <c r="D1966" s="3" t="s">
        <v>47</v>
      </c>
      <c r="E1966" s="3" t="s">
        <v>41</v>
      </c>
      <c r="F1966" s="3" t="s">
        <v>119</v>
      </c>
      <c r="G1966" s="3" t="s">
        <v>168</v>
      </c>
      <c r="H1966" s="3">
        <v>1</v>
      </c>
      <c r="I1966" s="7">
        <v>9578.27</v>
      </c>
      <c r="J1966" s="9">
        <v>0</v>
      </c>
      <c r="K1966" s="7">
        <v>9578.27</v>
      </c>
      <c r="L1966" s="7">
        <v>3452.72</v>
      </c>
      <c r="M1966" s="3" t="s">
        <v>57</v>
      </c>
      <c r="N1966" s="3"/>
      <c r="O1966" s="3"/>
      <c r="P1966" s="3"/>
      <c r="Q1966" s="3"/>
    </row>
    <row r="1967" spans="1:17" ht="21" customHeight="1">
      <c r="A1967" s="3" t="s">
        <v>2664</v>
      </c>
      <c r="B1967" s="5">
        <v>45832</v>
      </c>
      <c r="C1967" s="3" t="s">
        <v>1367</v>
      </c>
      <c r="D1967" s="3" t="s">
        <v>44</v>
      </c>
      <c r="E1967" s="3" t="s">
        <v>42</v>
      </c>
      <c r="F1967" s="3" t="s">
        <v>126</v>
      </c>
      <c r="G1967" s="3" t="s">
        <v>151</v>
      </c>
      <c r="H1967" s="3">
        <v>2</v>
      </c>
      <c r="I1967" s="7">
        <v>1564.03</v>
      </c>
      <c r="J1967" s="9">
        <v>0.05</v>
      </c>
      <c r="K1967" s="7">
        <v>2971.66</v>
      </c>
      <c r="L1967" s="7">
        <v>1425.49</v>
      </c>
      <c r="M1967" s="3" t="s">
        <v>56</v>
      </c>
      <c r="N1967" s="3"/>
      <c r="O1967" s="3"/>
      <c r="P1967" s="3"/>
      <c r="Q1967" s="3"/>
    </row>
    <row r="1968" spans="1:17" ht="21" customHeight="1">
      <c r="A1968" s="3" t="s">
        <v>2665</v>
      </c>
      <c r="B1968" s="5">
        <v>45832</v>
      </c>
      <c r="C1968" s="3" t="s">
        <v>1156</v>
      </c>
      <c r="D1968" s="3" t="s">
        <v>45</v>
      </c>
      <c r="E1968" s="3" t="s">
        <v>39</v>
      </c>
      <c r="F1968" s="3" t="s">
        <v>130</v>
      </c>
      <c r="G1968" s="3" t="s">
        <v>193</v>
      </c>
      <c r="H1968" s="3">
        <v>2</v>
      </c>
      <c r="I1968" s="7">
        <v>1882.8</v>
      </c>
      <c r="J1968" s="9">
        <v>0.2</v>
      </c>
      <c r="K1968" s="7">
        <v>3012.48</v>
      </c>
      <c r="L1968" s="7">
        <v>551.48</v>
      </c>
      <c r="M1968" s="3" t="s">
        <v>56</v>
      </c>
      <c r="N1968" s="3"/>
      <c r="O1968" s="3"/>
      <c r="P1968" s="3"/>
      <c r="Q1968" s="3"/>
    </row>
    <row r="1969" spans="1:17" ht="21" customHeight="1">
      <c r="A1969" s="3" t="s">
        <v>2666</v>
      </c>
      <c r="B1969" s="5">
        <v>45832</v>
      </c>
      <c r="C1969" s="3" t="s">
        <v>626</v>
      </c>
      <c r="D1969" s="3" t="s">
        <v>44</v>
      </c>
      <c r="E1969" s="3" t="s">
        <v>38</v>
      </c>
      <c r="F1969" s="3" t="s">
        <v>98</v>
      </c>
      <c r="G1969" s="3" t="s">
        <v>362</v>
      </c>
      <c r="H1969" s="3">
        <v>1</v>
      </c>
      <c r="I1969" s="7">
        <v>32062.28</v>
      </c>
      <c r="J1969" s="9">
        <v>0</v>
      </c>
      <c r="K1969" s="7">
        <v>32062.28</v>
      </c>
      <c r="L1969" s="7">
        <v>6588.19</v>
      </c>
      <c r="M1969" s="3" t="s">
        <v>56</v>
      </c>
      <c r="N1969" s="3"/>
      <c r="O1969" s="3"/>
      <c r="P1969" s="3"/>
      <c r="Q1969" s="3"/>
    </row>
    <row r="1970" spans="1:17" ht="21" customHeight="1">
      <c r="A1970" s="3" t="s">
        <v>2667</v>
      </c>
      <c r="B1970" s="5">
        <v>45832</v>
      </c>
      <c r="C1970" s="3" t="s">
        <v>2643</v>
      </c>
      <c r="D1970" s="3" t="s">
        <v>47</v>
      </c>
      <c r="E1970" s="3" t="s">
        <v>38</v>
      </c>
      <c r="F1970" s="3" t="s">
        <v>94</v>
      </c>
      <c r="G1970" s="3" t="s">
        <v>95</v>
      </c>
      <c r="H1970" s="3">
        <v>2</v>
      </c>
      <c r="I1970" s="7">
        <v>77740.639999999999</v>
      </c>
      <c r="J1970" s="9">
        <v>0.2</v>
      </c>
      <c r="K1970" s="7">
        <v>124385.02</v>
      </c>
      <c r="L1970" s="7">
        <v>-4404.6099999999997</v>
      </c>
      <c r="M1970" s="3" t="s">
        <v>58</v>
      </c>
      <c r="N1970" s="3"/>
      <c r="O1970" s="3"/>
      <c r="P1970" s="3"/>
      <c r="Q1970" s="3"/>
    </row>
    <row r="1971" spans="1:17" ht="21" customHeight="1">
      <c r="A1971" s="3" t="s">
        <v>2668</v>
      </c>
      <c r="B1971" s="5">
        <v>45832</v>
      </c>
      <c r="C1971" s="3" t="s">
        <v>1046</v>
      </c>
      <c r="D1971" s="3" t="s">
        <v>45</v>
      </c>
      <c r="E1971" s="3" t="s">
        <v>39</v>
      </c>
      <c r="F1971" s="3" t="s">
        <v>109</v>
      </c>
      <c r="G1971" s="3" t="s">
        <v>355</v>
      </c>
      <c r="H1971" s="3">
        <v>5</v>
      </c>
      <c r="I1971" s="7">
        <v>3413.43</v>
      </c>
      <c r="J1971" s="9">
        <v>0.05</v>
      </c>
      <c r="K1971" s="7">
        <v>16213.79</v>
      </c>
      <c r="L1971" s="7">
        <v>5927.91</v>
      </c>
      <c r="M1971" s="3" t="s">
        <v>57</v>
      </c>
      <c r="N1971" s="3"/>
      <c r="O1971" s="3"/>
      <c r="P1971" s="3"/>
      <c r="Q1971" s="3"/>
    </row>
    <row r="1972" spans="1:17" ht="21" customHeight="1">
      <c r="A1972" s="3" t="s">
        <v>2669</v>
      </c>
      <c r="B1972" s="5">
        <v>45832</v>
      </c>
      <c r="C1972" s="3" t="s">
        <v>1221</v>
      </c>
      <c r="D1972" s="3" t="s">
        <v>45</v>
      </c>
      <c r="E1972" s="3" t="s">
        <v>39</v>
      </c>
      <c r="F1972" s="3" t="s">
        <v>164</v>
      </c>
      <c r="G1972" s="3" t="s">
        <v>200</v>
      </c>
      <c r="H1972" s="3">
        <v>1</v>
      </c>
      <c r="I1972" s="7">
        <v>1322.01</v>
      </c>
      <c r="J1972" s="9">
        <v>0</v>
      </c>
      <c r="K1972" s="7">
        <v>1322.01</v>
      </c>
      <c r="L1972" s="7">
        <v>585.79999999999995</v>
      </c>
      <c r="M1972" s="3" t="s">
        <v>59</v>
      </c>
      <c r="N1972" s="3"/>
      <c r="O1972" s="3"/>
      <c r="P1972" s="3"/>
      <c r="Q1972" s="3"/>
    </row>
    <row r="1973" spans="1:17" ht="21" customHeight="1">
      <c r="A1973" s="3" t="s">
        <v>2670</v>
      </c>
      <c r="B1973" s="5">
        <v>45832</v>
      </c>
      <c r="C1973" s="3" t="s">
        <v>795</v>
      </c>
      <c r="D1973" s="3" t="s">
        <v>46</v>
      </c>
      <c r="E1973" s="3" t="s">
        <v>40</v>
      </c>
      <c r="F1973" s="3" t="s">
        <v>160</v>
      </c>
      <c r="G1973" s="3" t="s">
        <v>173</v>
      </c>
      <c r="H1973" s="3">
        <v>1</v>
      </c>
      <c r="I1973" s="7">
        <v>8771.4500000000007</v>
      </c>
      <c r="J1973" s="9">
        <v>0.15</v>
      </c>
      <c r="K1973" s="7">
        <v>7455.73</v>
      </c>
      <c r="L1973" s="7">
        <v>893.53</v>
      </c>
      <c r="M1973" s="3" t="s">
        <v>56</v>
      </c>
      <c r="N1973" s="3"/>
      <c r="O1973" s="3"/>
      <c r="P1973" s="3"/>
      <c r="Q1973" s="3"/>
    </row>
    <row r="1974" spans="1:17" ht="21" customHeight="1">
      <c r="A1974" s="3" t="s">
        <v>2671</v>
      </c>
      <c r="B1974" s="5">
        <v>45832</v>
      </c>
      <c r="C1974" s="3" t="s">
        <v>746</v>
      </c>
      <c r="D1974" s="3" t="s">
        <v>44</v>
      </c>
      <c r="E1974" s="3" t="s">
        <v>42</v>
      </c>
      <c r="F1974" s="3" t="s">
        <v>126</v>
      </c>
      <c r="G1974" s="3" t="s">
        <v>151</v>
      </c>
      <c r="H1974" s="3">
        <v>2</v>
      </c>
      <c r="I1974" s="7">
        <v>1448.33</v>
      </c>
      <c r="J1974" s="9">
        <v>0.05</v>
      </c>
      <c r="K1974" s="7">
        <v>2751.83</v>
      </c>
      <c r="L1974" s="7">
        <v>1283.24</v>
      </c>
      <c r="M1974" s="3" t="s">
        <v>58</v>
      </c>
      <c r="N1974" s="3"/>
      <c r="O1974" s="3"/>
      <c r="P1974" s="3"/>
      <c r="Q1974" s="3"/>
    </row>
    <row r="1975" spans="1:17" ht="21" customHeight="1">
      <c r="A1975" s="3" t="s">
        <v>2672</v>
      </c>
      <c r="B1975" s="5">
        <v>45833</v>
      </c>
      <c r="C1975" s="3" t="s">
        <v>1394</v>
      </c>
      <c r="D1975" s="3" t="s">
        <v>44</v>
      </c>
      <c r="E1975" s="3" t="s">
        <v>41</v>
      </c>
      <c r="F1975" s="3" t="s">
        <v>113</v>
      </c>
      <c r="G1975" s="3" t="s">
        <v>114</v>
      </c>
      <c r="H1975" s="3">
        <v>3</v>
      </c>
      <c r="I1975" s="7">
        <v>11551.59</v>
      </c>
      <c r="J1975" s="9">
        <v>0</v>
      </c>
      <c r="K1975" s="7">
        <v>34654.769999999997</v>
      </c>
      <c r="L1975" s="7">
        <v>13754.2</v>
      </c>
      <c r="M1975" s="3" t="s">
        <v>58</v>
      </c>
      <c r="N1975" s="3"/>
      <c r="O1975" s="3"/>
      <c r="P1975" s="3"/>
      <c r="Q1975" s="3"/>
    </row>
    <row r="1976" spans="1:17" ht="21" customHeight="1">
      <c r="A1976" s="3" t="s">
        <v>2673</v>
      </c>
      <c r="B1976" s="5">
        <v>45833</v>
      </c>
      <c r="C1976" s="3" t="s">
        <v>1274</v>
      </c>
      <c r="D1976" s="3" t="s">
        <v>47</v>
      </c>
      <c r="E1976" s="3" t="s">
        <v>41</v>
      </c>
      <c r="F1976" s="3" t="s">
        <v>113</v>
      </c>
      <c r="G1976" s="3" t="s">
        <v>114</v>
      </c>
      <c r="H1976" s="3">
        <v>1</v>
      </c>
      <c r="I1976" s="7">
        <v>11415.44</v>
      </c>
      <c r="J1976" s="9">
        <v>0</v>
      </c>
      <c r="K1976" s="7">
        <v>11415.44</v>
      </c>
      <c r="L1976" s="7">
        <v>4385.1400000000003</v>
      </c>
      <c r="M1976" s="3" t="s">
        <v>56</v>
      </c>
      <c r="N1976" s="3"/>
      <c r="O1976" s="3"/>
      <c r="P1976" s="3"/>
      <c r="Q1976" s="3"/>
    </row>
    <row r="1977" spans="1:17" ht="21" customHeight="1">
      <c r="A1977" s="3" t="s">
        <v>2674</v>
      </c>
      <c r="B1977" s="5">
        <v>45833</v>
      </c>
      <c r="C1977" s="3" t="s">
        <v>2675</v>
      </c>
      <c r="D1977" s="3" t="s">
        <v>46</v>
      </c>
      <c r="E1977" s="3" t="s">
        <v>39</v>
      </c>
      <c r="F1977" s="3" t="s">
        <v>130</v>
      </c>
      <c r="G1977" s="3" t="s">
        <v>193</v>
      </c>
      <c r="H1977" s="3">
        <v>4</v>
      </c>
      <c r="I1977" s="7">
        <v>1833.1</v>
      </c>
      <c r="J1977" s="9">
        <v>0</v>
      </c>
      <c r="K1977" s="7">
        <v>7332.4</v>
      </c>
      <c r="L1977" s="7">
        <v>2831.8</v>
      </c>
      <c r="M1977" s="3" t="s">
        <v>56</v>
      </c>
      <c r="N1977" s="3"/>
      <c r="O1977" s="3"/>
      <c r="P1977" s="3"/>
      <c r="Q1977" s="3"/>
    </row>
    <row r="1978" spans="1:17" ht="21" customHeight="1">
      <c r="A1978" s="3" t="s">
        <v>2676</v>
      </c>
      <c r="B1978" s="5">
        <v>45833</v>
      </c>
      <c r="C1978" s="3" t="s">
        <v>301</v>
      </c>
      <c r="D1978" s="3" t="s">
        <v>45</v>
      </c>
      <c r="E1978" s="3" t="s">
        <v>41</v>
      </c>
      <c r="F1978" s="3" t="s">
        <v>119</v>
      </c>
      <c r="G1978" s="3" t="s">
        <v>120</v>
      </c>
      <c r="H1978" s="3">
        <v>1</v>
      </c>
      <c r="I1978" s="7">
        <v>1317.09</v>
      </c>
      <c r="J1978" s="9">
        <v>0.1</v>
      </c>
      <c r="K1978" s="7">
        <v>1185.3800000000001</v>
      </c>
      <c r="L1978" s="7">
        <v>352.75</v>
      </c>
      <c r="M1978" s="3" t="s">
        <v>56</v>
      </c>
      <c r="N1978" s="3"/>
      <c r="O1978" s="3"/>
      <c r="P1978" s="3"/>
      <c r="Q1978" s="3"/>
    </row>
    <row r="1979" spans="1:17" ht="21" customHeight="1">
      <c r="A1979" s="3" t="s">
        <v>2677</v>
      </c>
      <c r="B1979" s="5">
        <v>45834</v>
      </c>
      <c r="C1979" s="3" t="s">
        <v>465</v>
      </c>
      <c r="D1979" s="3" t="s">
        <v>45</v>
      </c>
      <c r="E1979" s="3" t="s">
        <v>41</v>
      </c>
      <c r="F1979" s="3" t="s">
        <v>119</v>
      </c>
      <c r="G1979" s="3" t="s">
        <v>168</v>
      </c>
      <c r="H1979" s="3">
        <v>1</v>
      </c>
      <c r="I1979" s="7">
        <v>9972.52</v>
      </c>
      <c r="J1979" s="9">
        <v>0.15</v>
      </c>
      <c r="K1979" s="7">
        <v>8476.64</v>
      </c>
      <c r="L1979" s="7">
        <v>1995.8</v>
      </c>
      <c r="M1979" s="3" t="s">
        <v>58</v>
      </c>
      <c r="N1979" s="3"/>
      <c r="O1979" s="3"/>
      <c r="P1979" s="3"/>
      <c r="Q1979" s="3"/>
    </row>
    <row r="1980" spans="1:17" ht="21" customHeight="1">
      <c r="A1980" s="3" t="s">
        <v>2678</v>
      </c>
      <c r="B1980" s="5">
        <v>45834</v>
      </c>
      <c r="C1980" s="3" t="s">
        <v>426</v>
      </c>
      <c r="D1980" s="3" t="s">
        <v>45</v>
      </c>
      <c r="E1980" s="3" t="s">
        <v>41</v>
      </c>
      <c r="F1980" s="3" t="s">
        <v>113</v>
      </c>
      <c r="G1980" s="3" t="s">
        <v>123</v>
      </c>
      <c r="H1980" s="3">
        <v>1</v>
      </c>
      <c r="I1980" s="7">
        <v>3425.1</v>
      </c>
      <c r="J1980" s="9">
        <v>0.05</v>
      </c>
      <c r="K1980" s="7">
        <v>3253.84</v>
      </c>
      <c r="L1980" s="7">
        <v>1126.76</v>
      </c>
      <c r="M1980" s="3" t="s">
        <v>56</v>
      </c>
      <c r="N1980" s="3"/>
      <c r="O1980" s="3"/>
      <c r="P1980" s="3"/>
      <c r="Q1980" s="3"/>
    </row>
    <row r="1981" spans="1:17" ht="21" customHeight="1">
      <c r="A1981" s="3" t="s">
        <v>2679</v>
      </c>
      <c r="B1981" s="5">
        <v>45834</v>
      </c>
      <c r="C1981" s="3" t="s">
        <v>1082</v>
      </c>
      <c r="D1981" s="3" t="s">
        <v>45</v>
      </c>
      <c r="E1981" s="3" t="s">
        <v>41</v>
      </c>
      <c r="F1981" s="3" t="s">
        <v>113</v>
      </c>
      <c r="G1981" s="3" t="s">
        <v>123</v>
      </c>
      <c r="H1981" s="3">
        <v>1</v>
      </c>
      <c r="I1981" s="7">
        <v>3425.98</v>
      </c>
      <c r="J1981" s="9">
        <v>0.2</v>
      </c>
      <c r="K1981" s="7">
        <v>2740.78</v>
      </c>
      <c r="L1981" s="7">
        <v>445.2</v>
      </c>
      <c r="M1981" s="3" t="s">
        <v>56</v>
      </c>
      <c r="N1981" s="3"/>
      <c r="O1981" s="3"/>
      <c r="P1981" s="3"/>
      <c r="Q1981" s="3"/>
    </row>
    <row r="1982" spans="1:17" ht="21" customHeight="1">
      <c r="A1982" s="3" t="s">
        <v>2680</v>
      </c>
      <c r="B1982" s="5">
        <v>45835</v>
      </c>
      <c r="C1982" s="3" t="s">
        <v>543</v>
      </c>
      <c r="D1982" s="3" t="s">
        <v>45</v>
      </c>
      <c r="E1982" s="3" t="s">
        <v>40</v>
      </c>
      <c r="F1982" s="3" t="s">
        <v>102</v>
      </c>
      <c r="G1982" s="3" t="s">
        <v>146</v>
      </c>
      <c r="H1982" s="3">
        <v>1</v>
      </c>
      <c r="I1982" s="7">
        <v>8105.45</v>
      </c>
      <c r="J1982" s="9">
        <v>0</v>
      </c>
      <c r="K1982" s="7">
        <v>8105.45</v>
      </c>
      <c r="L1982" s="7">
        <v>2706.15</v>
      </c>
      <c r="M1982" s="3" t="s">
        <v>60</v>
      </c>
      <c r="N1982" s="3"/>
      <c r="O1982" s="3"/>
      <c r="P1982" s="3"/>
      <c r="Q1982" s="3"/>
    </row>
    <row r="1983" spans="1:17" ht="21" customHeight="1">
      <c r="A1983" s="3" t="s">
        <v>2681</v>
      </c>
      <c r="B1983" s="5">
        <v>45835</v>
      </c>
      <c r="C1983" s="3" t="s">
        <v>871</v>
      </c>
      <c r="D1983" s="3" t="s">
        <v>45</v>
      </c>
      <c r="E1983" s="3" t="s">
        <v>41</v>
      </c>
      <c r="F1983" s="3" t="s">
        <v>119</v>
      </c>
      <c r="G1983" s="3" t="s">
        <v>120</v>
      </c>
      <c r="H1983" s="3">
        <v>2</v>
      </c>
      <c r="I1983" s="7">
        <v>1286.45</v>
      </c>
      <c r="J1983" s="9">
        <v>0.1</v>
      </c>
      <c r="K1983" s="7">
        <v>2315.61</v>
      </c>
      <c r="L1983" s="7">
        <v>699.84</v>
      </c>
      <c r="M1983" s="3" t="s">
        <v>56</v>
      </c>
      <c r="N1983" s="3"/>
      <c r="O1983" s="3"/>
      <c r="P1983" s="3"/>
      <c r="Q1983" s="3"/>
    </row>
    <row r="1984" spans="1:17" ht="21" customHeight="1">
      <c r="A1984" s="3" t="s">
        <v>2682</v>
      </c>
      <c r="B1984" s="5">
        <v>45835</v>
      </c>
      <c r="C1984" s="3" t="s">
        <v>345</v>
      </c>
      <c r="D1984" s="3" t="s">
        <v>45</v>
      </c>
      <c r="E1984" s="3" t="s">
        <v>39</v>
      </c>
      <c r="F1984" s="3" t="s">
        <v>130</v>
      </c>
      <c r="G1984" s="3" t="s">
        <v>131</v>
      </c>
      <c r="H1984" s="3">
        <v>1</v>
      </c>
      <c r="I1984" s="7">
        <v>2135.9699999999998</v>
      </c>
      <c r="J1984" s="9">
        <v>0</v>
      </c>
      <c r="K1984" s="7">
        <v>2135.9699999999998</v>
      </c>
      <c r="L1984" s="7">
        <v>868.38</v>
      </c>
      <c r="M1984" s="3" t="s">
        <v>56</v>
      </c>
      <c r="N1984" s="3"/>
      <c r="O1984" s="3"/>
      <c r="P1984" s="3"/>
      <c r="Q1984" s="3"/>
    </row>
    <row r="1985" spans="1:17" ht="21" customHeight="1">
      <c r="A1985" s="3" t="s">
        <v>2683</v>
      </c>
      <c r="B1985" s="5">
        <v>45835</v>
      </c>
      <c r="C1985" s="3" t="s">
        <v>730</v>
      </c>
      <c r="D1985" s="3" t="s">
        <v>44</v>
      </c>
      <c r="E1985" s="3" t="s">
        <v>41</v>
      </c>
      <c r="F1985" s="3" t="s">
        <v>119</v>
      </c>
      <c r="G1985" s="3" t="s">
        <v>120</v>
      </c>
      <c r="H1985" s="3">
        <v>1</v>
      </c>
      <c r="I1985" s="7">
        <v>1313.73</v>
      </c>
      <c r="J1985" s="9">
        <v>0.1</v>
      </c>
      <c r="K1985" s="7">
        <v>1182.3599999999999</v>
      </c>
      <c r="L1985" s="7">
        <v>325.72000000000003</v>
      </c>
      <c r="M1985" s="3" t="s">
        <v>56</v>
      </c>
      <c r="N1985" s="3"/>
      <c r="O1985" s="3"/>
      <c r="P1985" s="3"/>
      <c r="Q1985" s="3"/>
    </row>
    <row r="1986" spans="1:17" ht="21" customHeight="1">
      <c r="A1986" s="3" t="s">
        <v>2684</v>
      </c>
      <c r="B1986" s="5">
        <v>45835</v>
      </c>
      <c r="C1986" s="3" t="s">
        <v>335</v>
      </c>
      <c r="D1986" s="3" t="s">
        <v>46</v>
      </c>
      <c r="E1986" s="3" t="s">
        <v>39</v>
      </c>
      <c r="F1986" s="3" t="s">
        <v>164</v>
      </c>
      <c r="G1986" s="3" t="s">
        <v>165</v>
      </c>
      <c r="H1986" s="3">
        <v>3</v>
      </c>
      <c r="I1986" s="7">
        <v>2047.89</v>
      </c>
      <c r="J1986" s="9">
        <v>0</v>
      </c>
      <c r="K1986" s="7">
        <v>6143.67</v>
      </c>
      <c r="L1986" s="7">
        <v>2592.91</v>
      </c>
      <c r="M1986" s="3" t="s">
        <v>57</v>
      </c>
      <c r="N1986" s="3"/>
      <c r="O1986" s="3"/>
      <c r="P1986" s="3"/>
      <c r="Q1986" s="3"/>
    </row>
    <row r="1987" spans="1:17" ht="21" customHeight="1">
      <c r="A1987" s="3" t="s">
        <v>2685</v>
      </c>
      <c r="B1987" s="5">
        <v>45835</v>
      </c>
      <c r="C1987" s="3" t="s">
        <v>1387</v>
      </c>
      <c r="D1987" s="3" t="s">
        <v>47</v>
      </c>
      <c r="E1987" s="3" t="s">
        <v>40</v>
      </c>
      <c r="F1987" s="3" t="s">
        <v>160</v>
      </c>
      <c r="G1987" s="3" t="s">
        <v>161</v>
      </c>
      <c r="H1987" s="3">
        <v>2</v>
      </c>
      <c r="I1987" s="7">
        <v>12749.07</v>
      </c>
      <c r="J1987" s="9">
        <v>0.05</v>
      </c>
      <c r="K1987" s="7">
        <v>24223.23</v>
      </c>
      <c r="L1987" s="7">
        <v>7166.87</v>
      </c>
      <c r="M1987" s="3" t="s">
        <v>57</v>
      </c>
      <c r="N1987" s="3"/>
      <c r="O1987" s="3"/>
      <c r="P1987" s="3"/>
      <c r="Q1987" s="3"/>
    </row>
    <row r="1988" spans="1:17" ht="21" customHeight="1">
      <c r="A1988" s="3" t="s">
        <v>2686</v>
      </c>
      <c r="B1988" s="5">
        <v>45835</v>
      </c>
      <c r="C1988" s="3" t="s">
        <v>1035</v>
      </c>
      <c r="D1988" s="3" t="s">
        <v>45</v>
      </c>
      <c r="E1988" s="3" t="s">
        <v>38</v>
      </c>
      <c r="F1988" s="3" t="s">
        <v>98</v>
      </c>
      <c r="G1988" s="3" t="s">
        <v>362</v>
      </c>
      <c r="H1988" s="3">
        <v>2</v>
      </c>
      <c r="I1988" s="7">
        <v>34469.74</v>
      </c>
      <c r="J1988" s="9">
        <v>0.2</v>
      </c>
      <c r="K1988" s="7">
        <v>55151.58</v>
      </c>
      <c r="L1988" s="7">
        <v>-3576.39</v>
      </c>
      <c r="M1988" s="3" t="s">
        <v>58</v>
      </c>
      <c r="N1988" s="3"/>
      <c r="O1988" s="3"/>
      <c r="P1988" s="3"/>
      <c r="Q1988" s="3"/>
    </row>
    <row r="1989" spans="1:17" ht="21" customHeight="1">
      <c r="A1989" s="3" t="s">
        <v>2687</v>
      </c>
      <c r="B1989" s="5">
        <v>45835</v>
      </c>
      <c r="C1989" s="3" t="s">
        <v>800</v>
      </c>
      <c r="D1989" s="3" t="s">
        <v>47</v>
      </c>
      <c r="E1989" s="3" t="s">
        <v>41</v>
      </c>
      <c r="F1989" s="3" t="s">
        <v>113</v>
      </c>
      <c r="G1989" s="3" t="s">
        <v>114</v>
      </c>
      <c r="H1989" s="3">
        <v>1</v>
      </c>
      <c r="I1989" s="7">
        <v>12009.9</v>
      </c>
      <c r="J1989" s="9">
        <v>0.2</v>
      </c>
      <c r="K1989" s="7">
        <v>9607.92</v>
      </c>
      <c r="L1989" s="7">
        <v>1424.83</v>
      </c>
      <c r="M1989" s="3" t="s">
        <v>56</v>
      </c>
      <c r="N1989" s="3"/>
      <c r="O1989" s="3"/>
      <c r="P1989" s="3"/>
      <c r="Q1989" s="3"/>
    </row>
    <row r="1990" spans="1:17" ht="21" customHeight="1">
      <c r="A1990" s="3" t="s">
        <v>2688</v>
      </c>
      <c r="B1990" s="5">
        <v>45836</v>
      </c>
      <c r="C1990" s="3" t="s">
        <v>728</v>
      </c>
      <c r="D1990" s="3" t="s">
        <v>44</v>
      </c>
      <c r="E1990" s="3" t="s">
        <v>38</v>
      </c>
      <c r="F1990" s="3" t="s">
        <v>98</v>
      </c>
      <c r="G1990" s="3" t="s">
        <v>99</v>
      </c>
      <c r="H1990" s="3">
        <v>3</v>
      </c>
      <c r="I1990" s="7">
        <v>25339.32</v>
      </c>
      <c r="J1990" s="9">
        <v>0.25</v>
      </c>
      <c r="K1990" s="7">
        <v>57013.47</v>
      </c>
      <c r="L1990" s="7">
        <v>-8408.65</v>
      </c>
      <c r="M1990" s="3" t="s">
        <v>56</v>
      </c>
      <c r="N1990" s="3"/>
      <c r="O1990" s="3"/>
      <c r="P1990" s="3"/>
      <c r="Q1990" s="3"/>
    </row>
    <row r="1991" spans="1:17" ht="21" customHeight="1">
      <c r="A1991" s="3" t="s">
        <v>2689</v>
      </c>
      <c r="B1991" s="5">
        <v>45836</v>
      </c>
      <c r="C1991" s="3" t="s">
        <v>335</v>
      </c>
      <c r="D1991" s="3" t="s">
        <v>47</v>
      </c>
      <c r="E1991" s="3" t="s">
        <v>42</v>
      </c>
      <c r="F1991" s="3" t="s">
        <v>126</v>
      </c>
      <c r="G1991" s="3" t="s">
        <v>151</v>
      </c>
      <c r="H1991" s="3">
        <v>1</v>
      </c>
      <c r="I1991" s="7">
        <v>1491.87</v>
      </c>
      <c r="J1991" s="9">
        <v>0.05</v>
      </c>
      <c r="K1991" s="7">
        <v>1417.28</v>
      </c>
      <c r="L1991" s="7">
        <v>698.17</v>
      </c>
      <c r="M1991" s="3" t="s">
        <v>57</v>
      </c>
      <c r="N1991" s="3"/>
      <c r="O1991" s="3"/>
      <c r="P1991" s="3"/>
      <c r="Q1991" s="3"/>
    </row>
    <row r="1992" spans="1:17" ht="21" customHeight="1">
      <c r="A1992" s="3" t="s">
        <v>2690</v>
      </c>
      <c r="B1992" s="5">
        <v>45836</v>
      </c>
      <c r="C1992" s="3" t="s">
        <v>463</v>
      </c>
      <c r="D1992" s="3" t="s">
        <v>46</v>
      </c>
      <c r="E1992" s="3" t="s">
        <v>38</v>
      </c>
      <c r="F1992" s="3" t="s">
        <v>98</v>
      </c>
      <c r="G1992" s="3" t="s">
        <v>99</v>
      </c>
      <c r="H1992" s="3">
        <v>1</v>
      </c>
      <c r="I1992" s="7">
        <v>25736.74</v>
      </c>
      <c r="J1992" s="9">
        <v>0.2</v>
      </c>
      <c r="K1992" s="7">
        <v>20589.39</v>
      </c>
      <c r="L1992" s="7">
        <v>-932.86</v>
      </c>
      <c r="M1992" s="3" t="s">
        <v>60</v>
      </c>
      <c r="N1992" s="3"/>
      <c r="O1992" s="3"/>
      <c r="P1992" s="3"/>
      <c r="Q1992" s="3"/>
    </row>
    <row r="1993" spans="1:17" ht="21" customHeight="1">
      <c r="A1993" s="3" t="s">
        <v>2691</v>
      </c>
      <c r="B1993" s="5">
        <v>45836</v>
      </c>
      <c r="C1993" s="3" t="s">
        <v>1567</v>
      </c>
      <c r="D1993" s="3" t="s">
        <v>45</v>
      </c>
      <c r="E1993" s="3" t="s">
        <v>41</v>
      </c>
      <c r="F1993" s="3" t="s">
        <v>119</v>
      </c>
      <c r="G1993" s="3" t="s">
        <v>168</v>
      </c>
      <c r="H1993" s="3">
        <v>1</v>
      </c>
      <c r="I1993" s="7">
        <v>9652.9500000000007</v>
      </c>
      <c r="J1993" s="9">
        <v>0.15</v>
      </c>
      <c r="K1993" s="7">
        <v>8205.01</v>
      </c>
      <c r="L1993" s="7">
        <v>1921.84</v>
      </c>
      <c r="M1993" s="3" t="s">
        <v>57</v>
      </c>
      <c r="N1993" s="3"/>
      <c r="O1993" s="3"/>
      <c r="P1993" s="3"/>
      <c r="Q1993" s="3"/>
    </row>
    <row r="1994" spans="1:17" ht="21" customHeight="1">
      <c r="A1994" s="3" t="s">
        <v>2692</v>
      </c>
      <c r="B1994" s="5">
        <v>45836</v>
      </c>
      <c r="C1994" s="3" t="s">
        <v>1058</v>
      </c>
      <c r="D1994" s="3" t="s">
        <v>44</v>
      </c>
      <c r="E1994" s="3" t="s">
        <v>41</v>
      </c>
      <c r="F1994" s="3" t="s">
        <v>119</v>
      </c>
      <c r="G1994" s="3" t="s">
        <v>120</v>
      </c>
      <c r="H1994" s="3">
        <v>1</v>
      </c>
      <c r="I1994" s="7">
        <v>1273.75</v>
      </c>
      <c r="J1994" s="9">
        <v>0</v>
      </c>
      <c r="K1994" s="7">
        <v>1273.75</v>
      </c>
      <c r="L1994" s="7">
        <v>439.59</v>
      </c>
      <c r="M1994" s="3" t="s">
        <v>57</v>
      </c>
      <c r="N1994" s="3"/>
      <c r="O1994" s="3"/>
      <c r="P1994" s="3"/>
      <c r="Q1994" s="3"/>
    </row>
    <row r="1995" spans="1:17" ht="21" customHeight="1">
      <c r="A1995" s="3" t="s">
        <v>2693</v>
      </c>
      <c r="B1995" s="5">
        <v>45836</v>
      </c>
      <c r="C1995" s="3" t="s">
        <v>700</v>
      </c>
      <c r="D1995" s="3" t="s">
        <v>46</v>
      </c>
      <c r="E1995" s="3" t="s">
        <v>38</v>
      </c>
      <c r="F1995" s="3" t="s">
        <v>94</v>
      </c>
      <c r="G1995" s="3" t="s">
        <v>95</v>
      </c>
      <c r="H1995" s="3">
        <v>4</v>
      </c>
      <c r="I1995" s="7">
        <v>77249.3</v>
      </c>
      <c r="J1995" s="9">
        <v>0.05</v>
      </c>
      <c r="K1995" s="7">
        <v>293547.34000000003</v>
      </c>
      <c r="L1995" s="7">
        <v>35495.69</v>
      </c>
      <c r="M1995" s="3" t="s">
        <v>58</v>
      </c>
      <c r="N1995" s="3"/>
      <c r="O1995" s="3"/>
      <c r="P1995" s="3"/>
      <c r="Q1995" s="3"/>
    </row>
    <row r="1996" spans="1:17" ht="21" customHeight="1">
      <c r="A1996" s="3" t="s">
        <v>2694</v>
      </c>
      <c r="B1996" s="5">
        <v>45837</v>
      </c>
      <c r="C1996" s="3" t="s">
        <v>1372</v>
      </c>
      <c r="D1996" s="3" t="s">
        <v>44</v>
      </c>
      <c r="E1996" s="3" t="s">
        <v>38</v>
      </c>
      <c r="F1996" s="3" t="s">
        <v>142</v>
      </c>
      <c r="G1996" s="3" t="s">
        <v>143</v>
      </c>
      <c r="H1996" s="3">
        <v>1</v>
      </c>
      <c r="I1996" s="7">
        <v>9123.9500000000007</v>
      </c>
      <c r="J1996" s="9">
        <v>0.15</v>
      </c>
      <c r="K1996" s="7">
        <v>7755.36</v>
      </c>
      <c r="L1996" s="7">
        <v>-121.85</v>
      </c>
      <c r="M1996" s="3" t="s">
        <v>56</v>
      </c>
      <c r="N1996" s="3"/>
      <c r="O1996" s="3"/>
      <c r="P1996" s="3"/>
      <c r="Q1996" s="3"/>
    </row>
    <row r="1997" spans="1:17" ht="21" customHeight="1">
      <c r="A1997" s="3" t="s">
        <v>2695</v>
      </c>
      <c r="B1997" s="5">
        <v>45837</v>
      </c>
      <c r="C1997" s="3" t="s">
        <v>1103</v>
      </c>
      <c r="D1997" s="3" t="s">
        <v>45</v>
      </c>
      <c r="E1997" s="3" t="s">
        <v>39</v>
      </c>
      <c r="F1997" s="3" t="s">
        <v>109</v>
      </c>
      <c r="G1997" s="3" t="s">
        <v>355</v>
      </c>
      <c r="H1997" s="3">
        <v>1</v>
      </c>
      <c r="I1997" s="7">
        <v>3610.8</v>
      </c>
      <c r="J1997" s="9">
        <v>0</v>
      </c>
      <c r="K1997" s="7">
        <v>3610.8</v>
      </c>
      <c r="L1997" s="7">
        <v>1387.28</v>
      </c>
      <c r="M1997" s="3" t="s">
        <v>57</v>
      </c>
      <c r="N1997" s="3"/>
      <c r="O1997" s="3"/>
      <c r="P1997" s="3"/>
      <c r="Q1997" s="3"/>
    </row>
    <row r="1998" spans="1:17" ht="21" customHeight="1">
      <c r="A1998" s="3" t="s">
        <v>2696</v>
      </c>
      <c r="B1998" s="5">
        <v>45837</v>
      </c>
      <c r="C1998" s="3" t="s">
        <v>272</v>
      </c>
      <c r="D1998" s="3" t="s">
        <v>44</v>
      </c>
      <c r="E1998" s="3" t="s">
        <v>41</v>
      </c>
      <c r="F1998" s="3" t="s">
        <v>113</v>
      </c>
      <c r="G1998" s="3" t="s">
        <v>123</v>
      </c>
      <c r="H1998" s="3">
        <v>1</v>
      </c>
      <c r="I1998" s="7">
        <v>3472.04</v>
      </c>
      <c r="J1998" s="9">
        <v>0</v>
      </c>
      <c r="K1998" s="7">
        <v>3472.04</v>
      </c>
      <c r="L1998" s="7">
        <v>1410.97</v>
      </c>
      <c r="M1998" s="3" t="s">
        <v>56</v>
      </c>
      <c r="N1998" s="3"/>
      <c r="O1998" s="3"/>
      <c r="P1998" s="3"/>
      <c r="Q1998" s="3"/>
    </row>
    <row r="1999" spans="1:17" ht="21" customHeight="1">
      <c r="A1999" s="3" t="s">
        <v>2697</v>
      </c>
      <c r="B1999" s="5">
        <v>45838</v>
      </c>
      <c r="C1999" s="3" t="s">
        <v>2698</v>
      </c>
      <c r="D1999" s="3" t="s">
        <v>47</v>
      </c>
      <c r="E1999" s="3" t="s">
        <v>39</v>
      </c>
      <c r="F1999" s="3" t="s">
        <v>109</v>
      </c>
      <c r="G1999" s="3" t="s">
        <v>355</v>
      </c>
      <c r="H1999" s="3">
        <v>2</v>
      </c>
      <c r="I1999" s="7">
        <v>3520.79</v>
      </c>
      <c r="J1999" s="9">
        <v>0.15</v>
      </c>
      <c r="K1999" s="7">
        <v>5985.34</v>
      </c>
      <c r="L1999" s="7">
        <v>1521.02</v>
      </c>
      <c r="M1999" s="3" t="s">
        <v>58</v>
      </c>
      <c r="N1999" s="3"/>
      <c r="O1999" s="3"/>
      <c r="P1999" s="3"/>
      <c r="Q1999" s="3"/>
    </row>
    <row r="2000" spans="1:17" ht="21" customHeight="1">
      <c r="A2000" s="3" t="s">
        <v>2699</v>
      </c>
      <c r="B2000" s="5">
        <v>45838</v>
      </c>
      <c r="C2000" s="3" t="s">
        <v>473</v>
      </c>
      <c r="D2000" s="3" t="s">
        <v>47</v>
      </c>
      <c r="E2000" s="3" t="s">
        <v>39</v>
      </c>
      <c r="F2000" s="3" t="s">
        <v>130</v>
      </c>
      <c r="G2000" s="3" t="s">
        <v>193</v>
      </c>
      <c r="H2000" s="3">
        <v>1</v>
      </c>
      <c r="I2000" s="7">
        <v>1830.82</v>
      </c>
      <c r="J2000" s="9">
        <v>0</v>
      </c>
      <c r="K2000" s="7">
        <v>1830.82</v>
      </c>
      <c r="L2000" s="7">
        <v>822.71</v>
      </c>
      <c r="M2000" s="3" t="s">
        <v>59</v>
      </c>
      <c r="N2000" s="3"/>
      <c r="O2000" s="3"/>
      <c r="P2000" s="3"/>
      <c r="Q2000" s="3"/>
    </row>
    <row r="2001" spans="1:17" ht="21" customHeight="1">
      <c r="A2001" s="3" t="s">
        <v>2700</v>
      </c>
      <c r="B2001" s="5">
        <v>45838</v>
      </c>
      <c r="C2001" s="3" t="s">
        <v>153</v>
      </c>
      <c r="D2001" s="3" t="s">
        <v>45</v>
      </c>
      <c r="E2001" s="3" t="s">
        <v>42</v>
      </c>
      <c r="F2001" s="3" t="s">
        <v>126</v>
      </c>
      <c r="G2001" s="3" t="s">
        <v>127</v>
      </c>
      <c r="H2001" s="3">
        <v>1</v>
      </c>
      <c r="I2001" s="7">
        <v>1029.81</v>
      </c>
      <c r="J2001" s="9">
        <v>0.1</v>
      </c>
      <c r="K2001" s="7">
        <v>926.83</v>
      </c>
      <c r="L2001" s="7">
        <v>374.02</v>
      </c>
      <c r="M2001" s="3" t="s">
        <v>58</v>
      </c>
      <c r="N2001" s="3"/>
      <c r="O2001" s="3"/>
      <c r="P2001" s="3"/>
      <c r="Q2001" s="3"/>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KPI_Dashboard</vt:lpstr>
      <vt:lpstr>Monthly_Trend</vt:lpstr>
      <vt:lpstr>Category_Region</vt:lpstr>
      <vt:lpstr>Discount_Payment</vt:lpstr>
      <vt:lpstr>Pivot_Category</vt:lpstr>
      <vt:lpstr>Quality_Checks</vt:lpstr>
      <vt:lpstr>Clean_Data</vt:lpstr>
      <vt:lpstr>Raw_Data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hp</cp:lastModifiedBy>
  <dcterms:modified xsi:type="dcterms:W3CDTF">2026-10-27T03:57:55Z</dcterms:modified>
</cp:coreProperties>
</file>